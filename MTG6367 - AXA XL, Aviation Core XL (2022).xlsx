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\\dca\Company\Clients\Hamilton Re\Data\Phase 1\"/>
    </mc:Choice>
  </mc:AlternateContent>
  <xr:revisionPtr revIDLastSave="0" documentId="13_ncr:1_{A81C6C0C-E9E8-49D3-8011-292F0AB6C2E1}" xr6:coauthVersionLast="47" xr6:coauthVersionMax="47" xr10:uidLastSave="{00000000-0000-0000-0000-000000000000}"/>
  <bookViews>
    <workbookView xWindow="-108" yWindow="-108" windowWidth="23256" windowHeight="12456" tabRatio="839" firstSheet="1" activeTab="1" xr2:uid="{00000000-000D-0000-FFFF-FFFF00000000}"/>
  </bookViews>
  <sheets>
    <sheet name="page 2" sheetId="5" state="hidden" r:id="rId1"/>
    <sheet name="Schedules A,B,C" sheetId="86" r:id="rId2"/>
    <sheet name="Schedules A,B,C Audit Notes" sheetId="87" r:id="rId3"/>
    <sheet name="Secondary Schedule" sheetId="88" r:id="rId4"/>
    <sheet name="Secondary Schedule Audit No" sheetId="89" r:id="rId5"/>
    <sheet name="sched G" sheetId="14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'Schedules A,B,C'!$A$16:$XFA$347</definedName>
    <definedName name="_xlnm._FilterDatabase" localSheetId="2" hidden="1">'Schedules A,B,C Audit Notes'!$B$10:$P$10</definedName>
    <definedName name="_xlnm._FilterDatabase" localSheetId="3" hidden="1">'Secondary Schedule'!$A$17:$Q$17</definedName>
    <definedName name="_xlnm._FilterDatabase" localSheetId="4" hidden="1">'Secondary Schedule Audit No'!$B$9:$D$9</definedName>
    <definedName name="ADD_1">'[1]AXA_XL Summary'!$L$9</definedName>
    <definedName name="Agg_Excess">'[1]AXA_XL Summary'!$C$5</definedName>
    <definedName name="Agg_GrExcess">'[1]AXA_XL Summary'!$F$5</definedName>
    <definedName name="Agg_GrLimit">'[1]AXA_XL Summary'!$F$4</definedName>
    <definedName name="Agg_GrPerOf">'[1]AXA_XL Summary'!$F$7</definedName>
    <definedName name="Agg_GrPexcess">'[1]AXA_XL Summary'!$F$6</definedName>
    <definedName name="Agg_Limit">'[1]AXA_XL Summary'!$C$4</definedName>
    <definedName name="Agg_perOf">'[1]AXA_XL Summary'!$C$7</definedName>
    <definedName name="Agg_Pexcess">'[1]AXA_XL Summary'!$C$6</definedName>
    <definedName name="AN_List" localSheetId="1">'Schedules A,B,C Audit Notes'!$C$12:$C$40</definedName>
    <definedName name="AN_List">#REF!</definedName>
    <definedName name="AN_List_ii">OFFSET(#REF!,0,0,COUNTA(#REF!),1)</definedName>
    <definedName name="AN_ListA">#REF!</definedName>
    <definedName name="ANDEBUT">#REF!</definedName>
    <definedName name="ANRENOUV">#REF!</definedName>
    <definedName name="b_Calculate">'[2]03 Data'!$R$24</definedName>
    <definedName name="BRANCHE">#REF!</definedName>
    <definedName name="c?ante">[3]Parametres!$B$10</definedName>
    <definedName name="CC" hidden="1">{"Print Out as at 1.1.2000",#N/A,FALSE,"Database"}</definedName>
    <definedName name="ccc" hidden="1">{"Print Out as at 1.1.2000",#N/A,FALSE,"Database"}</definedName>
    <definedName name="CEDANTE">#REF!</definedName>
    <definedName name="cédante">[4]Parametres!$B$10</definedName>
    <definedName name="chapitrecaa">'[4]Page de garde'!#REF!</definedName>
    <definedName name="chapitrecaf">'[4]Page de garde'!#REF!</definedName>
    <definedName name="CHAPITRECAS">#REF!</definedName>
    <definedName name="CHAPITREECA">#REF!</definedName>
    <definedName name="CHAPITRELPE">#REF!</definedName>
    <definedName name="CHAPITRELPG">#REF!</definedName>
    <definedName name="CHAPITRELPI">#REF!</definedName>
    <definedName name="CHAPITRELPU">#REF!</definedName>
    <definedName name="chapitrepfa">'[3]Page de garde'!$J$19</definedName>
    <definedName name="chapitrepfagross">'[3]Page de garde'!#REF!</definedName>
    <definedName name="CHAPITREPFC">#REF!</definedName>
    <definedName name="CHAPITREPFG">#REF!</definedName>
    <definedName name="chapitrepfg_el">'[4]Page de garde'!#REF!</definedName>
    <definedName name="chapitrepfg_pi">'[4]Page de garde'!#REF!</definedName>
    <definedName name="chapitrepfg_wc">'[4]Page de garde'!#REF!</definedName>
    <definedName name="chapitrepfm">'[3]Page de garde'!#REF!</definedName>
    <definedName name="chapitrepfn">'[3]Page de garde'!#REF!</definedName>
    <definedName name="CHAPITREPFP">#REF!</definedName>
    <definedName name="chapitrepfpgross">'[5]Page de garde'!#REF!</definedName>
    <definedName name="CHAPITREPFR">#REF!</definedName>
    <definedName name="CHAPITREPFT">#REF!</definedName>
    <definedName name="chapitrepftgross">'[5]Page de garde'!#REF!</definedName>
    <definedName name="chapitrepfw">'[4]Page de garde'!#REF!</definedName>
    <definedName name="CHAPITREPOL">#REF!</definedName>
    <definedName name="chapitresia">'[4]Page de garde'!#REF!</definedName>
    <definedName name="CHAPITRESIS">#REF!</definedName>
    <definedName name="chapitrey2k">'[4]Page de garde'!#REF!</definedName>
    <definedName name="Class_Include">'[1]Loss Thresholds &amp; Filters'!$C$4:$D$22</definedName>
    <definedName name="Coverage_Include">'[1]Loss Thresholds &amp; Filters'!$I$4:$J$75</definedName>
    <definedName name="Coverage_VLUp">'[1]Loss Thresholds &amp; Filters'!$I$4:$K$75</definedName>
    <definedName name="Currency_List" localSheetId="1">'Schedules A,B,C Audit Notes'!$E$74:$E$79</definedName>
    <definedName name="db_DataIn">#REF!</definedName>
    <definedName name="DECLARATION_POL">#REF!</definedName>
    <definedName name="déclaration_polices">[4]Parametres!#REF!</definedName>
    <definedName name="eeeee" hidden="1">{"Half yearly print out view",#N/A,FALSE,"Database"}</definedName>
    <definedName name="eeeeeeee" hidden="1">{"Half yearly print out view",#N/A,FALSE,"Database"}</definedName>
    <definedName name="eeeeeeeee" hidden="1">{"Print Out as at 1.1.2000",#N/A,FALSE,"Database"}</definedName>
    <definedName name="Excess_1">'[1]AXA_XL Summary'!$L$5</definedName>
    <definedName name="Excess_2">'[1]AXA_XL Summary'!$N$5</definedName>
    <definedName name="FGU_Agg">'[1]AXA_XL Summary'!$C$9</definedName>
    <definedName name="Gr_Agg">'[1]AXA_XL Summary'!$F$9</definedName>
    <definedName name="Insured_List" localSheetId="1">'Schedules A,B,C Audit Notes'!$C$74:$C$169</definedName>
    <definedName name="Insured_List" localSheetId="2">'Schedules A,B,C Audit Notes'!$C$74:$C$169</definedName>
    <definedName name="Insured_List" localSheetId="4">'Secondary Schedule Audit No'!$C$58:$C$128</definedName>
    <definedName name="Insured_ListA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42310.6054513889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imit_1">'[1]AXA_XL Summary'!$L$4</definedName>
    <definedName name="Limit_2">'[1]AXA_XL Summary'!$N$4</definedName>
    <definedName name="ListClass_Include">OFFSET('[1]Loss Thresholds &amp; Filters'!$AN$5,0,0,COUNTA('[1]Loss Thresholds &amp; Filters'!$AN$5:$AN$131),3)</definedName>
    <definedName name="MajorNonMajor_VLUp">'[1]Loss Thresholds &amp; Filters'!$C$4:$E$22</definedName>
    <definedName name="MAXGARANTIE_POL">#REF!</definedName>
    <definedName name="maxgarantie_police">[4]Parametres!#REF!</definedName>
    <definedName name="MONNAIE">#REF!</definedName>
    <definedName name="PerOf_1">'[1]AXA_XL Summary'!$L$7</definedName>
    <definedName name="Plus_1">'[1]AXA_XL Summary'!$L$6</definedName>
    <definedName name="PML_PROFILE_BRUT_COM">#REF!</definedName>
    <definedName name="PML_PROFILE_BRUT_IND">#REF!</definedName>
    <definedName name="PML_PROFILE_BRUT_RES">#REF!</definedName>
    <definedName name="PML_PROFILE_NET_COM">#REF!</definedName>
    <definedName name="PML_PROFILE_NET_IND">#REF!</definedName>
    <definedName name="PML_PROFILE_NET_RES">#REF!</definedName>
    <definedName name="_xlnm.Print_Area" localSheetId="0">'page 2'!$A$1:$E$48</definedName>
    <definedName name="_xlnm.Print_Area" localSheetId="5">'sched G'!$A$1:$K$66</definedName>
    <definedName name="_xlnm.Print_Area" localSheetId="1">'Schedules A,B,C'!$A$2:$P$347</definedName>
    <definedName name="_xlnm.Print_Area" localSheetId="2">'Schedules A,B,C Audit Notes'!$B$1:$P$42</definedName>
    <definedName name="_xlnm.Print_Area" localSheetId="3">'Secondary Schedule'!$A$2:$P$239</definedName>
    <definedName name="_xlnm.Print_Area" localSheetId="4">'Secondary Schedule Audit No'!$B$1:$P$24</definedName>
    <definedName name="Print_Area_3">#REF!</definedName>
    <definedName name="_xlnm.Print_Titles" localSheetId="5">'sched G'!$6:$6</definedName>
    <definedName name="_xlnm.Print_Titles" localSheetId="1">'Schedules A,B,C'!$16:$16</definedName>
    <definedName name="_xlnm.Print_Titles" localSheetId="3">'Secondary Schedule'!$17:$17</definedName>
    <definedName name="prio">[3]Parametres!#REF!</definedName>
    <definedName name="PRIORITE">#REF!</definedName>
    <definedName name="Priorité">[4]Parametres!#REF!</definedName>
    <definedName name="reasGAQS">[6]GAQS!$A$2:$C$736</definedName>
    <definedName name="Reg_List" localSheetId="1">'Schedules A,B,C Audit Notes'!$P$74:$P$77</definedName>
    <definedName name="Reinsured">'[7]Supplementary Insureds'!$A$1</definedName>
    <definedName name="ReinsuredLines">"OFFSET('Supplementary Insureds'!$I$16,1,0,COUNTA('Supplementary Insureds'!$B$16:$B$2000)-1,1),OFFSET('Supplementary Insureds'!$N$16,1,0,COUNTA('Supplementary Insureds'!$B$16:$B$2000)-1,1)"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chedABCiiAsAtDate">#REF!</definedName>
    <definedName name="SchedGDOL">OFFSET('[1]Loss Thresholds &amp; Filters'!$V$4,0,0,COUNTA('[1]Loss Thresholds &amp; Filters'!$V$4:$V$300),1)</definedName>
    <definedName name="SchedGLoss">OFFSET('[1]Loss Thresholds &amp; Filters'!$U$4,0,0,COUNTA('[1]Loss Thresholds &amp; Filters'!$U$4:$U$300),1)</definedName>
    <definedName name="SchedGMajLoss">OFFSET('[1]Loss Thresholds &amp; Filters'!$W$4,0,0,COUNTA('[1]Loss Thresholds &amp; Filters'!$W$4:$W$300),1)</definedName>
    <definedName name="SchedGMajLossID_VLUp">OFFSET('[1]Loss Thresholds &amp; Filters'!$T$4,0,0,COUNTA('[1]Loss Thresholds &amp; Filters'!$T$4:$T$300),4)</definedName>
    <definedName name="SchedGWar">OFFSET('[1]Loss Thresholds &amp; Filters'!$X$4,0,0,COUNTA('[1]Loss Thresholds &amp; Filters'!$Y$4:$Y$300),1)</definedName>
    <definedName name="Schedule_List" localSheetId="1">'Schedules A,B,C Audit Notes'!$G$74:$G$76</definedName>
    <definedName name="Schedule_List" localSheetId="2">'Schedules A,B,C Audit Notes'!$G$68:$G$70</definedName>
    <definedName name="Schedule_List" localSheetId="4">'Secondary Schedule Audit No'!$G$52:$G$54</definedName>
    <definedName name="SEUILAFFAIRE">#REF!</definedName>
    <definedName name="SEUILSINI">#REF!</definedName>
    <definedName name="Status">[8]Parameters!$A$6:$A$11</definedName>
    <definedName name="Status_List" localSheetId="1">'Schedules A,B,C Audit Notes'!$O$74:$O$75</definedName>
    <definedName name="tb_ACT_Name">'[2]01 Ref'!$AS$22:$AS$47</definedName>
    <definedName name="tb_ACT_Ref">'[2]01 Ref'!$AR$22:$AR$47</definedName>
    <definedName name="tb_ACT_Wing">'[2]01 Ref'!$AT$22:$AT$47</definedName>
    <definedName name="tb_Band">'[2]01 Ref'!$BC$22:$BD$46</definedName>
    <definedName name="tb_Band_out">'[2]01 Ref'!$BD$22:$BD$46</definedName>
    <definedName name="tb_Boolean">'[2]01 Ref'!$V$22:$V$23</definedName>
    <definedName name="tb_Cls_Name">'[2]01 Ref'!$AA$22:$AA$27</definedName>
    <definedName name="tb_Cls_Ref">'[2]01 Ref'!$Y$22:$Y$27</definedName>
    <definedName name="tb_Cls_Risk">'[2]01 Ref'!$Z$22:$Z$27</definedName>
    <definedName name="tb_Cls_to_RSRef">'[2]01 Ref'!$AB$22:$AB$27</definedName>
    <definedName name="tb_MLG_Ref">'[2]01 Ref'!$AD$22:$AD$31</definedName>
    <definedName name="tb_MLG_to_RSRef">'[2]01 Ref'!$AF$22:$AF$31</definedName>
    <definedName name="tb_RS_Layer">'[2]01 Ref'!$F$22:$Q$29</definedName>
    <definedName name="tb_RS_Limit">'[2]01 Ref'!$E$31:$E$731</definedName>
    <definedName name="tb_RS_Rates">'[2]01 Ref'!$F$31:$Q$731</definedName>
    <definedName name="tb_State_Name">'[2]01 Ref'!$AW$22:$AW$333</definedName>
    <definedName name="tb_State_Ref">'[2]01 Ref'!$AV$22:$AV$333</definedName>
    <definedName name="tb_State_Region">'[2]01 Ref'!$AX$22:$AX$333</definedName>
    <definedName name="tb_Treaty_S">'[2]01 Ref'!$BF$22:$BF$27</definedName>
    <definedName name="tb_Treaty_Year">'[2]01 Ref'!$BH$22:$BH$27</definedName>
    <definedName name="tb_Use_1Name">'[2]01 Ref'!$AK$22:$AK$44</definedName>
    <definedName name="tb_Use_1Ref">'[2]01 Ref'!$AJ$22:$AJ$44</definedName>
    <definedName name="tb_Use_2Name">'[2]01 Ref'!$AM$22:$AM$44</definedName>
    <definedName name="tb_Use_2Ref">'[2]01 Ref'!$AL$22:$AL$44</definedName>
    <definedName name="tb_Use_3Name">'[2]01 Ref'!$AO$22:$AO$44</definedName>
    <definedName name="tb_Use_3Ref">'[2]01 Ref'!$AN$22:$AN$44</definedName>
    <definedName name="tb_Use_4Ref">'[2]01 Ref'!$AP$22:$AP$44</definedName>
    <definedName name="TITRE">#REF!</definedName>
    <definedName name="tTitle1">'[2]00 Banners'!$J$5</definedName>
    <definedName name="tTitle2">'[2]00 Banners'!$J$7</definedName>
    <definedName name="UNITE">#REF!</definedName>
    <definedName name="unité">[4]Parametres!$B$13</definedName>
    <definedName name="usage">[9]Lookups!$A$8:$B$46</definedName>
    <definedName name="VList_Currency_ii">OFFSET(#REF!,1,0,COUNTA(#REF!)-1,1)</definedName>
    <definedName name="VList_Insured_ii">OFFSET(#REF!,1,0,COUNTA(#REF!)-1,1)</definedName>
    <definedName name="VList_Schedule_ii">OFFSET(#REF!,1,0,COUNTA(#REF!)-1,1)</definedName>
    <definedName name="VList_Status_ii">OFFSET(#REF!,1,0,COUNTA(#REF!)-1,1)</definedName>
    <definedName name="VRange_Insured_ii">OFFSET(#REF!,1,0,COUNTA(#REF!)-1,2)</definedName>
    <definedName name="VV" hidden="1">{"Half yearly print out view",#N/A,FALSE,"Database"}</definedName>
    <definedName name="War">'[1]AXA_XL Summary'!$I$9</definedName>
    <definedName name="wrn.Half._.Yearly._.Print._.Out." hidden="1">{"Half yearly print out view",#N/A,FALSE,"Database"}</definedName>
    <definedName name="wrn.Print._.Out._.as._.at._.1.1.2000." hidden="1">{"Print Out as at 1.1.2000",#N/A,FALSE,"Database"}</definedName>
    <definedName name="XLCClass_Include">'[1]XLC Loss Thresholds &amp; Filters'!$C$4:$D$27</definedName>
    <definedName name="XLCCoverage_VLUp">'[1]XLC Loss Thresholds &amp; Filters'!$I$4:$K$24</definedName>
    <definedName name="XLCMajorNonMajor_VLUp">'[1]XLC Loss Thresholds &amp; Filters'!$C$4:$E$27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4" i="86" l="1"/>
  <c r="Q347" i="86"/>
  <c r="R340" i="86"/>
  <c r="R341" i="86"/>
  <c r="R342" i="86"/>
  <c r="R343" i="86"/>
  <c r="R344" i="86"/>
  <c r="R345" i="86"/>
  <c r="R346" i="86"/>
  <c r="R347" i="86"/>
  <c r="R339" i="86"/>
</calcChain>
</file>

<file path=xl/sharedStrings.xml><?xml version="1.0" encoding="utf-8"?>
<sst xmlns="http://schemas.openxmlformats.org/spreadsheetml/2006/main" count="3040" uniqueCount="343">
  <si>
    <t>Air France</t>
  </si>
  <si>
    <t>GBP</t>
  </si>
  <si>
    <t>Garuda Indonesia</t>
  </si>
  <si>
    <t>Singapore Airlines</t>
  </si>
  <si>
    <t>CAD</t>
  </si>
  <si>
    <t>American Airlines</t>
  </si>
  <si>
    <t>EUR</t>
  </si>
  <si>
    <t>2. Breakdown of Income</t>
  </si>
  <si>
    <t>* delete as appropriate</t>
  </si>
  <si>
    <t>% / $ *</t>
  </si>
  <si>
    <t>Hull</t>
  </si>
  <si>
    <t>A)</t>
  </si>
  <si>
    <t>Airline and/or Airline Type Equipment All Risk</t>
  </si>
  <si>
    <t>B)</t>
  </si>
  <si>
    <t>War</t>
  </si>
  <si>
    <t>C)</t>
  </si>
  <si>
    <t>Non-Airline (less than 61 seats)</t>
  </si>
  <si>
    <t>D)</t>
  </si>
  <si>
    <t>Non-Airline (61 seats or more)</t>
  </si>
  <si>
    <t>E)</t>
  </si>
  <si>
    <t>Rotor Wing</t>
  </si>
  <si>
    <t>Aircraft Liability</t>
  </si>
  <si>
    <t xml:space="preserve">Airline and/or Airline Type Equipment </t>
  </si>
  <si>
    <t>Products Liability</t>
  </si>
  <si>
    <t>Airframe and/or Power Plant Manufacturers</t>
  </si>
  <si>
    <t>Non-Airframe and/or Non Power Plant Manufacturers</t>
  </si>
  <si>
    <t>Airport Liability (inc. Airport/Airline Security)</t>
  </si>
  <si>
    <t xml:space="preserve">Other-Aviation Liability </t>
  </si>
  <si>
    <t>Risk Excess</t>
  </si>
  <si>
    <t>Lineslips</t>
  </si>
  <si>
    <t>Excess of Loss</t>
  </si>
  <si>
    <t>Proportional Treaties</t>
  </si>
  <si>
    <t>Satellite Liability</t>
  </si>
  <si>
    <t>Personal Accident</t>
  </si>
  <si>
    <t xml:space="preserve"> </t>
  </si>
  <si>
    <t>SCHEDULE G</t>
  </si>
  <si>
    <t>Major Loss Details</t>
  </si>
  <si>
    <t>Please advise your NET LOSS based on the reserves recommended by the authorised party named in the Claims Handling Agreement.</t>
  </si>
  <si>
    <t>Year</t>
  </si>
  <si>
    <t>Loss</t>
  </si>
  <si>
    <t>Date</t>
  </si>
  <si>
    <t>Hull Unl</t>
  </si>
  <si>
    <t>Liab Unl</t>
  </si>
  <si>
    <t xml:space="preserve">Prop Tty </t>
  </si>
  <si>
    <t>XL</t>
  </si>
  <si>
    <t>TOTAL</t>
  </si>
  <si>
    <r>
      <t xml:space="preserve">TOTAL           </t>
    </r>
    <r>
      <rPr>
        <b/>
        <sz val="10"/>
        <rFont val="Arial"/>
        <family val="2"/>
      </rPr>
      <t>As per Expiring Questionnaire</t>
    </r>
  </si>
  <si>
    <t>Name</t>
  </si>
  <si>
    <t>AsAt</t>
  </si>
  <si>
    <t>Schedule</t>
  </si>
  <si>
    <t>Insured</t>
  </si>
  <si>
    <t>Inception</t>
  </si>
  <si>
    <t>Expiry</t>
  </si>
  <si>
    <t>Attachment</t>
  </si>
  <si>
    <t>Ccy</t>
  </si>
  <si>
    <t>Hull Limit</t>
  </si>
  <si>
    <t>Hull Excess</t>
  </si>
  <si>
    <t>Client % Line</t>
  </si>
  <si>
    <t>Signed (S) or Estimated (E)</t>
  </si>
  <si>
    <t>Liability Limit</t>
  </si>
  <si>
    <t>Liability Excess</t>
  </si>
  <si>
    <t>US Reg Line Obligation (Lloyd's only)</t>
  </si>
  <si>
    <t>Sched</t>
  </si>
  <si>
    <t>A</t>
  </si>
  <si>
    <t>Aeroflot</t>
  </si>
  <si>
    <t>USD</t>
  </si>
  <si>
    <t>Aeromexico</t>
  </si>
  <si>
    <t>Air Algerie</t>
  </si>
  <si>
    <t>Air Canada</t>
  </si>
  <si>
    <t>Air New Zealand</t>
  </si>
  <si>
    <t>Air Transat</t>
  </si>
  <si>
    <t>All Nippon Airways</t>
  </si>
  <si>
    <t>JPY</t>
  </si>
  <si>
    <t>Asiana Airlines</t>
  </si>
  <si>
    <t>CAAC</t>
  </si>
  <si>
    <t>Caribbean Airlines</t>
  </si>
  <si>
    <t>China Airlines (Taiwan)</t>
  </si>
  <si>
    <t>China Hainan Airlines</t>
  </si>
  <si>
    <t>Deutsche Lufthansa</t>
  </si>
  <si>
    <t>easyJet</t>
  </si>
  <si>
    <t>Egypt Air</t>
  </si>
  <si>
    <t>El Al Israel Airlines</t>
  </si>
  <si>
    <t>Eva Airways Corp</t>
  </si>
  <si>
    <t>Gol Transportes Aereo</t>
  </si>
  <si>
    <t>Japan Airlines Corp</t>
  </si>
  <si>
    <t>Korean Air Lines</t>
  </si>
  <si>
    <t>Malaysian Airlines System</t>
  </si>
  <si>
    <t>Pakistan International Airlines Corp</t>
  </si>
  <si>
    <t>Philippine Airlines</t>
  </si>
  <si>
    <t>Qantas Airways</t>
  </si>
  <si>
    <t>Royal Air Maroc</t>
  </si>
  <si>
    <t>Royal Jordanian</t>
  </si>
  <si>
    <t>Ryanair</t>
  </si>
  <si>
    <t>South African Airways</t>
  </si>
  <si>
    <t>Thai Airways International</t>
  </si>
  <si>
    <t>Thomas Cook</t>
  </si>
  <si>
    <t>TUI AG</t>
  </si>
  <si>
    <t>Virgin Atlantic Airways</t>
  </si>
  <si>
    <t>Westjet Airlines</t>
  </si>
  <si>
    <t>B</t>
  </si>
  <si>
    <t>Alaska Air Group</t>
  </si>
  <si>
    <t>DHL International</t>
  </si>
  <si>
    <t>Hawaiian Airlines</t>
  </si>
  <si>
    <t>Jetblue Airways Corp</t>
  </si>
  <si>
    <t>Mesa Air Group</t>
  </si>
  <si>
    <t>Republic Airways</t>
  </si>
  <si>
    <t>SkyWest Airlines</t>
  </si>
  <si>
    <t>Southwest Airlines Company</t>
  </si>
  <si>
    <t>Spirit Airlines</t>
  </si>
  <si>
    <t>United Parcel Service</t>
  </si>
  <si>
    <t>C</t>
  </si>
  <si>
    <t>BAE Systems</t>
  </si>
  <si>
    <t>Boeing/MDC</t>
  </si>
  <si>
    <t>Bombardier/Canadair/Learjet</t>
  </si>
  <si>
    <t>Dassault Aviation</t>
  </si>
  <si>
    <t>Embraer</t>
  </si>
  <si>
    <t>General Dynamics/Gulfstream</t>
  </si>
  <si>
    <t>General Electric/Gecas</t>
  </si>
  <si>
    <t>Honeywell</t>
  </si>
  <si>
    <t>Israel Aircraft Industrie</t>
  </si>
  <si>
    <t>Lockheed Martin Corp</t>
  </si>
  <si>
    <t>Northrop Grumman Corp</t>
  </si>
  <si>
    <t>PANNJ</t>
  </si>
  <si>
    <t>Parker Hannifin Corp</t>
  </si>
  <si>
    <t>Raytheon Company</t>
  </si>
  <si>
    <t>Rolls Royce</t>
  </si>
  <si>
    <t>Safran</t>
  </si>
  <si>
    <t>Textron</t>
  </si>
  <si>
    <t>United Technologies</t>
  </si>
  <si>
    <t>Audit Notes</t>
  </si>
  <si>
    <t>Schedules A, B and C</t>
  </si>
  <si>
    <t>Lines not yet signed may vary slightly from those stated.</t>
  </si>
  <si>
    <t>DATA VALIDATION TABLES</t>
  </si>
  <si>
    <t>INSURED</t>
  </si>
  <si>
    <t>CURRENCY</t>
  </si>
  <si>
    <t>SCHEDULE</t>
  </si>
  <si>
    <t>LINE</t>
  </si>
  <si>
    <t>LLOYD'S</t>
  </si>
  <si>
    <t>STAT</t>
  </si>
  <si>
    <t>REG</t>
  </si>
  <si>
    <t>S</t>
  </si>
  <si>
    <t>E</t>
  </si>
  <si>
    <t>Reg (SL)</t>
  </si>
  <si>
    <t>Non-Reg</t>
  </si>
  <si>
    <t>Reins</t>
  </si>
  <si>
    <t>INR</t>
  </si>
  <si>
    <t>Aerolineas Argentinas</t>
  </si>
  <si>
    <t>Tunis Air</t>
  </si>
  <si>
    <t>Vietnam Airlines</t>
  </si>
  <si>
    <t>Where spares for an insured are written on the same placement as the hulls and are for a greater maximum limit than the maximum hull,</t>
  </si>
  <si>
    <t>the Reinsured shall base their line on the maximum hull, any maximum line structure for spares being disregarded in these circumstances.</t>
  </si>
  <si>
    <t>Gulf Air</t>
  </si>
  <si>
    <t>Aegean Airlines</t>
  </si>
  <si>
    <t>Emirates</t>
  </si>
  <si>
    <t>Etihad Airways</t>
  </si>
  <si>
    <t>Kuwait Airways</t>
  </si>
  <si>
    <t>Oman Air</t>
  </si>
  <si>
    <t>Qatar Airways</t>
  </si>
  <si>
    <t>Saudi Arabian Airlines</t>
  </si>
  <si>
    <t>United Continental Holdings</t>
  </si>
  <si>
    <t>Ethiopian Airlines</t>
  </si>
  <si>
    <t>5.</t>
  </si>
  <si>
    <t>6.</t>
  </si>
  <si>
    <t>Schedule A</t>
  </si>
  <si>
    <t>Avianca Taca Holdings</t>
  </si>
  <si>
    <t>FIN Group</t>
  </si>
  <si>
    <t>Delta Air Lines</t>
  </si>
  <si>
    <t>International Airlines Group</t>
  </si>
  <si>
    <t>Virgin Australia</t>
  </si>
  <si>
    <t>Schedule C</t>
  </si>
  <si>
    <t>Reno Air Races</t>
  </si>
  <si>
    <t>PT Lion Mentari</t>
  </si>
  <si>
    <t>Azul Linhas Aereas</t>
  </si>
  <si>
    <t>Fedex Corp</t>
  </si>
  <si>
    <t>Trans States Holdings</t>
  </si>
  <si>
    <t>L3 Communications</t>
  </si>
  <si>
    <t>Thales</t>
  </si>
  <si>
    <t>Insureds with Audit Notes will be highlighted italic bold.</t>
  </si>
  <si>
    <t>Please advise NETT SIGNED LINES participation on ALL acceptances.</t>
  </si>
  <si>
    <t xml:space="preserve">Indicate any Aggregate Deductibles as an Audit Note rather than as a Hull or Liability Excess. </t>
  </si>
  <si>
    <t>2.</t>
  </si>
  <si>
    <t>1.</t>
  </si>
  <si>
    <t>3.</t>
  </si>
  <si>
    <t>4.</t>
  </si>
  <si>
    <t>Please enter Hull values excluding TLO.</t>
  </si>
  <si>
    <t>Air Asia</t>
  </si>
  <si>
    <t>Airbus Group N.V.</t>
  </si>
  <si>
    <t>Air India Limited</t>
  </si>
  <si>
    <t>TAP</t>
  </si>
  <si>
    <t>SAS</t>
  </si>
  <si>
    <t>Linhas Aereas Mocambique</t>
  </si>
  <si>
    <t>Indonesia AirAsia</t>
  </si>
  <si>
    <t>Leonardo</t>
  </si>
  <si>
    <t>THY (Lufthansa)</t>
  </si>
  <si>
    <t>Germanwings (Lufthansa)</t>
  </si>
  <si>
    <t>Metrojet</t>
  </si>
  <si>
    <t>Schedule B</t>
  </si>
  <si>
    <t>Please provide up to date renewal information where necessary. Primary / Excess policy information to be provided, including associated AVN52 and Grounding sub-limits.</t>
  </si>
  <si>
    <t>SECONDARY SCHEDULE</t>
  </si>
  <si>
    <t>Changi Airport Group</t>
  </si>
  <si>
    <t>Chicago Airport</t>
  </si>
  <si>
    <t>China Airports</t>
  </si>
  <si>
    <t>Dubai Airport</t>
  </si>
  <si>
    <t>Dutch Schiphol Airport</t>
  </si>
  <si>
    <t>Gatwick Airport</t>
  </si>
  <si>
    <t>German Airports</t>
  </si>
  <si>
    <t>Heathrow Airport Holdings</t>
  </si>
  <si>
    <t>Hong Kong Airport Authority</t>
  </si>
  <si>
    <t>Paris Airports</t>
  </si>
  <si>
    <t>Spanish Airports (AENA)</t>
  </si>
  <si>
    <t>Turkish Airports (DHMI)</t>
  </si>
  <si>
    <t>Airservices Australia</t>
  </si>
  <si>
    <t>Dutch ATC</t>
  </si>
  <si>
    <t>Eurocontrol (EU)</t>
  </si>
  <si>
    <t>NATS (UK)</t>
  </si>
  <si>
    <t>Nav Canada</t>
  </si>
  <si>
    <t>Naviair (Scandinavia)</t>
  </si>
  <si>
    <t>Russian ATC</t>
  </si>
  <si>
    <t>Air Arabia</t>
  </si>
  <si>
    <t>Air Madagascar</t>
  </si>
  <si>
    <t>Air Malta p.l.c</t>
  </si>
  <si>
    <t>Air Mauritius</t>
  </si>
  <si>
    <t>Air Tahiti Nui</t>
  </si>
  <si>
    <t>Airblue Limited</t>
  </si>
  <si>
    <t>Allegiant Air WestJet Express</t>
  </si>
  <si>
    <t>Anadolu Jet</t>
  </si>
  <si>
    <t>Aserca Airlines</t>
  </si>
  <si>
    <t>Bangkok Airways</t>
  </si>
  <si>
    <t>Bangladesh Airlines Corporation</t>
  </si>
  <si>
    <t>Cebu Air Inc.</t>
  </si>
  <si>
    <t>Champlain Enterprises, Inc</t>
  </si>
  <si>
    <t>Conviasa Venezuela</t>
  </si>
  <si>
    <t>COPA AL</t>
  </si>
  <si>
    <t>Endeavor Air</t>
  </si>
  <si>
    <t>Far Eastern Air Transport</t>
  </si>
  <si>
    <t>Fiji Airways</t>
  </si>
  <si>
    <t>Frontier Airlines</t>
  </si>
  <si>
    <t>Fuji Dream Airlines</t>
  </si>
  <si>
    <t>Germania</t>
  </si>
  <si>
    <t>Hawaii Island Air Inc.</t>
  </si>
  <si>
    <t>Indigo</t>
  </si>
  <si>
    <t>Interjet ABC lineas aereas</t>
  </si>
  <si>
    <t>Jeju Air Company Limited</t>
  </si>
  <si>
    <t>Linhas Aereas de Angola</t>
  </si>
  <si>
    <t>Meridiana Fly S.p.A.</t>
  </si>
  <si>
    <t>National Air Services</t>
  </si>
  <si>
    <t>Nordwind Airlines</t>
  </si>
  <si>
    <t>Omni Air International</t>
  </si>
  <si>
    <t>Onur Air</t>
  </si>
  <si>
    <t>Pegasus Airlines</t>
  </si>
  <si>
    <t>Porter Aviation Holdings</t>
  </si>
  <si>
    <t>Royal Brunei Airlines</t>
  </si>
  <si>
    <t>Silver Airways Corp</t>
  </si>
  <si>
    <t>Sky Airline</t>
  </si>
  <si>
    <t>Skymark Airlines</t>
  </si>
  <si>
    <t>Soloseed Air</t>
  </si>
  <si>
    <t>SriLankan Airlines</t>
  </si>
  <si>
    <t>Sun Country Airlines</t>
  </si>
  <si>
    <t>Tiger Airways</t>
  </si>
  <si>
    <t>TransAsia Airways</t>
  </si>
  <si>
    <t>Turkmenistan Airlines</t>
  </si>
  <si>
    <t>Viva Aerobus</t>
  </si>
  <si>
    <t>Volaris</t>
  </si>
  <si>
    <t>Volotea</t>
  </si>
  <si>
    <t>WIZZ AIR Limited</t>
  </si>
  <si>
    <t>Wow Air</t>
  </si>
  <si>
    <t>Yemen Airways Corporation</t>
  </si>
  <si>
    <t>Apt</t>
  </si>
  <si>
    <t>ATC</t>
  </si>
  <si>
    <t>SA</t>
  </si>
  <si>
    <t>Flydubai</t>
  </si>
  <si>
    <t>Please provide up to date renewal information where necessary. Primary / Excess policy information to be provided, including associated AVN52 sub-limits.</t>
  </si>
  <si>
    <t>Schedule Apt  - Airports  Schedule ATC - Air Traffic Control;  Schedule SE - Secondary Airline.</t>
  </si>
  <si>
    <t>X</t>
  </si>
  <si>
    <t>Cathay Dragon</t>
  </si>
  <si>
    <t>Air India Express</t>
  </si>
  <si>
    <t>United Parcel Service (UPS)</t>
  </si>
  <si>
    <t>Thai Floods</t>
  </si>
  <si>
    <t>Sukhoi</t>
  </si>
  <si>
    <t>Dana Air</t>
  </si>
  <si>
    <t>Boeing</t>
  </si>
  <si>
    <t>Lion Air</t>
  </si>
  <si>
    <t>National Air Cargo</t>
  </si>
  <si>
    <t>Ethiopian A/L's</t>
  </si>
  <si>
    <t>Malaysian Airlines</t>
  </si>
  <si>
    <t>Tripoli Airport</t>
  </si>
  <si>
    <t>Swiftair/Air Algerie</t>
  </si>
  <si>
    <t>Airbus Defence and Space</t>
  </si>
  <si>
    <t>Chennai Airport Floods</t>
  </si>
  <si>
    <t>CHC / Airbus</t>
  </si>
  <si>
    <t>Southwest Airlines</t>
  </si>
  <si>
    <t>Air Niugini</t>
  </si>
  <si>
    <t>Amazon Air</t>
  </si>
  <si>
    <t>Miami Air International</t>
  </si>
  <si>
    <t>2021 est.</t>
  </si>
  <si>
    <t>All other losses which exceed 75% of proposed deductible to 2021 programme</t>
  </si>
  <si>
    <t>Ukraine International Airlines</t>
  </si>
  <si>
    <t>Pakistan International Airlines</t>
  </si>
  <si>
    <t>Ural Airlines</t>
  </si>
  <si>
    <t>AXA XL</t>
  </si>
  <si>
    <t>Israel Aircraft Industries</t>
  </si>
  <si>
    <t>Air Malta</t>
  </si>
  <si>
    <t>Arkia Israeli Airlines</t>
  </si>
  <si>
    <t>Ceased operations in 2019</t>
  </si>
  <si>
    <t>18mth policy with the option to C&amp;R after 12mths</t>
  </si>
  <si>
    <t>2019 policy runs to 21 May 2021 but with re-signing at 1 Dec 2020 with loss caveats</t>
  </si>
  <si>
    <t>Added back to Schedule; please note that this is the Chilean Sky Airlines</t>
  </si>
  <si>
    <t>1% airline one</t>
  </si>
  <si>
    <t>Sky Airlines</t>
  </si>
  <si>
    <t>SCHEDULES A, B &amp; C</t>
  </si>
  <si>
    <t>Not Renewed</t>
  </si>
  <si>
    <t>easyjet</t>
  </si>
  <si>
    <t>2019 line split 6% from ground up and 2.4491% xs of 25m agg</t>
  </si>
  <si>
    <t>2020 line split 6% from ground up and 8.1% xs of 25m agg</t>
  </si>
  <si>
    <t>2019 line split 15.45% from ground up and 2% xs of 50m agg</t>
  </si>
  <si>
    <t>2020 line split 15% from ground up and 2% xs of 50m agg</t>
  </si>
  <si>
    <t>2019 policy extension period of 26th June 2020 to 31st December 2020 treated as an annual re-signing</t>
  </si>
  <si>
    <t xml:space="preserve">Deutsche Lufthansa </t>
  </si>
  <si>
    <t>2019 policy extension period of 16th Dec 2020 to 30th June 2021 treated as an annual re-signing</t>
  </si>
  <si>
    <t>2019 line split 10% from ground up, 10% xs 2.5m agg, 8% xs 35m agg and 2% xs 45m agg</t>
  </si>
  <si>
    <t>2020 line split 8.5% xs 2.5m agg, 8% xs 35m agg</t>
  </si>
  <si>
    <t>Cathay Pacific</t>
  </si>
  <si>
    <t>October 2020 Cathay Pacific announced that Cathay Dragon would cease operations with immediate effect, continuing as Cathay Pacific</t>
  </si>
  <si>
    <t>Added to United Technologies 1st November 2020</t>
  </si>
  <si>
    <t>Includes Raytheon Company from 1st November 2020, line on both 2020 excess policies reduced to 12.5%</t>
  </si>
  <si>
    <t>Not renewed</t>
  </si>
  <si>
    <t>1st January 2022</t>
  </si>
  <si>
    <t> </t>
  </si>
  <si>
    <t>non renewed</t>
  </si>
  <si>
    <t>SB</t>
  </si>
  <si>
    <t>SC</t>
  </si>
  <si>
    <t>Raytheon Technologies</t>
  </si>
  <si>
    <t>Insured name change from United Technologies from 1st November 2020</t>
  </si>
  <si>
    <t>Extended to 1st September 2021</t>
  </si>
  <si>
    <t>2021 hull limit excluding additional TLO of 27.5m</t>
  </si>
  <si>
    <t>2021 hull limit excluding additional TLO of 35m</t>
  </si>
  <si>
    <t>Extended to 21st August 2021</t>
  </si>
  <si>
    <t>2021 hull limit excluding additional TLO of 15m</t>
  </si>
  <si>
    <t>Extended to 30th September 2021</t>
  </si>
  <si>
    <t>Extended to 1st April 2021</t>
  </si>
  <si>
    <t>Extended to 1st October 2021</t>
  </si>
  <si>
    <t>Extended to 16th December 2021</t>
  </si>
  <si>
    <t>Extended to 15th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</si>
</sst>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%"/>
    <numFmt numFmtId="165" formatCode="&quot;$&quot;\ #,##0_);\(#,##0\)"/>
    <numFmt numFmtId="166" formatCode="_-* #,##0_-;\-* #,##0_-;_-* &quot;-&quot;??_-;_-@_-"/>
    <numFmt numFmtId="167" formatCode="0.0000"/>
    <numFmt numFmtId="168" formatCode="_-* #,##0.00\ _D_M_-;\-* #,##0.00\ _D_M_-;_-* &quot;-&quot;??\ _D_M_-;_-@_-"/>
    <numFmt numFmtId="169" formatCode="&quot;Sample Current Lines As At: &quot;@"/>
    <numFmt numFmtId="170" formatCode="&quot;Current Lines Advised On: &quot;@"/>
    <numFmt numFmtId="171" formatCode="&quot;Please advise NETT SIGNED LINE participation on&quot;\ @\ &quot;acceptances (for Reinsureds who are Lloyd's Syndicates please advise&quot;"/>
  </numFmts>
  <fonts count="57">
    <font>
      <sz val="16"/>
      <color indexed="8"/>
      <name val="Arial MT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6"/>
      <color indexed="8"/>
      <name val="Arial MT"/>
    </font>
    <font>
      <b/>
      <sz val="14"/>
      <color indexed="8"/>
      <name val="Arial MT"/>
    </font>
    <font>
      <b/>
      <sz val="16"/>
      <name val="Arial MT"/>
    </font>
    <font>
      <b/>
      <u/>
      <sz val="16"/>
      <color indexed="8"/>
      <name val="Arial MT"/>
    </font>
    <font>
      <sz val="16"/>
      <color indexed="12"/>
      <name val="Arial MT"/>
    </font>
    <font>
      <sz val="14"/>
      <color indexed="10"/>
      <name val="Arial"/>
      <family val="2"/>
    </font>
    <font>
      <sz val="14"/>
      <color indexed="8"/>
      <name val="Arial MT"/>
    </font>
    <font>
      <sz val="14"/>
      <color indexed="12"/>
      <name val="Arial MT"/>
    </font>
    <font>
      <b/>
      <sz val="8"/>
      <color indexed="8"/>
      <name val="Times New Roman"/>
      <family val="1"/>
    </font>
    <font>
      <b/>
      <sz val="14"/>
      <name val="Arial MT"/>
    </font>
    <font>
      <sz val="16"/>
      <color indexed="8"/>
      <name val="Arial MT"/>
    </font>
    <font>
      <sz val="12"/>
      <name val="Times New Roman"/>
      <family val="1"/>
    </font>
    <font>
      <sz val="24"/>
      <name val="Arial"/>
      <family val="2"/>
    </font>
    <font>
      <sz val="14"/>
      <name val="Times New Roman"/>
      <family val="1"/>
    </font>
    <font>
      <b/>
      <u/>
      <sz val="12"/>
      <name val="Times New Roman"/>
      <family val="1"/>
    </font>
    <font>
      <sz val="13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color indexed="39"/>
      <name val="Arial"/>
      <family val="2"/>
    </font>
    <font>
      <b/>
      <sz val="11.5"/>
      <color indexed="39"/>
      <name val="Arial"/>
      <family val="2"/>
    </font>
    <font>
      <sz val="11"/>
      <name val="MS Sans Serif"/>
      <family val="2"/>
    </font>
    <font>
      <b/>
      <sz val="14"/>
      <color indexed="12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 MT"/>
    </font>
    <font>
      <b/>
      <sz val="14"/>
      <color theme="0"/>
      <name val="Arial MT"/>
    </font>
    <font>
      <b/>
      <sz val="10"/>
      <color theme="0"/>
      <name val="Arial"/>
      <family val="2"/>
    </font>
    <font>
      <b/>
      <sz val="11.5"/>
      <color rgb="FF002060"/>
      <name val="Arial"/>
      <family val="2"/>
    </font>
    <font>
      <sz val="16"/>
      <color rgb="FF002060"/>
      <name val="Arial MT"/>
    </font>
    <font>
      <b/>
      <sz val="16"/>
      <color rgb="FF002060"/>
      <name val="Arial MT"/>
    </font>
    <font>
      <b/>
      <sz val="12"/>
      <color rgb="FF002060"/>
      <name val="Arial"/>
      <family val="2"/>
    </font>
    <font>
      <sz val="10"/>
      <color rgb="FF002060"/>
      <name val="MS Sans Serif"/>
      <family val="2"/>
    </font>
    <font>
      <b/>
      <u/>
      <sz val="16"/>
      <color rgb="FF002060"/>
      <name val="Arial"/>
      <family val="2"/>
    </font>
    <font>
      <sz val="11"/>
      <color theme="1"/>
      <name val="SwissReSans"/>
      <family val="2"/>
    </font>
    <font>
      <b/>
      <sz val="14"/>
      <color rgb="FF002060"/>
      <name val="Arial"/>
      <family val="2"/>
    </font>
    <font>
      <sz val="10"/>
      <color rgb="FF002060"/>
      <name val="Arial"/>
      <family val="2"/>
    </font>
    <font>
      <sz val="8"/>
      <color rgb="FF002060"/>
      <name val="Arial"/>
      <family val="2"/>
    </font>
    <font>
      <sz val="10"/>
      <color rgb="FF000000"/>
      <name val="Verdana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sz val="8"/>
      <name val="Georgia"/>
      <family val="1"/>
    </font>
    <font>
      <sz val="11.5"/>
      <color indexed="39"/>
      <name val="Arial"/>
      <family val="2"/>
    </font>
    <font>
      <sz val="9"/>
      <color theme="1"/>
      <name val="Arial"/>
      <family val="2"/>
    </font>
    <font>
      <b/>
      <i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7">
    <xf numFmtId="1" fontId="0" fillId="0" borderId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>
      <alignment vertical="center"/>
    </xf>
    <xf numFmtId="0" fontId="7" fillId="0" borderId="0"/>
    <xf numFmtId="0" fontId="7" fillId="0" borderId="0"/>
    <xf numFmtId="0" fontId="8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44" fillId="0" borderId="0"/>
    <xf numFmtId="9" fontId="44" fillId="0" borderId="0" applyFont="0" applyFill="0" applyBorder="0" applyAlignment="0" applyProtection="0"/>
    <xf numFmtId="0" fontId="7" fillId="0" borderId="0"/>
    <xf numFmtId="43" fontId="44" fillId="0" borderId="0" applyFont="0" applyFill="0" applyBorder="0" applyAlignment="0" applyProtection="0"/>
    <xf numFmtId="1" fontId="22" fillId="0" borderId="0"/>
    <xf numFmtId="1" fontId="22" fillId="0" borderId="0"/>
    <xf numFmtId="43" fontId="7" fillId="0" borderId="0" applyFont="0" applyFill="0" applyBorder="0" applyAlignment="0" applyProtection="0"/>
    <xf numFmtId="0" fontId="6" fillId="0" borderId="0"/>
    <xf numFmtId="0" fontId="49" fillId="0" borderId="0"/>
    <xf numFmtId="0" fontId="50" fillId="0" borderId="0"/>
    <xf numFmtId="9" fontId="28" fillId="0" borderId="0" applyFont="0" applyFill="0" applyBorder="0" applyAlignment="0" applyProtection="0"/>
    <xf numFmtId="0" fontId="50" fillId="0" borderId="0"/>
    <xf numFmtId="0" fontId="5" fillId="0" borderId="0"/>
    <xf numFmtId="0" fontId="7" fillId="0" borderId="0"/>
    <xf numFmtId="43" fontId="50" fillId="0" borderId="0" applyFont="0" applyFill="0" applyBorder="0" applyAlignment="0" applyProtection="0"/>
    <xf numFmtId="0" fontId="49" fillId="0" borderId="0"/>
    <xf numFmtId="0" fontId="4" fillId="0" borderId="0"/>
    <xf numFmtId="0" fontId="5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52" fillId="0" borderId="0"/>
    <xf numFmtId="9" fontId="53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7" fillId="0" borderId="0" applyFont="0" applyFill="0" applyBorder="0" applyAlignment="0" applyProtection="0"/>
    <xf numFmtId="1" fontId="22" fillId="0" borderId="0"/>
    <xf numFmtId="0" fontId="3" fillId="0" borderId="0"/>
    <xf numFmtId="0" fontId="3" fillId="0" borderId="0"/>
    <xf numFmtId="43" fontId="4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5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239">
    <xf numFmtId="1" fontId="0" fillId="0" borderId="0" xfId="0" applyNumberFormat="1" applyFill="1"/>
    <xf numFmtId="1" fontId="0" fillId="0" borderId="0" xfId="0"/>
    <xf numFmtId="1" fontId="11" fillId="0" borderId="0" xfId="0" applyFont="1"/>
    <xf numFmtId="0" fontId="13" fillId="0" borderId="0" xfId="0" applyNumberFormat="1" applyFont="1" applyFill="1" applyAlignment="1">
      <alignment horizontal="left" vertical="center"/>
    </xf>
    <xf numFmtId="0" fontId="13" fillId="0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horizontal="left" vertical="center"/>
    </xf>
    <xf numFmtId="0" fontId="12" fillId="0" borderId="0" xfId="0" applyNumberFormat="1" applyFont="1" applyFill="1" applyAlignment="1"/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Alignment="1">
      <alignment vertical="center"/>
    </xf>
    <xf numFmtId="1" fontId="0" fillId="0" borderId="0" xfId="0" applyNumberFormat="1" applyFont="1" applyFill="1"/>
    <xf numFmtId="0" fontId="13" fillId="0" borderId="6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Alignment="1">
      <alignment vertical="center"/>
    </xf>
    <xf numFmtId="0" fontId="16" fillId="0" borderId="0" xfId="0" applyNumberFormat="1" applyFont="1" applyFill="1" applyAlignment="1">
      <alignment horizontal="right"/>
    </xf>
    <xf numFmtId="0" fontId="16" fillId="0" borderId="0" xfId="0" applyNumberFormat="1" applyFont="1" applyFill="1"/>
    <xf numFmtId="0" fontId="16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/>
    <xf numFmtId="0" fontId="19" fillId="0" borderId="0" xfId="0" applyNumberFormat="1" applyFont="1" applyFill="1" applyAlignment="1">
      <alignment vertical="center"/>
    </xf>
    <xf numFmtId="0" fontId="18" fillId="0" borderId="0" xfId="0" applyNumberFormat="1" applyFont="1" applyFill="1"/>
    <xf numFmtId="0" fontId="20" fillId="0" borderId="0" xfId="0" applyNumberFormat="1" applyFont="1" applyFill="1" applyAlignment="1">
      <alignment horizontal="left" vertical="center"/>
    </xf>
    <xf numFmtId="1" fontId="0" fillId="0" borderId="0" xfId="0" applyFill="1"/>
    <xf numFmtId="0" fontId="23" fillId="0" borderId="0" xfId="7" applyAlignment="1">
      <alignment horizontal="center" vertical="center"/>
    </xf>
    <xf numFmtId="0" fontId="23" fillId="0" borderId="0" xfId="7"/>
    <xf numFmtId="0" fontId="23" fillId="0" borderId="0" xfId="7" applyFill="1"/>
    <xf numFmtId="0" fontId="25" fillId="0" borderId="0" xfId="7" applyFont="1"/>
    <xf numFmtId="0" fontId="23" fillId="0" borderId="0" xfId="7" applyAlignment="1"/>
    <xf numFmtId="0" fontId="23" fillId="0" borderId="0" xfId="7" applyFill="1" applyAlignment="1"/>
    <xf numFmtId="0" fontId="26" fillId="0" borderId="0" xfId="7" applyFont="1" applyBorder="1" applyAlignment="1">
      <alignment horizontal="center" vertical="center"/>
    </xf>
    <xf numFmtId="0" fontId="23" fillId="0" borderId="0" xfId="7" applyFont="1"/>
    <xf numFmtId="166" fontId="11" fillId="0" borderId="1" xfId="1" applyNumberFormat="1" applyFont="1" applyBorder="1"/>
    <xf numFmtId="0" fontId="11" fillId="0" borderId="0" xfId="7" applyFont="1" applyBorder="1"/>
    <xf numFmtId="0" fontId="27" fillId="0" borderId="0" xfId="7" applyFont="1" applyBorder="1" applyAlignment="1">
      <alignment horizontal="center" vertical="center"/>
    </xf>
    <xf numFmtId="0" fontId="11" fillId="0" borderId="0" xfId="7" applyFont="1"/>
    <xf numFmtId="0" fontId="11" fillId="0" borderId="0" xfId="7" applyFont="1" applyFill="1" applyBorder="1" applyAlignment="1">
      <alignment horizontal="center" vertical="center"/>
    </xf>
    <xf numFmtId="166" fontId="11" fillId="0" borderId="0" xfId="1" applyNumberFormat="1" applyFont="1" applyBorder="1"/>
    <xf numFmtId="165" fontId="17" fillId="0" borderId="0" xfId="1" applyNumberFormat="1" applyFont="1" applyFill="1" applyBorder="1"/>
    <xf numFmtId="1" fontId="14" fillId="0" borderId="0" xfId="0" applyNumberFormat="1" applyFont="1" applyFill="1"/>
    <xf numFmtId="49" fontId="29" fillId="0" borderId="0" xfId="6" applyNumberFormat="1" applyFont="1" applyFill="1" applyBorder="1" applyAlignment="1">
      <alignment horizontal="center"/>
    </xf>
    <xf numFmtId="49" fontId="29" fillId="0" borderId="0" xfId="6" applyNumberFormat="1" applyFont="1" applyFill="1" applyBorder="1"/>
    <xf numFmtId="49" fontId="8" fillId="0" borderId="0" xfId="6" applyNumberFormat="1" applyFont="1" applyFill="1"/>
    <xf numFmtId="49" fontId="8" fillId="0" borderId="0" xfId="6" applyNumberFormat="1" applyFill="1"/>
    <xf numFmtId="49" fontId="29" fillId="0" borderId="0" xfId="6" applyNumberFormat="1" applyFont="1" applyFill="1" applyBorder="1" applyAlignment="1">
      <alignment horizontal="centerContinuous"/>
    </xf>
    <xf numFmtId="0" fontId="32" fillId="0" borderId="0" xfId="6" applyFont="1" applyFill="1"/>
    <xf numFmtId="49" fontId="8" fillId="0" borderId="0" xfId="6" applyNumberFormat="1" applyFont="1" applyFill="1" applyAlignment="1">
      <alignment horizontal="centerContinuous"/>
    </xf>
    <xf numFmtId="0" fontId="8" fillId="0" borderId="0" xfId="6" applyFill="1" applyProtection="1"/>
    <xf numFmtId="0" fontId="8" fillId="0" borderId="0" xfId="6" applyFill="1" applyAlignment="1" applyProtection="1">
      <alignment horizontal="right"/>
    </xf>
    <xf numFmtId="0" fontId="10" fillId="0" borderId="14" xfId="6" applyFont="1" applyFill="1" applyBorder="1" applyAlignment="1" applyProtection="1">
      <alignment horizontal="right"/>
    </xf>
    <xf numFmtId="0" fontId="8" fillId="0" borderId="10" xfId="6" applyFill="1" applyBorder="1" applyProtection="1"/>
    <xf numFmtId="49" fontId="29" fillId="0" borderId="10" xfId="6" applyNumberFormat="1" applyFont="1" applyFill="1" applyBorder="1" applyAlignment="1" applyProtection="1">
      <alignment horizontal="right"/>
    </xf>
    <xf numFmtId="0" fontId="8" fillId="0" borderId="10" xfId="6" applyFill="1" applyBorder="1" applyAlignment="1" applyProtection="1">
      <alignment horizontal="right"/>
    </xf>
    <xf numFmtId="0" fontId="8" fillId="0" borderId="0" xfId="6" applyFill="1" applyBorder="1" applyProtection="1"/>
    <xf numFmtId="0" fontId="8" fillId="0" borderId="15" xfId="6" applyFill="1" applyBorder="1" applyProtection="1"/>
    <xf numFmtId="49" fontId="29" fillId="0" borderId="0" xfId="6" applyNumberFormat="1" applyFont="1" applyFill="1" applyBorder="1" applyAlignment="1" applyProtection="1">
      <alignment horizontal="center"/>
    </xf>
    <xf numFmtId="49" fontId="29" fillId="0" borderId="0" xfId="6" applyNumberFormat="1" applyFont="1" applyFill="1" applyBorder="1" applyAlignment="1" applyProtection="1">
      <alignment horizontal="right"/>
    </xf>
    <xf numFmtId="49" fontId="29" fillId="0" borderId="0" xfId="6" applyNumberFormat="1" applyFont="1" applyFill="1" applyBorder="1" applyProtection="1"/>
    <xf numFmtId="49" fontId="7" fillId="0" borderId="0" xfId="6" applyNumberFormat="1" applyFont="1" applyFill="1" applyBorder="1"/>
    <xf numFmtId="49" fontId="7" fillId="0" borderId="0" xfId="6" applyNumberFormat="1" applyFont="1" applyFill="1" applyBorder="1" applyAlignment="1">
      <alignment horizontal="centerContinuous"/>
    </xf>
    <xf numFmtId="49" fontId="7" fillId="0" borderId="0" xfId="6" applyNumberFormat="1" applyFont="1" applyFill="1" applyBorder="1" applyProtection="1"/>
    <xf numFmtId="0" fontId="7" fillId="0" borderId="11" xfId="6" applyFont="1" applyFill="1" applyBorder="1" applyProtection="1"/>
    <xf numFmtId="0" fontId="7" fillId="0" borderId="16" xfId="6" applyFont="1" applyFill="1" applyBorder="1" applyProtection="1"/>
    <xf numFmtId="49" fontId="7" fillId="0" borderId="10" xfId="6" applyNumberFormat="1" applyFont="1" applyFill="1" applyBorder="1" applyAlignment="1" applyProtection="1">
      <alignment horizontal="left" indent="1"/>
    </xf>
    <xf numFmtId="0" fontId="7" fillId="0" borderId="0" xfId="6" applyFont="1" applyFill="1" applyBorder="1" applyProtection="1"/>
    <xf numFmtId="0" fontId="7" fillId="0" borderId="15" xfId="6" applyFont="1" applyFill="1" applyBorder="1" applyProtection="1"/>
    <xf numFmtId="0" fontId="7" fillId="0" borderId="0" xfId="6" applyFont="1" applyFill="1" applyBorder="1" applyAlignment="1" applyProtection="1">
      <alignment horizontal="right"/>
    </xf>
    <xf numFmtId="49" fontId="7" fillId="2" borderId="17" xfId="6" applyNumberFormat="1" applyFont="1" applyFill="1" applyBorder="1" applyAlignment="1" applyProtection="1">
      <alignment horizontal="right"/>
    </xf>
    <xf numFmtId="49" fontId="7" fillId="2" borderId="1" xfId="6" applyNumberFormat="1" applyFont="1" applyFill="1" applyBorder="1" applyAlignment="1" applyProtection="1">
      <alignment horizontal="left"/>
    </xf>
    <xf numFmtId="164" fontId="7" fillId="2" borderId="1" xfId="6" applyNumberFormat="1" applyFont="1" applyFill="1" applyBorder="1" applyAlignment="1" applyProtection="1">
      <alignment horizontal="center"/>
    </xf>
    <xf numFmtId="49" fontId="7" fillId="2" borderId="13" xfId="6" applyNumberFormat="1" applyFont="1" applyFill="1" applyBorder="1" applyAlignment="1" applyProtection="1">
      <alignment horizontal="right"/>
    </xf>
    <xf numFmtId="0" fontId="7" fillId="0" borderId="0" xfId="10" applyFont="1" applyBorder="1" applyAlignment="1" applyProtection="1"/>
    <xf numFmtId="0" fontId="10" fillId="0" borderId="0" xfId="6" applyFont="1" applyFill="1" applyBorder="1" applyProtection="1"/>
    <xf numFmtId="0" fontId="11" fillId="0" borderId="0" xfId="7" applyFont="1" applyAlignment="1">
      <alignment horizontal="left"/>
    </xf>
    <xf numFmtId="0" fontId="23" fillId="0" borderId="0" xfId="7" applyAlignment="1">
      <alignment horizontal="center"/>
    </xf>
    <xf numFmtId="0" fontId="7" fillId="0" borderId="0" xfId="10" applyFont="1" applyBorder="1" applyAlignment="1" applyProtection="1">
      <alignment horizontal="left" indent="1"/>
    </xf>
    <xf numFmtId="0" fontId="10" fillId="4" borderId="5" xfId="10" applyFont="1" applyFill="1" applyBorder="1" applyProtection="1"/>
    <xf numFmtId="0" fontId="7" fillId="0" borderId="0" xfId="10" applyBorder="1" applyProtection="1"/>
    <xf numFmtId="0" fontId="10" fillId="4" borderId="5" xfId="10" applyFont="1" applyFill="1" applyBorder="1" applyAlignment="1" applyProtection="1">
      <alignment horizontal="center"/>
    </xf>
    <xf numFmtId="0" fontId="7" fillId="2" borderId="1" xfId="10" applyFill="1" applyBorder="1" applyAlignment="1" applyProtection="1">
      <alignment horizontal="center"/>
    </xf>
    <xf numFmtId="0" fontId="7" fillId="0" borderId="0" xfId="10" applyBorder="1" applyAlignment="1" applyProtection="1">
      <alignment horizontal="center"/>
    </xf>
    <xf numFmtId="49" fontId="31" fillId="0" borderId="0" xfId="6" applyNumberFormat="1" applyFont="1" applyFill="1" applyBorder="1" applyAlignment="1">
      <alignment horizontal="left"/>
    </xf>
    <xf numFmtId="3" fontId="7" fillId="0" borderId="13" xfId="5" quotePrefix="1" applyNumberFormat="1" applyFill="1" applyBorder="1"/>
    <xf numFmtId="167" fontId="7" fillId="0" borderId="13" xfId="5" quotePrefix="1" applyNumberFormat="1" applyFill="1" applyBorder="1"/>
    <xf numFmtId="0" fontId="7" fillId="0" borderId="13" xfId="5" applyNumberFormat="1" applyFont="1" applyFill="1" applyBorder="1"/>
    <xf numFmtId="0" fontId="35" fillId="5" borderId="3" xfId="0" applyNumberFormat="1" applyFont="1" applyFill="1" applyBorder="1" applyAlignment="1">
      <alignment horizontal="left" vertical="center"/>
    </xf>
    <xf numFmtId="0" fontId="36" fillId="5" borderId="2" xfId="0" applyNumberFormat="1" applyFont="1" applyFill="1" applyBorder="1" applyAlignment="1">
      <alignment horizontal="centerContinuous" vertical="center"/>
    </xf>
    <xf numFmtId="0" fontId="36" fillId="5" borderId="4" xfId="0" applyNumberFormat="1" applyFont="1" applyFill="1" applyBorder="1" applyAlignment="1">
      <alignment horizontal="centerContinuous" vertical="center"/>
    </xf>
    <xf numFmtId="49" fontId="37" fillId="5" borderId="18" xfId="6" applyNumberFormat="1" applyFont="1" applyFill="1" applyBorder="1" applyAlignment="1">
      <alignment horizontal="center" textRotation="90" wrapText="1"/>
    </xf>
    <xf numFmtId="49" fontId="37" fillId="5" borderId="19" xfId="6" applyNumberFormat="1" applyFont="1" applyFill="1" applyBorder="1" applyAlignment="1">
      <alignment horizontal="left" wrapText="1"/>
    </xf>
    <xf numFmtId="49" fontId="37" fillId="5" borderId="19" xfId="6" applyNumberFormat="1" applyFont="1" applyFill="1" applyBorder="1" applyAlignment="1">
      <alignment horizontal="center" wrapText="1"/>
    </xf>
    <xf numFmtId="49" fontId="37" fillId="5" borderId="19" xfId="6" applyNumberFormat="1" applyFont="1" applyFill="1" applyBorder="1" applyAlignment="1">
      <alignment horizontal="center" textRotation="90" wrapText="1"/>
    </xf>
    <xf numFmtId="49" fontId="38" fillId="0" borderId="0" xfId="6" applyNumberFormat="1" applyFont="1" applyFill="1" applyBorder="1" applyAlignment="1">
      <alignment horizontal="right"/>
    </xf>
    <xf numFmtId="0" fontId="38" fillId="0" borderId="0" xfId="6" applyNumberFormat="1" applyFont="1" applyFill="1" applyBorder="1" applyAlignment="1"/>
    <xf numFmtId="171" fontId="38" fillId="0" borderId="0" xfId="6" applyNumberFormat="1" applyFont="1" applyFill="1" applyBorder="1" applyAlignment="1"/>
    <xf numFmtId="49" fontId="38" fillId="0" borderId="0" xfId="6" applyNumberFormat="1" applyFont="1" applyFill="1" applyBorder="1" applyAlignment="1">
      <alignment horizontal="left"/>
    </xf>
    <xf numFmtId="0" fontId="34" fillId="5" borderId="5" xfId="7" applyFont="1" applyFill="1" applyBorder="1" applyAlignment="1">
      <alignment horizontal="center" vertical="center"/>
    </xf>
    <xf numFmtId="0" fontId="34" fillId="5" borderId="12" xfId="7" applyFont="1" applyFill="1" applyBorder="1" applyAlignment="1">
      <alignment horizontal="center" vertical="center"/>
    </xf>
    <xf numFmtId="0" fontId="34" fillId="5" borderId="8" xfId="7" applyFont="1" applyFill="1" applyBorder="1" applyAlignment="1">
      <alignment horizontal="center" vertical="center"/>
    </xf>
    <xf numFmtId="0" fontId="39" fillId="0" borderId="0" xfId="0" applyNumberFormat="1" applyFont="1" applyFill="1" applyAlignment="1">
      <alignment horizontal="right"/>
    </xf>
    <xf numFmtId="0" fontId="39" fillId="0" borderId="0" xfId="0" applyNumberFormat="1" applyFont="1" applyFill="1"/>
    <xf numFmtId="0" fontId="40" fillId="0" borderId="0" xfId="0" applyNumberFormat="1" applyFont="1" applyFill="1" applyAlignment="1">
      <alignment vertical="center"/>
    </xf>
    <xf numFmtId="0" fontId="39" fillId="0" borderId="0" xfId="0" applyNumberFormat="1" applyFont="1" applyFill="1" applyAlignment="1">
      <alignment vertical="center"/>
    </xf>
    <xf numFmtId="0" fontId="14" fillId="6" borderId="5" xfId="0" applyNumberFormat="1" applyFont="1" applyFill="1" applyBorder="1" applyAlignment="1">
      <alignment horizontal="center" vertical="center" wrapText="1" shrinkToFit="1"/>
    </xf>
    <xf numFmtId="0" fontId="13" fillId="6" borderId="6" xfId="0" applyNumberFormat="1" applyFont="1" applyFill="1" applyBorder="1" applyAlignment="1">
      <alignment horizontal="center" vertical="center"/>
    </xf>
    <xf numFmtId="0" fontId="14" fillId="7" borderId="5" xfId="0" applyNumberFormat="1" applyFont="1" applyFill="1" applyBorder="1" applyAlignment="1">
      <alignment horizontal="center" vertical="center" wrapText="1" shrinkToFit="1"/>
    </xf>
    <xf numFmtId="0" fontId="13" fillId="7" borderId="6" xfId="0" applyNumberFormat="1" applyFont="1" applyFill="1" applyBorder="1" applyAlignment="1">
      <alignment horizontal="center" vertical="center"/>
    </xf>
    <xf numFmtId="4" fontId="9" fillId="6" borderId="1" xfId="3" applyNumberFormat="1" applyFont="1" applyFill="1" applyBorder="1" applyAlignment="1" applyProtection="1">
      <alignment horizontal="center" vertical="center"/>
      <protection locked="0"/>
    </xf>
    <xf numFmtId="4" fontId="9" fillId="7" borderId="1" xfId="3" applyNumberFormat="1" applyFont="1" applyFill="1" applyBorder="1" applyAlignment="1" applyProtection="1">
      <alignment horizontal="center" vertical="center"/>
      <protection locked="0"/>
    </xf>
    <xf numFmtId="4" fontId="9" fillId="0" borderId="7" xfId="0" applyNumberFormat="1" applyFont="1" applyFill="1" applyBorder="1" applyAlignment="1">
      <alignment horizontal="center"/>
    </xf>
    <xf numFmtId="9" fontId="21" fillId="3" borderId="0" xfId="0" applyNumberFormat="1" applyFont="1" applyFill="1" applyAlignment="1">
      <alignment horizontal="center" vertical="center"/>
    </xf>
    <xf numFmtId="9" fontId="21" fillId="0" borderId="0" xfId="0" applyNumberFormat="1" applyFont="1" applyFill="1" applyAlignment="1">
      <alignment horizontal="center" vertical="center"/>
    </xf>
    <xf numFmtId="9" fontId="14" fillId="3" borderId="0" xfId="0" applyNumberFormat="1" applyFont="1" applyFill="1" applyAlignment="1">
      <alignment horizontal="center" vertical="center"/>
    </xf>
    <xf numFmtId="9" fontId="14" fillId="0" borderId="0" xfId="0" applyNumberFormat="1" applyFont="1" applyFill="1" applyAlignment="1">
      <alignment horizontal="center" vertical="center"/>
    </xf>
    <xf numFmtId="9" fontId="14" fillId="0" borderId="0" xfId="0" applyNumberFormat="1" applyFont="1" applyFill="1" applyAlignment="1">
      <alignment horizontal="center"/>
    </xf>
    <xf numFmtId="49" fontId="42" fillId="0" borderId="0" xfId="6" applyNumberFormat="1" applyFont="1" applyFill="1"/>
    <xf numFmtId="169" fontId="41" fillId="0" borderId="0" xfId="6" applyNumberFormat="1" applyFont="1" applyFill="1" applyBorder="1" applyAlignment="1">
      <alignment horizontal="center"/>
    </xf>
    <xf numFmtId="0" fontId="42" fillId="0" borderId="0" xfId="6" applyFont="1" applyFill="1" applyProtection="1"/>
    <xf numFmtId="0" fontId="34" fillId="5" borderId="18" xfId="7" applyFont="1" applyFill="1" applyBorder="1" applyAlignment="1">
      <alignment horizontal="center" vertical="center"/>
    </xf>
    <xf numFmtId="0" fontId="34" fillId="5" borderId="19" xfId="7" applyFont="1" applyFill="1" applyBorder="1" applyAlignment="1">
      <alignment horizontal="center" vertical="center"/>
    </xf>
    <xf numFmtId="0" fontId="34" fillId="5" borderId="19" xfId="7" applyFont="1" applyFill="1" applyBorder="1" applyAlignment="1">
      <alignment horizontal="center" vertical="center" wrapText="1"/>
    </xf>
    <xf numFmtId="0" fontId="34" fillId="5" borderId="21" xfId="7" applyFont="1" applyFill="1" applyBorder="1" applyAlignment="1">
      <alignment horizontal="center" vertical="center"/>
    </xf>
    <xf numFmtId="0" fontId="9" fillId="6" borderId="20" xfId="7" applyFont="1" applyFill="1" applyBorder="1" applyAlignment="1">
      <alignment horizontal="center" vertical="center"/>
    </xf>
    <xf numFmtId="3" fontId="11" fillId="6" borderId="1" xfId="1" applyNumberFormat="1" applyFont="1" applyFill="1" applyBorder="1"/>
    <xf numFmtId="0" fontId="9" fillId="7" borderId="1" xfId="7" applyFont="1" applyFill="1" applyBorder="1" applyAlignment="1">
      <alignment horizontal="center" vertical="center" wrapText="1"/>
    </xf>
    <xf numFmtId="3" fontId="11" fillId="7" borderId="1" xfId="1" applyNumberFormat="1" applyFont="1" applyFill="1" applyBorder="1"/>
    <xf numFmtId="0" fontId="8" fillId="0" borderId="0" xfId="6" applyFill="1"/>
    <xf numFmtId="15" fontId="7" fillId="0" borderId="13" xfId="5" quotePrefix="1" applyNumberFormat="1" applyBorder="1"/>
    <xf numFmtId="49" fontId="7" fillId="0" borderId="13" xfId="6" applyNumberFormat="1" applyFont="1" applyFill="1" applyBorder="1" applyAlignment="1">
      <alignment horizontal="center"/>
    </xf>
    <xf numFmtId="49" fontId="7" fillId="0" borderId="13" xfId="6" applyNumberFormat="1" applyFont="1" applyFill="1" applyBorder="1" applyAlignment="1">
      <alignment horizontal="left"/>
    </xf>
    <xf numFmtId="0" fontId="7" fillId="0" borderId="13" xfId="6" applyNumberFormat="1" applyFont="1" applyFill="1" applyBorder="1" applyAlignment="1">
      <alignment horizontal="center"/>
    </xf>
    <xf numFmtId="164" fontId="7" fillId="0" borderId="13" xfId="6" applyNumberFormat="1" applyFont="1" applyFill="1" applyBorder="1" applyAlignment="1">
      <alignment horizontal="center"/>
    </xf>
    <xf numFmtId="0" fontId="7" fillId="0" borderId="10" xfId="6" applyFont="1" applyFill="1" applyBorder="1" applyAlignment="1" applyProtection="1">
      <alignment horizontal="right"/>
    </xf>
    <xf numFmtId="0" fontId="7" fillId="0" borderId="0" xfId="8" applyFont="1" applyFill="1" applyBorder="1" applyAlignment="1" applyProtection="1">
      <alignment horizontal="left" indent="1"/>
    </xf>
    <xf numFmtId="0" fontId="7" fillId="0" borderId="0" xfId="4" applyFont="1" applyFill="1" applyBorder="1" applyAlignment="1" applyProtection="1">
      <protection locked="0"/>
    </xf>
    <xf numFmtId="0" fontId="11" fillId="0" borderId="4" xfId="7" applyFont="1" applyBorder="1" applyAlignment="1">
      <alignment vertical="center"/>
    </xf>
    <xf numFmtId="49" fontId="7" fillId="2" borderId="22" xfId="6" applyNumberFormat="1" applyFont="1" applyFill="1" applyBorder="1" applyAlignment="1" applyProtection="1">
      <alignment horizontal="right"/>
    </xf>
    <xf numFmtId="49" fontId="7" fillId="0" borderId="0" xfId="6" applyNumberFormat="1" applyFont="1" applyFill="1" applyBorder="1" applyAlignment="1">
      <alignment horizontal="center"/>
    </xf>
    <xf numFmtId="49" fontId="8" fillId="0" borderId="0" xfId="6" applyNumberFormat="1" applyFont="1" applyFill="1" applyAlignment="1">
      <alignment horizontal="center"/>
    </xf>
    <xf numFmtId="49" fontId="45" fillId="0" borderId="0" xfId="6" applyNumberFormat="1" applyFont="1" applyFill="1" applyBorder="1" applyAlignment="1">
      <alignment horizontal="center"/>
    </xf>
    <xf numFmtId="49" fontId="46" fillId="0" borderId="0" xfId="6" applyNumberFormat="1" applyFont="1" applyFill="1" applyBorder="1" applyAlignment="1">
      <alignment horizontal="center"/>
    </xf>
    <xf numFmtId="49" fontId="47" fillId="0" borderId="0" xfId="6" applyNumberFormat="1" applyFont="1" applyFill="1" applyBorder="1" applyAlignment="1">
      <alignment horizontal="center"/>
    </xf>
    <xf numFmtId="0" fontId="42" fillId="0" borderId="0" xfId="6" applyFont="1" applyFill="1"/>
    <xf numFmtId="0" fontId="11" fillId="0" borderId="4" xfId="7" applyFont="1" applyBorder="1"/>
    <xf numFmtId="0" fontId="11" fillId="0" borderId="1" xfId="7" applyFont="1" applyBorder="1" applyAlignment="1">
      <alignment horizontal="center" vertical="center"/>
    </xf>
    <xf numFmtId="3" fontId="48" fillId="0" borderId="0" xfId="0" applyNumberFormat="1" applyFont="1"/>
    <xf numFmtId="0" fontId="8" fillId="0" borderId="0" xfId="6" applyFont="1" applyFill="1"/>
    <xf numFmtId="49" fontId="7" fillId="0" borderId="0" xfId="6" applyNumberFormat="1" applyFont="1" applyFill="1" applyBorder="1" applyAlignment="1">
      <alignment horizontal="center" wrapText="1"/>
    </xf>
    <xf numFmtId="49" fontId="7" fillId="0" borderId="12" xfId="6" applyNumberFormat="1" applyFont="1" applyFill="1" applyBorder="1" applyAlignment="1">
      <alignment horizontal="center" wrapText="1"/>
    </xf>
    <xf numFmtId="49" fontId="7" fillId="0" borderId="12" xfId="6" applyNumberFormat="1" applyFont="1" applyFill="1" applyBorder="1" applyAlignment="1">
      <alignment horizontal="right" wrapText="1"/>
    </xf>
    <xf numFmtId="15" fontId="27" fillId="0" borderId="1" xfId="7" applyNumberFormat="1" applyFont="1" applyBorder="1" applyAlignment="1">
      <alignment horizontal="center" vertical="center"/>
    </xf>
    <xf numFmtId="15" fontId="27" fillId="0" borderId="1" xfId="7" quotePrefix="1" applyNumberFormat="1" applyFont="1" applyBorder="1" applyAlignment="1">
      <alignment horizontal="center" vertical="center"/>
    </xf>
    <xf numFmtId="15" fontId="23" fillId="0" borderId="0" xfId="7" applyNumberFormat="1" applyAlignment="1">
      <alignment horizontal="center" vertical="center"/>
    </xf>
    <xf numFmtId="15" fontId="11" fillId="0" borderId="1" xfId="7" applyNumberFormat="1" applyFont="1" applyBorder="1" applyAlignment="1">
      <alignment horizontal="center" vertical="center"/>
    </xf>
    <xf numFmtId="0" fontId="32" fillId="0" borderId="0" xfId="6" applyFont="1" applyFill="1" applyAlignment="1">
      <alignment horizontal="left"/>
    </xf>
    <xf numFmtId="15" fontId="7" fillId="0" borderId="13" xfId="5" quotePrefix="1" applyNumberFormat="1" applyFill="1" applyBorder="1"/>
    <xf numFmtId="0" fontId="7" fillId="0" borderId="24" xfId="6" applyFont="1" applyFill="1" applyBorder="1" applyAlignment="1" applyProtection="1">
      <alignment horizontal="right"/>
    </xf>
    <xf numFmtId="0" fontId="7" fillId="0" borderId="25" xfId="6" applyFont="1" applyFill="1" applyBorder="1" applyProtection="1"/>
    <xf numFmtId="0" fontId="7" fillId="4" borderId="23" xfId="10" applyFill="1" applyBorder="1" applyProtection="1"/>
    <xf numFmtId="0" fontId="7" fillId="4" borderId="23" xfId="10" applyFill="1" applyBorder="1" applyAlignment="1" applyProtection="1">
      <alignment horizontal="center"/>
    </xf>
    <xf numFmtId="0" fontId="10" fillId="4" borderId="23" xfId="10" applyFont="1" applyFill="1" applyBorder="1" applyAlignment="1" applyProtection="1">
      <alignment horizontal="center"/>
    </xf>
    <xf numFmtId="0" fontId="8" fillId="0" borderId="25" xfId="6" applyFill="1" applyBorder="1" applyProtection="1"/>
    <xf numFmtId="49" fontId="51" fillId="0" borderId="13" xfId="6" applyNumberFormat="1" applyFont="1" applyFill="1" applyBorder="1" applyAlignment="1">
      <alignment horizontal="left"/>
    </xf>
    <xf numFmtId="0" fontId="8" fillId="0" borderId="0" xfId="6" applyFont="1" applyFill="1" applyAlignment="1">
      <alignment horizontal="left"/>
    </xf>
    <xf numFmtId="49" fontId="54" fillId="0" borderId="0" xfId="6" applyNumberFormat="1" applyFont="1" applyFill="1" applyBorder="1" applyAlignment="1">
      <alignment horizontal="left"/>
    </xf>
    <xf numFmtId="164" fontId="7" fillId="0" borderId="26" xfId="6" applyNumberFormat="1" applyFont="1" applyFill="1" applyBorder="1" applyAlignment="1">
      <alignment horizontal="center"/>
    </xf>
    <xf numFmtId="0" fontId="8" fillId="0" borderId="10" xfId="6" applyFont="1" applyFill="1" applyBorder="1" applyAlignment="1">
      <alignment horizontal="left"/>
    </xf>
    <xf numFmtId="15" fontId="7" fillId="0" borderId="22" xfId="5" quotePrefix="1" applyNumberFormat="1" applyBorder="1"/>
    <xf numFmtId="0" fontId="7" fillId="0" borderId="22" xfId="6" applyNumberFormat="1" applyFont="1" applyFill="1" applyBorder="1" applyAlignment="1">
      <alignment horizontal="center"/>
    </xf>
    <xf numFmtId="3" fontId="7" fillId="0" borderId="22" xfId="5" quotePrefix="1" applyNumberFormat="1" applyFill="1" applyBorder="1"/>
    <xf numFmtId="167" fontId="7" fillId="0" borderId="22" xfId="5" quotePrefix="1" applyNumberFormat="1" applyFill="1" applyBorder="1"/>
    <xf numFmtId="0" fontId="7" fillId="0" borderId="22" xfId="5" applyNumberFormat="1" applyFont="1" applyFill="1" applyBorder="1"/>
    <xf numFmtId="164" fontId="7" fillId="0" borderId="22" xfId="6" applyNumberFormat="1" applyFont="1" applyFill="1" applyBorder="1" applyAlignment="1">
      <alignment horizontal="center"/>
    </xf>
    <xf numFmtId="15" fontId="7" fillId="0" borderId="27" xfId="5" quotePrefix="1" applyNumberFormat="1" applyBorder="1"/>
    <xf numFmtId="0" fontId="7" fillId="0" borderId="27" xfId="6" applyNumberFormat="1" applyFont="1" applyFill="1" applyBorder="1" applyAlignment="1">
      <alignment horizontal="center"/>
    </xf>
    <xf numFmtId="3" fontId="7" fillId="0" borderId="27" xfId="5" quotePrefix="1" applyNumberFormat="1" applyFill="1" applyBorder="1"/>
    <xf numFmtId="167" fontId="7" fillId="0" borderId="27" xfId="5" quotePrefix="1" applyNumberFormat="1" applyFill="1" applyBorder="1"/>
    <xf numFmtId="0" fontId="7" fillId="0" borderId="27" xfId="5" applyNumberFormat="1" applyFont="1" applyFill="1" applyBorder="1"/>
    <xf numFmtId="164" fontId="7" fillId="0" borderId="27" xfId="6" applyNumberFormat="1" applyFont="1" applyFill="1" applyBorder="1" applyAlignment="1">
      <alignment horizontal="center"/>
    </xf>
    <xf numFmtId="15" fontId="7" fillId="0" borderId="17" xfId="5" quotePrefix="1" applyNumberFormat="1" applyBorder="1"/>
    <xf numFmtId="0" fontId="7" fillId="0" borderId="17" xfId="6" applyNumberFormat="1" applyFont="1" applyFill="1" applyBorder="1" applyAlignment="1">
      <alignment horizontal="center"/>
    </xf>
    <xf numFmtId="3" fontId="7" fillId="0" borderId="17" xfId="5" quotePrefix="1" applyNumberFormat="1" applyFill="1" applyBorder="1"/>
    <xf numFmtId="167" fontId="7" fillId="0" borderId="17" xfId="5" quotePrefix="1" applyNumberFormat="1" applyFill="1" applyBorder="1"/>
    <xf numFmtId="0" fontId="7" fillId="0" borderId="17" xfId="5" applyNumberFormat="1" applyFont="1" applyFill="1" applyBorder="1"/>
    <xf numFmtId="164" fontId="7" fillId="0" borderId="17" xfId="6" applyNumberFormat="1" applyFont="1" applyFill="1" applyBorder="1" applyAlignment="1">
      <alignment horizontal="center"/>
    </xf>
    <xf numFmtId="15" fontId="7" fillId="0" borderId="28" xfId="5" quotePrefix="1" applyNumberFormat="1" applyBorder="1"/>
    <xf numFmtId="0" fontId="7" fillId="0" borderId="28" xfId="6" applyNumberFormat="1" applyFont="1" applyFill="1" applyBorder="1" applyAlignment="1">
      <alignment horizontal="center"/>
    </xf>
    <xf numFmtId="3" fontId="7" fillId="0" borderId="28" xfId="5" quotePrefix="1" applyNumberFormat="1" applyFill="1" applyBorder="1"/>
    <xf numFmtId="167" fontId="7" fillId="0" borderId="28" xfId="5" quotePrefix="1" applyNumberFormat="1" applyFill="1" applyBorder="1"/>
    <xf numFmtId="0" fontId="7" fillId="0" borderId="28" xfId="5" applyNumberFormat="1" applyFont="1" applyFill="1" applyBorder="1"/>
    <xf numFmtId="164" fontId="7" fillId="0" borderId="28" xfId="6" applyNumberFormat="1" applyFont="1" applyFill="1" applyBorder="1" applyAlignment="1">
      <alignment horizontal="center"/>
    </xf>
    <xf numFmtId="0" fontId="7" fillId="0" borderId="10" xfId="6" applyFont="1" applyFill="1" applyBorder="1" applyProtection="1"/>
    <xf numFmtId="1" fontId="55" fillId="0" borderId="0" xfId="0" applyFont="1" applyFill="1" applyBorder="1" applyAlignment="1" applyProtection="1">
      <alignment vertical="top" wrapText="1"/>
      <protection locked="0"/>
    </xf>
    <xf numFmtId="0" fontId="55" fillId="0" borderId="0" xfId="22" applyFont="1" applyBorder="1" applyAlignment="1" applyProtection="1">
      <alignment vertical="center" wrapText="1"/>
      <protection locked="0"/>
    </xf>
    <xf numFmtId="0" fontId="55" fillId="0" borderId="0" xfId="22" applyFont="1" applyBorder="1" applyAlignment="1" applyProtection="1">
      <alignment vertical="top" wrapText="1"/>
      <protection locked="0"/>
    </xf>
    <xf numFmtId="0" fontId="55" fillId="0" borderId="0" xfId="22" applyFont="1" applyBorder="1" applyAlignment="1">
      <alignment vertical="center"/>
    </xf>
    <xf numFmtId="49" fontId="30" fillId="0" borderId="9" xfId="6" applyNumberFormat="1" applyFont="1" applyFill="1" applyBorder="1" applyAlignment="1">
      <alignment horizontal="centerContinuous"/>
    </xf>
    <xf numFmtId="49" fontId="56" fillId="0" borderId="13" xfId="6" applyNumberFormat="1" applyFont="1" applyFill="1" applyBorder="1" applyAlignment="1">
      <alignment horizontal="left"/>
    </xf>
    <xf numFmtId="0" fontId="7" fillId="0" borderId="9" xfId="8" applyFont="1" applyFill="1" applyBorder="1" applyAlignment="1" applyProtection="1">
      <alignment horizontal="left" indent="1"/>
    </xf>
    <xf numFmtId="0" fontId="8" fillId="0" borderId="9" xfId="6" applyFill="1" applyBorder="1" applyProtection="1"/>
    <xf numFmtId="0" fontId="7" fillId="0" borderId="9" xfId="6" applyFont="1" applyFill="1" applyBorder="1" applyProtection="1"/>
    <xf numFmtId="49" fontId="30" fillId="0" borderId="9" xfId="6" applyNumberFormat="1" applyFont="1" applyFill="1" applyBorder="1" applyAlignment="1">
      <alignment horizontal="center"/>
    </xf>
    <xf numFmtId="0" fontId="10" fillId="0" borderId="9" xfId="6" applyFont="1" applyFill="1" applyBorder="1" applyProtection="1"/>
    <xf numFmtId="0" fontId="9" fillId="0" borderId="0" xfId="6" applyNumberFormat="1" applyFont="1" applyFill="1" applyBorder="1" applyAlignment="1">
      <alignment horizontal="center"/>
    </xf>
    <xf numFmtId="170" fontId="41" fillId="0" borderId="0" xfId="6" applyNumberFormat="1" applyFont="1" applyFill="1" applyBorder="1" applyAlignment="1">
      <alignment horizontal="center"/>
    </xf>
    <xf numFmtId="49" fontId="9" fillId="0" borderId="0" xfId="6" applyNumberFormat="1" applyFont="1" applyFill="1" applyBorder="1" applyAlignment="1">
      <alignment horizontal="center"/>
    </xf>
    <xf numFmtId="49" fontId="9" fillId="0" borderId="0" xfId="6" applyNumberFormat="1" applyFont="1" applyFill="1" applyBorder="1" applyAlignment="1" applyProtection="1">
      <alignment horizontal="center"/>
    </xf>
    <xf numFmtId="49" fontId="41" fillId="0" borderId="0" xfId="6" applyNumberFormat="1" applyFont="1" applyFill="1" applyBorder="1" applyAlignment="1" applyProtection="1">
      <alignment horizontal="center"/>
    </xf>
    <xf numFmtId="0" fontId="33" fillId="0" borderId="14" xfId="6" applyFont="1" applyFill="1" applyBorder="1" applyAlignment="1" applyProtection="1">
      <alignment horizontal="center"/>
    </xf>
    <xf numFmtId="0" fontId="33" fillId="0" borderId="11" xfId="6" applyFont="1" applyFill="1" applyBorder="1" applyAlignment="1" applyProtection="1">
      <alignment horizontal="center"/>
    </xf>
    <xf numFmtId="0" fontId="33" fillId="0" borderId="16" xfId="6" applyFont="1" applyFill="1" applyBorder="1" applyAlignment="1" applyProtection="1">
      <alignment horizontal="center"/>
    </xf>
    <xf numFmtId="0" fontId="10" fillId="4" borderId="5" xfId="10" applyFont="1" applyFill="1" applyBorder="1" applyAlignment="1" applyProtection="1">
      <alignment horizontal="right" textRotation="90"/>
    </xf>
    <xf numFmtId="0" fontId="7" fillId="0" borderId="23" xfId="10" applyBorder="1" applyAlignment="1" applyProtection="1">
      <alignment horizontal="right" textRotation="90"/>
    </xf>
    <xf numFmtId="1" fontId="24" fillId="0" borderId="0" xfId="0" applyFont="1" applyAlignment="1">
      <alignment horizontal="center" vertical="center"/>
    </xf>
    <xf numFmtId="1" fontId="43" fillId="0" borderId="0" xfId="0" applyFont="1" applyAlignment="1">
      <alignment horizontal="center" vertical="center"/>
    </xf>
    <xf numFmtId="0" fontId="34" fillId="5" borderId="5" xfId="7" applyFon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49" fontId="7" fillId="8" borderId="13" xfId="6" applyNumberFormat="1" applyFont="1" applyFill="1" applyBorder="1" applyAlignment="1">
      <alignment horizontal="center"/>
    </xf>
    <xf numFmtId="49" fontId="7" fillId="8" borderId="13" xfId="6" applyNumberFormat="1" applyFont="1" applyFill="1" applyBorder="1" applyAlignment="1">
      <alignment horizontal="left"/>
    </xf>
    <xf numFmtId="15" fontId="7" fillId="8" borderId="13" xfId="5" quotePrefix="1" applyNumberFormat="1" applyFill="1" applyBorder="1"/>
    <xf numFmtId="0" fontId="7" fillId="8" borderId="13" xfId="6" applyNumberFormat="1" applyFont="1" applyFill="1" applyBorder="1" applyAlignment="1">
      <alignment horizontal="center"/>
    </xf>
    <xf numFmtId="3" fontId="7" fillId="8" borderId="13" xfId="5" quotePrefix="1" applyNumberFormat="1" applyFill="1" applyBorder="1"/>
    <xf numFmtId="167" fontId="7" fillId="8" borderId="13" xfId="5" quotePrefix="1" applyNumberFormat="1" applyFill="1" applyBorder="1"/>
    <xf numFmtId="0" fontId="7" fillId="8" borderId="13" xfId="5" applyNumberFormat="1" applyFont="1" applyFill="1" applyBorder="1"/>
    <xf numFmtId="164" fontId="7" fillId="8" borderId="13" xfId="6" applyNumberFormat="1" applyFont="1" applyFill="1" applyBorder="1" applyAlignment="1">
      <alignment horizontal="center"/>
    </xf>
    <xf numFmtId="0" fontId="8" fillId="8" borderId="0" xfId="6" applyFont="1" applyFill="1" applyAlignment="1">
      <alignment horizontal="left"/>
    </xf>
    <xf numFmtId="0" fontId="8" fillId="8" borderId="0" xfId="6" applyFill="1"/>
    <xf numFmtId="3" fontId="8" fillId="8" borderId="0" xfId="6" applyNumberFormat="1" applyFont="1" applyFill="1" applyAlignment="1">
      <alignment horizontal="left"/>
    </xf>
    <xf numFmtId="167" fontId="8" fillId="8" borderId="0" xfId="6" applyNumberFormat="1" applyFill="1"/>
    <xf numFmtId="49" fontId="7" fillId="9" borderId="13" xfId="6" applyNumberFormat="1" applyFont="1" applyFill="1" applyBorder="1" applyAlignment="1">
      <alignment horizontal="center"/>
    </xf>
    <xf numFmtId="49" fontId="7" fillId="9" borderId="13" xfId="6" applyNumberFormat="1" applyFont="1" applyFill="1" applyBorder="1" applyAlignment="1">
      <alignment horizontal="left"/>
    </xf>
    <xf numFmtId="15" fontId="7" fillId="9" borderId="13" xfId="5" quotePrefix="1" applyNumberFormat="1" applyFill="1" applyBorder="1"/>
    <xf numFmtId="0" fontId="7" fillId="9" borderId="13" xfId="6" applyNumberFormat="1" applyFont="1" applyFill="1" applyBorder="1" applyAlignment="1">
      <alignment horizontal="center"/>
    </xf>
    <xf numFmtId="3" fontId="7" fillId="9" borderId="13" xfId="5" quotePrefix="1" applyNumberFormat="1" applyFill="1" applyBorder="1"/>
    <xf numFmtId="167" fontId="7" fillId="9" borderId="13" xfId="5" quotePrefix="1" applyNumberFormat="1" applyFill="1" applyBorder="1"/>
    <xf numFmtId="0" fontId="7" fillId="9" borderId="13" xfId="5" applyNumberFormat="1" applyFont="1" applyFill="1" applyBorder="1"/>
    <xf numFmtId="164" fontId="7" fillId="9" borderId="13" xfId="6" applyNumberFormat="1" applyFont="1" applyFill="1" applyBorder="1" applyAlignment="1">
      <alignment horizontal="center"/>
    </xf>
    <xf numFmtId="0" fontId="8" fillId="9" borderId="0" xfId="6" applyFont="1" applyFill="1" applyAlignment="1">
      <alignment horizontal="left"/>
    </xf>
    <xf numFmtId="167" fontId="8" fillId="9" borderId="0" xfId="6" applyNumberFormat="1" applyFill="1"/>
    <xf numFmtId="0" fontId="8" fillId="9" borderId="0" xfId="6" applyFill="1"/>
  </cellXfs>
  <cellStyles count="47">
    <cellStyle name="Comma" xfId="1" builtinId="3"/>
    <cellStyle name="Comma 2" xfId="14" xr:uid="{00000000-0005-0000-0000-000001000000}"/>
    <cellStyle name="Comma 2 2" xfId="36" xr:uid="{00000000-0005-0000-0000-000002000000}"/>
    <cellStyle name="Comma 2 3" xfId="43" xr:uid="{00000000-0005-0000-0000-000003000000}"/>
    <cellStyle name="Comma 21" xfId="35" xr:uid="{00000000-0005-0000-0000-000004000000}"/>
    <cellStyle name="Comma 3" xfId="17" xr:uid="{00000000-0005-0000-0000-000005000000}"/>
    <cellStyle name="Comma 4" xfId="25" xr:uid="{00000000-0005-0000-0000-000006000000}"/>
    <cellStyle name="Comma 7 9" xfId="40" xr:uid="{00000000-0005-0000-0000-000007000000}"/>
    <cellStyle name="Dezimal_XL Questionnaire_2002_July-10" xfId="2" xr:uid="{00000000-0005-0000-0000-000008000000}"/>
    <cellStyle name="Normal" xfId="0" builtinId="0"/>
    <cellStyle name="Normal 10 6" xfId="26" xr:uid="{00000000-0005-0000-0000-00000A000000}"/>
    <cellStyle name="Normal 13 2 2" xfId="28" xr:uid="{00000000-0005-0000-0000-00000B000000}"/>
    <cellStyle name="Normal 2" xfId="11" xr:uid="{00000000-0005-0000-0000-00000C000000}"/>
    <cellStyle name="Normal 2 11" xfId="29" xr:uid="{00000000-0005-0000-0000-00000D000000}"/>
    <cellStyle name="Normal 2 2" xfId="13" xr:uid="{00000000-0005-0000-0000-00000E000000}"/>
    <cellStyle name="Normal 2 2 2 5" xfId="32" xr:uid="{00000000-0005-0000-0000-00000F000000}"/>
    <cellStyle name="Normal 2 3" xfId="37" xr:uid="{00000000-0005-0000-0000-000010000000}"/>
    <cellStyle name="Normal 2 4" xfId="39" xr:uid="{00000000-0005-0000-0000-000011000000}"/>
    <cellStyle name="Normal 3" xfId="15" xr:uid="{00000000-0005-0000-0000-000012000000}"/>
    <cellStyle name="Normal 3 2 2" xfId="30" xr:uid="{00000000-0005-0000-0000-000013000000}"/>
    <cellStyle name="Normal 3 6" xfId="42" xr:uid="{00000000-0005-0000-0000-000014000000}"/>
    <cellStyle name="Normal 4" xfId="18" xr:uid="{00000000-0005-0000-0000-000015000000}"/>
    <cellStyle name="Normal 4 2" xfId="19" xr:uid="{00000000-0005-0000-0000-000016000000}"/>
    <cellStyle name="Normal 4 2 2" xfId="20" xr:uid="{00000000-0005-0000-0000-000017000000}"/>
    <cellStyle name="Normal 5" xfId="22" xr:uid="{00000000-0005-0000-0000-000018000000}"/>
    <cellStyle name="Normal 5 2" xfId="16" xr:uid="{00000000-0005-0000-0000-000019000000}"/>
    <cellStyle name="Normal 6" xfId="23" xr:uid="{00000000-0005-0000-0000-00001A000000}"/>
    <cellStyle name="Normal 7" xfId="27" xr:uid="{00000000-0005-0000-0000-00001B000000}"/>
    <cellStyle name="Normal 8" xfId="38" xr:uid="{00000000-0005-0000-0000-00001C000000}"/>
    <cellStyle name="Normal 9" xfId="45" xr:uid="{00000000-0005-0000-0000-00001D000000}"/>
    <cellStyle name="Normal_ABS_Schedules" xfId="3" xr:uid="{00000000-0005-0000-0000-00001E000000}"/>
    <cellStyle name="Normal_Export from alps" xfId="4" xr:uid="{00000000-0005-0000-0000-000021000000}"/>
    <cellStyle name="Normal_exported abc2" xfId="5" xr:uid="{00000000-0005-0000-0000-000022000000}"/>
    <cellStyle name="Normal_Losses For Testing" xfId="6" xr:uid="{00000000-0005-0000-0000-000023000000}"/>
    <cellStyle name="Normal_MASTERps" xfId="7" xr:uid="{00000000-0005-0000-0000-000024000000}"/>
    <cellStyle name="Normal_Questionnaire Scheds A,B &amp; C (Landscape) V3" xfId="8" xr:uid="{00000000-0005-0000-0000-000025000000}"/>
    <cellStyle name="Normal_Schedules ABC 2" xfId="10" xr:uid="{00000000-0005-0000-0000-000026000000}"/>
    <cellStyle name="Percent 14 2 2" xfId="34" xr:uid="{00000000-0005-0000-0000-000028000000}"/>
    <cellStyle name="Percent 2" xfId="12" xr:uid="{00000000-0005-0000-0000-000029000000}"/>
    <cellStyle name="Percent 2 2" xfId="31" xr:uid="{00000000-0005-0000-0000-00002A000000}"/>
    <cellStyle name="Percent 2 2 2" xfId="21" xr:uid="{00000000-0005-0000-0000-00002B000000}"/>
    <cellStyle name="Percent 2 5" xfId="33" xr:uid="{00000000-0005-0000-0000-00002C000000}"/>
    <cellStyle name="Percent 3" xfId="44" xr:uid="{00000000-0005-0000-0000-00002D000000}"/>
    <cellStyle name="Percent 4" xfId="46" xr:uid="{00000000-0005-0000-0000-00002E000000}"/>
    <cellStyle name="Pourcentage 3 3" xfId="41" xr:uid="{00000000-0005-0000-0000-00002F000000}"/>
    <cellStyle name="Standard 2" xfId="24" xr:uid="{00000000-0005-0000-0000-000030000000}"/>
    <cellStyle name="Standard_XL Questionnaire_2002_July-10" xfId="9" xr:uid="{00000000-0005-0000-0000-000031000000}"/>
  </cellStyles>
  <dxfs count="164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</dxfs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lucas04\AppData\Local\Microsoft\Windows\Temporary%20Internet%20Files\Content.Outlook\U5R7FCAW\30_01_2020%20-%20AXA_XL%20Aviation%20Losses%20from%202006%20to%202019%20-%20EVENT%20BASIS%20MASTER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VN\reinsur\CLIENT\CVStarr%201919\Starr%20Analytics\OLD%20DATA%20IN\CVS%20US%20decs%20-%20GA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rTech\Dt-A\asie\1-Hk\Ren2000\00dab-h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rTech\Dt-A\asie\1-Hk\Ren2000\00genliabilit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rTech\Dt-A\asie\1-Hk\Ren2000\00PA-h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VN\reinsur\CLIENTS\AXA\2009\GA\GAQS\100%25\2007%20France%20Portofolio%2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VN\reinsur\CLIENT\AXA%20XL\2020\Analysis\AXA%20XL%202020%20QS%20Renewal%20Information%20FINAL%20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015894\AppData\Local\Microsoft\Windows\INetCache\Content.Outlook\Q7Z9FVUV\AirlinePortfolioMonitoring_20200108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ero\RI\CLIENT%20SERVICES\Client\AXA%20XL\2019\Analytics\Risk%20Profiles\Aircraft\20190306%20-%20XLC%20GA%20Risk%20Profiles%20-%20Aircraft%20&amp;%20Non%20Aircraf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VN\reinsur\CLIENT\AXA%20XL\2021\3%20-%20Presentations\b%20-%20Renewal\AXA%20XL%20Schedule%20ABC%20Jan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A_XL Summary"/>
      <sheetName val="AXA CS Losses from 2013 to 2019"/>
      <sheetName val="AXA XLC Losses &gt; USD 1m"/>
      <sheetName val="Loss Thresholds &amp; Filters"/>
      <sheetName val="XLC Sch G"/>
      <sheetName val="AXA Sched G"/>
      <sheetName val="MLDB"/>
      <sheetName val="XLC Loss Summary"/>
      <sheetName val="XLC Loss Thresholds &amp; Filters"/>
      <sheetName val="XLC Removed"/>
      <sheetName val="XLC Sch G (2)"/>
      <sheetName val="XLC MLDB"/>
      <sheetName val="Unique Events"/>
    </sheetNames>
    <sheetDataSet>
      <sheetData sheetId="0">
        <row r="4">
          <cell r="C4">
            <v>0</v>
          </cell>
          <cell r="F4">
            <v>0</v>
          </cell>
          <cell r="L4">
            <v>15000000</v>
          </cell>
        </row>
        <row r="5">
          <cell r="C5">
            <v>0</v>
          </cell>
          <cell r="F5">
            <v>0</v>
          </cell>
          <cell r="L5">
            <v>10000000</v>
          </cell>
        </row>
        <row r="6">
          <cell r="C6">
            <v>0</v>
          </cell>
          <cell r="F6">
            <v>0</v>
          </cell>
          <cell r="L6">
            <v>0</v>
          </cell>
        </row>
        <row r="7">
          <cell r="C7">
            <v>0</v>
          </cell>
          <cell r="F7">
            <v>0</v>
          </cell>
          <cell r="L7">
            <v>0</v>
          </cell>
        </row>
        <row r="9">
          <cell r="I9" t="str">
            <v>No</v>
          </cell>
          <cell r="L9">
            <v>20000000</v>
          </cell>
        </row>
      </sheetData>
      <sheetData sheetId="1"/>
      <sheetData sheetId="2" refreshError="1"/>
      <sheetData sheetId="3">
        <row r="4">
          <cell r="C4" t="str">
            <v>Class UniqueID</v>
          </cell>
          <cell r="D4" t="str">
            <v>Include</v>
          </cell>
          <cell r="E4" t="str">
            <v>Major/Non Major</v>
          </cell>
          <cell r="I4" t="str">
            <v>Coverage UniqueID</v>
          </cell>
          <cell r="J4" t="str">
            <v>Include</v>
          </cell>
          <cell r="K4" t="str">
            <v>Coverage_Detail_Cleansed</v>
          </cell>
          <cell r="T4" t="str">
            <v>LossID</v>
          </cell>
          <cell r="U4" t="str">
            <v>ScheduleG/GA Loss</v>
          </cell>
          <cell r="V4" t="str">
            <v>ScheduleG/GA DOL</v>
          </cell>
          <cell r="W4">
            <v>10000000</v>
          </cell>
          <cell r="X4" t="str">
            <v>War</v>
          </cell>
          <cell r="Y4" t="str">
            <v>ScheduleG/GA DOL Count</v>
          </cell>
        </row>
        <row r="5">
          <cell r="C5" t="str">
            <v>Airlines</v>
          </cell>
          <cell r="D5" t="str">
            <v>Y</v>
          </cell>
          <cell r="E5" t="str">
            <v>Major</v>
          </cell>
          <cell r="I5" t="str">
            <v>VARIOUS</v>
          </cell>
          <cell r="J5" t="str">
            <v>Y</v>
          </cell>
          <cell r="K5" t="str">
            <v>Hull</v>
          </cell>
          <cell r="T5" t="str">
            <v>Air Deccan11Mar06</v>
          </cell>
          <cell r="U5" t="str">
            <v>Air Deccan</v>
          </cell>
          <cell r="V5">
            <v>38787</v>
          </cell>
          <cell r="Y5">
            <v>1</v>
          </cell>
          <cell r="AN5" t="str">
            <v>AirlineCargoAll RisksHull</v>
          </cell>
        </row>
        <row r="6">
          <cell r="C6" t="str">
            <v>Airports</v>
          </cell>
          <cell r="D6" t="str">
            <v>Y</v>
          </cell>
          <cell r="E6" t="str">
            <v>Major</v>
          </cell>
          <cell r="I6" t="str">
            <v xml:space="preserve"> ENGINE DAMAGE</v>
          </cell>
          <cell r="J6" t="str">
            <v>Y</v>
          </cell>
          <cell r="K6" t="str">
            <v>Hull</v>
          </cell>
          <cell r="T6" t="str">
            <v>Armavia03May06</v>
          </cell>
          <cell r="U6" t="str">
            <v>Armavia</v>
          </cell>
          <cell r="V6">
            <v>38840</v>
          </cell>
          <cell r="Y6">
            <v>1</v>
          </cell>
          <cell r="AN6" t="str">
            <v>AirlineCargoHull DeductibleHull Deductible</v>
          </cell>
        </row>
        <row r="7">
          <cell r="C7" t="str">
            <v>ATC incl. Airports wth ATC act</v>
          </cell>
          <cell r="D7" t="str">
            <v>Y</v>
          </cell>
          <cell r="E7" t="str">
            <v>Major</v>
          </cell>
          <cell r="I7" t="str">
            <v>CONSTRUCTIVE TOTAL LOSS</v>
          </cell>
          <cell r="J7" t="str">
            <v>Y</v>
          </cell>
          <cell r="K7" t="str">
            <v>Hull</v>
          </cell>
          <cell r="T7" t="str">
            <v>Brussels Hangar Fire05May06</v>
          </cell>
          <cell r="U7" t="str">
            <v>Brussels Hangar Fire</v>
          </cell>
          <cell r="V7">
            <v>38842</v>
          </cell>
          <cell r="Y7">
            <v>1</v>
          </cell>
          <cell r="AN7" t="str">
            <v>AirlineCargoAll RisksLiability</v>
          </cell>
        </row>
        <row r="8">
          <cell r="C8" t="str">
            <v>Bank</v>
          </cell>
          <cell r="D8" t="str">
            <v>Y</v>
          </cell>
          <cell r="E8" t="str">
            <v>Non Major</v>
          </cell>
          <cell r="I8" t="str">
            <v>HULL</v>
          </cell>
          <cell r="J8" t="str">
            <v>Y</v>
          </cell>
          <cell r="K8" t="str">
            <v>Hull</v>
          </cell>
          <cell r="T8" t="str">
            <v>Deutsche Lufthansa15May06</v>
          </cell>
          <cell r="U8" t="str">
            <v>Deutsche Lufthansa</v>
          </cell>
          <cell r="V8">
            <v>38852</v>
          </cell>
          <cell r="Y8">
            <v>1</v>
          </cell>
          <cell r="AN8" t="str">
            <v>AirlineCargoUnknownUnknown</v>
          </cell>
        </row>
        <row r="9">
          <cell r="C9" t="str">
            <v>General Aviation</v>
          </cell>
          <cell r="D9" t="str">
            <v>Y</v>
          </cell>
          <cell r="E9" t="str">
            <v>Non Major</v>
          </cell>
          <cell r="I9" t="str">
            <v>LIAB - Medicare</v>
          </cell>
          <cell r="J9" t="str">
            <v>Y</v>
          </cell>
          <cell r="K9" t="str">
            <v>Liability</v>
          </cell>
          <cell r="T9" t="str">
            <v>Ataturk Airport Fire24May06</v>
          </cell>
          <cell r="U9" t="str">
            <v>Ataturk Airport Fire</v>
          </cell>
          <cell r="V9">
            <v>38861</v>
          </cell>
          <cell r="Y9">
            <v>1</v>
          </cell>
          <cell r="AN9" t="str">
            <v>AirlineCharterAll RisksHull</v>
          </cell>
        </row>
        <row r="10">
          <cell r="C10" t="str">
            <v>Handling</v>
          </cell>
          <cell r="D10" t="str">
            <v>Y</v>
          </cell>
          <cell r="E10" t="str">
            <v>Non Major</v>
          </cell>
          <cell r="I10" t="str">
            <v>LIABILITIES</v>
          </cell>
          <cell r="J10" t="str">
            <v>Y</v>
          </cell>
          <cell r="K10" t="str">
            <v>Liability</v>
          </cell>
          <cell r="T10" t="str">
            <v>American Airlines02Jun06</v>
          </cell>
          <cell r="U10" t="str">
            <v>American Airlines</v>
          </cell>
          <cell r="V10">
            <v>38870</v>
          </cell>
          <cell r="Y10">
            <v>1</v>
          </cell>
          <cell r="AN10" t="str">
            <v>AirlineCharterAll RisksLiability</v>
          </cell>
        </row>
        <row r="11">
          <cell r="C11" t="str">
            <v>Maintenance/ANZ Petrol Explora</v>
          </cell>
          <cell r="D11" t="str">
            <v>Y</v>
          </cell>
          <cell r="E11" t="str">
            <v>Non Major</v>
          </cell>
          <cell r="I11" t="str">
            <v>LOSS OF USE</v>
          </cell>
          <cell r="J11" t="str">
            <v>Y</v>
          </cell>
          <cell r="K11" t="str">
            <v>NA</v>
          </cell>
          <cell r="T11" t="str">
            <v>Tradewinds07Jun06</v>
          </cell>
          <cell r="U11" t="str">
            <v>Tradewinds</v>
          </cell>
          <cell r="V11">
            <v>38875</v>
          </cell>
          <cell r="Y11">
            <v>1</v>
          </cell>
          <cell r="AN11" t="str">
            <v>AirlineContingentAll RisksHull</v>
          </cell>
        </row>
        <row r="12">
          <cell r="C12" t="str">
            <v>Manufacturers</v>
          </cell>
          <cell r="D12" t="str">
            <v>Y</v>
          </cell>
          <cell r="E12" t="str">
            <v>Major</v>
          </cell>
          <cell r="I12" t="str">
            <v>NATURAL DISASTER</v>
          </cell>
          <cell r="J12" t="str">
            <v>Y</v>
          </cell>
          <cell r="K12" t="str">
            <v>NA</v>
          </cell>
          <cell r="T12" t="str">
            <v>TNT Airways15Jun06</v>
          </cell>
          <cell r="U12" t="str">
            <v>TNT Airways</v>
          </cell>
          <cell r="V12">
            <v>38883</v>
          </cell>
          <cell r="Y12">
            <v>1</v>
          </cell>
          <cell r="AN12" t="str">
            <v>AirlineContingentHull DeductibleHull Deductible</v>
          </cell>
        </row>
        <row r="13">
          <cell r="C13" t="str">
            <v>Aircraft manufacturer</v>
          </cell>
          <cell r="D13" t="str">
            <v>Y</v>
          </cell>
          <cell r="E13" t="str">
            <v>Major</v>
          </cell>
          <cell r="I13" t="str">
            <v>PERSONAL ACCIDENT</v>
          </cell>
          <cell r="J13" t="str">
            <v>Y</v>
          </cell>
          <cell r="K13" t="str">
            <v>Liability</v>
          </cell>
          <cell r="T13" t="str">
            <v>AMC Aviation24Jun06</v>
          </cell>
          <cell r="U13" t="str">
            <v>AMC Aviation</v>
          </cell>
          <cell r="V13">
            <v>38892</v>
          </cell>
          <cell r="Y13">
            <v>1</v>
          </cell>
          <cell r="AN13" t="str">
            <v>AirlineContingentAll RisksLiability</v>
          </cell>
        </row>
        <row r="14">
          <cell r="C14" t="str">
            <v>Aircraft manufacturer - GA</v>
          </cell>
          <cell r="D14" t="str">
            <v>Y</v>
          </cell>
          <cell r="E14" t="str">
            <v>Major</v>
          </cell>
          <cell r="I14" t="str">
            <v>SPARES</v>
          </cell>
          <cell r="J14" t="str">
            <v>Y</v>
          </cell>
          <cell r="K14" t="str">
            <v>Hull</v>
          </cell>
          <cell r="T14" t="str">
            <v>Sibir Airlines09Jul06</v>
          </cell>
          <cell r="U14" t="str">
            <v>Sibir Airlines</v>
          </cell>
          <cell r="V14">
            <v>38907</v>
          </cell>
          <cell r="Y14">
            <v>1</v>
          </cell>
          <cell r="AN14" t="str">
            <v>AirlineContingent/Non-OwnedAll RisksHull</v>
          </cell>
        </row>
        <row r="15">
          <cell r="C15" t="str">
            <v>Personal Accident</v>
          </cell>
          <cell r="D15" t="str">
            <v>Y</v>
          </cell>
          <cell r="E15" t="str">
            <v>Non Major</v>
          </cell>
          <cell r="I15" t="str">
            <v xml:space="preserve"> TOTAL LOSS</v>
          </cell>
          <cell r="J15" t="str">
            <v>Y</v>
          </cell>
          <cell r="K15" t="str">
            <v>Hull</v>
          </cell>
          <cell r="T15" t="str">
            <v>Federal Express28Jul06</v>
          </cell>
          <cell r="U15" t="str">
            <v>Federal Express</v>
          </cell>
          <cell r="V15">
            <v>38926</v>
          </cell>
          <cell r="Y15">
            <v>1</v>
          </cell>
          <cell r="AN15" t="str">
            <v>AirlineContingent/Non-OwnedAll RisksHull War</v>
          </cell>
        </row>
        <row r="16">
          <cell r="C16" t="str">
            <v>Refuelling</v>
          </cell>
          <cell r="D16" t="str">
            <v>Y</v>
          </cell>
          <cell r="E16" t="str">
            <v>Non Major</v>
          </cell>
          <cell r="I16" t="str">
            <v>TOTAL LOSS</v>
          </cell>
          <cell r="J16" t="str">
            <v>Y</v>
          </cell>
          <cell r="K16" t="str">
            <v>Hull</v>
          </cell>
          <cell r="T16" t="str">
            <v>Comair27Aug06</v>
          </cell>
          <cell r="U16" t="str">
            <v>Comair</v>
          </cell>
          <cell r="V16">
            <v>38956</v>
          </cell>
          <cell r="Y16">
            <v>1</v>
          </cell>
          <cell r="AN16" t="str">
            <v>AirlineContingent/Non-OwnedAll RisksLiability</v>
          </cell>
        </row>
        <row r="17">
          <cell r="C17" t="str">
            <v>Service Providers</v>
          </cell>
          <cell r="D17" t="str">
            <v>Y</v>
          </cell>
          <cell r="E17" t="str">
            <v>Non Major</v>
          </cell>
          <cell r="I17" t="str">
            <v>HULL WAR</v>
          </cell>
          <cell r="J17" t="str">
            <v>Y</v>
          </cell>
          <cell r="K17" t="str">
            <v>Hull</v>
          </cell>
          <cell r="T17" t="str">
            <v>GOL / ExcelAire29Sep06</v>
          </cell>
          <cell r="U17" t="str">
            <v>GOL / ExcelAire</v>
          </cell>
          <cell r="V17">
            <v>38989</v>
          </cell>
          <cell r="Y17">
            <v>1</v>
          </cell>
          <cell r="AN17" t="str">
            <v>AirlineNANANA</v>
          </cell>
        </row>
        <row r="18">
          <cell r="C18" t="str">
            <v xml:space="preserve">Subcontractor </v>
          </cell>
          <cell r="D18" t="str">
            <v>Y</v>
          </cell>
          <cell r="E18" t="str">
            <v>Non Major</v>
          </cell>
          <cell r="I18" t="str">
            <v>LIB - LIABILITIES</v>
          </cell>
          <cell r="J18" t="str">
            <v>Y</v>
          </cell>
          <cell r="K18" t="str">
            <v>Liability</v>
          </cell>
          <cell r="T18" t="str">
            <v>PT Lion Mentari24Dec06</v>
          </cell>
          <cell r="U18" t="str">
            <v>PT Lion Mentari</v>
          </cell>
          <cell r="V18">
            <v>39075</v>
          </cell>
          <cell r="Y18">
            <v>1</v>
          </cell>
          <cell r="AN18" t="str">
            <v>AirlineOtherAll RisksAVN52 - All Risks</v>
          </cell>
        </row>
        <row r="19">
          <cell r="C19" t="str">
            <v>Subcontractor - Highly Criticl</v>
          </cell>
          <cell r="D19" t="str">
            <v>Y</v>
          </cell>
          <cell r="E19" t="str">
            <v>Major</v>
          </cell>
          <cell r="I19" t="str">
            <v>HLL - HULL DAMAGEs</v>
          </cell>
          <cell r="J19" t="str">
            <v>Y</v>
          </cell>
          <cell r="K19" t="str">
            <v>Hull</v>
          </cell>
          <cell r="T19" t="str">
            <v>Adam Air01Jan07</v>
          </cell>
          <cell r="U19" t="str">
            <v>Adam Air</v>
          </cell>
          <cell r="V19">
            <v>39083</v>
          </cell>
          <cell r="Y19">
            <v>1</v>
          </cell>
          <cell r="AN19" t="str">
            <v>AirlineOtherAll RisksHull</v>
          </cell>
        </row>
        <row r="20">
          <cell r="C20" t="str">
            <v>Subcontractor - Slghtly Critcl</v>
          </cell>
          <cell r="D20" t="str">
            <v>Y</v>
          </cell>
          <cell r="E20" t="str">
            <v>Major</v>
          </cell>
          <cell r="I20" t="str">
            <v>Z99 - Others</v>
          </cell>
          <cell r="J20" t="str">
            <v>Y</v>
          </cell>
          <cell r="K20" t="str">
            <v>Hull</v>
          </cell>
          <cell r="T20" t="str">
            <v>Nabban Investments13Feb07</v>
          </cell>
          <cell r="U20" t="str">
            <v>Nabban Investments</v>
          </cell>
          <cell r="V20">
            <v>39126</v>
          </cell>
          <cell r="Y20">
            <v>1</v>
          </cell>
          <cell r="AN20" t="str">
            <v>AirlineOtherHull DeductibleHull Deductible</v>
          </cell>
        </row>
        <row r="21">
          <cell r="C21" t="str">
            <v>Subcontractor - Critical</v>
          </cell>
          <cell r="D21" t="str">
            <v>Y</v>
          </cell>
          <cell r="E21" t="str">
            <v>Major</v>
          </cell>
          <cell r="I21" t="str">
            <v>SP - SPARES</v>
          </cell>
          <cell r="J21" t="str">
            <v>Y</v>
          </cell>
          <cell r="K21" t="str">
            <v>Hull</v>
          </cell>
          <cell r="T21" t="str">
            <v>Adam Air21Feb07</v>
          </cell>
          <cell r="U21" t="str">
            <v>Adam Air</v>
          </cell>
          <cell r="V21">
            <v>39134</v>
          </cell>
          <cell r="Y21">
            <v>1</v>
          </cell>
          <cell r="AN21" t="str">
            <v>AirlineOtherAll RisksHull War</v>
          </cell>
        </row>
        <row r="22">
          <cell r="C22" t="str">
            <v>Subcontractor - Non critical</v>
          </cell>
          <cell r="D22" t="str">
            <v>Y</v>
          </cell>
          <cell r="E22" t="str">
            <v>Non Major</v>
          </cell>
          <cell r="I22" t="str">
            <v>LIB - LIABILITIES--&gt;Luggage fall</v>
          </cell>
          <cell r="J22" t="str">
            <v>Y</v>
          </cell>
          <cell r="K22" t="str">
            <v>Liability</v>
          </cell>
          <cell r="T22" t="str">
            <v>Garuda Indonesia07Mar07</v>
          </cell>
          <cell r="U22" t="str">
            <v>Garuda Indonesia</v>
          </cell>
          <cell r="V22">
            <v>39148</v>
          </cell>
          <cell r="Y22">
            <v>1</v>
          </cell>
          <cell r="AN22" t="str">
            <v>AirlineOtherHull WarHull War</v>
          </cell>
        </row>
        <row r="23">
          <cell r="I23" t="str">
            <v>LIB - LIABILITIES--&gt;Others</v>
          </cell>
          <cell r="J23" t="str">
            <v>Y</v>
          </cell>
          <cell r="K23" t="str">
            <v>Liability</v>
          </cell>
          <cell r="T23" t="str">
            <v>Bangladesh Biman12Mar07</v>
          </cell>
          <cell r="U23" t="str">
            <v>Bangladesh Biman</v>
          </cell>
          <cell r="V23">
            <v>39153</v>
          </cell>
          <cell r="Y23">
            <v>1</v>
          </cell>
          <cell r="AN23" t="str">
            <v>AirlineOtherAll RisksLiability</v>
          </cell>
        </row>
        <row r="24">
          <cell r="I24" t="str">
            <v>BRK - ENGINE DAMAGE</v>
          </cell>
          <cell r="J24" t="str">
            <v>Y</v>
          </cell>
          <cell r="K24" t="str">
            <v>Hull</v>
          </cell>
          <cell r="T24" t="str">
            <v>Gulf Air Maintenance Fire19Apr07</v>
          </cell>
          <cell r="U24" t="str">
            <v>Gulf Air Maintenance Fire</v>
          </cell>
          <cell r="V24">
            <v>39191</v>
          </cell>
          <cell r="Y24">
            <v>1</v>
          </cell>
          <cell r="AN24" t="str">
            <v>AirlinePassengerAV52 - All RisksAV52 - All Risks</v>
          </cell>
        </row>
        <row r="25">
          <cell r="I25" t="str">
            <v>LIB - LIABILITIES--&gt;Damage caused by passenger</v>
          </cell>
          <cell r="J25" t="str">
            <v>Y</v>
          </cell>
          <cell r="K25" t="str">
            <v>Liability</v>
          </cell>
          <cell r="T25" t="str">
            <v>Kenya Airways05May07</v>
          </cell>
          <cell r="U25" t="str">
            <v>Kenya Airways</v>
          </cell>
          <cell r="V25">
            <v>39207</v>
          </cell>
          <cell r="Y25">
            <v>1</v>
          </cell>
          <cell r="AN25" t="str">
            <v>AirlinePassengerAll RisksAVN52 - ALL RISKS</v>
          </cell>
        </row>
        <row r="26">
          <cell r="I26" t="str">
            <v>LIB - LIABILITIES--&gt;Fall/board brid</v>
          </cell>
          <cell r="J26" t="str">
            <v>Y</v>
          </cell>
          <cell r="K26" t="str">
            <v>Liability</v>
          </cell>
          <cell r="T26" t="str">
            <v>Air Canada Jazz20May07</v>
          </cell>
          <cell r="U26" t="str">
            <v>Air Canada Jazz</v>
          </cell>
          <cell r="V26">
            <v>39222</v>
          </cell>
          <cell r="Y26">
            <v>1</v>
          </cell>
          <cell r="AN26" t="str">
            <v>AirlinePassengerAll RisksHull</v>
          </cell>
        </row>
        <row r="27">
          <cell r="I27" t="str">
            <v>LIB - LIABILITIES--&gt;Damage caused by crew</v>
          </cell>
          <cell r="J27" t="str">
            <v>Y</v>
          </cell>
          <cell r="K27" t="str">
            <v>Liability</v>
          </cell>
          <cell r="T27" t="str">
            <v>Jet Airways01Jul07</v>
          </cell>
          <cell r="U27" t="str">
            <v>Jet Airways</v>
          </cell>
          <cell r="V27">
            <v>39264</v>
          </cell>
          <cell r="Y27">
            <v>1</v>
          </cell>
          <cell r="AN27" t="str">
            <v>AirlinePassengerHull DeductibleHull Deductible</v>
          </cell>
        </row>
        <row r="28">
          <cell r="I28" t="str">
            <v>LIB - LIABILITIES--&gt;Hot drink spill</v>
          </cell>
          <cell r="J28" t="str">
            <v>Y</v>
          </cell>
          <cell r="K28" t="str">
            <v>Liability</v>
          </cell>
          <cell r="T28" t="str">
            <v>TAM17Jul07</v>
          </cell>
          <cell r="U28" t="str">
            <v>TAM</v>
          </cell>
          <cell r="V28">
            <v>39280</v>
          </cell>
          <cell r="Y28">
            <v>1</v>
          </cell>
          <cell r="AN28" t="str">
            <v>AirlinePassengerAll RisksHull War</v>
          </cell>
        </row>
        <row r="29">
          <cell r="I29" t="str">
            <v>LIB - LIABILITIES--&gt;Broken tooth</v>
          </cell>
          <cell r="J29" t="str">
            <v>Y</v>
          </cell>
          <cell r="K29" t="str">
            <v>Liability</v>
          </cell>
          <cell r="T29" t="str">
            <v>Aerorepublica17Jul07</v>
          </cell>
          <cell r="U29" t="str">
            <v>Aerorepublica</v>
          </cell>
          <cell r="V29">
            <v>39280</v>
          </cell>
          <cell r="Y29">
            <v>2</v>
          </cell>
          <cell r="AN29" t="str">
            <v>AirlinePassengerAll RisksLiability</v>
          </cell>
        </row>
        <row r="30">
          <cell r="I30" t="str">
            <v>HLL - HULL DAMAGEs--&gt;Others</v>
          </cell>
          <cell r="J30" t="str">
            <v>Y</v>
          </cell>
          <cell r="K30" t="str">
            <v>Hull</v>
          </cell>
          <cell r="T30" t="str">
            <v>Sorem23Jul07</v>
          </cell>
          <cell r="U30" t="str">
            <v>Sorem</v>
          </cell>
          <cell r="V30">
            <v>39286</v>
          </cell>
          <cell r="Y30">
            <v>1</v>
          </cell>
          <cell r="AN30" t="str">
            <v>AirlineSports TeamAll RisksAVN52 - ALL RISKS</v>
          </cell>
        </row>
        <row r="31">
          <cell r="I31" t="str">
            <v>LIB - LIABILITIES--&gt;Weelchair passenger</v>
          </cell>
          <cell r="J31" t="str">
            <v>Y</v>
          </cell>
          <cell r="K31" t="str">
            <v>Liability</v>
          </cell>
          <cell r="T31" t="str">
            <v>Air Tahiti - Air Moorea09Aug07</v>
          </cell>
          <cell r="U31" t="str">
            <v>Air Tahiti - Air Moorea</v>
          </cell>
          <cell r="V31">
            <v>39303</v>
          </cell>
          <cell r="Y31">
            <v>1</v>
          </cell>
          <cell r="AN31" t="str">
            <v>AirlineSports TeamAll RisksHull</v>
          </cell>
        </row>
        <row r="32">
          <cell r="I32" t="str">
            <v>PA - PERSONAL ACCIDENT--&gt;Turbulence</v>
          </cell>
          <cell r="J32" t="str">
            <v>Y</v>
          </cell>
          <cell r="K32" t="str">
            <v>Liability</v>
          </cell>
          <cell r="T32" t="str">
            <v>Jeju Air12Aug07</v>
          </cell>
          <cell r="U32" t="str">
            <v>Jeju Air</v>
          </cell>
          <cell r="V32">
            <v>39306</v>
          </cell>
          <cell r="Y32">
            <v>1</v>
          </cell>
          <cell r="AN32" t="str">
            <v>AirlineSports TeamHull DeductibleHull Deductible</v>
          </cell>
        </row>
        <row r="33">
          <cell r="I33" t="str">
            <v>LIB - LIABILITIES--&gt;Landing</v>
          </cell>
          <cell r="J33" t="str">
            <v>Y</v>
          </cell>
          <cell r="K33" t="str">
            <v>Liability</v>
          </cell>
          <cell r="T33" t="str">
            <v>China Airlines20Aug07</v>
          </cell>
          <cell r="U33" t="str">
            <v>China Airlines</v>
          </cell>
          <cell r="V33">
            <v>39314</v>
          </cell>
          <cell r="Y33">
            <v>1</v>
          </cell>
          <cell r="AN33" t="str">
            <v>AirlineSports TeamAll RisksLiability</v>
          </cell>
        </row>
        <row r="34">
          <cell r="I34" t="str">
            <v>LIB - LIABILITIES--&gt;Boarding refusal</v>
          </cell>
          <cell r="J34" t="str">
            <v>Y</v>
          </cell>
          <cell r="K34" t="str">
            <v>Liability</v>
          </cell>
          <cell r="T34" t="str">
            <v>One-Two Go Airlines16Sep07</v>
          </cell>
          <cell r="U34" t="str">
            <v>One-Two Go Airlines</v>
          </cell>
          <cell r="V34">
            <v>39341</v>
          </cell>
          <cell r="Y34">
            <v>1</v>
          </cell>
          <cell r="AN34" t="str">
            <v>AirlineUnknownAll RisksAVN52 - ALL RISKS</v>
          </cell>
        </row>
        <row r="35">
          <cell r="I35" t="str">
            <v>LIB - LIABILITIES--&gt;Food related problem</v>
          </cell>
          <cell r="J35" t="str">
            <v>Y</v>
          </cell>
          <cell r="K35" t="str">
            <v>Liability</v>
          </cell>
          <cell r="T35" t="str">
            <v>AMC Aviation11Oct07</v>
          </cell>
          <cell r="U35" t="str">
            <v>AMC Aviation</v>
          </cell>
          <cell r="V35">
            <v>39366</v>
          </cell>
          <cell r="Y35">
            <v>1</v>
          </cell>
          <cell r="AN35" t="str">
            <v>AirlineUnknownAll RisksHull</v>
          </cell>
        </row>
        <row r="36">
          <cell r="I36" t="str">
            <v>LIB - LIABILITIES--&gt;fall during bus transfer</v>
          </cell>
          <cell r="J36" t="str">
            <v>Y</v>
          </cell>
          <cell r="K36" t="str">
            <v>Liability</v>
          </cell>
          <cell r="T36" t="str">
            <v>Philippine Airlines26Oct07</v>
          </cell>
          <cell r="U36" t="str">
            <v>Philippine Airlines</v>
          </cell>
          <cell r="V36">
            <v>39381</v>
          </cell>
          <cell r="Y36">
            <v>1</v>
          </cell>
          <cell r="AN36" t="str">
            <v>AirlineUnknownHull DeductibleHull Deductible</v>
          </cell>
        </row>
        <row r="37">
          <cell r="I37" t="str">
            <v>LIB - LIABILITIES--&gt;Discomfort</v>
          </cell>
          <cell r="J37" t="str">
            <v>Y</v>
          </cell>
          <cell r="K37" t="str">
            <v>Liability</v>
          </cell>
          <cell r="T37" t="str">
            <v>Air Europa28Oct07</v>
          </cell>
          <cell r="U37" t="str">
            <v>Air Europa</v>
          </cell>
          <cell r="V37">
            <v>39383</v>
          </cell>
          <cell r="Y37">
            <v>1</v>
          </cell>
          <cell r="AN37" t="str">
            <v>AirlineUnknownAll RisksHull War</v>
          </cell>
        </row>
        <row r="38">
          <cell r="I38" t="str">
            <v>SP - SPARES--&gt;Others</v>
          </cell>
          <cell r="J38" t="str">
            <v>Y</v>
          </cell>
          <cell r="K38" t="str">
            <v>Hull</v>
          </cell>
          <cell r="T38" t="str">
            <v>Mitsubishi Heavy Industry31Oct07</v>
          </cell>
          <cell r="U38" t="str">
            <v>Mitsubishi Heavy Industry</v>
          </cell>
          <cell r="V38">
            <v>39386</v>
          </cell>
          <cell r="Y38">
            <v>1</v>
          </cell>
          <cell r="AN38" t="str">
            <v>AirlineUnknownAll RisksLiability</v>
          </cell>
        </row>
        <row r="39">
          <cell r="I39" t="str">
            <v>TL - TOTAL LOSS</v>
          </cell>
          <cell r="J39" t="str">
            <v>Y</v>
          </cell>
          <cell r="K39" t="str">
            <v>Hull</v>
          </cell>
          <cell r="T39" t="str">
            <v>Iberia09Nov07</v>
          </cell>
          <cell r="U39" t="str">
            <v>Iberia</v>
          </cell>
          <cell r="V39">
            <v>39395</v>
          </cell>
          <cell r="Y39">
            <v>1</v>
          </cell>
          <cell r="AN39" t="str">
            <v>AirlineUnknownAll RisksPD</v>
          </cell>
        </row>
        <row r="40">
          <cell r="I40" t="str">
            <v>HLL - HULL DAMAGEs--&gt;Food related problem</v>
          </cell>
          <cell r="J40" t="str">
            <v>Y</v>
          </cell>
          <cell r="K40" t="str">
            <v>Hull</v>
          </cell>
          <cell r="T40" t="str">
            <v>European Aeronautic Defence and Space15Nov07</v>
          </cell>
          <cell r="U40" t="str">
            <v>European Aeronautic Defence and Space</v>
          </cell>
          <cell r="V40">
            <v>39401</v>
          </cell>
          <cell r="Y40">
            <v>1</v>
          </cell>
          <cell r="AN40" t="str">
            <v>AirlineUnknownUnknownUnknown</v>
          </cell>
        </row>
        <row r="41">
          <cell r="I41" t="str">
            <v>LIB - LIABILITIES--&gt;Barotrauma</v>
          </cell>
          <cell r="J41" t="str">
            <v>Y</v>
          </cell>
          <cell r="K41" t="str">
            <v>Liability</v>
          </cell>
          <cell r="T41" t="str">
            <v>Atlasjet Airlines30Nov07</v>
          </cell>
          <cell r="U41" t="str">
            <v>Atlasjet Airlines</v>
          </cell>
          <cell r="V41">
            <v>39416</v>
          </cell>
          <cell r="Y41">
            <v>1</v>
          </cell>
          <cell r="AN41" t="str">
            <v>General AviationCharterAll RisksHull</v>
          </cell>
        </row>
        <row r="42">
          <cell r="I42" t="str">
            <v>LIB - LIABILITIES--&gt;Deep vein thrombosis</v>
          </cell>
          <cell r="J42" t="str">
            <v>Y</v>
          </cell>
          <cell r="K42" t="str">
            <v>Liability</v>
          </cell>
          <cell r="T42" t="str">
            <v>Tarom30Dec07</v>
          </cell>
          <cell r="U42" t="str">
            <v>Tarom</v>
          </cell>
          <cell r="V42">
            <v>39446</v>
          </cell>
          <cell r="Y42">
            <v>1</v>
          </cell>
          <cell r="AN42" t="str">
            <v>General AviationCharterHull WarHull War</v>
          </cell>
        </row>
        <row r="43">
          <cell r="I43" t="str">
            <v>LIB - LIABILITIES--&gt;Lack of assistance</v>
          </cell>
          <cell r="J43" t="str">
            <v>Y</v>
          </cell>
          <cell r="K43" t="str">
            <v>Liability</v>
          </cell>
          <cell r="T43" t="str">
            <v>British Airways17Jan08</v>
          </cell>
          <cell r="U43" t="str">
            <v>British Airways</v>
          </cell>
          <cell r="V43">
            <v>39464</v>
          </cell>
          <cell r="Y43">
            <v>1</v>
          </cell>
          <cell r="AN43" t="str">
            <v>General AviationCharterAll RisksLiability</v>
          </cell>
        </row>
        <row r="44">
          <cell r="I44" t="str">
            <v>LIB - LIABILITIES--&gt;Turbulence</v>
          </cell>
          <cell r="J44" t="str">
            <v>Y</v>
          </cell>
          <cell r="K44" t="str">
            <v>Liability</v>
          </cell>
          <cell r="T44" t="str">
            <v>Atlas Air 02Feb08</v>
          </cell>
          <cell r="U44" t="str">
            <v xml:space="preserve">Atlas Air </v>
          </cell>
          <cell r="V44">
            <v>39480</v>
          </cell>
          <cell r="Y44">
            <v>1</v>
          </cell>
          <cell r="AN44" t="str">
            <v>General AviationCHECKAll RisksHull</v>
          </cell>
        </row>
        <row r="45">
          <cell r="I45" t="str">
            <v>L36 - LI-Medicare--&gt;Weelchair passenger</v>
          </cell>
          <cell r="J45" t="str">
            <v>Y</v>
          </cell>
          <cell r="K45" t="str">
            <v>Liability</v>
          </cell>
          <cell r="T45" t="str">
            <v>Belavia14Feb08</v>
          </cell>
          <cell r="U45" t="str">
            <v>Belavia</v>
          </cell>
          <cell r="V45">
            <v>39492</v>
          </cell>
          <cell r="Y45">
            <v>1</v>
          </cell>
          <cell r="AN45" t="str">
            <v>General AviationCHECKAll RisksLiability</v>
          </cell>
        </row>
        <row r="46">
          <cell r="I46" t="str">
            <v>HLL - HULL DAMAGEs--&gt;Landing</v>
          </cell>
          <cell r="J46" t="str">
            <v>Y</v>
          </cell>
          <cell r="K46" t="str">
            <v>Liability</v>
          </cell>
          <cell r="T46" t="str">
            <v>Santa Barbara Airlines21Feb08</v>
          </cell>
          <cell r="U46" t="str">
            <v>Santa Barbara Airlines</v>
          </cell>
          <cell r="V46">
            <v>39499</v>
          </cell>
          <cell r="Y46">
            <v>1</v>
          </cell>
          <cell r="AN46" t="str">
            <v>General AviationCommercialAll RisksHull</v>
          </cell>
        </row>
        <row r="47">
          <cell r="I47" t="str">
            <v>L36 - LI-Medicare</v>
          </cell>
          <cell r="J47" t="str">
            <v>Y</v>
          </cell>
          <cell r="K47" t="str">
            <v>Liability</v>
          </cell>
          <cell r="T47" t="str">
            <v>Air Algerie14Mar08</v>
          </cell>
          <cell r="U47" t="str">
            <v>Air Algerie</v>
          </cell>
          <cell r="V47">
            <v>39521</v>
          </cell>
          <cell r="Y47">
            <v>1</v>
          </cell>
          <cell r="AN47" t="str">
            <v>General AviationCommercialHull DeductibleHull Deductible</v>
          </cell>
        </row>
        <row r="48">
          <cell r="I48" t="str">
            <v>HLL - HULL DAMAGEs--&gt;Hot drink spill</v>
          </cell>
          <cell r="J48" t="str">
            <v>Y</v>
          </cell>
          <cell r="K48" t="str">
            <v>Hull</v>
          </cell>
          <cell r="T48" t="str">
            <v>Saudi Arabian Airlines25Mar08</v>
          </cell>
          <cell r="U48" t="str">
            <v>Saudi Arabian Airlines</v>
          </cell>
          <cell r="V48">
            <v>39532</v>
          </cell>
          <cell r="Y48">
            <v>1</v>
          </cell>
          <cell r="AN48" t="str">
            <v>General AviationCommercialAll RisksHull War</v>
          </cell>
        </row>
        <row r="49">
          <cell r="I49" t="str">
            <v>LIABILITIES</v>
          </cell>
          <cell r="J49" t="str">
            <v>Y</v>
          </cell>
          <cell r="K49" t="str">
            <v>Liability</v>
          </cell>
          <cell r="T49" t="str">
            <v>Sudan Airways10Jun08</v>
          </cell>
          <cell r="U49" t="str">
            <v>Sudan Airways</v>
          </cell>
          <cell r="V49">
            <v>39609</v>
          </cell>
          <cell r="Y49">
            <v>1</v>
          </cell>
          <cell r="AN49" t="str">
            <v>General AviationCommercialHull WarHull War</v>
          </cell>
        </row>
        <row r="50">
          <cell r="I50" t="str">
            <v>LIB - LIABILITIES--&gt;Take-off</v>
          </cell>
          <cell r="J50" t="str">
            <v>Y</v>
          </cell>
          <cell r="K50" t="str">
            <v>Liability</v>
          </cell>
          <cell r="T50" t="str">
            <v>ABX Air (DHL)29Jun08</v>
          </cell>
          <cell r="U50" t="str">
            <v>ABX Air (DHL)</v>
          </cell>
          <cell r="V50">
            <v>39628</v>
          </cell>
          <cell r="Y50">
            <v>1</v>
          </cell>
          <cell r="AN50" t="str">
            <v>General AviationCommercialAll RisksLiability</v>
          </cell>
        </row>
        <row r="51">
          <cell r="I51" t="str">
            <v>LU - LOSS OF USE</v>
          </cell>
          <cell r="J51" t="str">
            <v>Y</v>
          </cell>
          <cell r="K51" t="str">
            <v>NA</v>
          </cell>
          <cell r="T51" t="str">
            <v>Qantas25Jul08</v>
          </cell>
          <cell r="U51" t="str">
            <v>Qantas</v>
          </cell>
          <cell r="V51">
            <v>39654</v>
          </cell>
          <cell r="Y51">
            <v>1</v>
          </cell>
          <cell r="AN51" t="str">
            <v>General AviationCommercialUnknownUnknown</v>
          </cell>
        </row>
        <row r="52">
          <cell r="I52" t="str">
            <v>Z99 - Others--&gt;Others</v>
          </cell>
          <cell r="J52" t="str">
            <v>Y</v>
          </cell>
          <cell r="K52" t="str">
            <v>Hull</v>
          </cell>
          <cell r="T52" t="str">
            <v>Vietnam Airlines29Jul08</v>
          </cell>
          <cell r="U52" t="str">
            <v>Vietnam Airlines</v>
          </cell>
          <cell r="V52">
            <v>39658</v>
          </cell>
          <cell r="Y52">
            <v>1</v>
          </cell>
          <cell r="AN52" t="str">
            <v>General AviationCommercial</v>
          </cell>
        </row>
        <row r="53">
          <cell r="I53" t="str">
            <v>L36 - LI-Medicare--&gt;Discomfort</v>
          </cell>
          <cell r="J53" t="str">
            <v>Y</v>
          </cell>
          <cell r="K53" t="str">
            <v>Liability</v>
          </cell>
          <cell r="T53" t="str">
            <v>All Nippon Airways03Aug08</v>
          </cell>
          <cell r="U53" t="str">
            <v>All Nippon Airways</v>
          </cell>
          <cell r="V53">
            <v>39663</v>
          </cell>
          <cell r="Y53">
            <v>1</v>
          </cell>
          <cell r="AN53" t="str">
            <v>General AviationContingent/Non-OwnedAll RisksHull</v>
          </cell>
        </row>
        <row r="54">
          <cell r="I54" t="str">
            <v>PA - PERSONAL ACCIDENT</v>
          </cell>
          <cell r="J54" t="str">
            <v>Y</v>
          </cell>
          <cell r="K54" t="str">
            <v>Liability</v>
          </cell>
          <cell r="T54" t="str">
            <v>Spanair20Aug08</v>
          </cell>
          <cell r="U54" t="str">
            <v>Spanair</v>
          </cell>
          <cell r="V54">
            <v>39680</v>
          </cell>
          <cell r="Y54">
            <v>1</v>
          </cell>
          <cell r="AN54" t="str">
            <v>General AviationContingent/Non-OwnedAll RisksLiability</v>
          </cell>
        </row>
        <row r="55">
          <cell r="I55" t="str">
            <v>GUE - WAR RISK</v>
          </cell>
          <cell r="J55" t="str">
            <v>Y</v>
          </cell>
          <cell r="K55" t="str">
            <v>Hull</v>
          </cell>
          <cell r="T55" t="str">
            <v>Aero Ruta Maya24Aug08</v>
          </cell>
          <cell r="U55" t="str">
            <v>Aero Ruta Maya</v>
          </cell>
          <cell r="V55">
            <v>39684</v>
          </cell>
          <cell r="Y55">
            <v>1</v>
          </cell>
          <cell r="AN55" t="str">
            <v>General AviationGliders/BalloonsAll RisksHull</v>
          </cell>
        </row>
        <row r="56">
          <cell r="I56" t="str">
            <v>OTL - OBVIOUS TOTAL LOSS</v>
          </cell>
          <cell r="J56" t="str">
            <v>Y</v>
          </cell>
          <cell r="K56" t="str">
            <v>Hull</v>
          </cell>
          <cell r="T56" t="str">
            <v>Aeroflot-Nord14Sep08</v>
          </cell>
          <cell r="U56" t="str">
            <v>Aeroflot-Nord</v>
          </cell>
          <cell r="V56">
            <v>39705</v>
          </cell>
          <cell r="Y56">
            <v>1</v>
          </cell>
          <cell r="AN56" t="str">
            <v>General AviationGliders/BalloonsAll RisksLiability</v>
          </cell>
        </row>
        <row r="57">
          <cell r="I57" t="str">
            <v>CTL - CONSTRUCTIVE TOTAL LOSS</v>
          </cell>
          <cell r="J57" t="str">
            <v>Y</v>
          </cell>
          <cell r="K57" t="str">
            <v>Hull</v>
          </cell>
          <cell r="T57" t="str">
            <v>Balli Group15Oct08</v>
          </cell>
          <cell r="U57" t="str">
            <v>Balli Group</v>
          </cell>
          <cell r="V57">
            <v>39736</v>
          </cell>
          <cell r="Y57">
            <v>1</v>
          </cell>
          <cell r="AN57" t="str">
            <v>General AviationIndustrial AidAll RisksHull</v>
          </cell>
        </row>
        <row r="58">
          <cell r="I58" t="str">
            <v>PA - PERSONAL ACCIDENT--&gt;Take-off</v>
          </cell>
          <cell r="J58" t="str">
            <v>Y</v>
          </cell>
          <cell r="K58" t="str">
            <v>Liability</v>
          </cell>
          <cell r="T58" t="str">
            <v>Cargo B Airlines27Oct08</v>
          </cell>
          <cell r="U58" t="str">
            <v>Cargo B Airlines</v>
          </cell>
          <cell r="V58">
            <v>39748</v>
          </cell>
          <cell r="Y58">
            <v>1</v>
          </cell>
          <cell r="AN58" t="str">
            <v>General AviationIndustrial AidAll RisksHull War</v>
          </cell>
        </row>
        <row r="59">
          <cell r="I59" t="str">
            <v>PERSONAL ACCIDENT</v>
          </cell>
          <cell r="J59" t="str">
            <v>Y</v>
          </cell>
          <cell r="K59" t="str">
            <v>Liability</v>
          </cell>
          <cell r="T59" t="str">
            <v>Ryanair10Nov08</v>
          </cell>
          <cell r="U59" t="str">
            <v>Ryanair</v>
          </cell>
          <cell r="V59">
            <v>39762</v>
          </cell>
          <cell r="Y59">
            <v>1</v>
          </cell>
          <cell r="AN59" t="str">
            <v>General AviationIndustrial AidHull WarHull War</v>
          </cell>
        </row>
        <row r="60">
          <cell r="I60" t="str">
            <v>WAR - WARRANTY SURVEY</v>
          </cell>
          <cell r="J60" t="str">
            <v>Y</v>
          </cell>
          <cell r="K60" t="str">
            <v>Hull</v>
          </cell>
          <cell r="T60" t="str">
            <v>XL Airways27Nov08</v>
          </cell>
          <cell r="U60" t="str">
            <v>XL Airways</v>
          </cell>
          <cell r="V60">
            <v>39779</v>
          </cell>
          <cell r="Y60">
            <v>1</v>
          </cell>
          <cell r="AN60" t="str">
            <v>General AviationIndustrial AidAll RisksLiability</v>
          </cell>
        </row>
        <row r="61">
          <cell r="I61" t="str">
            <v>PA - PERSONAL ACCIDENT--&gt;Landing</v>
          </cell>
          <cell r="J61" t="str">
            <v>Y</v>
          </cell>
          <cell r="K61" t="str">
            <v>Liability</v>
          </cell>
          <cell r="T61" t="str">
            <v>Continental Airlines20Dec08</v>
          </cell>
          <cell r="U61" t="str">
            <v>Continental Airlines</v>
          </cell>
          <cell r="V61">
            <v>39802</v>
          </cell>
          <cell r="Y61">
            <v>1</v>
          </cell>
          <cell r="AN61" t="str">
            <v>General AviationInstruction And RentalAll RisksHull</v>
          </cell>
        </row>
        <row r="62">
          <cell r="I62" t="str">
            <v>AVD - MISCELLANEOUS DAMAGES</v>
          </cell>
          <cell r="J62" t="str">
            <v>Y</v>
          </cell>
          <cell r="K62" t="str">
            <v>Hull</v>
          </cell>
          <cell r="T62" t="str">
            <v>Zest Airways11Jan09</v>
          </cell>
          <cell r="U62" t="str">
            <v>Zest Airways</v>
          </cell>
          <cell r="V62">
            <v>39824</v>
          </cell>
          <cell r="Y62">
            <v>1</v>
          </cell>
          <cell r="AN62" t="str">
            <v>General AviationInstruction And RentalAll RisksLiability</v>
          </cell>
        </row>
        <row r="63">
          <cell r="I63" t="str">
            <v>PA - PERSONAL ACCIDENT--&gt;Others</v>
          </cell>
          <cell r="J63" t="str">
            <v>Y</v>
          </cell>
          <cell r="K63" t="str">
            <v>Liability</v>
          </cell>
          <cell r="T63" t="str">
            <v>US Airways15Jan09</v>
          </cell>
          <cell r="U63" t="str">
            <v>US Airways</v>
          </cell>
          <cell r="V63">
            <v>39828</v>
          </cell>
          <cell r="Y63">
            <v>1</v>
          </cell>
          <cell r="AN63" t="str">
            <v>General AviationInstruction And RentalUnknownUnknown</v>
          </cell>
        </row>
        <row r="64">
          <cell r="I64" t="str">
            <v>NDI - NATURAL DISASTER</v>
          </cell>
          <cell r="J64" t="str">
            <v>Y</v>
          </cell>
          <cell r="K64" t="str">
            <v>NA</v>
          </cell>
          <cell r="T64" t="str">
            <v>Air Mediterranee09Feb09</v>
          </cell>
          <cell r="U64" t="str">
            <v>Air Mediterranee</v>
          </cell>
          <cell r="V64">
            <v>39853</v>
          </cell>
          <cell r="Y64">
            <v>1</v>
          </cell>
          <cell r="AN64" t="str">
            <v>General AviationInstruction And Rental</v>
          </cell>
        </row>
        <row r="65">
          <cell r="I65" t="str">
            <v>HLL - HULL DAMAGEs--&gt;Take-off</v>
          </cell>
          <cell r="J65" t="str">
            <v>Y</v>
          </cell>
          <cell r="K65" t="str">
            <v>Hull</v>
          </cell>
          <cell r="T65" t="str">
            <v>Colgan Air12Feb09</v>
          </cell>
          <cell r="U65" t="str">
            <v>Colgan Air</v>
          </cell>
          <cell r="V65">
            <v>39856</v>
          </cell>
          <cell r="Y65">
            <v>1</v>
          </cell>
          <cell r="AN65" t="str">
            <v>General AviationMilitaryAll RisksHull</v>
          </cell>
        </row>
        <row r="66">
          <cell r="I66" t="str">
            <v>HLL - HULL DAMAGEs--&gt;Discomfort</v>
          </cell>
          <cell r="J66" t="str">
            <v>Y</v>
          </cell>
          <cell r="K66" t="str">
            <v>Hull</v>
          </cell>
          <cell r="T66" t="str">
            <v>Bond Helicopters18Feb09</v>
          </cell>
          <cell r="U66" t="str">
            <v>Bond Helicopters</v>
          </cell>
          <cell r="V66">
            <v>39862</v>
          </cell>
          <cell r="Y66">
            <v>1</v>
          </cell>
          <cell r="AN66" t="str">
            <v>General AviationMilitaryAll RisksLiability</v>
          </cell>
        </row>
        <row r="67">
          <cell r="I67" t="str">
            <v>HLL - HULL DAMAGEs--&gt;Damage caused by crew</v>
          </cell>
          <cell r="J67" t="str">
            <v>Y</v>
          </cell>
          <cell r="K67" t="str">
            <v>Hull</v>
          </cell>
          <cell r="T67" t="str">
            <v>Turkish Airlines25Feb09</v>
          </cell>
          <cell r="U67" t="str">
            <v>Turkish Airlines</v>
          </cell>
          <cell r="V67">
            <v>39869</v>
          </cell>
          <cell r="Y67">
            <v>1</v>
          </cell>
          <cell r="AN67" t="str">
            <v>General AviationNANANA</v>
          </cell>
        </row>
        <row r="68">
          <cell r="I68" t="str">
            <v>HLL - HULL DAMAGEs--&gt;Turbulence</v>
          </cell>
          <cell r="J68" t="str">
            <v>Y</v>
          </cell>
          <cell r="K68" t="str">
            <v>Hull</v>
          </cell>
          <cell r="T68" t="str">
            <v>PT Lion Mentari Airlines09Mar09</v>
          </cell>
          <cell r="U68" t="str">
            <v>PT Lion Mentari Airlines</v>
          </cell>
          <cell r="V68">
            <v>39881</v>
          </cell>
          <cell r="Y68">
            <v>1</v>
          </cell>
          <cell r="AN68" t="str">
            <v>General AviationNon-OwnedAll RisksLiability</v>
          </cell>
        </row>
        <row r="69">
          <cell r="I69" t="str">
            <v>NATURAL DISASTER</v>
          </cell>
          <cell r="J69" t="str">
            <v>Y</v>
          </cell>
          <cell r="K69" t="str">
            <v>NA</v>
          </cell>
          <cell r="T69" t="str">
            <v>VIH Cougar Helicopter12Mar09</v>
          </cell>
          <cell r="U69" t="str">
            <v>VIH Cougar Helicopter</v>
          </cell>
          <cell r="V69">
            <v>39884</v>
          </cell>
          <cell r="Y69">
            <v>1</v>
          </cell>
          <cell r="AN69" t="str">
            <v>General AviationOtherAll RisksHull</v>
          </cell>
        </row>
        <row r="70">
          <cell r="I70" t="str">
            <v>AVD - MISCELLANEOUS DAMAGES--&gt;Others</v>
          </cell>
          <cell r="J70" t="str">
            <v>Y</v>
          </cell>
          <cell r="K70" t="str">
            <v>Hull</v>
          </cell>
          <cell r="T70" t="str">
            <v>Emirates20Mar09</v>
          </cell>
          <cell r="U70" t="str">
            <v>Emirates</v>
          </cell>
          <cell r="V70">
            <v>39892</v>
          </cell>
          <cell r="Y70">
            <v>1</v>
          </cell>
          <cell r="AN70" t="str">
            <v>General AviationOtherHull DeductibleHull Deductible</v>
          </cell>
        </row>
        <row r="71">
          <cell r="I71" t="str">
            <v>BRK - ENGINE DAMAGE--&gt;Others</v>
          </cell>
          <cell r="J71" t="str">
            <v>Y</v>
          </cell>
          <cell r="K71" t="str">
            <v>Hull</v>
          </cell>
          <cell r="T71" t="str">
            <v>Federal Express23Mar09</v>
          </cell>
          <cell r="U71" t="str">
            <v>Federal Express</v>
          </cell>
          <cell r="V71">
            <v>39895</v>
          </cell>
          <cell r="Y71">
            <v>1</v>
          </cell>
          <cell r="AN71" t="str">
            <v>General AviationOtherHull WarHull War</v>
          </cell>
        </row>
        <row r="72">
          <cell r="I72" t="str">
            <v>TL - TOTAL LOSS--&gt;Landing</v>
          </cell>
          <cell r="J72" t="str">
            <v>Y</v>
          </cell>
          <cell r="K72" t="str">
            <v>Hull</v>
          </cell>
          <cell r="T72" t="str">
            <v>Bond Helicopters01Apr09</v>
          </cell>
          <cell r="U72" t="str">
            <v>Bond Helicopters</v>
          </cell>
          <cell r="V72">
            <v>39904</v>
          </cell>
          <cell r="Y72">
            <v>1</v>
          </cell>
          <cell r="AN72" t="str">
            <v>General AviationOtherAll RisksLiability</v>
          </cell>
        </row>
        <row r="73">
          <cell r="I73" t="str">
            <v>TL - TOTAL LOSS--&gt;Others</v>
          </cell>
          <cell r="J73" t="str">
            <v>Y</v>
          </cell>
          <cell r="K73" t="str">
            <v>Hull</v>
          </cell>
          <cell r="T73" t="str">
            <v>Royal Air Maroc20Apr09</v>
          </cell>
          <cell r="U73" t="str">
            <v>Royal Air Maroc</v>
          </cell>
          <cell r="V73">
            <v>39923</v>
          </cell>
          <cell r="Y73">
            <v>1</v>
          </cell>
          <cell r="AN73" t="str">
            <v>General AviationOther</v>
          </cell>
        </row>
        <row r="74">
          <cell r="I74" t="str">
            <v>HULL DAMAGEs</v>
          </cell>
          <cell r="J74" t="str">
            <v>Y</v>
          </cell>
          <cell r="K74" t="str">
            <v>Hull</v>
          </cell>
          <cell r="T74" t="str">
            <v>Saudi Arabian Airlines08May09</v>
          </cell>
          <cell r="U74" t="str">
            <v>Saudi Arabian Airlines</v>
          </cell>
          <cell r="V74">
            <v>39941</v>
          </cell>
          <cell r="Y74">
            <v>1</v>
          </cell>
          <cell r="AN74" t="str">
            <v>General AviationPrivate, Pleasure and BusinessAll RisksHull</v>
          </cell>
        </row>
        <row r="75">
          <cell r="I75" t="str">
            <v>HLL - HULL DAMAGEs--&gt;Lack of assistance</v>
          </cell>
          <cell r="J75" t="str">
            <v>Y</v>
          </cell>
          <cell r="K75" t="str">
            <v>Hull</v>
          </cell>
          <cell r="T75" t="str">
            <v>Air France01Jun09</v>
          </cell>
          <cell r="U75" t="str">
            <v>Air France</v>
          </cell>
          <cell r="V75">
            <v>39965</v>
          </cell>
          <cell r="Y75">
            <v>1</v>
          </cell>
          <cell r="AN75" t="str">
            <v>General AviationPrivate, Pleasure and BusinessAll RisksLiability</v>
          </cell>
        </row>
        <row r="76">
          <cell r="T76" t="str">
            <v>Saudi Arabian Airlines09Jun09</v>
          </cell>
          <cell r="U76" t="str">
            <v>Saudi Arabian Airlines</v>
          </cell>
          <cell r="V76">
            <v>39973</v>
          </cell>
          <cell r="Y76">
            <v>1</v>
          </cell>
          <cell r="AN76" t="str">
            <v>General AviationPrivate, Pleasure And Business</v>
          </cell>
        </row>
        <row r="77">
          <cell r="T77" t="str">
            <v>KLM26Jun09</v>
          </cell>
          <cell r="U77" t="str">
            <v>KLM</v>
          </cell>
          <cell r="V77">
            <v>39990</v>
          </cell>
          <cell r="Y77">
            <v>1</v>
          </cell>
          <cell r="AN77" t="str">
            <v>General AviationUAVAll RisksHull</v>
          </cell>
        </row>
        <row r="78">
          <cell r="T78" t="str">
            <v>Yemenia30Jun09</v>
          </cell>
          <cell r="U78" t="str">
            <v>Yemenia</v>
          </cell>
          <cell r="V78">
            <v>39994</v>
          </cell>
          <cell r="Y78">
            <v>1</v>
          </cell>
          <cell r="AN78" t="str">
            <v>General AviationUAVAll RisksLiability</v>
          </cell>
        </row>
        <row r="79">
          <cell r="T79" t="str">
            <v>Bangkok Airways04Aug09</v>
          </cell>
          <cell r="U79" t="str">
            <v>Bangkok Airways</v>
          </cell>
          <cell r="V79">
            <v>40029</v>
          </cell>
          <cell r="Y79">
            <v>1</v>
          </cell>
          <cell r="AN79" t="str">
            <v>General AviationUnknownAll RisksHull</v>
          </cell>
        </row>
        <row r="80">
          <cell r="T80" t="str">
            <v>TAAG29Aug09</v>
          </cell>
          <cell r="U80" t="str">
            <v>TAAG</v>
          </cell>
          <cell r="V80">
            <v>40054</v>
          </cell>
          <cell r="Y80">
            <v>1</v>
          </cell>
          <cell r="AN80" t="str">
            <v>General AviationUnknownAll RisksHull War</v>
          </cell>
        </row>
        <row r="81">
          <cell r="T81" t="str">
            <v>Air India04Sep09</v>
          </cell>
          <cell r="U81" t="str">
            <v>Air India</v>
          </cell>
          <cell r="V81">
            <v>40060</v>
          </cell>
          <cell r="Y81">
            <v>1</v>
          </cell>
          <cell r="AN81" t="str">
            <v>General AviationUnknownAll RisksLiability</v>
          </cell>
        </row>
        <row r="82">
          <cell r="T82" t="str">
            <v>Kingfisher Airlines10Nov09</v>
          </cell>
          <cell r="U82" t="str">
            <v>Kingfisher Airlines</v>
          </cell>
          <cell r="V82">
            <v>40127</v>
          </cell>
          <cell r="Y82">
            <v>1</v>
          </cell>
          <cell r="AN82" t="str">
            <v>General AviationUnknownAll RisksPD</v>
          </cell>
        </row>
        <row r="83">
          <cell r="T83" t="str">
            <v>Avient28Nov09</v>
          </cell>
          <cell r="U83" t="str">
            <v>Avient</v>
          </cell>
          <cell r="V83">
            <v>40145</v>
          </cell>
          <cell r="Y83">
            <v>1</v>
          </cell>
          <cell r="AN83" t="str">
            <v>General AviationUnknownUnknownUnknown</v>
          </cell>
        </row>
        <row r="84">
          <cell r="T84" t="str">
            <v>SA Airlink07Dec09</v>
          </cell>
          <cell r="U84" t="str">
            <v>SA Airlink</v>
          </cell>
          <cell r="V84">
            <v>40154</v>
          </cell>
          <cell r="Y84">
            <v>1</v>
          </cell>
          <cell r="AN84" t="str">
            <v>General AviationUnknown</v>
          </cell>
        </row>
        <row r="85">
          <cell r="T85" t="str">
            <v>American Airlines22Dec09</v>
          </cell>
          <cell r="U85" t="str">
            <v>American Airlines</v>
          </cell>
          <cell r="V85">
            <v>40169</v>
          </cell>
          <cell r="Y85">
            <v>1</v>
          </cell>
          <cell r="AN85" t="str">
            <v>General AviationAll RisksHull</v>
          </cell>
        </row>
        <row r="86">
          <cell r="T86" t="str">
            <v>Ethiopian Airlines25Jan10</v>
          </cell>
          <cell r="U86" t="str">
            <v>Ethiopian Airlines</v>
          </cell>
          <cell r="V86">
            <v>40203</v>
          </cell>
          <cell r="Y86">
            <v>1</v>
          </cell>
          <cell r="AN86" t="str">
            <v>General AviationAll RisksLiability</v>
          </cell>
        </row>
        <row r="87">
          <cell r="T87" t="str">
            <v>Dulles Jet Centre06Feb10</v>
          </cell>
          <cell r="U87" t="str">
            <v>Dulles Jet Centre</v>
          </cell>
          <cell r="V87">
            <v>40215</v>
          </cell>
          <cell r="Y87">
            <v>1</v>
          </cell>
          <cell r="AN87" t="str">
            <v>NANANANA</v>
          </cell>
        </row>
        <row r="88">
          <cell r="T88" t="str">
            <v>Cathay Pacific Airways19Apr08</v>
          </cell>
          <cell r="U88" t="str">
            <v>Cathay Pacific Airways</v>
          </cell>
          <cell r="V88">
            <v>39557</v>
          </cell>
          <cell r="Y88">
            <v>1</v>
          </cell>
          <cell r="AN88" t="str">
            <v>OtherSpace Third Party LiabilityAll RisksLiability</v>
          </cell>
        </row>
        <row r="89">
          <cell r="T89" t="str">
            <v>Satena05May10</v>
          </cell>
          <cell r="U89" t="str">
            <v>Satena</v>
          </cell>
          <cell r="V89">
            <v>40303</v>
          </cell>
          <cell r="Y89">
            <v>1</v>
          </cell>
          <cell r="AN89" t="str">
            <v>Products &amp; AirportsAirportAV52 - All RisksAV52 - All Risks</v>
          </cell>
        </row>
        <row r="90">
          <cell r="T90" t="str">
            <v>Afriqiyah Airlines12May10</v>
          </cell>
          <cell r="U90" t="str">
            <v>Afriqiyah Airlines</v>
          </cell>
          <cell r="V90">
            <v>40310</v>
          </cell>
          <cell r="Y90">
            <v>1</v>
          </cell>
          <cell r="AN90" t="str">
            <v>Products &amp; AirportsAirportAll RisksAVN52 - All Risks</v>
          </cell>
        </row>
        <row r="91">
          <cell r="T91" t="str">
            <v>Air India22May10</v>
          </cell>
          <cell r="U91" t="str">
            <v>Air India</v>
          </cell>
          <cell r="V91">
            <v>40320</v>
          </cell>
          <cell r="Y91">
            <v>1</v>
          </cell>
          <cell r="AN91" t="str">
            <v>Products &amp; AirportsAirportAll RisksHull</v>
          </cell>
        </row>
        <row r="92">
          <cell r="T92" t="str">
            <v>Saudi Arabian Airlines10Jun10</v>
          </cell>
          <cell r="U92" t="str">
            <v>Saudi Arabian Airlines</v>
          </cell>
          <cell r="V92">
            <v>40339</v>
          </cell>
          <cell r="Y92">
            <v>1</v>
          </cell>
          <cell r="AN92" t="str">
            <v>Products &amp; AirportsAirportAll RisksLiability</v>
          </cell>
        </row>
        <row r="93">
          <cell r="T93" t="str">
            <v>Cebu Pacific Air18Jul10</v>
          </cell>
          <cell r="U93" t="str">
            <v>Cebu Pacific Air</v>
          </cell>
          <cell r="V93">
            <v>40377</v>
          </cell>
          <cell r="Y93">
            <v>1</v>
          </cell>
          <cell r="AN93" t="str">
            <v>Products &amp; AirportsAirportAll RisksPD</v>
          </cell>
        </row>
        <row r="94">
          <cell r="T94" t="str">
            <v>Deutsche Lufthansa27Jul10</v>
          </cell>
          <cell r="U94" t="str">
            <v>Deutsche Lufthansa</v>
          </cell>
          <cell r="V94">
            <v>40386</v>
          </cell>
          <cell r="Y94">
            <v>1</v>
          </cell>
          <cell r="AN94" t="str">
            <v>Products &amp; AirportsAirportUnknownUnknown</v>
          </cell>
        </row>
        <row r="95">
          <cell r="T95" t="str">
            <v>Airblue28Jul10</v>
          </cell>
          <cell r="U95" t="str">
            <v>Airblue</v>
          </cell>
          <cell r="V95">
            <v>40387</v>
          </cell>
          <cell r="Y95">
            <v>1</v>
          </cell>
          <cell r="AN95" t="str">
            <v>Products &amp; AirportsATC StandaloneAll RisksLiability</v>
          </cell>
        </row>
        <row r="96">
          <cell r="T96" t="str">
            <v>Azerbaijan Airlines12Aug10</v>
          </cell>
          <cell r="U96" t="str">
            <v>Azerbaijan Airlines</v>
          </cell>
          <cell r="V96">
            <v>40402</v>
          </cell>
          <cell r="Y96">
            <v>1</v>
          </cell>
          <cell r="AN96" t="str">
            <v>Products &amp; AirportsFixed Base OperatorAll RisksAVN52 - ALL RISKS</v>
          </cell>
        </row>
        <row r="97">
          <cell r="T97" t="str">
            <v>Aires Colombia16Aug10</v>
          </cell>
          <cell r="U97" t="str">
            <v>Aires Colombia</v>
          </cell>
          <cell r="V97">
            <v>40406</v>
          </cell>
          <cell r="Y97">
            <v>1</v>
          </cell>
          <cell r="AN97" t="str">
            <v>Products &amp; AirportsFixed Base OperatorAll RisksHull</v>
          </cell>
        </row>
        <row r="98">
          <cell r="T98" t="str">
            <v>Henan Airlines24Aug10</v>
          </cell>
          <cell r="U98" t="str">
            <v>Henan Airlines</v>
          </cell>
          <cell r="V98">
            <v>40414</v>
          </cell>
          <cell r="Y98">
            <v>1</v>
          </cell>
          <cell r="AN98" t="str">
            <v>Products &amp; AirportsFixed Base OperatorAll RisksLiability</v>
          </cell>
        </row>
        <row r="99">
          <cell r="T99" t="str">
            <v>Passaredo25Aug10</v>
          </cell>
          <cell r="U99" t="str">
            <v>Passaredo</v>
          </cell>
          <cell r="V99">
            <v>40415</v>
          </cell>
          <cell r="Y99">
            <v>1</v>
          </cell>
          <cell r="AN99" t="str">
            <v>Products &amp; AirportsFixed Base OperatorUnknownUnknown</v>
          </cell>
        </row>
        <row r="100">
          <cell r="T100" t="str">
            <v>United Parcel Service03Sep10</v>
          </cell>
          <cell r="U100" t="str">
            <v>United Parcel Service</v>
          </cell>
          <cell r="V100">
            <v>40424</v>
          </cell>
          <cell r="Y100">
            <v>1</v>
          </cell>
          <cell r="AN100" t="str">
            <v>Products &amp; AirportsFixed Based OperatorAll RisksHull</v>
          </cell>
        </row>
        <row r="101">
          <cell r="T101" t="str">
            <v>Conviasa13Sep10</v>
          </cell>
          <cell r="U101" t="str">
            <v>Conviasa</v>
          </cell>
          <cell r="V101">
            <v>40434</v>
          </cell>
          <cell r="Y101">
            <v>1</v>
          </cell>
          <cell r="AN101" t="str">
            <v>Products &amp; AirportsFixed Based OperatorAll RisksLiability</v>
          </cell>
        </row>
        <row r="102">
          <cell r="T102" t="str">
            <v>Windjet24Sep10</v>
          </cell>
          <cell r="U102" t="str">
            <v>Windjet</v>
          </cell>
          <cell r="V102">
            <v>40445</v>
          </cell>
          <cell r="Y102">
            <v>1</v>
          </cell>
          <cell r="AN102" t="str">
            <v>Products &amp; AirportsFuelAll RisksHull</v>
          </cell>
        </row>
        <row r="103">
          <cell r="T103" t="str">
            <v>Thomson Airways03Oct10</v>
          </cell>
          <cell r="U103" t="str">
            <v>Thomson Airways</v>
          </cell>
          <cell r="V103">
            <v>40454</v>
          </cell>
          <cell r="Y103">
            <v>1</v>
          </cell>
          <cell r="AN103" t="str">
            <v>Products &amp; AirportsFuelAll RisksLiability</v>
          </cell>
        </row>
        <row r="104">
          <cell r="T104" t="str">
            <v>KLM10Oct10</v>
          </cell>
          <cell r="U104" t="str">
            <v>KLM</v>
          </cell>
          <cell r="V104">
            <v>40461</v>
          </cell>
          <cell r="Y104">
            <v>1</v>
          </cell>
          <cell r="AN104" t="str">
            <v>Products &amp; AirportsGround HandlingAll RisksAVN52 - ALL RISKS</v>
          </cell>
        </row>
        <row r="105">
          <cell r="T105" t="str">
            <v>Qantas04Nov10</v>
          </cell>
          <cell r="U105" t="str">
            <v>Qantas</v>
          </cell>
          <cell r="V105">
            <v>40486</v>
          </cell>
          <cell r="Y105">
            <v>1</v>
          </cell>
          <cell r="AN105" t="str">
            <v>Products &amp; AirportsGround HandlingAll RisksHull</v>
          </cell>
        </row>
        <row r="106">
          <cell r="T106" t="str">
            <v>Aerocaribbean04Nov10</v>
          </cell>
          <cell r="U106" t="str">
            <v>Aerocaribbean</v>
          </cell>
          <cell r="V106">
            <v>40486</v>
          </cell>
          <cell r="Y106">
            <v>2</v>
          </cell>
          <cell r="AN106" t="str">
            <v>Products &amp; AirportsGround HandlingAll RisksLiability</v>
          </cell>
        </row>
        <row r="107">
          <cell r="T107" t="str">
            <v>Air Asia10Jan11</v>
          </cell>
          <cell r="U107" t="str">
            <v>Air Asia</v>
          </cell>
          <cell r="V107">
            <v>40553</v>
          </cell>
          <cell r="Y107">
            <v>1</v>
          </cell>
          <cell r="AN107" t="str">
            <v>Products &amp; AirportsMaintenance Repair &amp; Overhaul (MRO)All RisksAVN52 - ALL RISKS</v>
          </cell>
        </row>
        <row r="108">
          <cell r="T108" t="str">
            <v>Manx210Feb11</v>
          </cell>
          <cell r="U108" t="str">
            <v>Manx2</v>
          </cell>
          <cell r="V108">
            <v>40584</v>
          </cell>
          <cell r="Y108">
            <v>1</v>
          </cell>
          <cell r="AN108" t="str">
            <v>Products &amp; AirportsMaintenance Repair &amp; Overhaul (MRO)All RisksHull</v>
          </cell>
        </row>
        <row r="109">
          <cell r="T109" t="str">
            <v>Saudi Arabian Airlines16Feb11</v>
          </cell>
          <cell r="U109" t="str">
            <v>Saudi Arabian Airlines</v>
          </cell>
          <cell r="V109">
            <v>40590</v>
          </cell>
          <cell r="Y109">
            <v>1</v>
          </cell>
          <cell r="AN109" t="str">
            <v>Products &amp; AirportsMaintenance Repair &amp; Overhaul (MRO)All RisksLiability</v>
          </cell>
        </row>
        <row r="110">
          <cell r="T110" t="str">
            <v>Sendai Airport11Mar11</v>
          </cell>
          <cell r="U110" t="str">
            <v>Sendai Airport</v>
          </cell>
          <cell r="V110">
            <v>40613</v>
          </cell>
          <cell r="Y110">
            <v>1</v>
          </cell>
          <cell r="AN110" t="str">
            <v>Products &amp; AirportsManufacturerAll RisksHull</v>
          </cell>
        </row>
        <row r="111">
          <cell r="T111" t="str">
            <v>General Dynamics02Apr11</v>
          </cell>
          <cell r="U111" t="str">
            <v>General Dynamics</v>
          </cell>
          <cell r="V111">
            <v>40635</v>
          </cell>
          <cell r="Y111">
            <v>1</v>
          </cell>
          <cell r="AN111" t="str">
            <v>Products &amp; AirportsManufacturerAll RisksLiability</v>
          </cell>
        </row>
        <row r="112">
          <cell r="T112" t="str">
            <v>Air France13Apr11</v>
          </cell>
          <cell r="U112" t="str">
            <v>Air France</v>
          </cell>
          <cell r="V112">
            <v>40646</v>
          </cell>
          <cell r="Y112">
            <v>1</v>
          </cell>
          <cell r="AN112" t="str">
            <v>Products &amp; AirportsManufacturer's HullAll RisksHull</v>
          </cell>
        </row>
        <row r="113">
          <cell r="T113" t="str">
            <v>China Cargo Airlines17Apr11</v>
          </cell>
          <cell r="U113" t="str">
            <v>China Cargo Airlines</v>
          </cell>
          <cell r="V113">
            <v>40650</v>
          </cell>
          <cell r="Y113">
            <v>1</v>
          </cell>
          <cell r="AN113" t="str">
            <v>Products &amp; AirportsManufacturer's HullAll RisksLiability</v>
          </cell>
        </row>
        <row r="114">
          <cell r="T114" t="str">
            <v>Merpati Nusantra07May11</v>
          </cell>
          <cell r="U114" t="str">
            <v>Merpati Nusantra</v>
          </cell>
          <cell r="V114">
            <v>40670</v>
          </cell>
          <cell r="Y114">
            <v>1</v>
          </cell>
          <cell r="AN114" t="str">
            <v>Products &amp; AirportsOtherAV52 - All RisksAV52 - All Risks</v>
          </cell>
        </row>
        <row r="115">
          <cell r="T115" t="str">
            <v>Omega Air Refueling 18May11</v>
          </cell>
          <cell r="U115" t="str">
            <v xml:space="preserve">Omega Air Refueling </v>
          </cell>
          <cell r="V115">
            <v>40681</v>
          </cell>
          <cell r="Y115">
            <v>1</v>
          </cell>
          <cell r="AN115" t="str">
            <v>Products &amp; AirportsOtherAll RisksHull</v>
          </cell>
        </row>
        <row r="116">
          <cell r="T116" t="str">
            <v>Urschel Laboratories19May11</v>
          </cell>
          <cell r="U116" t="str">
            <v>Urschel Laboratories</v>
          </cell>
          <cell r="V116">
            <v>40682</v>
          </cell>
          <cell r="Y116">
            <v>1</v>
          </cell>
          <cell r="AN116" t="str">
            <v>Products &amp; AirportsOtherAll RisksLiability</v>
          </cell>
        </row>
        <row r="117">
          <cell r="T117" t="str">
            <v>Asiana Airlines28Jul11</v>
          </cell>
          <cell r="U117" t="str">
            <v>Asiana Airlines</v>
          </cell>
          <cell r="V117">
            <v>40752</v>
          </cell>
          <cell r="Y117">
            <v>1</v>
          </cell>
          <cell r="AN117" t="str">
            <v>Products &amp; AirportsProducts - Primarily AirframeAll RisksHull</v>
          </cell>
        </row>
        <row r="118">
          <cell r="T118" t="str">
            <v>Egyptair29Jul11</v>
          </cell>
          <cell r="U118" t="str">
            <v>Egyptair</v>
          </cell>
          <cell r="V118">
            <v>40753</v>
          </cell>
          <cell r="Y118">
            <v>1</v>
          </cell>
          <cell r="AN118" t="str">
            <v>Products &amp; AirportsProducts - Primarily AirframeAll RisksLiability</v>
          </cell>
        </row>
        <row r="119">
          <cell r="T119" t="str">
            <v>Caribbean Airlines30Jul11</v>
          </cell>
          <cell r="U119" t="str">
            <v>Caribbean Airlines</v>
          </cell>
          <cell r="V119">
            <v>40754</v>
          </cell>
          <cell r="Y119">
            <v>1</v>
          </cell>
          <cell r="AN119" t="str">
            <v>Products &amp; AirportsProducts - Primarily EngineAll RisksHull</v>
          </cell>
        </row>
        <row r="120">
          <cell r="T120" t="str">
            <v>First Air20Aug11</v>
          </cell>
          <cell r="U120" t="str">
            <v>First Air</v>
          </cell>
          <cell r="V120">
            <v>40775</v>
          </cell>
          <cell r="Y120">
            <v>1</v>
          </cell>
          <cell r="AN120" t="str">
            <v>Products &amp; AirportsProducts - Primarily EngineAll RisksLiability</v>
          </cell>
        </row>
        <row r="121">
          <cell r="T121" t="str">
            <v>Reno Air Races16Sep11</v>
          </cell>
          <cell r="U121" t="str">
            <v>Reno Air Races</v>
          </cell>
          <cell r="V121">
            <v>40802</v>
          </cell>
          <cell r="Y121">
            <v>1</v>
          </cell>
          <cell r="AN121" t="str">
            <v>Products &amp; AirportsProducts CriticalAll RisksAVN52 - ALL RISKS</v>
          </cell>
        </row>
        <row r="122">
          <cell r="T122" t="str">
            <v>TAME Ecuador16Sep11</v>
          </cell>
          <cell r="U122" t="str">
            <v>TAME Ecuador</v>
          </cell>
          <cell r="V122">
            <v>40802</v>
          </cell>
          <cell r="Y122">
            <v>2</v>
          </cell>
          <cell r="AN122" t="str">
            <v>Products &amp; AirportsProducts CriticalAll RisksHull</v>
          </cell>
        </row>
        <row r="123">
          <cell r="T123" t="str">
            <v>Thai Airways International25Oct11</v>
          </cell>
          <cell r="U123" t="str">
            <v>Thai Airways International</v>
          </cell>
          <cell r="V123">
            <v>40841</v>
          </cell>
          <cell r="Y123">
            <v>1</v>
          </cell>
          <cell r="AN123" t="str">
            <v>Products &amp; AirportsProducts CriticalAll RisksLiability</v>
          </cell>
        </row>
        <row r="124">
          <cell r="T124" t="str">
            <v>LOT Polish Airlines01Nov11</v>
          </cell>
          <cell r="U124" t="str">
            <v>LOT Polish Airlines</v>
          </cell>
          <cell r="V124">
            <v>40848</v>
          </cell>
          <cell r="Y124">
            <v>1</v>
          </cell>
          <cell r="AN124" t="str">
            <v>Products &amp; AirportsProducts Non-CriticalAll RisksAVN52 - All Risks</v>
          </cell>
        </row>
        <row r="125">
          <cell r="T125" t="str">
            <v>Sriwijaya Air 20Dec11</v>
          </cell>
          <cell r="U125" t="str">
            <v xml:space="preserve">Sriwijaya Air </v>
          </cell>
          <cell r="V125">
            <v>40897</v>
          </cell>
          <cell r="Y125">
            <v>1</v>
          </cell>
          <cell r="AN125" t="str">
            <v>Products &amp; AirportsProducts Non-CriticalAll RisksHull</v>
          </cell>
        </row>
        <row r="126">
          <cell r="T126" t="str">
            <v>Japan Airlines31Mar12</v>
          </cell>
          <cell r="U126" t="str">
            <v>Japan Airlines</v>
          </cell>
          <cell r="V126">
            <v>40999</v>
          </cell>
          <cell r="Y126">
            <v>1</v>
          </cell>
          <cell r="AN126" t="str">
            <v>Products &amp; AirportsProducts Non-CriticalAll RisksLiability</v>
          </cell>
        </row>
        <row r="127">
          <cell r="T127" t="str">
            <v>UTAir02Apr12</v>
          </cell>
          <cell r="U127" t="str">
            <v>UTAir</v>
          </cell>
          <cell r="V127">
            <v>41001</v>
          </cell>
          <cell r="Y127">
            <v>1</v>
          </cell>
          <cell r="AN127" t="str">
            <v>Products &amp; AirportsUnknownAll RisksHull</v>
          </cell>
        </row>
        <row r="128">
          <cell r="T128" t="str">
            <v>American Airlines03Apr12</v>
          </cell>
          <cell r="U128" t="str">
            <v>American Airlines</v>
          </cell>
          <cell r="V128">
            <v>41002</v>
          </cell>
          <cell r="Y128">
            <v>1</v>
          </cell>
          <cell r="AN128" t="str">
            <v>Products &amp; AirportsUnknownAll RisksLiability</v>
          </cell>
        </row>
        <row r="129">
          <cell r="T129" t="str">
            <v>Bhoja Air 20Apr12</v>
          </cell>
          <cell r="U129" t="str">
            <v xml:space="preserve">Bhoja Air </v>
          </cell>
          <cell r="V129">
            <v>41019</v>
          </cell>
          <cell r="Y129">
            <v>1</v>
          </cell>
          <cell r="AN129" t="str">
            <v>Products &amp; AirportsUnknownUnknownUnknown</v>
          </cell>
        </row>
        <row r="130">
          <cell r="T130" t="str">
            <v>United Parcel Service28Apr12</v>
          </cell>
          <cell r="U130" t="str">
            <v>United Parcel Service</v>
          </cell>
          <cell r="V130">
            <v>41027</v>
          </cell>
          <cell r="Y130">
            <v>1</v>
          </cell>
          <cell r="AN130" t="str">
            <v>SpaceAll RisksLiability</v>
          </cell>
        </row>
        <row r="131">
          <cell r="T131" t="str">
            <v>Sukhoi09May12</v>
          </cell>
          <cell r="U131" t="str">
            <v>Sukhoi</v>
          </cell>
          <cell r="V131">
            <v>41038</v>
          </cell>
          <cell r="Y131">
            <v>1</v>
          </cell>
          <cell r="AN131" t="str">
            <v>SpaceAll RisksPD</v>
          </cell>
        </row>
        <row r="132">
          <cell r="T132" t="str">
            <v>Dana Air03Jun12</v>
          </cell>
          <cell r="U132" t="str">
            <v>Dana Air</v>
          </cell>
          <cell r="V132">
            <v>41063</v>
          </cell>
          <cell r="Y132">
            <v>1</v>
          </cell>
        </row>
        <row r="133">
          <cell r="T133" t="str">
            <v>Performance Aircraft Leasing07Jun12</v>
          </cell>
          <cell r="U133" t="str">
            <v>Performance Aircraft Leasing</v>
          </cell>
          <cell r="V133">
            <v>41067</v>
          </cell>
          <cell r="Y133">
            <v>1</v>
          </cell>
        </row>
        <row r="134">
          <cell r="T134" t="str">
            <v>CSA Czech Airlines09Jun12</v>
          </cell>
          <cell r="U134" t="str">
            <v>CSA Czech Airlines</v>
          </cell>
          <cell r="V134">
            <v>41069</v>
          </cell>
          <cell r="Y134">
            <v>1</v>
          </cell>
        </row>
        <row r="135">
          <cell r="T135" t="str">
            <v>LIAT10Jun12</v>
          </cell>
          <cell r="U135" t="str">
            <v>LIAT</v>
          </cell>
          <cell r="V135">
            <v>41070</v>
          </cell>
          <cell r="Y135">
            <v>1</v>
          </cell>
        </row>
        <row r="136">
          <cell r="T136" t="str">
            <v>All Nippon Airways20Jun12</v>
          </cell>
          <cell r="U136" t="str">
            <v>All Nippon Airways</v>
          </cell>
          <cell r="V136">
            <v>41080</v>
          </cell>
          <cell r="Y136">
            <v>1</v>
          </cell>
        </row>
        <row r="137">
          <cell r="T137" t="str">
            <v>Mandarin Airlines17Aug12</v>
          </cell>
          <cell r="U137" t="str">
            <v>Mandarin Airlines</v>
          </cell>
          <cell r="V137">
            <v>41138</v>
          </cell>
          <cell r="Y137">
            <v>1</v>
          </cell>
        </row>
        <row r="138">
          <cell r="T138" t="str">
            <v>Centurion Air Cargo13Oct12</v>
          </cell>
          <cell r="U138" t="str">
            <v>Centurion Air Cargo</v>
          </cell>
          <cell r="V138">
            <v>41195</v>
          </cell>
          <cell r="Y138">
            <v>1</v>
          </cell>
        </row>
        <row r="139">
          <cell r="T139" t="str">
            <v>Corendon Airlines14Oct12</v>
          </cell>
          <cell r="U139" t="str">
            <v>Corendon Airlines</v>
          </cell>
          <cell r="V139">
            <v>41196</v>
          </cell>
          <cell r="Y139">
            <v>1</v>
          </cell>
        </row>
        <row r="140">
          <cell r="T140" t="str">
            <v>Atlas Air 29Oct12</v>
          </cell>
          <cell r="U140" t="str">
            <v xml:space="preserve">Atlas Air </v>
          </cell>
          <cell r="V140">
            <v>41211</v>
          </cell>
          <cell r="Y140">
            <v>1</v>
          </cell>
        </row>
        <row r="141">
          <cell r="T141" t="str">
            <v>Air Bagan25Dec12</v>
          </cell>
          <cell r="U141" t="str">
            <v>Air Bagan</v>
          </cell>
          <cell r="V141">
            <v>41268</v>
          </cell>
          <cell r="Y141">
            <v>1</v>
          </cell>
        </row>
        <row r="142">
          <cell r="T142" t="str">
            <v>B787 Grounding16Jan13</v>
          </cell>
          <cell r="U142" t="str">
            <v>B787 Grounding</v>
          </cell>
          <cell r="V142">
            <v>41290</v>
          </cell>
          <cell r="Y142">
            <v>1</v>
          </cell>
        </row>
        <row r="143">
          <cell r="T143" t="str">
            <v>Asiana Airlines03Feb13</v>
          </cell>
          <cell r="U143" t="str">
            <v>Asiana Airlines</v>
          </cell>
          <cell r="V143">
            <v>41308</v>
          </cell>
          <cell r="Y143">
            <v>1</v>
          </cell>
        </row>
        <row r="144">
          <cell r="T144" t="str">
            <v>Lion Air13Apr13</v>
          </cell>
          <cell r="U144" t="str">
            <v>Lion Air</v>
          </cell>
          <cell r="V144">
            <v>41377</v>
          </cell>
          <cell r="Y144">
            <v>1</v>
          </cell>
        </row>
        <row r="145">
          <cell r="T145" t="str">
            <v>Aeromexico16Apr13</v>
          </cell>
          <cell r="U145" t="str">
            <v>Aeromexico</v>
          </cell>
          <cell r="V145">
            <v>41380</v>
          </cell>
          <cell r="Y145">
            <v>1</v>
          </cell>
        </row>
        <row r="146">
          <cell r="T146" t="str">
            <v>National Air Cargo29Apr13</v>
          </cell>
          <cell r="U146" t="str">
            <v>National Air Cargo</v>
          </cell>
          <cell r="V146">
            <v>41393</v>
          </cell>
          <cell r="Y146">
            <v>1</v>
          </cell>
        </row>
        <row r="147">
          <cell r="T147" t="str">
            <v>Shandong Airlines16May13</v>
          </cell>
          <cell r="U147" t="str">
            <v>Shandong Airlines</v>
          </cell>
          <cell r="V147">
            <v>41410</v>
          </cell>
          <cell r="Y147">
            <v>1</v>
          </cell>
        </row>
        <row r="148">
          <cell r="T148" t="str">
            <v>Air Via24May13</v>
          </cell>
          <cell r="U148" t="str">
            <v>Air Via</v>
          </cell>
          <cell r="V148">
            <v>41418</v>
          </cell>
          <cell r="Y148">
            <v>1</v>
          </cell>
        </row>
        <row r="149">
          <cell r="T149" t="str">
            <v>British Airways24May13</v>
          </cell>
          <cell r="U149" t="str">
            <v>British Airways</v>
          </cell>
          <cell r="V149">
            <v>41418</v>
          </cell>
          <cell r="Y149">
            <v>2</v>
          </cell>
        </row>
        <row r="150">
          <cell r="T150" t="str">
            <v>Cebu Pacific Air02Jun13</v>
          </cell>
          <cell r="U150" t="str">
            <v>Cebu Pacific Air</v>
          </cell>
          <cell r="V150">
            <v>41427</v>
          </cell>
          <cell r="Y150">
            <v>1</v>
          </cell>
        </row>
        <row r="151">
          <cell r="T151" t="str">
            <v>Osage Air, LLC07Jun13</v>
          </cell>
          <cell r="U151" t="str">
            <v>Osage Air, LLC</v>
          </cell>
          <cell r="V151">
            <v>41432</v>
          </cell>
          <cell r="Y151">
            <v>1</v>
          </cell>
        </row>
        <row r="152">
          <cell r="T152" t="str">
            <v>Wizz Air08Jun13</v>
          </cell>
          <cell r="U152" t="str">
            <v>Wizz Air</v>
          </cell>
          <cell r="V152">
            <v>41433</v>
          </cell>
          <cell r="Y152">
            <v>1</v>
          </cell>
        </row>
        <row r="153">
          <cell r="T153" t="str">
            <v>Merpati Nusantara Airlines10Jun13</v>
          </cell>
          <cell r="U153" t="str">
            <v>Merpati Nusantara Airlines</v>
          </cell>
          <cell r="V153">
            <v>41435</v>
          </cell>
          <cell r="Y153">
            <v>1</v>
          </cell>
        </row>
        <row r="154">
          <cell r="T154" t="str">
            <v>Petra Airlines03Jul13</v>
          </cell>
          <cell r="U154" t="str">
            <v>Petra Airlines</v>
          </cell>
          <cell r="V154">
            <v>41458</v>
          </cell>
          <cell r="Y154">
            <v>1</v>
          </cell>
        </row>
        <row r="155">
          <cell r="T155" t="str">
            <v>Province of Newfoundland &amp; Labrador03Jul13</v>
          </cell>
          <cell r="U155" t="str">
            <v>Province of Newfoundland &amp; Labrador</v>
          </cell>
          <cell r="V155">
            <v>41458</v>
          </cell>
          <cell r="Y155">
            <v>2</v>
          </cell>
        </row>
        <row r="156">
          <cell r="T156" t="str">
            <v>Asiana Airlines06Jul13</v>
          </cell>
          <cell r="U156" t="str">
            <v>Asiana Airlines</v>
          </cell>
          <cell r="V156">
            <v>41461</v>
          </cell>
          <cell r="Y156">
            <v>1</v>
          </cell>
        </row>
        <row r="157">
          <cell r="T157" t="str">
            <v>Ethiopian Airlines12Jul13</v>
          </cell>
          <cell r="U157" t="str">
            <v>Ethiopian Airlines</v>
          </cell>
          <cell r="V157">
            <v>41467</v>
          </cell>
          <cell r="Y157">
            <v>1</v>
          </cell>
        </row>
        <row r="158">
          <cell r="T158" t="str">
            <v>Southwest Airlines22Jul13</v>
          </cell>
          <cell r="U158" t="str">
            <v>Southwest Airlines</v>
          </cell>
          <cell r="V158">
            <v>41477</v>
          </cell>
          <cell r="Y158">
            <v>1</v>
          </cell>
        </row>
        <row r="159">
          <cell r="T159" t="str">
            <v>United Parcel Service14Aug13</v>
          </cell>
          <cell r="U159" t="str">
            <v>United Parcel Service</v>
          </cell>
          <cell r="V159">
            <v>41500</v>
          </cell>
          <cell r="Y159">
            <v>1</v>
          </cell>
        </row>
        <row r="160">
          <cell r="T160" t="str">
            <v>CHC Helicopters23Aug13</v>
          </cell>
          <cell r="U160" t="str">
            <v>CHC Helicopters</v>
          </cell>
          <cell r="V160">
            <v>41509</v>
          </cell>
          <cell r="Y160">
            <v>1</v>
          </cell>
        </row>
        <row r="161">
          <cell r="T161" t="str">
            <v>Thai Airways International08Sep13</v>
          </cell>
          <cell r="U161" t="str">
            <v>Thai Airways International</v>
          </cell>
          <cell r="V161">
            <v>41525</v>
          </cell>
          <cell r="Y161">
            <v>1</v>
          </cell>
        </row>
        <row r="162">
          <cell r="T162" t="str">
            <v>We Fly, LLC19Sep13</v>
          </cell>
          <cell r="U162" t="str">
            <v>We Fly, LLC</v>
          </cell>
          <cell r="V162">
            <v>41536</v>
          </cell>
          <cell r="Y162">
            <v>1</v>
          </cell>
        </row>
        <row r="163">
          <cell r="T163" t="str">
            <v>Alitalia29Sep13</v>
          </cell>
          <cell r="U163" t="str">
            <v>Alitalia</v>
          </cell>
          <cell r="V163">
            <v>41546</v>
          </cell>
          <cell r="Y163">
            <v>1</v>
          </cell>
        </row>
        <row r="164">
          <cell r="T164" t="str">
            <v>LAO Aviation16Oct13</v>
          </cell>
          <cell r="U164" t="str">
            <v>LAO Aviation</v>
          </cell>
          <cell r="V164">
            <v>41563</v>
          </cell>
          <cell r="Y164">
            <v>1</v>
          </cell>
        </row>
        <row r="165">
          <cell r="T165" t="str">
            <v>McCall Aviation, Inc06Nov13</v>
          </cell>
          <cell r="U165" t="str">
            <v>McCall Aviation, Inc</v>
          </cell>
          <cell r="V165">
            <v>41584</v>
          </cell>
          <cell r="Y165">
            <v>1</v>
          </cell>
        </row>
        <row r="166">
          <cell r="T166" t="str">
            <v>Tatarstan Airlines17Nov13</v>
          </cell>
          <cell r="U166" t="str">
            <v>Tatarstan Airlines</v>
          </cell>
          <cell r="V166">
            <v>41595</v>
          </cell>
          <cell r="Y166">
            <v>1</v>
          </cell>
        </row>
        <row r="167">
          <cell r="T167" t="str">
            <v>Linhas Aereas de Mocambique29Nov13</v>
          </cell>
          <cell r="U167" t="str">
            <v>Linhas Aereas de Mocambique</v>
          </cell>
          <cell r="V167">
            <v>41607</v>
          </cell>
          <cell r="Y167">
            <v>1</v>
          </cell>
        </row>
        <row r="168">
          <cell r="T168" t="str">
            <v>British Airways22Dec13</v>
          </cell>
          <cell r="U168" t="str">
            <v>British Airways</v>
          </cell>
          <cell r="V168">
            <v>41630</v>
          </cell>
          <cell r="Y168">
            <v>1</v>
          </cell>
        </row>
        <row r="169">
          <cell r="T169" t="str">
            <v>Air India05Jan14</v>
          </cell>
          <cell r="U169" t="str">
            <v>Air India</v>
          </cell>
          <cell r="V169">
            <v>41644</v>
          </cell>
          <cell r="Y169">
            <v>1</v>
          </cell>
        </row>
        <row r="170">
          <cell r="T170" t="str">
            <v>Jestar Asia13Feb14</v>
          </cell>
          <cell r="U170" t="str">
            <v>Jestar Asia</v>
          </cell>
          <cell r="V170">
            <v>41683</v>
          </cell>
          <cell r="Y170">
            <v>1</v>
          </cell>
        </row>
        <row r="171">
          <cell r="T171" t="str">
            <v>Malaysia Airline System08Mar14</v>
          </cell>
          <cell r="U171" t="str">
            <v>Malaysia Airline System</v>
          </cell>
          <cell r="V171">
            <v>41706</v>
          </cell>
          <cell r="Y171">
            <v>1</v>
          </cell>
        </row>
        <row r="172">
          <cell r="T172" t="str">
            <v>US Airways13Mar14</v>
          </cell>
          <cell r="U172" t="str">
            <v>US Airways</v>
          </cell>
          <cell r="V172">
            <v>41711</v>
          </cell>
          <cell r="Y172">
            <v>1</v>
          </cell>
        </row>
        <row r="173">
          <cell r="T173" t="str">
            <v>Seattle Helicopter Crash18Mar14</v>
          </cell>
          <cell r="U173" t="str">
            <v>Seattle Helicopter Crash</v>
          </cell>
          <cell r="V173">
            <v>41716</v>
          </cell>
          <cell r="Y173">
            <v>1</v>
          </cell>
        </row>
        <row r="174">
          <cell r="T174" t="str">
            <v>Golden Myanmar14Apr14</v>
          </cell>
          <cell r="U174" t="str">
            <v>Golden Myanmar</v>
          </cell>
          <cell r="V174">
            <v>41743</v>
          </cell>
          <cell r="Y174">
            <v>1</v>
          </cell>
        </row>
        <row r="175">
          <cell r="T175" t="str">
            <v>S K Travel31May14</v>
          </cell>
          <cell r="U175" t="str">
            <v>S K Travel</v>
          </cell>
          <cell r="V175">
            <v>41790</v>
          </cell>
          <cell r="Y175">
            <v>1</v>
          </cell>
        </row>
        <row r="176">
          <cell r="T176" t="str">
            <v>Sukhoi10Jun14</v>
          </cell>
          <cell r="U176" t="str">
            <v>Sukhoi</v>
          </cell>
          <cell r="V176">
            <v>41800</v>
          </cell>
          <cell r="Y176">
            <v>1</v>
          </cell>
        </row>
        <row r="177">
          <cell r="T177" t="str">
            <v>Synfuels Holdings Finance18Jun14</v>
          </cell>
          <cell r="U177" t="str">
            <v>Synfuels Holdings Finance</v>
          </cell>
          <cell r="V177">
            <v>41808</v>
          </cell>
          <cell r="Y177">
            <v>1</v>
          </cell>
        </row>
        <row r="178">
          <cell r="T178" t="str">
            <v>Malaysia Airline System17Jul14</v>
          </cell>
          <cell r="U178" t="str">
            <v>Malaysia Airline System</v>
          </cell>
          <cell r="V178">
            <v>41837</v>
          </cell>
          <cell r="Y178">
            <v>1</v>
          </cell>
        </row>
        <row r="179">
          <cell r="T179" t="str">
            <v>Transasia Airways23Jul14</v>
          </cell>
          <cell r="U179" t="str">
            <v>Transasia Airways</v>
          </cell>
          <cell r="V179">
            <v>41843</v>
          </cell>
          <cell r="Y179">
            <v>1</v>
          </cell>
        </row>
        <row r="180">
          <cell r="T180" t="str">
            <v>Air Algerie24Jul14</v>
          </cell>
          <cell r="U180" t="str">
            <v>Air Algerie</v>
          </cell>
          <cell r="V180">
            <v>41844</v>
          </cell>
          <cell r="Y180">
            <v>1</v>
          </cell>
        </row>
        <row r="181">
          <cell r="T181" t="str">
            <v>Amigos Aviation28Aug14</v>
          </cell>
          <cell r="U181" t="str">
            <v>Amigos Aviation</v>
          </cell>
          <cell r="V181">
            <v>41879</v>
          </cell>
          <cell r="Y181">
            <v>1</v>
          </cell>
        </row>
        <row r="182">
          <cell r="T182" t="str">
            <v>Gilleland Aviation30Oct14</v>
          </cell>
          <cell r="U182" t="str">
            <v>Gilleland Aviation</v>
          </cell>
          <cell r="V182">
            <v>41942</v>
          </cell>
          <cell r="Y182">
            <v>1</v>
          </cell>
        </row>
        <row r="183">
          <cell r="T183" t="str">
            <v>Virgin Galactic31Oct14</v>
          </cell>
          <cell r="U183" t="str">
            <v>Virgin Galactic</v>
          </cell>
          <cell r="V183">
            <v>41943</v>
          </cell>
          <cell r="Y183">
            <v>1</v>
          </cell>
        </row>
        <row r="184">
          <cell r="T184" t="str">
            <v>Diplomat Aviation09Nov14</v>
          </cell>
          <cell r="U184" t="str">
            <v>Diplomat Aviation</v>
          </cell>
          <cell r="V184">
            <v>41952</v>
          </cell>
          <cell r="Y184">
            <v>1</v>
          </cell>
        </row>
        <row r="185">
          <cell r="T185" t="str">
            <v>Air Asia28Dec14</v>
          </cell>
          <cell r="U185" t="str">
            <v>Air Asia</v>
          </cell>
          <cell r="V185">
            <v>42001</v>
          </cell>
          <cell r="Y185">
            <v>1</v>
          </cell>
        </row>
        <row r="186">
          <cell r="T186" t="str">
            <v>Ethiopian Airlines10Jan15</v>
          </cell>
          <cell r="U186" t="str">
            <v>Ethiopian Airlines</v>
          </cell>
          <cell r="V186">
            <v>42014</v>
          </cell>
          <cell r="Y186">
            <v>1</v>
          </cell>
        </row>
        <row r="187">
          <cell r="T187" t="str">
            <v>United Airlines30Jan15</v>
          </cell>
          <cell r="U187" t="str">
            <v>United Airlines</v>
          </cell>
          <cell r="V187">
            <v>42034</v>
          </cell>
          <cell r="Y187">
            <v>1</v>
          </cell>
        </row>
        <row r="188">
          <cell r="T188" t="str">
            <v>Transasia Airways04Feb15</v>
          </cell>
          <cell r="U188" t="str">
            <v>Transasia Airways</v>
          </cell>
          <cell r="V188">
            <v>42039</v>
          </cell>
          <cell r="Y188">
            <v>1</v>
          </cell>
        </row>
        <row r="189">
          <cell r="T189" t="str">
            <v>Turkish Airlines04Mar15</v>
          </cell>
          <cell r="U189" t="str">
            <v>Turkish Airlines</v>
          </cell>
          <cell r="V189">
            <v>42067</v>
          </cell>
          <cell r="Y189">
            <v>1</v>
          </cell>
        </row>
        <row r="190">
          <cell r="T190" t="str">
            <v>SpiceJet08Mar15</v>
          </cell>
          <cell r="U190" t="str">
            <v>SpiceJet</v>
          </cell>
          <cell r="V190">
            <v>42071</v>
          </cell>
          <cell r="Y190">
            <v>1</v>
          </cell>
        </row>
        <row r="191">
          <cell r="T191" t="str">
            <v>Germanwings24Mar15</v>
          </cell>
          <cell r="U191" t="str">
            <v>Germanwings</v>
          </cell>
          <cell r="V191">
            <v>42087</v>
          </cell>
          <cell r="Y191">
            <v>1</v>
          </cell>
        </row>
        <row r="192">
          <cell r="T192" t="str">
            <v>Air Canada29Mar15</v>
          </cell>
          <cell r="U192" t="str">
            <v>Air Canada</v>
          </cell>
          <cell r="V192">
            <v>42092</v>
          </cell>
          <cell r="Y192">
            <v>1</v>
          </cell>
        </row>
        <row r="193">
          <cell r="T193" t="str">
            <v>Yemenia02Apr15</v>
          </cell>
          <cell r="U193" t="str">
            <v>Yemenia</v>
          </cell>
          <cell r="V193">
            <v>42096</v>
          </cell>
          <cell r="Y193">
            <v>1</v>
          </cell>
        </row>
        <row r="194">
          <cell r="T194" t="str">
            <v>Asiana Airlines14Apr15</v>
          </cell>
          <cell r="U194" t="str">
            <v>Asiana Airlines</v>
          </cell>
          <cell r="V194">
            <v>42108</v>
          </cell>
          <cell r="Y194">
            <v>1</v>
          </cell>
        </row>
        <row r="195">
          <cell r="T195" t="str">
            <v>Turkish Airlines25Apr15</v>
          </cell>
          <cell r="U195" t="str">
            <v>Turkish Airlines</v>
          </cell>
          <cell r="V195">
            <v>42119</v>
          </cell>
          <cell r="Y195">
            <v>1</v>
          </cell>
        </row>
        <row r="196">
          <cell r="T196" t="str">
            <v>Airbus09May15</v>
          </cell>
          <cell r="U196" t="str">
            <v>Airbus</v>
          </cell>
          <cell r="V196">
            <v>42133</v>
          </cell>
          <cell r="Y196">
            <v>1</v>
          </cell>
        </row>
        <row r="197">
          <cell r="T197" t="str">
            <v>Joy Air10May15</v>
          </cell>
          <cell r="U197" t="str">
            <v>Joy Air</v>
          </cell>
          <cell r="V197">
            <v>42134</v>
          </cell>
          <cell r="Y197">
            <v>1</v>
          </cell>
        </row>
        <row r="198">
          <cell r="T198" t="str">
            <v>Boeing06Jul15</v>
          </cell>
          <cell r="U198" t="str">
            <v>Boeing</v>
          </cell>
          <cell r="V198">
            <v>42191</v>
          </cell>
          <cell r="Y198">
            <v>1</v>
          </cell>
        </row>
        <row r="199">
          <cell r="T199" t="str">
            <v>Southwest Airlines11Aug15</v>
          </cell>
          <cell r="U199" t="str">
            <v>Southwest Airlines</v>
          </cell>
          <cell r="V199">
            <v>42227</v>
          </cell>
          <cell r="Y199">
            <v>1</v>
          </cell>
        </row>
        <row r="200">
          <cell r="T200" t="str">
            <v>Shoreham Airshow Crash22Aug15</v>
          </cell>
          <cell r="U200" t="str">
            <v>Shoreham Airshow Crash</v>
          </cell>
          <cell r="V200">
            <v>42238</v>
          </cell>
          <cell r="Y200">
            <v>1</v>
          </cell>
        </row>
        <row r="201">
          <cell r="T201" t="str">
            <v>British Airways08Sep15</v>
          </cell>
          <cell r="U201" t="str">
            <v>British Airways</v>
          </cell>
          <cell r="V201">
            <v>42255</v>
          </cell>
          <cell r="Y201">
            <v>1</v>
          </cell>
        </row>
        <row r="202">
          <cell r="T202" t="str">
            <v>Luxair30Sep15</v>
          </cell>
          <cell r="U202" t="str">
            <v>Luxair</v>
          </cell>
          <cell r="V202">
            <v>42277</v>
          </cell>
          <cell r="Y202">
            <v>1</v>
          </cell>
        </row>
        <row r="203">
          <cell r="T203" t="str">
            <v>Cloud Peak Aviation LLC09Oct15</v>
          </cell>
          <cell r="U203" t="str">
            <v>Cloud Peak Aviation LLC</v>
          </cell>
          <cell r="V203">
            <v>42286</v>
          </cell>
          <cell r="Y203">
            <v>1</v>
          </cell>
        </row>
        <row r="204">
          <cell r="T204" t="str">
            <v>Singapore Airlines11Oct15</v>
          </cell>
          <cell r="U204" t="str">
            <v>Singapore Airlines</v>
          </cell>
          <cell r="V204">
            <v>42288</v>
          </cell>
          <cell r="Y204">
            <v>1</v>
          </cell>
        </row>
        <row r="205">
          <cell r="T205" t="str">
            <v>Finmeccanica30Oct15</v>
          </cell>
          <cell r="U205" t="str">
            <v>Finmeccanica</v>
          </cell>
          <cell r="V205">
            <v>42307</v>
          </cell>
          <cell r="Y205">
            <v>1</v>
          </cell>
        </row>
        <row r="206">
          <cell r="T206" t="str">
            <v>BT Batik Air06Nov15</v>
          </cell>
          <cell r="U206" t="str">
            <v>BT Batik Air</v>
          </cell>
          <cell r="V206">
            <v>42314</v>
          </cell>
          <cell r="Y206">
            <v>1</v>
          </cell>
        </row>
        <row r="207">
          <cell r="T207" t="str">
            <v>Hawker10Nov15</v>
          </cell>
          <cell r="U207" t="str">
            <v>Hawker</v>
          </cell>
          <cell r="V207">
            <v>42318</v>
          </cell>
          <cell r="Y207">
            <v>1</v>
          </cell>
        </row>
        <row r="208">
          <cell r="T208" t="str">
            <v>Banco Brandesco10Nov15</v>
          </cell>
          <cell r="U208" t="str">
            <v>Banco Brandesco</v>
          </cell>
          <cell r="V208">
            <v>42318</v>
          </cell>
          <cell r="Y208">
            <v>2</v>
          </cell>
        </row>
        <row r="209">
          <cell r="T209" t="str">
            <v>Chennai Airport Flood02Dec15</v>
          </cell>
          <cell r="U209" t="str">
            <v>Chennai Airport Flood</v>
          </cell>
          <cell r="V209">
            <v>42340</v>
          </cell>
          <cell r="Y209">
            <v>1</v>
          </cell>
        </row>
        <row r="210">
          <cell r="T210" t="str">
            <v>Condor02Dec15</v>
          </cell>
          <cell r="U210" t="str">
            <v>Condor</v>
          </cell>
          <cell r="V210">
            <v>42340</v>
          </cell>
          <cell r="Y210">
            <v>2</v>
          </cell>
        </row>
        <row r="211">
          <cell r="T211" t="str">
            <v>Spicejet04Dec15</v>
          </cell>
          <cell r="U211" t="str">
            <v>Spicejet</v>
          </cell>
          <cell r="V211">
            <v>42342</v>
          </cell>
          <cell r="Y211">
            <v>1</v>
          </cell>
        </row>
        <row r="212">
          <cell r="T212" t="str">
            <v>Air Methods15Dec15</v>
          </cell>
          <cell r="U212" t="str">
            <v>Air Methods</v>
          </cell>
          <cell r="V212">
            <v>42353</v>
          </cell>
          <cell r="Y212">
            <v>1</v>
          </cell>
        </row>
        <row r="213">
          <cell r="T213" t="str">
            <v>Southwest Airlines15Dec15</v>
          </cell>
          <cell r="U213" t="str">
            <v>Southwest Airlines</v>
          </cell>
          <cell r="V213">
            <v>42353</v>
          </cell>
          <cell r="Y213">
            <v>2</v>
          </cell>
        </row>
        <row r="214">
          <cell r="T214" t="str">
            <v>Premier Furnace Specialists19Jan16</v>
          </cell>
          <cell r="U214" t="str">
            <v>Premier Furnace Specialists</v>
          </cell>
          <cell r="V214">
            <v>42388</v>
          </cell>
          <cell r="Y214">
            <v>1</v>
          </cell>
        </row>
        <row r="215">
          <cell r="T215" t="str">
            <v>Ethiopian Airlines04Mar16</v>
          </cell>
          <cell r="U215" t="str">
            <v>Ethiopian Airlines</v>
          </cell>
          <cell r="V215">
            <v>42433</v>
          </cell>
          <cell r="Y215">
            <v>1</v>
          </cell>
        </row>
        <row r="216">
          <cell r="T216" t="str">
            <v>FlyDubai19Mar16</v>
          </cell>
          <cell r="U216" t="str">
            <v>FlyDubai</v>
          </cell>
          <cell r="V216">
            <v>42448</v>
          </cell>
          <cell r="Y216">
            <v>1</v>
          </cell>
        </row>
        <row r="217">
          <cell r="T217" t="str">
            <v>United Airlines27Mar16</v>
          </cell>
          <cell r="U217" t="str">
            <v>United Airlines</v>
          </cell>
          <cell r="V217">
            <v>42456</v>
          </cell>
          <cell r="Y217">
            <v>1</v>
          </cell>
        </row>
        <row r="218">
          <cell r="T218" t="str">
            <v>TransNusa Aviation Mandiri04Apr16</v>
          </cell>
          <cell r="U218" t="str">
            <v>TransNusa Aviation Mandiri</v>
          </cell>
          <cell r="V218">
            <v>42464</v>
          </cell>
          <cell r="Y218">
            <v>1</v>
          </cell>
        </row>
        <row r="219">
          <cell r="T219" t="str">
            <v>CHC Helicopter Crash29Apr16</v>
          </cell>
          <cell r="U219" t="str">
            <v>CHC Helicopter Crash</v>
          </cell>
          <cell r="V219">
            <v>42489</v>
          </cell>
          <cell r="Y219">
            <v>1</v>
          </cell>
        </row>
        <row r="220">
          <cell r="T220" t="str">
            <v>Egyptair19May16</v>
          </cell>
          <cell r="U220" t="str">
            <v>Egyptair</v>
          </cell>
          <cell r="V220">
            <v>42509</v>
          </cell>
          <cell r="Y220">
            <v>1</v>
          </cell>
        </row>
        <row r="221">
          <cell r="T221" t="str">
            <v>United Parcel Service06Jun16</v>
          </cell>
          <cell r="U221" t="str">
            <v>United Parcel Service</v>
          </cell>
          <cell r="V221">
            <v>42527</v>
          </cell>
          <cell r="Y221">
            <v>1</v>
          </cell>
        </row>
        <row r="222">
          <cell r="T222" t="str">
            <v>Singapore Airlines27Jun16</v>
          </cell>
          <cell r="U222" t="str">
            <v>Singapore Airlines</v>
          </cell>
          <cell r="V222">
            <v>42548</v>
          </cell>
          <cell r="Y222">
            <v>1</v>
          </cell>
        </row>
        <row r="223">
          <cell r="T223" t="str">
            <v>Textron06Jul16</v>
          </cell>
          <cell r="U223" t="str">
            <v>Textron</v>
          </cell>
          <cell r="V223">
            <v>42557</v>
          </cell>
          <cell r="Y223">
            <v>1</v>
          </cell>
        </row>
        <row r="224">
          <cell r="T224" t="str">
            <v>Emirates Airlines03Aug16</v>
          </cell>
          <cell r="U224" t="str">
            <v>Emirates Airlines</v>
          </cell>
          <cell r="V224">
            <v>42585</v>
          </cell>
          <cell r="Y224">
            <v>1</v>
          </cell>
        </row>
        <row r="225">
          <cell r="T225" t="str">
            <v>ASL Airlines Hungary05Aug16</v>
          </cell>
          <cell r="U225" t="str">
            <v>ASL Airlines Hungary</v>
          </cell>
          <cell r="V225">
            <v>42587</v>
          </cell>
          <cell r="Y225">
            <v>1</v>
          </cell>
        </row>
        <row r="226">
          <cell r="T226" t="str">
            <v>Asiana Airlines28Aug16</v>
          </cell>
          <cell r="U226" t="str">
            <v>Asiana Airlines</v>
          </cell>
          <cell r="V226">
            <v>42610</v>
          </cell>
          <cell r="Y226">
            <v>1</v>
          </cell>
        </row>
        <row r="227">
          <cell r="T227" t="str">
            <v>Norjet Inc13Oct16</v>
          </cell>
          <cell r="U227" t="str">
            <v>Norjet Inc</v>
          </cell>
          <cell r="V227">
            <v>42656</v>
          </cell>
          <cell r="Y227">
            <v>1</v>
          </cell>
        </row>
        <row r="228">
          <cell r="T228" t="str">
            <v>American Airlines28Oct16</v>
          </cell>
          <cell r="U228" t="str">
            <v>American Airlines</v>
          </cell>
          <cell r="V228">
            <v>42671</v>
          </cell>
          <cell r="Y228">
            <v>1</v>
          </cell>
        </row>
        <row r="229">
          <cell r="T229" t="str">
            <v>Nigerian Air Force16Nov16</v>
          </cell>
          <cell r="U229" t="str">
            <v>Nigerian Air Force</v>
          </cell>
          <cell r="V229">
            <v>42690</v>
          </cell>
          <cell r="Y229">
            <v>1</v>
          </cell>
        </row>
        <row r="230">
          <cell r="T230" t="str">
            <v>LAMIA Bolivia28Nov16</v>
          </cell>
          <cell r="U230" t="str">
            <v>LAMIA Bolivia</v>
          </cell>
          <cell r="V230">
            <v>42702</v>
          </cell>
          <cell r="Y230">
            <v>1</v>
          </cell>
        </row>
        <row r="231">
          <cell r="T231" t="str">
            <v>Pakistan International Airlines07Dec16</v>
          </cell>
          <cell r="U231" t="str">
            <v>Pakistan International Airlines</v>
          </cell>
          <cell r="V231">
            <v>42711</v>
          </cell>
          <cell r="Y231">
            <v>1</v>
          </cell>
        </row>
        <row r="232">
          <cell r="T232" t="str">
            <v>Jet Airways (India)27Dec16</v>
          </cell>
          <cell r="U232" t="str">
            <v>Jet Airways (India)</v>
          </cell>
          <cell r="V232">
            <v>42731</v>
          </cell>
          <cell r="Y232">
            <v>1</v>
          </cell>
        </row>
        <row r="233">
          <cell r="T233" t="str">
            <v>Aeroflot03Jan17</v>
          </cell>
          <cell r="U233" t="str">
            <v>Aeroflot</v>
          </cell>
          <cell r="V233">
            <v>42738</v>
          </cell>
          <cell r="Y233">
            <v>1</v>
          </cell>
        </row>
        <row r="234">
          <cell r="T234" t="str">
            <v>MHS Aviation07Jan17</v>
          </cell>
          <cell r="U234" t="str">
            <v>MHS Aviation</v>
          </cell>
          <cell r="V234">
            <v>42742</v>
          </cell>
          <cell r="Y234">
            <v>1</v>
          </cell>
        </row>
        <row r="235">
          <cell r="T235" t="str">
            <v>MyCargo Airlines16Jan17</v>
          </cell>
          <cell r="U235" t="str">
            <v>MyCargo Airlines</v>
          </cell>
          <cell r="V235">
            <v>42751</v>
          </cell>
          <cell r="Y235">
            <v>1</v>
          </cell>
        </row>
        <row r="236">
          <cell r="T236" t="str">
            <v>Air Lease Corp22Feb17</v>
          </cell>
          <cell r="U236" t="str">
            <v>Air Lease Corp</v>
          </cell>
          <cell r="V236">
            <v>42788</v>
          </cell>
          <cell r="Y236">
            <v>1</v>
          </cell>
        </row>
        <row r="237">
          <cell r="T237" t="str">
            <v>Omni Taxi Helicopters01Mar17</v>
          </cell>
          <cell r="U237" t="str">
            <v>Omni Taxi Helicopters</v>
          </cell>
          <cell r="V237">
            <v>42795</v>
          </cell>
          <cell r="Y237">
            <v>1</v>
          </cell>
        </row>
        <row r="238">
          <cell r="T238" t="str">
            <v>Bahamasair14Mar17</v>
          </cell>
          <cell r="U238" t="str">
            <v>Bahamasair</v>
          </cell>
          <cell r="V238">
            <v>42808</v>
          </cell>
          <cell r="Y238">
            <v>1</v>
          </cell>
        </row>
        <row r="239">
          <cell r="T239" t="str">
            <v>CHC Helicopter Crash14Mar17</v>
          </cell>
          <cell r="U239" t="str">
            <v>CHC Helicopter Crash</v>
          </cell>
          <cell r="V239">
            <v>42808</v>
          </cell>
          <cell r="Y239">
            <v>2</v>
          </cell>
        </row>
        <row r="240">
          <cell r="T240" t="str">
            <v>Malaysia Airlines08Apr17</v>
          </cell>
          <cell r="U240" t="str">
            <v>Malaysia Airlines</v>
          </cell>
          <cell r="V240">
            <v>42833</v>
          </cell>
          <cell r="Y240">
            <v>1</v>
          </cell>
        </row>
        <row r="241">
          <cell r="T241" t="str">
            <v>H &amp; S Air LLC10Apr17</v>
          </cell>
          <cell r="U241" t="str">
            <v>H &amp; S Air LLC</v>
          </cell>
          <cell r="V241">
            <v>42835</v>
          </cell>
          <cell r="Y241">
            <v>1</v>
          </cell>
        </row>
        <row r="242">
          <cell r="T242" t="str">
            <v>Jetran International, Ltd09May17</v>
          </cell>
          <cell r="U242" t="str">
            <v>Jetran International, Ltd</v>
          </cell>
          <cell r="V242">
            <v>42864</v>
          </cell>
          <cell r="Y242">
            <v>1</v>
          </cell>
        </row>
        <row r="243">
          <cell r="T243" t="str">
            <v>Heidi Aviation30May17</v>
          </cell>
          <cell r="U243" t="str">
            <v>Heidi Aviation</v>
          </cell>
          <cell r="V243">
            <v>42885</v>
          </cell>
          <cell r="Y243">
            <v>1</v>
          </cell>
        </row>
        <row r="244">
          <cell r="T244" t="str">
            <v>Heli Austria01Aug17</v>
          </cell>
          <cell r="U244" t="str">
            <v>Heli Austria</v>
          </cell>
          <cell r="V244">
            <v>42948</v>
          </cell>
          <cell r="Y244">
            <v>1</v>
          </cell>
        </row>
        <row r="245">
          <cell r="T245" t="str">
            <v>Air France30Sep17</v>
          </cell>
          <cell r="U245" t="str">
            <v>Air France</v>
          </cell>
          <cell r="V245">
            <v>43008</v>
          </cell>
          <cell r="Y245">
            <v>1</v>
          </cell>
        </row>
        <row r="246">
          <cell r="T246" t="str">
            <v>Qatar Airways08Dec17</v>
          </cell>
          <cell r="U246" t="str">
            <v>Qatar Airways</v>
          </cell>
          <cell r="V246">
            <v>43077</v>
          </cell>
          <cell r="Y246">
            <v>1</v>
          </cell>
        </row>
        <row r="247">
          <cell r="T247" t="str">
            <v>Pegasus Airline13Jan18</v>
          </cell>
          <cell r="U247" t="str">
            <v>Pegasus Airline</v>
          </cell>
          <cell r="V247">
            <v>43113</v>
          </cell>
          <cell r="Y247">
            <v>1</v>
          </cell>
        </row>
        <row r="248">
          <cell r="T248" t="str">
            <v>Aircraft Holding Company One LLC04Feb18</v>
          </cell>
          <cell r="U248" t="str">
            <v>Aircraft Holding Company One LLC</v>
          </cell>
          <cell r="V248">
            <v>43135</v>
          </cell>
          <cell r="Y248">
            <v>1</v>
          </cell>
        </row>
        <row r="249">
          <cell r="T249" t="str">
            <v>Papillon Grand Canyon10Feb18</v>
          </cell>
          <cell r="U249" t="str">
            <v>Papillon Grand Canyon</v>
          </cell>
          <cell r="V249">
            <v>43141</v>
          </cell>
          <cell r="Y249">
            <v>1</v>
          </cell>
        </row>
        <row r="250">
          <cell r="T250" t="str">
            <v>Liberty Helicopters11Mar18</v>
          </cell>
          <cell r="U250" t="str">
            <v>Liberty Helicopters</v>
          </cell>
          <cell r="V250">
            <v>43170</v>
          </cell>
          <cell r="Y250">
            <v>1</v>
          </cell>
        </row>
        <row r="251">
          <cell r="T251" t="str">
            <v>US-Bangla Airlines12Mar18</v>
          </cell>
          <cell r="U251" t="str">
            <v>US-Bangla Airlines</v>
          </cell>
          <cell r="V251">
            <v>43171</v>
          </cell>
          <cell r="Y251">
            <v>1</v>
          </cell>
        </row>
        <row r="252">
          <cell r="T252" t="str">
            <v>Southwest Airlines17Apr18</v>
          </cell>
          <cell r="U252" t="str">
            <v>Southwest Airlines</v>
          </cell>
          <cell r="V252">
            <v>43207</v>
          </cell>
          <cell r="Y252">
            <v>1</v>
          </cell>
        </row>
        <row r="253">
          <cell r="T253" t="str">
            <v>Lion Air29Apr18</v>
          </cell>
          <cell r="U253" t="str">
            <v>Lion Air</v>
          </cell>
          <cell r="V253">
            <v>43219</v>
          </cell>
          <cell r="Y253">
            <v>1</v>
          </cell>
        </row>
        <row r="254">
          <cell r="T254" t="str">
            <v>Embraer05May18</v>
          </cell>
          <cell r="U254" t="str">
            <v>Embraer</v>
          </cell>
          <cell r="V254">
            <v>43225</v>
          </cell>
          <cell r="Y254">
            <v>1</v>
          </cell>
        </row>
        <row r="255">
          <cell r="T255" t="str">
            <v>Hindustan Aeronautics27Jun18</v>
          </cell>
          <cell r="U255" t="str">
            <v>Hindustan Aeronautics</v>
          </cell>
          <cell r="V255">
            <v>43278</v>
          </cell>
          <cell r="Y255">
            <v>1</v>
          </cell>
        </row>
        <row r="256">
          <cell r="T256" t="str">
            <v>Aeromexico Connect31Jul18</v>
          </cell>
          <cell r="U256" t="str">
            <v>Aeromexico Connect</v>
          </cell>
          <cell r="V256">
            <v>43312</v>
          </cell>
          <cell r="Y256">
            <v>1</v>
          </cell>
        </row>
        <row r="257">
          <cell r="T257" t="str">
            <v>Xiamen Airlines16Aug18</v>
          </cell>
          <cell r="U257" t="str">
            <v>Xiamen Airlines</v>
          </cell>
          <cell r="V257">
            <v>43328</v>
          </cell>
          <cell r="Y257">
            <v>1</v>
          </cell>
        </row>
        <row r="258">
          <cell r="T258" t="str">
            <v>UTAir01Sep18</v>
          </cell>
          <cell r="U258" t="str">
            <v>UTAir</v>
          </cell>
          <cell r="V258">
            <v>43344</v>
          </cell>
          <cell r="Y258">
            <v>1</v>
          </cell>
        </row>
        <row r="259">
          <cell r="T259" t="str">
            <v>Air Niugini28Sep18</v>
          </cell>
          <cell r="U259" t="str">
            <v>Air Niugini</v>
          </cell>
          <cell r="V259">
            <v>43371</v>
          </cell>
          <cell r="Y259">
            <v>1</v>
          </cell>
        </row>
        <row r="260">
          <cell r="T260" t="str">
            <v>Cathay Pacific Airways13Apr10</v>
          </cell>
          <cell r="U260" t="str">
            <v>Cathay Pacific Airways</v>
          </cell>
          <cell r="V260">
            <v>40281</v>
          </cell>
          <cell r="Y260">
            <v>1</v>
          </cell>
        </row>
        <row r="261">
          <cell r="T261" t="str">
            <v>Kalstar Aviation21Dec15</v>
          </cell>
          <cell r="U261" t="str">
            <v>Kalstar Aviation</v>
          </cell>
          <cell r="V261">
            <v>42359</v>
          </cell>
          <cell r="Y261">
            <v>1</v>
          </cell>
        </row>
        <row r="262">
          <cell r="T262" t="str">
            <v>Saratov Airlines11Feb18</v>
          </cell>
          <cell r="U262" t="str">
            <v>Saratov Airlines</v>
          </cell>
          <cell r="V262">
            <v>43142</v>
          </cell>
          <cell r="Y262">
            <v>1</v>
          </cell>
        </row>
        <row r="263">
          <cell r="T263" t="str">
            <v>Airzena Georgian Airlines04Apr11</v>
          </cell>
          <cell r="U263" t="str">
            <v>Airzena Georgian Airlines</v>
          </cell>
          <cell r="V263">
            <v>40637</v>
          </cell>
          <cell r="Y263">
            <v>1</v>
          </cell>
        </row>
        <row r="264">
          <cell r="T264" t="str">
            <v>Star Alliance11Jun18</v>
          </cell>
          <cell r="U264" t="str">
            <v>Star Alliance</v>
          </cell>
          <cell r="V264">
            <v>43262</v>
          </cell>
          <cell r="Y264">
            <v>1</v>
          </cell>
        </row>
        <row r="265">
          <cell r="T265" t="str">
            <v>Horizon Air10Aug18</v>
          </cell>
          <cell r="U265" t="str">
            <v>Horizon Air</v>
          </cell>
          <cell r="V265">
            <v>43322</v>
          </cell>
          <cell r="Y265">
            <v>1</v>
          </cell>
        </row>
        <row r="266">
          <cell r="T266" t="str">
            <v>Air America Flight Services27Sep18</v>
          </cell>
          <cell r="U266" t="str">
            <v>Air America Flight Services</v>
          </cell>
          <cell r="V266">
            <v>43370</v>
          </cell>
          <cell r="Y266">
            <v>1</v>
          </cell>
        </row>
        <row r="267">
          <cell r="T267" t="str">
            <v>Yakutia Airlines10Oct18</v>
          </cell>
          <cell r="U267" t="str">
            <v>Yakutia Airlines</v>
          </cell>
          <cell r="V267">
            <v>43383</v>
          </cell>
          <cell r="Y267">
            <v>1</v>
          </cell>
        </row>
        <row r="268">
          <cell r="T268" t="str">
            <v>King Power27Oct18</v>
          </cell>
          <cell r="U268" t="str">
            <v>King Power</v>
          </cell>
          <cell r="V268">
            <v>43400</v>
          </cell>
          <cell r="Y268">
            <v>1</v>
          </cell>
        </row>
        <row r="269">
          <cell r="T269" t="str">
            <v>Lion Air29Oct18</v>
          </cell>
          <cell r="U269" t="str">
            <v>Lion Air</v>
          </cell>
          <cell r="V269">
            <v>43402</v>
          </cell>
          <cell r="Y269">
            <v>1</v>
          </cell>
        </row>
        <row r="270">
          <cell r="T270" t="str">
            <v>Sky Lease Cargo07Nov18</v>
          </cell>
          <cell r="U270" t="str">
            <v>Sky Lease Cargo</v>
          </cell>
          <cell r="V270">
            <v>43411</v>
          </cell>
          <cell r="Y270">
            <v>1</v>
          </cell>
        </row>
        <row r="271">
          <cell r="T271" t="str">
            <v>Fly Jamaica Airways09Nov18</v>
          </cell>
          <cell r="U271" t="str">
            <v>Fly Jamaica Airways</v>
          </cell>
          <cell r="V271">
            <v>43413</v>
          </cell>
          <cell r="Y271">
            <v>1</v>
          </cell>
        </row>
        <row r="272">
          <cell r="T272" t="str">
            <v>Amazon Prime Air23Feb19</v>
          </cell>
          <cell r="U272" t="str">
            <v>Amazon Prime Air</v>
          </cell>
          <cell r="V272">
            <v>43519</v>
          </cell>
          <cell r="Y272">
            <v>1</v>
          </cell>
        </row>
        <row r="273">
          <cell r="T273" t="str">
            <v>Ethiopian Airlines10Mar19</v>
          </cell>
          <cell r="U273" t="str">
            <v>Ethiopian Airlines</v>
          </cell>
          <cell r="V273">
            <v>43534</v>
          </cell>
          <cell r="Y273">
            <v>1</v>
          </cell>
        </row>
        <row r="274">
          <cell r="T274" t="str">
            <v>Miami Air International03May19</v>
          </cell>
          <cell r="U274" t="str">
            <v>Miami Air International</v>
          </cell>
          <cell r="V274">
            <v>43588</v>
          </cell>
          <cell r="Y274">
            <v>1</v>
          </cell>
        </row>
        <row r="275">
          <cell r="T275" t="str">
            <v>Aeroflot05May19</v>
          </cell>
          <cell r="U275" t="str">
            <v>Aeroflot</v>
          </cell>
          <cell r="V275">
            <v>43590</v>
          </cell>
          <cell r="Y275">
            <v>1</v>
          </cell>
        </row>
        <row r="276">
          <cell r="T276" t="str">
            <v>MUH-1 Crash17Jul18</v>
          </cell>
          <cell r="U276" t="str">
            <v>MUH-1 Crash</v>
          </cell>
          <cell r="V276">
            <v>43298</v>
          </cell>
          <cell r="Y276">
            <v>1</v>
          </cell>
        </row>
        <row r="277">
          <cell r="T277" t="str">
            <v>Cargolux24Nov14</v>
          </cell>
          <cell r="U277" t="str">
            <v>Cargolux</v>
          </cell>
          <cell r="V277">
            <v>41967</v>
          </cell>
          <cell r="Y277">
            <v>1</v>
          </cell>
        </row>
        <row r="278">
          <cell r="T278" t="str">
            <v>Sobeh26Dec15</v>
          </cell>
          <cell r="U278" t="str">
            <v>Sobeh</v>
          </cell>
          <cell r="V278">
            <v>42364</v>
          </cell>
          <cell r="Y278">
            <v>1</v>
          </cell>
        </row>
        <row r="279">
          <cell r="T279" t="str">
            <v>Tripoli Airport Militant attacks15Jul14</v>
          </cell>
          <cell r="U279" t="str">
            <v>Tripoli Airport Militant attacks</v>
          </cell>
          <cell r="V279">
            <v>41835</v>
          </cell>
          <cell r="Y279">
            <v>1</v>
          </cell>
        </row>
        <row r="280">
          <cell r="T280" t="str">
            <v>Alenia Aermacchi18Nov11</v>
          </cell>
          <cell r="U280" t="str">
            <v>Alenia Aermacchi</v>
          </cell>
          <cell r="V280">
            <v>40865</v>
          </cell>
          <cell r="Y280">
            <v>1</v>
          </cell>
        </row>
        <row r="281">
          <cell r="T281" t="str">
            <v>EADS25Jul12</v>
          </cell>
          <cell r="U281" t="str">
            <v>EADS</v>
          </cell>
          <cell r="V281">
            <v>41115</v>
          </cell>
          <cell r="Y281">
            <v>1</v>
          </cell>
        </row>
        <row r="282">
          <cell r="T282" t="str">
            <v>Republique de Guinée11Feb13</v>
          </cell>
          <cell r="U282" t="str">
            <v>Republique de Guinée</v>
          </cell>
          <cell r="V282">
            <v>41316</v>
          </cell>
          <cell r="Y282">
            <v>1</v>
          </cell>
        </row>
        <row r="283">
          <cell r="T283" t="str">
            <v>Alenia Aermacchi11May13</v>
          </cell>
          <cell r="U283" t="str">
            <v>Alenia Aermacchi</v>
          </cell>
          <cell r="V283">
            <v>41405</v>
          </cell>
          <cell r="Y283">
            <v>1</v>
          </cell>
        </row>
        <row r="284">
          <cell r="T284" t="str">
            <v>HELI-TV SA29Jun13</v>
          </cell>
          <cell r="U284" t="str">
            <v>HELI-TV SA</v>
          </cell>
          <cell r="V284">
            <v>41454</v>
          </cell>
          <cell r="Y284">
            <v>1</v>
          </cell>
        </row>
        <row r="285">
          <cell r="T285" t="str">
            <v>Rome Airport Fire06May15</v>
          </cell>
          <cell r="U285" t="str">
            <v>Rome Airport Fire</v>
          </cell>
          <cell r="V285">
            <v>42130</v>
          </cell>
          <cell r="Y285">
            <v>1</v>
          </cell>
        </row>
        <row r="286">
          <cell r="T286" t="str">
            <v>Air Glaciers SA13Jul15</v>
          </cell>
          <cell r="U286" t="str">
            <v>Air Glaciers SA</v>
          </cell>
          <cell r="V286">
            <v>42198</v>
          </cell>
          <cell r="Y286">
            <v>1</v>
          </cell>
        </row>
        <row r="287">
          <cell r="T287" t="str">
            <v>Mont Blanc Helicopters24Oct15</v>
          </cell>
          <cell r="U287" t="str">
            <v>Mont Blanc Helicopters</v>
          </cell>
          <cell r="V287">
            <v>42301</v>
          </cell>
          <cell r="Y287">
            <v>1</v>
          </cell>
        </row>
        <row r="288">
          <cell r="T288" t="str">
            <v>Eurofly Service28Nov08</v>
          </cell>
          <cell r="U288" t="str">
            <v>Eurofly Service</v>
          </cell>
          <cell r="V288">
            <v>39780</v>
          </cell>
          <cell r="Y288">
            <v>1</v>
          </cell>
        </row>
        <row r="289">
          <cell r="T289" t="str">
            <v>Regourd Aviation02Jan09</v>
          </cell>
          <cell r="U289" t="str">
            <v>Regourd Aviation</v>
          </cell>
          <cell r="V289">
            <v>39815</v>
          </cell>
          <cell r="Y289">
            <v>1</v>
          </cell>
        </row>
        <row r="290">
          <cell r="T290" t="str">
            <v>Kocoglu Aviation31Jan09</v>
          </cell>
          <cell r="U290" t="str">
            <v>Kocoglu Aviation</v>
          </cell>
          <cell r="V290">
            <v>39844</v>
          </cell>
          <cell r="Y290">
            <v>1</v>
          </cell>
        </row>
        <row r="291">
          <cell r="T291" t="str">
            <v>Aéro-Service19Jun10</v>
          </cell>
          <cell r="U291" t="str">
            <v>Aéro-Service</v>
          </cell>
          <cell r="V291">
            <v>40348</v>
          </cell>
          <cell r="Y291">
            <v>1</v>
          </cell>
        </row>
        <row r="292">
          <cell r="T292" t="str">
            <v>Airbus Product Recall21Nov14</v>
          </cell>
          <cell r="U292" t="str">
            <v>Airbus Product Recall</v>
          </cell>
          <cell r="V292">
            <v>41964</v>
          </cell>
          <cell r="Y292">
            <v>1</v>
          </cell>
        </row>
        <row r="293">
          <cell r="T293" t="str">
            <v>Ju-Air04Aug18</v>
          </cell>
          <cell r="U293" t="str">
            <v>Ju-Air</v>
          </cell>
          <cell r="V293">
            <v>43316</v>
          </cell>
          <cell r="Y293">
            <v>1</v>
          </cell>
        </row>
        <row r="294">
          <cell r="T294" t="str">
            <v>Heli-Union25Mar07</v>
          </cell>
          <cell r="U294" t="str">
            <v>Heli-Union</v>
          </cell>
          <cell r="V294">
            <v>39166</v>
          </cell>
          <cell r="Y294">
            <v>1</v>
          </cell>
        </row>
        <row r="295">
          <cell r="T295" t="str">
            <v>Wild Dogs16Nov07</v>
          </cell>
          <cell r="U295" t="str">
            <v>Wild Dogs</v>
          </cell>
          <cell r="V295">
            <v>39402</v>
          </cell>
          <cell r="Y295">
            <v>1</v>
          </cell>
        </row>
        <row r="296">
          <cell r="T296" t="str">
            <v>Medair25Mar09</v>
          </cell>
          <cell r="U296" t="str">
            <v>Medair</v>
          </cell>
          <cell r="V296">
            <v>39897</v>
          </cell>
          <cell r="Y296">
            <v>1</v>
          </cell>
        </row>
        <row r="297">
          <cell r="T297" t="str">
            <v>Transports Aériens Intercaraïbes05May12</v>
          </cell>
          <cell r="U297" t="str">
            <v>Transports Aériens Intercaraïbes</v>
          </cell>
          <cell r="V297">
            <v>41034</v>
          </cell>
          <cell r="Y297">
            <v>1</v>
          </cell>
        </row>
        <row r="298">
          <cell r="T298" t="str">
            <v>Taca International Airlines30May08</v>
          </cell>
          <cell r="U298" t="str">
            <v>Taca International Airlines</v>
          </cell>
          <cell r="V298">
            <v>39598</v>
          </cell>
          <cell r="Y298">
            <v>1</v>
          </cell>
        </row>
        <row r="299">
          <cell r="T299" t="str">
            <v>Iran Aseman Airlines18Feb18</v>
          </cell>
          <cell r="U299" t="str">
            <v>Iran Aseman Airlines</v>
          </cell>
          <cell r="V299">
            <v>43149</v>
          </cell>
          <cell r="Y299">
            <v>1</v>
          </cell>
        </row>
        <row r="300">
          <cell r="T300" t="str">
            <v>Cassa Provinciale05Mar17</v>
          </cell>
          <cell r="U300" t="str">
            <v>Cassa Provinciale</v>
          </cell>
          <cell r="V300">
            <v>42799</v>
          </cell>
          <cell r="Y300">
            <v>1</v>
          </cell>
        </row>
      </sheetData>
      <sheetData sheetId="4"/>
      <sheetData sheetId="5"/>
      <sheetData sheetId="6" refreshError="1"/>
      <sheetData sheetId="7"/>
      <sheetData sheetId="8">
        <row r="4">
          <cell r="C4" t="str">
            <v>Class UniqueID</v>
          </cell>
          <cell r="D4" t="str">
            <v>Include</v>
          </cell>
          <cell r="E4" t="str">
            <v>Major/Non Major</v>
          </cell>
          <cell r="I4" t="str">
            <v>Coverage UniqueID</v>
          </cell>
          <cell r="J4" t="str">
            <v>Include</v>
          </cell>
          <cell r="K4" t="str">
            <v>Coverage_Detail_Cleansed</v>
          </cell>
        </row>
        <row r="5">
          <cell r="C5" t="str">
            <v>Airline</v>
          </cell>
          <cell r="D5" t="str">
            <v>Y</v>
          </cell>
          <cell r="E5" t="str">
            <v>Major</v>
          </cell>
          <cell r="I5" t="str">
            <v>AVN52 - STAND ALONE</v>
          </cell>
          <cell r="J5" t="str">
            <v>Y</v>
          </cell>
          <cell r="K5" t="str">
            <v>Hull</v>
          </cell>
        </row>
        <row r="6">
          <cell r="C6" t="str">
            <v>Airlines</v>
          </cell>
          <cell r="D6" t="str">
            <v>Y</v>
          </cell>
          <cell r="E6" t="str">
            <v>Major</v>
          </cell>
          <cell r="I6" t="str">
            <v>AVN52</v>
          </cell>
          <cell r="J6" t="str">
            <v>Y</v>
          </cell>
          <cell r="K6" t="str">
            <v>Hull</v>
          </cell>
        </row>
        <row r="7">
          <cell r="C7" t="str">
            <v>Airports</v>
          </cell>
          <cell r="D7" t="str">
            <v>Y</v>
          </cell>
          <cell r="E7" t="str">
            <v>Major</v>
          </cell>
          <cell r="I7" t="str">
            <v>AVN52 - ALL RISKS</v>
          </cell>
          <cell r="J7" t="str">
            <v>Y</v>
          </cell>
          <cell r="K7" t="str">
            <v>Hull</v>
          </cell>
        </row>
        <row r="8">
          <cell r="C8" t="str">
            <v>ATC incl. Airports wth ATC act</v>
          </cell>
          <cell r="D8" t="str">
            <v>Y</v>
          </cell>
          <cell r="E8" t="str">
            <v>Major</v>
          </cell>
          <cell r="I8" t="str">
            <v>VARIOUS</v>
          </cell>
          <cell r="J8" t="str">
            <v>Y</v>
          </cell>
          <cell r="K8" t="str">
            <v>Hull</v>
          </cell>
        </row>
        <row r="9">
          <cell r="C9" t="str">
            <v>Bank</v>
          </cell>
          <cell r="D9" t="str">
            <v>Y</v>
          </cell>
          <cell r="E9" t="str">
            <v>Non Major</v>
          </cell>
          <cell r="I9" t="str">
            <v xml:space="preserve"> ENGINE DAMAGE</v>
          </cell>
          <cell r="J9" t="str">
            <v>Y</v>
          </cell>
          <cell r="K9" t="str">
            <v>Hull</v>
          </cell>
        </row>
        <row r="10">
          <cell r="C10" t="str">
            <v>General Aviation</v>
          </cell>
          <cell r="D10" t="str">
            <v>Y</v>
          </cell>
          <cell r="E10" t="str">
            <v>Non Major</v>
          </cell>
          <cell r="I10" t="str">
            <v>CONSTRUCTIVE TOTAL LOSS</v>
          </cell>
          <cell r="J10" t="str">
            <v>Y</v>
          </cell>
          <cell r="K10" t="str">
            <v>Hull</v>
          </cell>
        </row>
        <row r="11">
          <cell r="C11" t="str">
            <v>Handling</v>
          </cell>
          <cell r="D11" t="str">
            <v>Y</v>
          </cell>
          <cell r="E11" t="str">
            <v>Non Major</v>
          </cell>
          <cell r="I11" t="str">
            <v>HULL</v>
          </cell>
          <cell r="J11" t="str">
            <v>Y</v>
          </cell>
          <cell r="K11" t="str">
            <v>Hull</v>
          </cell>
        </row>
        <row r="12">
          <cell r="C12" t="str">
            <v>Maintenance/ANZ Petrol Explora</v>
          </cell>
          <cell r="D12" t="str">
            <v>Y</v>
          </cell>
          <cell r="E12" t="str">
            <v>Non Major</v>
          </cell>
          <cell r="I12" t="str">
            <v>Hull Deductible</v>
          </cell>
          <cell r="J12" t="str">
            <v>Y</v>
          </cell>
          <cell r="K12" t="str">
            <v>Hull</v>
          </cell>
        </row>
        <row r="13">
          <cell r="C13" t="str">
            <v>Products &amp; Airports</v>
          </cell>
          <cell r="D13" t="str">
            <v>Y</v>
          </cell>
          <cell r="E13" t="str">
            <v>Major</v>
          </cell>
          <cell r="I13" t="str">
            <v>LIAB - Medicare</v>
          </cell>
          <cell r="J13" t="str">
            <v>Y</v>
          </cell>
          <cell r="K13" t="str">
            <v>Liability</v>
          </cell>
        </row>
        <row r="14">
          <cell r="C14" t="str">
            <v>Manufacturers</v>
          </cell>
          <cell r="D14" t="str">
            <v>Y</v>
          </cell>
          <cell r="E14" t="str">
            <v>Major</v>
          </cell>
          <cell r="I14" t="str">
            <v>LIABILITIES</v>
          </cell>
          <cell r="J14" t="str">
            <v>Y</v>
          </cell>
          <cell r="K14" t="str">
            <v>Liability</v>
          </cell>
        </row>
        <row r="15">
          <cell r="C15" t="str">
            <v>Aircraft manufacturer</v>
          </cell>
          <cell r="D15" t="str">
            <v>Y</v>
          </cell>
          <cell r="E15" t="str">
            <v>Major</v>
          </cell>
          <cell r="I15" t="str">
            <v>Liability</v>
          </cell>
          <cell r="J15" t="str">
            <v>Y</v>
          </cell>
          <cell r="K15" t="str">
            <v>Liability</v>
          </cell>
        </row>
        <row r="16">
          <cell r="C16" t="str">
            <v>Aircraft manufacturer - GA</v>
          </cell>
          <cell r="D16" t="str">
            <v>Y</v>
          </cell>
          <cell r="E16" t="str">
            <v>Major</v>
          </cell>
          <cell r="I16" t="str">
            <v>LOSS OF USE</v>
          </cell>
          <cell r="J16" t="str">
            <v>Y</v>
          </cell>
          <cell r="K16" t="str">
            <v>NA</v>
          </cell>
        </row>
        <row r="17">
          <cell r="C17" t="str">
            <v>Personal Accident</v>
          </cell>
          <cell r="D17" t="str">
            <v>Y</v>
          </cell>
          <cell r="E17" t="str">
            <v>Non Major</v>
          </cell>
          <cell r="I17" t="str">
            <v>NATURAL DISASTER</v>
          </cell>
          <cell r="J17" t="str">
            <v>Y</v>
          </cell>
          <cell r="K17" t="str">
            <v>NA</v>
          </cell>
        </row>
        <row r="18">
          <cell r="C18" t="str">
            <v>Refuelling</v>
          </cell>
          <cell r="D18" t="str">
            <v>Y</v>
          </cell>
          <cell r="E18" t="str">
            <v>Non Major</v>
          </cell>
          <cell r="I18" t="str">
            <v>PERSONAL ACCIDENT</v>
          </cell>
          <cell r="J18" t="str">
            <v>Y</v>
          </cell>
          <cell r="K18" t="str">
            <v>Liability</v>
          </cell>
        </row>
        <row r="19">
          <cell r="C19" t="str">
            <v>Service Providers</v>
          </cell>
          <cell r="D19" t="str">
            <v>Y</v>
          </cell>
          <cell r="E19" t="str">
            <v>Non Major</v>
          </cell>
          <cell r="I19" t="str">
            <v>SPARES</v>
          </cell>
          <cell r="J19" t="str">
            <v>Y</v>
          </cell>
          <cell r="K19" t="str">
            <v>Hull</v>
          </cell>
        </row>
        <row r="20">
          <cell r="C20" t="str">
            <v xml:space="preserve">Subcontractor </v>
          </cell>
          <cell r="D20" t="str">
            <v>Y</v>
          </cell>
          <cell r="E20" t="str">
            <v>Non Major</v>
          </cell>
          <cell r="I20" t="str">
            <v xml:space="preserve"> TOTAL LOSS</v>
          </cell>
          <cell r="J20" t="str">
            <v>Y</v>
          </cell>
          <cell r="K20" t="str">
            <v>Hull</v>
          </cell>
        </row>
        <row r="21">
          <cell r="C21" t="str">
            <v>Subcontractor - Highly Criticl</v>
          </cell>
          <cell r="D21" t="str">
            <v>Y</v>
          </cell>
          <cell r="E21" t="str">
            <v>Major</v>
          </cell>
          <cell r="I21" t="str">
            <v>TOTAL LOSS</v>
          </cell>
          <cell r="J21" t="str">
            <v>Y</v>
          </cell>
          <cell r="K21" t="str">
            <v>Hull</v>
          </cell>
        </row>
        <row r="22">
          <cell r="C22" t="str">
            <v>Subcontractor - Slghtly Critcl</v>
          </cell>
          <cell r="D22" t="str">
            <v>Y</v>
          </cell>
          <cell r="E22" t="str">
            <v>Major</v>
          </cell>
          <cell r="I22" t="str">
            <v>unknown</v>
          </cell>
          <cell r="J22" t="str">
            <v>N</v>
          </cell>
          <cell r="K22" t="str">
            <v>unknown</v>
          </cell>
        </row>
        <row r="23">
          <cell r="C23" t="str">
            <v>Subcontractor - Critical</v>
          </cell>
          <cell r="D23" t="str">
            <v>Y</v>
          </cell>
          <cell r="E23" t="str">
            <v>Major</v>
          </cell>
          <cell r="I23">
            <v>0</v>
          </cell>
          <cell r="J23" t="str">
            <v>N</v>
          </cell>
          <cell r="K23" t="str">
            <v>Hull</v>
          </cell>
        </row>
        <row r="24">
          <cell r="C24" t="str">
            <v>Unknown</v>
          </cell>
          <cell r="D24" t="str">
            <v>N</v>
          </cell>
          <cell r="E24" t="str">
            <v>Non Major</v>
          </cell>
          <cell r="I24" t="str">
            <v>HULL WAR</v>
          </cell>
          <cell r="J24" t="str">
            <v>Y</v>
          </cell>
          <cell r="K24" t="str">
            <v>Hull</v>
          </cell>
        </row>
        <row r="25">
          <cell r="C25" t="str">
            <v>Commercial</v>
          </cell>
          <cell r="D25" t="str">
            <v>Y</v>
          </cell>
          <cell r="E25" t="str">
            <v>Major</v>
          </cell>
        </row>
        <row r="26">
          <cell r="C26" t="str">
            <v>Space Third Party Liability</v>
          </cell>
          <cell r="D26" t="str">
            <v>N</v>
          </cell>
          <cell r="E26" t="str">
            <v>Non Major</v>
          </cell>
        </row>
        <row r="27">
          <cell r="C27" t="str">
            <v>Subcontractor - Non critical</v>
          </cell>
          <cell r="D27" t="str">
            <v>Y</v>
          </cell>
          <cell r="E27" t="str">
            <v>Non Major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04 PT"/>
      <sheetName val="03 Data"/>
      <sheetName val="02 DataIn"/>
      <sheetName val="01 Ref"/>
      <sheetName val="00 Banners"/>
      <sheetName val="Sheet1"/>
    </sheetNames>
    <sheetDataSet>
      <sheetData sheetId="0"/>
      <sheetData sheetId="1"/>
      <sheetData sheetId="2">
        <row r="24">
          <cell r="R24" t="b">
            <v>1</v>
          </cell>
        </row>
      </sheetData>
      <sheetData sheetId="3"/>
      <sheetData sheetId="4">
        <row r="22">
          <cell r="F22">
            <v>55000000</v>
          </cell>
          <cell r="G22">
            <v>55000000</v>
          </cell>
          <cell r="H22">
            <v>450000000</v>
          </cell>
          <cell r="I22">
            <v>250000000</v>
          </cell>
          <cell r="J22">
            <v>250000000</v>
          </cell>
          <cell r="K22">
            <v>250000000</v>
          </cell>
          <cell r="L22">
            <v>55000000</v>
          </cell>
          <cell r="M22">
            <v>55000000</v>
          </cell>
          <cell r="N22">
            <v>250000000</v>
          </cell>
          <cell r="O22">
            <v>250000000</v>
          </cell>
          <cell r="P22">
            <v>250000000</v>
          </cell>
          <cell r="Q22">
            <v>250000000</v>
          </cell>
          <cell r="V22" t="b">
            <v>1</v>
          </cell>
          <cell r="Y22" t="str">
            <v>H</v>
          </cell>
          <cell r="Z22" t="str">
            <v>Hull</v>
          </cell>
          <cell r="AA22" t="str">
            <v>Hull</v>
          </cell>
          <cell r="AB22">
            <v>1</v>
          </cell>
          <cell r="AD22" t="str">
            <v>GL</v>
          </cell>
          <cell r="AF22">
            <v>1</v>
          </cell>
          <cell r="AJ22" t="str">
            <v>GL</v>
          </cell>
          <cell r="AK22" t="str">
            <v>General Liability</v>
          </cell>
          <cell r="AL22" t="str">
            <v>GL</v>
          </cell>
          <cell r="AM22" t="str">
            <v>General Liability</v>
          </cell>
          <cell r="AN22" t="str">
            <v>GL</v>
          </cell>
          <cell r="AO22" t="str">
            <v>General Liability</v>
          </cell>
          <cell r="AP22" t="str">
            <v>GL</v>
          </cell>
          <cell r="AR22" t="str">
            <v>SP</v>
          </cell>
          <cell r="AS22" t="str">
            <v>Single-Engine Fixed Wing Piston</v>
          </cell>
          <cell r="AT22" t="str">
            <v>FW</v>
          </cell>
          <cell r="AV22" t="str">
            <v>AL</v>
          </cell>
          <cell r="AW22" t="str">
            <v>ALABAMA</v>
          </cell>
          <cell r="AX22" t="str">
            <v>US</v>
          </cell>
          <cell r="BC22">
            <v>-1</v>
          </cell>
          <cell r="BD22">
            <v>0</v>
          </cell>
          <cell r="BF22">
            <v>42401</v>
          </cell>
          <cell r="BH22">
            <v>2016</v>
          </cell>
        </row>
        <row r="23">
          <cell r="F23">
            <v>10000000</v>
          </cell>
          <cell r="G23">
            <v>10000000</v>
          </cell>
          <cell r="H23">
            <v>50000000</v>
          </cell>
          <cell r="I23">
            <v>50000000</v>
          </cell>
          <cell r="J23">
            <v>50000000</v>
          </cell>
          <cell r="K23">
            <v>50000000</v>
          </cell>
          <cell r="L23">
            <v>10000000</v>
          </cell>
          <cell r="M23">
            <v>10000000</v>
          </cell>
          <cell r="N23">
            <v>50000000</v>
          </cell>
          <cell r="O23">
            <v>50000000</v>
          </cell>
          <cell r="P23">
            <v>50000000</v>
          </cell>
          <cell r="Q23">
            <v>50000000</v>
          </cell>
          <cell r="V23" t="b">
            <v>0</v>
          </cell>
          <cell r="Y23" t="str">
            <v>W</v>
          </cell>
          <cell r="Z23" t="str">
            <v>Hull</v>
          </cell>
          <cell r="AA23" t="str">
            <v>Hull War</v>
          </cell>
          <cell r="AB23">
            <v>2</v>
          </cell>
          <cell r="AD23" t="str">
            <v>MP</v>
          </cell>
          <cell r="AF23">
            <v>1</v>
          </cell>
          <cell r="AJ23" t="str">
            <v>GL-PR</v>
          </cell>
          <cell r="AK23" t="str">
            <v>Premises</v>
          </cell>
          <cell r="AL23" t="str">
            <v>GL</v>
          </cell>
          <cell r="AM23" t="str">
            <v>General Liability</v>
          </cell>
          <cell r="AN23" t="str">
            <v>GL</v>
          </cell>
          <cell r="AO23" t="str">
            <v>General Liability</v>
          </cell>
          <cell r="AP23" t="str">
            <v>GL</v>
          </cell>
          <cell r="AR23" t="str">
            <v>ST</v>
          </cell>
          <cell r="AS23" t="str">
            <v>Single-Engine Fixed Wing Turbo Prop</v>
          </cell>
          <cell r="AT23" t="str">
            <v>FW</v>
          </cell>
          <cell r="AV23" t="str">
            <v>AK</v>
          </cell>
          <cell r="AW23" t="str">
            <v xml:space="preserve">ALASKA </v>
          </cell>
          <cell r="AX23" t="str">
            <v>US</v>
          </cell>
          <cell r="BC23">
            <v>0</v>
          </cell>
          <cell r="BD23" t="str">
            <v>0K - 250K</v>
          </cell>
          <cell r="BF23">
            <v>42767</v>
          </cell>
          <cell r="BH23">
            <v>2017</v>
          </cell>
        </row>
        <row r="24">
          <cell r="F24">
            <v>10000000</v>
          </cell>
          <cell r="G24">
            <v>10000000</v>
          </cell>
          <cell r="H24">
            <v>50000000</v>
          </cell>
          <cell r="I24">
            <v>50000000</v>
          </cell>
          <cell r="J24">
            <v>50000000</v>
          </cell>
          <cell r="K24">
            <v>50000000</v>
          </cell>
          <cell r="L24">
            <v>10000000</v>
          </cell>
          <cell r="M24">
            <v>10000000</v>
          </cell>
          <cell r="N24">
            <v>50000000</v>
          </cell>
          <cell r="O24">
            <v>50000000</v>
          </cell>
          <cell r="P24">
            <v>50000000</v>
          </cell>
          <cell r="Q24">
            <v>50000000</v>
          </cell>
          <cell r="Y24" t="str">
            <v>Y</v>
          </cell>
          <cell r="Z24" t="str">
            <v>Hull</v>
          </cell>
          <cell r="AA24" t="str">
            <v>Hull Tria</v>
          </cell>
          <cell r="AB24">
            <v>2</v>
          </cell>
          <cell r="AD24" t="str">
            <v>AP</v>
          </cell>
          <cell r="AF24">
            <v>1</v>
          </cell>
          <cell r="AJ24" t="str">
            <v>GL-HK</v>
          </cell>
          <cell r="AK24" t="str">
            <v>Hangar Keeper</v>
          </cell>
          <cell r="AL24" t="str">
            <v>GL</v>
          </cell>
          <cell r="AM24" t="str">
            <v>General Liability</v>
          </cell>
          <cell r="AN24" t="str">
            <v>GL</v>
          </cell>
          <cell r="AO24" t="str">
            <v>General Liability</v>
          </cell>
          <cell r="AP24" t="str">
            <v>GL</v>
          </cell>
          <cell r="AR24" t="str">
            <v>SL</v>
          </cell>
          <cell r="AS24" t="str">
            <v>Gliders</v>
          </cell>
          <cell r="AT24" t="str">
            <v>FW</v>
          </cell>
          <cell r="AV24" t="str">
            <v>AS</v>
          </cell>
          <cell r="AW24" t="str">
            <v xml:space="preserve">AMERICAN SAMOA </v>
          </cell>
          <cell r="AX24" t="str">
            <v>US</v>
          </cell>
          <cell r="BC24">
            <v>250001</v>
          </cell>
          <cell r="BD24" t="str">
            <v>250K - 500K</v>
          </cell>
          <cell r="BF24">
            <v>43132</v>
          </cell>
          <cell r="BH24">
            <v>2018</v>
          </cell>
        </row>
        <row r="25">
          <cell r="F25" t="b">
            <v>0</v>
          </cell>
          <cell r="G25" t="b">
            <v>0</v>
          </cell>
          <cell r="H25" t="b">
            <v>0</v>
          </cell>
          <cell r="I25" t="b">
            <v>0</v>
          </cell>
          <cell r="J25" t="b">
            <v>0</v>
          </cell>
          <cell r="K25" t="b">
            <v>0</v>
          </cell>
          <cell r="L25" t="b">
            <v>0</v>
          </cell>
          <cell r="M25" t="b">
            <v>0</v>
          </cell>
          <cell r="N25" t="b">
            <v>0</v>
          </cell>
          <cell r="O25" t="b">
            <v>0</v>
          </cell>
          <cell r="P25" t="b">
            <v>0</v>
          </cell>
          <cell r="Q25" t="b">
            <v>0</v>
          </cell>
          <cell r="Y25" t="str">
            <v>L</v>
          </cell>
          <cell r="Z25" t="str">
            <v>Liability</v>
          </cell>
          <cell r="AA25" t="str">
            <v>Liability</v>
          </cell>
          <cell r="AB25">
            <v>3</v>
          </cell>
          <cell r="AD25" t="str">
            <v>AG</v>
          </cell>
          <cell r="AF25">
            <v>0</v>
          </cell>
          <cell r="AJ25" t="str">
            <v>AP</v>
          </cell>
          <cell r="AK25" t="str">
            <v>Airport</v>
          </cell>
          <cell r="AL25" t="str">
            <v>AP</v>
          </cell>
          <cell r="AM25" t="str">
            <v>Airport</v>
          </cell>
          <cell r="AN25" t="str">
            <v>GL</v>
          </cell>
          <cell r="AO25" t="str">
            <v>General Liability</v>
          </cell>
          <cell r="AP25" t="str">
            <v>GL</v>
          </cell>
          <cell r="AR25" t="str">
            <v>KP</v>
          </cell>
          <cell r="AS25" t="str">
            <v>Aircraft Kitplanes Special</v>
          </cell>
          <cell r="AT25" t="str">
            <v>FW</v>
          </cell>
          <cell r="AV25" t="str">
            <v>AZ</v>
          </cell>
          <cell r="AW25" t="str">
            <v>ARIZONA</v>
          </cell>
          <cell r="AX25" t="str">
            <v>US</v>
          </cell>
          <cell r="BC25">
            <v>500001</v>
          </cell>
          <cell r="BD25" t="str">
            <v>500K - 750K</v>
          </cell>
          <cell r="BF25"/>
          <cell r="BH25"/>
        </row>
        <row r="26">
          <cell r="F26" t="str">
            <v>ReL</v>
          </cell>
          <cell r="G26" t="str">
            <v>ReL</v>
          </cell>
          <cell r="H26" t="str">
            <v>FLS%</v>
          </cell>
          <cell r="I26" t="str">
            <v>FLS%</v>
          </cell>
          <cell r="J26" t="str">
            <v>FLS$</v>
          </cell>
          <cell r="K26" t="str">
            <v>FLS%</v>
          </cell>
          <cell r="L26" t="str">
            <v>ReL</v>
          </cell>
          <cell r="M26" t="str">
            <v>ReL</v>
          </cell>
          <cell r="N26" t="str">
            <v>FLS%</v>
          </cell>
          <cell r="O26" t="str">
            <v>FLS%</v>
          </cell>
          <cell r="P26" t="str">
            <v>FLS$</v>
          </cell>
          <cell r="Q26" t="str">
            <v>FLS%</v>
          </cell>
          <cell r="Y26" t="str">
            <v>S</v>
          </cell>
          <cell r="Z26" t="str">
            <v>Liability</v>
          </cell>
          <cell r="AA26" t="str">
            <v>Liability War</v>
          </cell>
          <cell r="AB26">
            <v>5</v>
          </cell>
          <cell r="AD26" t="str">
            <v>CO</v>
          </cell>
          <cell r="AF26">
            <v>0</v>
          </cell>
          <cell r="AJ26" t="str">
            <v>AP-PR</v>
          </cell>
          <cell r="AK26" t="str">
            <v>Airport-Premises</v>
          </cell>
          <cell r="AL26" t="str">
            <v>AP</v>
          </cell>
          <cell r="AM26" t="str">
            <v>Airport</v>
          </cell>
          <cell r="AN26" t="str">
            <v>GL</v>
          </cell>
          <cell r="AO26" t="str">
            <v>General Liability</v>
          </cell>
          <cell r="AP26" t="str">
            <v>GL</v>
          </cell>
          <cell r="AR26" t="str">
            <v>JE</v>
          </cell>
          <cell r="AS26" t="str">
            <v>Jet</v>
          </cell>
          <cell r="AT26" t="str">
            <v>FW</v>
          </cell>
          <cell r="AV26" t="str">
            <v>AR</v>
          </cell>
          <cell r="AW26" t="str">
            <v xml:space="preserve">ARKANSAS </v>
          </cell>
          <cell r="AX26" t="str">
            <v>US</v>
          </cell>
          <cell r="BC26">
            <v>750001</v>
          </cell>
          <cell r="BD26" t="str">
            <v>750K - 1M</v>
          </cell>
          <cell r="BF26"/>
          <cell r="BH26"/>
        </row>
        <row r="27">
          <cell r="F27">
            <v>0.82499999999999996</v>
          </cell>
          <cell r="G27">
            <v>0.82499999999999996</v>
          </cell>
          <cell r="H27"/>
          <cell r="I27"/>
          <cell r="J27"/>
          <cell r="K27"/>
          <cell r="L27">
            <v>0.85</v>
          </cell>
          <cell r="M27">
            <v>0.85</v>
          </cell>
          <cell r="N27"/>
          <cell r="O27"/>
          <cell r="P27"/>
          <cell r="Q27"/>
          <cell r="Y27" t="str">
            <v>T</v>
          </cell>
          <cell r="Z27" t="str">
            <v>Liability</v>
          </cell>
          <cell r="AA27" t="str">
            <v>Liability Tria</v>
          </cell>
          <cell r="AB27">
            <v>5</v>
          </cell>
          <cell r="AD27" t="str">
            <v>GF</v>
          </cell>
          <cell r="AF27">
            <v>0</v>
          </cell>
          <cell r="AJ27" t="str">
            <v>AP-HK</v>
          </cell>
          <cell r="AK27" t="str">
            <v>Airport-Hangar Keeper</v>
          </cell>
          <cell r="AL27" t="str">
            <v>AP</v>
          </cell>
          <cell r="AM27" t="str">
            <v>Airport</v>
          </cell>
          <cell r="AN27" t="str">
            <v>GL</v>
          </cell>
          <cell r="AO27" t="str">
            <v>General Liability</v>
          </cell>
          <cell r="AP27" t="str">
            <v>GL</v>
          </cell>
          <cell r="AR27" t="str">
            <v>MP</v>
          </cell>
          <cell r="AS27" t="str">
            <v>Multi-Engine Fixed Wing Piston</v>
          </cell>
          <cell r="AT27" t="str">
            <v>FW</v>
          </cell>
          <cell r="AV27" t="str">
            <v>CA</v>
          </cell>
          <cell r="AW27" t="str">
            <v xml:space="preserve">CALIFORNIA </v>
          </cell>
          <cell r="AX27" t="str">
            <v>US</v>
          </cell>
          <cell r="BC27">
            <v>1000001</v>
          </cell>
          <cell r="BD27" t="str">
            <v>1M - 2M</v>
          </cell>
          <cell r="BF27"/>
          <cell r="BH27"/>
        </row>
        <row r="28">
          <cell r="F28" t="b">
            <v>0</v>
          </cell>
          <cell r="G28" t="b">
            <v>0</v>
          </cell>
          <cell r="H28" t="b">
            <v>0</v>
          </cell>
          <cell r="I28" t="b">
            <v>0</v>
          </cell>
          <cell r="J28" t="b">
            <v>0</v>
          </cell>
          <cell r="K28" t="b">
            <v>0</v>
          </cell>
          <cell r="L28" t="b">
            <v>0</v>
          </cell>
          <cell r="M28" t="b">
            <v>0</v>
          </cell>
          <cell r="N28" t="b">
            <v>0</v>
          </cell>
          <cell r="O28" t="b">
            <v>0</v>
          </cell>
          <cell r="P28" t="b">
            <v>0</v>
          </cell>
          <cell r="Q28" t="b">
            <v>0</v>
          </cell>
          <cell r="AD28" t="str">
            <v>IA</v>
          </cell>
          <cell r="AF28">
            <v>0</v>
          </cell>
          <cell r="AJ28" t="str">
            <v>MP</v>
          </cell>
          <cell r="AK28" t="str">
            <v>Manufacturer's Product</v>
          </cell>
          <cell r="AL28" t="str">
            <v>MP</v>
          </cell>
          <cell r="AM28" t="str">
            <v>Manufacturer's Product</v>
          </cell>
          <cell r="AN28" t="str">
            <v>GL</v>
          </cell>
          <cell r="AO28" t="str">
            <v>General Liability</v>
          </cell>
          <cell r="AP28" t="str">
            <v>GL</v>
          </cell>
          <cell r="AR28" t="str">
            <v>MT</v>
          </cell>
          <cell r="AS28" t="str">
            <v>Multi-Engine Fixed Wing Turbo Prop</v>
          </cell>
          <cell r="AT28" t="str">
            <v>FW</v>
          </cell>
          <cell r="AV28" t="str">
            <v>CO</v>
          </cell>
          <cell r="AW28" t="str">
            <v xml:space="preserve">COLORADO </v>
          </cell>
          <cell r="AX28" t="str">
            <v>US</v>
          </cell>
          <cell r="BC28">
            <v>2000001</v>
          </cell>
          <cell r="BD28" t="str">
            <v>2M - 3M</v>
          </cell>
        </row>
        <row r="29">
          <cell r="F29"/>
          <cell r="G29">
            <v>2.0000000000000001E-4</v>
          </cell>
          <cell r="H29"/>
          <cell r="I29"/>
          <cell r="J29"/>
          <cell r="K29"/>
          <cell r="L29"/>
          <cell r="M29">
            <v>2.0000000000000001E-4</v>
          </cell>
          <cell r="N29"/>
          <cell r="O29"/>
          <cell r="P29"/>
          <cell r="Q29"/>
          <cell r="AD29" t="str">
            <v>MF</v>
          </cell>
          <cell r="AF29">
            <v>0</v>
          </cell>
          <cell r="AJ29" t="str">
            <v>AG</v>
          </cell>
          <cell r="AK29" t="str">
            <v>Agricultural</v>
          </cell>
          <cell r="AL29" t="str">
            <v>AG</v>
          </cell>
          <cell r="AM29" t="str">
            <v>Agricultural</v>
          </cell>
          <cell r="AN29" t="str">
            <v>AG</v>
          </cell>
          <cell r="AO29" t="str">
            <v>Agricultural</v>
          </cell>
          <cell r="AP29" t="str">
            <v>AC</v>
          </cell>
          <cell r="AR29" t="str">
            <v>HP</v>
          </cell>
          <cell r="AS29" t="str">
            <v>Helicopter Piston</v>
          </cell>
          <cell r="AT29" t="str">
            <v>RW</v>
          </cell>
          <cell r="AV29" t="str">
            <v>CT</v>
          </cell>
          <cell r="AW29" t="str">
            <v>CONNECTICUT</v>
          </cell>
          <cell r="AX29" t="str">
            <v>US</v>
          </cell>
          <cell r="BC29">
            <v>3000001</v>
          </cell>
          <cell r="BD29" t="str">
            <v>3M - 4M</v>
          </cell>
        </row>
        <row r="30">
          <cell r="AD30" t="str">
            <v>NO</v>
          </cell>
          <cell r="AF30">
            <v>0</v>
          </cell>
          <cell r="AJ30" t="str">
            <v>CO</v>
          </cell>
          <cell r="AK30" t="str">
            <v>Commercial</v>
          </cell>
          <cell r="AL30" t="str">
            <v>CO</v>
          </cell>
          <cell r="AM30" t="str">
            <v>Commercial</v>
          </cell>
          <cell r="AN30" t="str">
            <v>CO</v>
          </cell>
          <cell r="AO30" t="str">
            <v>Commercial</v>
          </cell>
          <cell r="AP30" t="str">
            <v>AC</v>
          </cell>
          <cell r="AR30" t="str">
            <v>HR</v>
          </cell>
          <cell r="AS30" t="str">
            <v>Helicopter Rotor</v>
          </cell>
          <cell r="AT30" t="str">
            <v>RW</v>
          </cell>
          <cell r="AV30" t="str">
            <v>DE</v>
          </cell>
          <cell r="AW30" t="str">
            <v xml:space="preserve">DELAWARE </v>
          </cell>
          <cell r="AX30" t="str">
            <v>US</v>
          </cell>
          <cell r="BC30">
            <v>4000001</v>
          </cell>
          <cell r="BD30" t="str">
            <v>4M - 5M</v>
          </cell>
        </row>
        <row r="31">
          <cell r="E31">
            <v>50000000</v>
          </cell>
          <cell r="F31"/>
          <cell r="G31"/>
          <cell r="H31">
            <v>0</v>
          </cell>
          <cell r="I31">
            <v>0</v>
          </cell>
          <cell r="J31">
            <v>0</v>
          </cell>
          <cell r="K31"/>
          <cell r="L31"/>
          <cell r="M31"/>
          <cell r="N31">
            <v>0</v>
          </cell>
          <cell r="O31">
            <v>0</v>
          </cell>
          <cell r="P31">
            <v>0</v>
          </cell>
          <cell r="Q31"/>
          <cell r="AD31" t="str">
            <v>PB</v>
          </cell>
          <cell r="AF31">
            <v>0</v>
          </cell>
          <cell r="AJ31" t="str">
            <v>CO-L</v>
          </cell>
          <cell r="AK31" t="str">
            <v>Commercial - Large</v>
          </cell>
          <cell r="AL31" t="str">
            <v>CO</v>
          </cell>
          <cell r="AM31" t="str">
            <v>Commercial</v>
          </cell>
          <cell r="AN31" t="str">
            <v>CO</v>
          </cell>
          <cell r="AO31" t="str">
            <v>Commercial</v>
          </cell>
          <cell r="AP31" t="str">
            <v>AC</v>
          </cell>
          <cell r="AR31" t="str">
            <v>HT</v>
          </cell>
          <cell r="AS31" t="str">
            <v>Helicopter Turbine</v>
          </cell>
          <cell r="AT31" t="str">
            <v>RW</v>
          </cell>
          <cell r="AV31" t="str">
            <v>DC</v>
          </cell>
          <cell r="AW31" t="str">
            <v xml:space="preserve">DISTRICT OF COLUMBIA </v>
          </cell>
          <cell r="AX31" t="str">
            <v>US</v>
          </cell>
          <cell r="BC31">
            <v>5000001</v>
          </cell>
          <cell r="BD31" t="str">
            <v>5M - 10M</v>
          </cell>
        </row>
        <row r="32">
          <cell r="E32">
            <v>51000000</v>
          </cell>
          <cell r="F32"/>
          <cell r="G32"/>
          <cell r="H32">
            <v>0.245</v>
          </cell>
          <cell r="I32">
            <v>0.16500000000000001</v>
          </cell>
          <cell r="J32">
            <v>1435</v>
          </cell>
          <cell r="K32"/>
          <cell r="L32"/>
          <cell r="M32"/>
          <cell r="N32">
            <v>1.315789473684219E-2</v>
          </cell>
          <cell r="O32">
            <v>7.8422053231938151E-3</v>
          </cell>
          <cell r="P32">
            <v>1435</v>
          </cell>
          <cell r="Q32"/>
          <cell r="AJ32" t="str">
            <v>GF</v>
          </cell>
          <cell r="AK32" t="str">
            <v>Government Fleet</v>
          </cell>
          <cell r="AL32" t="str">
            <v>GF</v>
          </cell>
          <cell r="AM32" t="str">
            <v>Government Fleet</v>
          </cell>
          <cell r="AN32" t="str">
            <v>GF</v>
          </cell>
          <cell r="AO32" t="str">
            <v>Government</v>
          </cell>
          <cell r="AP32" t="str">
            <v>AC</v>
          </cell>
          <cell r="AR32" t="str">
            <v>HE</v>
          </cell>
          <cell r="AS32" t="str">
            <v>Helicopter Enstrom</v>
          </cell>
          <cell r="AT32" t="str">
            <v>RW</v>
          </cell>
          <cell r="AV32" t="str">
            <v>FM</v>
          </cell>
          <cell r="AW32" t="str">
            <v>FEDERATED STATES OF MICRONESIA</v>
          </cell>
          <cell r="AX32" t="str">
            <v>US</v>
          </cell>
          <cell r="BC32">
            <v>10000001</v>
          </cell>
          <cell r="BD32" t="str">
            <v>10M - 20M</v>
          </cell>
        </row>
        <row r="33">
          <cell r="E33">
            <v>52000000</v>
          </cell>
          <cell r="F33"/>
          <cell r="G33"/>
          <cell r="H33">
            <v>0.245</v>
          </cell>
          <cell r="I33">
            <v>0.16500000000000001</v>
          </cell>
          <cell r="J33">
            <v>1435</v>
          </cell>
          <cell r="K33"/>
          <cell r="L33"/>
          <cell r="M33"/>
          <cell r="N33">
            <v>2.5974025974026135E-2</v>
          </cell>
          <cell r="O33">
            <v>1.5562367366187022E-2</v>
          </cell>
          <cell r="P33">
            <v>1435</v>
          </cell>
          <cell r="Q33"/>
          <cell r="AJ33" t="str">
            <v>IA</v>
          </cell>
          <cell r="AK33" t="str">
            <v>Industrial Aid</v>
          </cell>
          <cell r="AL33" t="str">
            <v>IA</v>
          </cell>
          <cell r="AM33" t="str">
            <v>Industrial Aid</v>
          </cell>
          <cell r="AN33" t="str">
            <v>IA</v>
          </cell>
          <cell r="AO33" t="str">
            <v>Industrial Aid</v>
          </cell>
          <cell r="AP33" t="str">
            <v>AC</v>
          </cell>
          <cell r="AR33" t="str">
            <v>NO</v>
          </cell>
          <cell r="AS33" t="str">
            <v>Non-owned</v>
          </cell>
          <cell r="AT33" t="str">
            <v>MS</v>
          </cell>
          <cell r="AV33" t="str">
            <v>FL</v>
          </cell>
          <cell r="AW33" t="str">
            <v>FLORIDA</v>
          </cell>
          <cell r="AX33" t="str">
            <v>US</v>
          </cell>
          <cell r="BC33">
            <v>20000001</v>
          </cell>
          <cell r="BD33" t="str">
            <v>20M - 30M</v>
          </cell>
        </row>
        <row r="34">
          <cell r="E34">
            <v>53000000</v>
          </cell>
          <cell r="F34"/>
          <cell r="G34"/>
          <cell r="H34">
            <v>0.245</v>
          </cell>
          <cell r="I34">
            <v>0.16500000000000001</v>
          </cell>
          <cell r="J34">
            <v>1435</v>
          </cell>
          <cell r="K34"/>
          <cell r="L34"/>
          <cell r="M34"/>
          <cell r="N34">
            <v>3.84615384615387E-2</v>
          </cell>
          <cell r="O34">
            <v>2.3163313055685249E-2</v>
          </cell>
          <cell r="P34">
            <v>1435</v>
          </cell>
          <cell r="Q34"/>
          <cell r="AJ34" t="str">
            <v>MF</v>
          </cell>
          <cell r="AK34" t="str">
            <v>Managed Fleet</v>
          </cell>
          <cell r="AL34" t="str">
            <v>MF</v>
          </cell>
          <cell r="AM34" t="str">
            <v>Managed Fleet</v>
          </cell>
          <cell r="AN34" t="str">
            <v>MF</v>
          </cell>
          <cell r="AO34" t="str">
            <v>Managed Fleet</v>
          </cell>
          <cell r="AP34" t="str">
            <v>AC</v>
          </cell>
          <cell r="AR34" t="str">
            <v>MS</v>
          </cell>
          <cell r="AS34" t="str">
            <v>Aircraft Military Surplus Special</v>
          </cell>
          <cell r="AT34" t="str">
            <v>MS</v>
          </cell>
          <cell r="AV34" t="str">
            <v>GA</v>
          </cell>
          <cell r="AW34" t="str">
            <v>GEORGIA</v>
          </cell>
          <cell r="AX34" t="str">
            <v>US</v>
          </cell>
          <cell r="BC34">
            <v>30000001</v>
          </cell>
          <cell r="BD34" t="str">
            <v>30M - 40M</v>
          </cell>
        </row>
        <row r="35">
          <cell r="E35">
            <v>54000000</v>
          </cell>
          <cell r="F35"/>
          <cell r="G35"/>
          <cell r="H35">
            <v>0.245</v>
          </cell>
          <cell r="I35">
            <v>0.16500000000000001</v>
          </cell>
          <cell r="J35">
            <v>1435</v>
          </cell>
          <cell r="K35"/>
          <cell r="L35"/>
          <cell r="M35"/>
          <cell r="N35">
            <v>5.0632911392405375E-2</v>
          </cell>
          <cell r="O35">
            <v>3.06477826793588E-2</v>
          </cell>
          <cell r="P35">
            <v>1435</v>
          </cell>
          <cell r="Q35"/>
          <cell r="AJ35" t="str">
            <v>NO</v>
          </cell>
          <cell r="AK35" t="str">
            <v>Non-Owned</v>
          </cell>
          <cell r="AL35" t="str">
            <v>NO</v>
          </cell>
          <cell r="AM35" t="str">
            <v>Non-Owned</v>
          </cell>
          <cell r="AN35" t="str">
            <v>NO</v>
          </cell>
          <cell r="AO35" t="str">
            <v>Non-Owned</v>
          </cell>
          <cell r="AP35" t="str">
            <v>AC</v>
          </cell>
          <cell r="AR35" t="str">
            <v>OT</v>
          </cell>
          <cell r="AS35" t="str">
            <v>Other</v>
          </cell>
          <cell r="AT35" t="str">
            <v>MS</v>
          </cell>
          <cell r="AV35" t="str">
            <v>GU</v>
          </cell>
          <cell r="AW35" t="str">
            <v xml:space="preserve">GUAM </v>
          </cell>
          <cell r="AX35" t="str">
            <v>US</v>
          </cell>
          <cell r="BC35">
            <v>40000001</v>
          </cell>
          <cell r="BD35" t="str">
            <v>40M - 50M</v>
          </cell>
        </row>
        <row r="36">
          <cell r="E36">
            <v>55000000</v>
          </cell>
          <cell r="F36"/>
          <cell r="G36"/>
          <cell r="H36">
            <v>0.245</v>
          </cell>
          <cell r="I36">
            <v>0.16500000000000001</v>
          </cell>
          <cell r="J36">
            <v>1435</v>
          </cell>
          <cell r="K36"/>
          <cell r="L36"/>
          <cell r="M36"/>
          <cell r="N36">
            <v>6.2500000000000375E-2</v>
          </cell>
          <cell r="O36">
            <v>3.8018433179723032E-2</v>
          </cell>
          <cell r="P36">
            <v>1435</v>
          </cell>
          <cell r="Q36"/>
          <cell r="AJ36" t="str">
            <v>PB</v>
          </cell>
          <cell r="AK36" t="str">
            <v>Pleasure and Business</v>
          </cell>
          <cell r="AL36" t="str">
            <v>PB</v>
          </cell>
          <cell r="AM36" t="str">
            <v>Pleasure and Business</v>
          </cell>
          <cell r="AN36" t="str">
            <v>PB</v>
          </cell>
          <cell r="AO36" t="str">
            <v>Pleasure and Business</v>
          </cell>
          <cell r="AP36" t="str">
            <v>AC</v>
          </cell>
          <cell r="AR36" t="str">
            <v>GR</v>
          </cell>
          <cell r="AS36" t="str">
            <v>Ground Rig</v>
          </cell>
          <cell r="AT36" t="str">
            <v>MS</v>
          </cell>
          <cell r="AV36" t="str">
            <v>HI</v>
          </cell>
          <cell r="AW36" t="str">
            <v xml:space="preserve">HAWAII </v>
          </cell>
          <cell r="AX36" t="str">
            <v>US</v>
          </cell>
          <cell r="BC36">
            <v>50000001</v>
          </cell>
          <cell r="BD36" t="str">
            <v>50M - 75M</v>
          </cell>
        </row>
        <row r="37">
          <cell r="E37">
            <v>56000000</v>
          </cell>
          <cell r="F37"/>
          <cell r="G37"/>
          <cell r="H37">
            <v>0.245</v>
          </cell>
          <cell r="I37">
            <v>0.16500000000000001</v>
          </cell>
          <cell r="J37">
            <v>1435</v>
          </cell>
          <cell r="K37"/>
          <cell r="L37"/>
          <cell r="M37"/>
          <cell r="N37">
            <v>7.4074074074074514E-2</v>
          </cell>
          <cell r="O37">
            <v>4.5277841298878928E-2</v>
          </cell>
          <cell r="P37">
            <v>1435</v>
          </cell>
          <cell r="Q37"/>
          <cell r="AJ37" t="str">
            <v>PB-I</v>
          </cell>
          <cell r="AK37" t="str">
            <v>Pleasure and Business - Instruction</v>
          </cell>
          <cell r="AL37" t="str">
            <v>PB</v>
          </cell>
          <cell r="AM37" t="str">
            <v>Pleasure and Business</v>
          </cell>
          <cell r="AN37" t="str">
            <v>PB</v>
          </cell>
          <cell r="AO37" t="str">
            <v>Pleasure and Business</v>
          </cell>
          <cell r="AP37" t="str">
            <v>AC</v>
          </cell>
          <cell r="AR37" t="str">
            <v>BL</v>
          </cell>
          <cell r="AS37" t="str">
            <v>Balloon-Airship</v>
          </cell>
          <cell r="AT37" t="str">
            <v>MS</v>
          </cell>
          <cell r="AV37" t="str">
            <v>ID</v>
          </cell>
          <cell r="AW37" t="str">
            <v>IDAHO</v>
          </cell>
          <cell r="AX37" t="str">
            <v>US</v>
          </cell>
          <cell r="BC37">
            <v>75000001</v>
          </cell>
          <cell r="BD37" t="str">
            <v>75M - 100M</v>
          </cell>
        </row>
        <row r="38">
          <cell r="E38">
            <v>57000000</v>
          </cell>
          <cell r="F38"/>
          <cell r="G38"/>
          <cell r="H38">
            <v>0.245</v>
          </cell>
          <cell r="I38">
            <v>0.16500000000000001</v>
          </cell>
          <cell r="J38">
            <v>1435</v>
          </cell>
          <cell r="K38"/>
          <cell r="L38"/>
          <cell r="M38"/>
          <cell r="N38">
            <v>8.5365853658537091E-2</v>
          </cell>
          <cell r="O38">
            <v>5.2428506581933085E-2</v>
          </cell>
          <cell r="P38">
            <v>1435</v>
          </cell>
          <cell r="Q38"/>
          <cell r="AJ38" t="str">
            <v>PB-R</v>
          </cell>
          <cell r="AK38" t="str">
            <v>Pleasure and Business - Rental</v>
          </cell>
          <cell r="AL38" t="str">
            <v>PB</v>
          </cell>
          <cell r="AM38" t="str">
            <v>Pleasure and Business</v>
          </cell>
          <cell r="AN38" t="str">
            <v>PB</v>
          </cell>
          <cell r="AO38" t="str">
            <v>Pleasure and Business</v>
          </cell>
          <cell r="AP38" t="str">
            <v>AC</v>
          </cell>
          <cell r="AR38" t="str">
            <v>UV</v>
          </cell>
          <cell r="AS38" t="str">
            <v>Unmanned Vehicle</v>
          </cell>
          <cell r="AT38" t="str">
            <v>MS</v>
          </cell>
          <cell r="AV38" t="str">
            <v>IL</v>
          </cell>
          <cell r="AW38" t="str">
            <v xml:space="preserve">ILLINOIS </v>
          </cell>
          <cell r="AX38" t="str">
            <v>US</v>
          </cell>
          <cell r="BC38">
            <v>100000001</v>
          </cell>
          <cell r="BD38" t="str">
            <v>100M - 150M</v>
          </cell>
        </row>
        <row r="39">
          <cell r="E39">
            <v>58000000</v>
          </cell>
          <cell r="F39"/>
          <cell r="G39"/>
          <cell r="H39">
            <v>0.245</v>
          </cell>
          <cell r="I39">
            <v>0.16500000000000001</v>
          </cell>
          <cell r="J39">
            <v>1435</v>
          </cell>
          <cell r="K39"/>
          <cell r="L39"/>
          <cell r="M39"/>
          <cell r="N39">
            <v>9.6385542168675259E-2</v>
          </cell>
          <cell r="O39">
            <v>5.9472854246451184E-2</v>
          </cell>
          <cell r="P39">
            <v>1435</v>
          </cell>
          <cell r="Q39"/>
          <cell r="AJ39" t="str">
            <v>SA</v>
          </cell>
          <cell r="AK39" t="str">
            <v>Starr Aero Non-Owned</v>
          </cell>
          <cell r="AL39" t="str">
            <v>SA</v>
          </cell>
          <cell r="AM39" t="str">
            <v>Starr Aero Non-Owned</v>
          </cell>
          <cell r="AN39" t="str">
            <v>NO</v>
          </cell>
          <cell r="AO39" t="str">
            <v>Non-Owned</v>
          </cell>
          <cell r="AP39" t="str">
            <v>AC</v>
          </cell>
          <cell r="AR39" t="str">
            <v>WB</v>
          </cell>
          <cell r="AS39" t="str">
            <v>Warbird</v>
          </cell>
          <cell r="AT39" t="str">
            <v>FW</v>
          </cell>
          <cell r="AV39" t="str">
            <v>IN</v>
          </cell>
          <cell r="AW39" t="str">
            <v>INDIANA</v>
          </cell>
          <cell r="AX39" t="str">
            <v>US</v>
          </cell>
          <cell r="BC39">
            <v>150000001</v>
          </cell>
          <cell r="BD39" t="str">
            <v>150M - 200M</v>
          </cell>
        </row>
        <row r="40">
          <cell r="E40">
            <v>59000000</v>
          </cell>
          <cell r="F40"/>
          <cell r="G40"/>
          <cell r="H40">
            <v>0.245</v>
          </cell>
          <cell r="I40">
            <v>0.16500000000000001</v>
          </cell>
          <cell r="J40">
            <v>1435</v>
          </cell>
          <cell r="K40"/>
          <cell r="L40"/>
          <cell r="M40"/>
          <cell r="N40">
            <v>0.10714285714285776</v>
          </cell>
          <cell r="O40">
            <v>6.6413237924865032E-2</v>
          </cell>
          <cell r="P40">
            <v>1435</v>
          </cell>
          <cell r="Q40"/>
          <cell r="AJ40" t="str">
            <v>AE</v>
          </cell>
          <cell r="AK40" t="str">
            <v>Aerobatics</v>
          </cell>
          <cell r="AL40" t="str">
            <v>PB</v>
          </cell>
          <cell r="AM40" t="str">
            <v>Aerobatics</v>
          </cell>
          <cell r="AN40" t="str">
            <v>PB</v>
          </cell>
          <cell r="AO40" t="str">
            <v>Pleasure and Business</v>
          </cell>
          <cell r="AP40" t="str">
            <v>AC</v>
          </cell>
          <cell r="AR40" t="str">
            <v>ML</v>
          </cell>
          <cell r="AS40" t="str">
            <v>Microlight</v>
          </cell>
          <cell r="AT40" t="str">
            <v>FW</v>
          </cell>
          <cell r="AV40" t="str">
            <v>IA</v>
          </cell>
          <cell r="AW40" t="str">
            <v xml:space="preserve">IOWA </v>
          </cell>
          <cell r="AX40" t="str">
            <v>US</v>
          </cell>
          <cell r="BC40">
            <v>200000001</v>
          </cell>
          <cell r="BD40" t="str">
            <v>200M - 250M</v>
          </cell>
        </row>
        <row r="41">
          <cell r="E41">
            <v>60000000</v>
          </cell>
          <cell r="F41"/>
          <cell r="G41"/>
          <cell r="H41">
            <v>0.245</v>
          </cell>
          <cell r="I41">
            <v>0.16500000000000001</v>
          </cell>
          <cell r="J41">
            <v>1435</v>
          </cell>
          <cell r="K41"/>
          <cell r="L41"/>
          <cell r="M41"/>
          <cell r="N41">
            <v>0.11764705882353008</v>
          </cell>
          <cell r="O41">
            <v>7.3251942286347627E-2</v>
          </cell>
          <cell r="P41">
            <v>1435</v>
          </cell>
          <cell r="Q41"/>
          <cell r="AJ41" t="str">
            <v>CL</v>
          </cell>
          <cell r="AK41" t="str">
            <v>Club</v>
          </cell>
          <cell r="AL41" t="str">
            <v>CO</v>
          </cell>
          <cell r="AM41" t="str">
            <v>Club</v>
          </cell>
          <cell r="AN41" t="str">
            <v>CO</v>
          </cell>
          <cell r="AO41" t="str">
            <v>Commercial</v>
          </cell>
          <cell r="AP41" t="str">
            <v>AC</v>
          </cell>
          <cell r="AR41" t="str">
            <v>FF</v>
          </cell>
          <cell r="AS41" t="str">
            <v>Fleet</v>
          </cell>
          <cell r="AT41" t="str">
            <v>FW/RW</v>
          </cell>
          <cell r="AV41" t="str">
            <v>KS</v>
          </cell>
          <cell r="AW41" t="str">
            <v xml:space="preserve">KANSAS </v>
          </cell>
          <cell r="AX41" t="str">
            <v>US</v>
          </cell>
          <cell r="BC41">
            <v>250000001</v>
          </cell>
          <cell r="BD41" t="str">
            <v>250M - 300M</v>
          </cell>
        </row>
        <row r="42">
          <cell r="E42">
            <v>61000000</v>
          </cell>
          <cell r="F42"/>
          <cell r="G42"/>
          <cell r="H42">
            <v>0.245</v>
          </cell>
          <cell r="I42">
            <v>0.16500000000000001</v>
          </cell>
          <cell r="J42">
            <v>1435</v>
          </cell>
          <cell r="K42"/>
          <cell r="L42"/>
          <cell r="M42"/>
          <cell r="N42">
            <v>0.12790697674418677</v>
          </cell>
          <cell r="O42">
            <v>7.9991185544291687E-2</v>
          </cell>
          <cell r="P42">
            <v>1435</v>
          </cell>
          <cell r="Q42"/>
          <cell r="AJ42" t="str">
            <v>GR</v>
          </cell>
          <cell r="AK42" t="str">
            <v xml:space="preserve">Ground </v>
          </cell>
          <cell r="AL42" t="str">
            <v>GR</v>
          </cell>
          <cell r="AM42" t="str">
            <v xml:space="preserve">Ground </v>
          </cell>
          <cell r="AN42" t="str">
            <v>GR</v>
          </cell>
          <cell r="AO42" t="str">
            <v xml:space="preserve">Ground </v>
          </cell>
          <cell r="AP42" t="str">
            <v>AC</v>
          </cell>
          <cell r="AR42" t="str">
            <v>HK</v>
          </cell>
          <cell r="AS42" t="str">
            <v>None</v>
          </cell>
          <cell r="AT42" t="str">
            <v>None</v>
          </cell>
          <cell r="AV42" t="str">
            <v>KY</v>
          </cell>
          <cell r="AW42" t="str">
            <v xml:space="preserve">KENTUCKY </v>
          </cell>
          <cell r="AX42" t="str">
            <v>US</v>
          </cell>
          <cell r="BC42">
            <v>300000001</v>
          </cell>
          <cell r="BD42" t="str">
            <v>300M - 350M</v>
          </cell>
        </row>
        <row r="43">
          <cell r="E43">
            <v>62000000</v>
          </cell>
          <cell r="F43"/>
          <cell r="G43"/>
          <cell r="H43">
            <v>0.245</v>
          </cell>
          <cell r="I43">
            <v>0.16500000000000001</v>
          </cell>
          <cell r="J43">
            <v>1435</v>
          </cell>
          <cell r="K43"/>
          <cell r="L43"/>
          <cell r="M43"/>
          <cell r="N43">
            <v>0.1379310344827594</v>
          </cell>
          <cell r="O43">
            <v>8.6633121855172898E-2</v>
          </cell>
          <cell r="P43">
            <v>1435</v>
          </cell>
          <cell r="Q43"/>
          <cell r="AJ43" t="str">
            <v>OS</v>
          </cell>
          <cell r="AK43" t="str">
            <v>Offshore</v>
          </cell>
          <cell r="AL43" t="str">
            <v>CO</v>
          </cell>
          <cell r="AM43" t="str">
            <v>Offshore</v>
          </cell>
          <cell r="AN43" t="str">
            <v>CO</v>
          </cell>
          <cell r="AO43" t="str">
            <v>Commercial</v>
          </cell>
          <cell r="AP43" t="str">
            <v>AC</v>
          </cell>
          <cell r="AR43" t="str">
            <v>PR</v>
          </cell>
          <cell r="AS43" t="str">
            <v>None</v>
          </cell>
          <cell r="AT43" t="str">
            <v>None</v>
          </cell>
          <cell r="AV43" t="str">
            <v>LA</v>
          </cell>
          <cell r="AW43" t="str">
            <v>LOUISIANA</v>
          </cell>
          <cell r="AX43" t="str">
            <v>US</v>
          </cell>
          <cell r="BC43">
            <v>350000001</v>
          </cell>
          <cell r="BD43" t="str">
            <v>350M - 400M</v>
          </cell>
        </row>
        <row r="44">
          <cell r="E44">
            <v>63000000</v>
          </cell>
          <cell r="F44"/>
          <cell r="G44"/>
          <cell r="H44">
            <v>0.245</v>
          </cell>
          <cell r="I44">
            <v>0.16500000000000001</v>
          </cell>
          <cell r="J44">
            <v>1435</v>
          </cell>
          <cell r="K44"/>
          <cell r="L44"/>
          <cell r="M44"/>
          <cell r="N44">
            <v>0.14772727272727354</v>
          </cell>
          <cell r="O44">
            <v>9.3179843614247387E-2</v>
          </cell>
          <cell r="P44">
            <v>1435</v>
          </cell>
          <cell r="Q44"/>
          <cell r="AJ44" t="str">
            <v>PB-C</v>
          </cell>
          <cell r="AK44" t="str">
            <v>Consortium</v>
          </cell>
          <cell r="AL44" t="str">
            <v>PB</v>
          </cell>
          <cell r="AM44" t="str">
            <v>Pleasure and Business</v>
          </cell>
          <cell r="AN44" t="str">
            <v>PB</v>
          </cell>
          <cell r="AO44" t="str">
            <v>Pleasure and Business</v>
          </cell>
          <cell r="AP44" t="str">
            <v>AC</v>
          </cell>
          <cell r="AR44" t="str">
            <v>PL</v>
          </cell>
          <cell r="AS44" t="str">
            <v>None</v>
          </cell>
          <cell r="AT44" t="str">
            <v>None</v>
          </cell>
          <cell r="AV44" t="str">
            <v>ME</v>
          </cell>
          <cell r="AW44" t="str">
            <v>MAINE</v>
          </cell>
          <cell r="AX44" t="str">
            <v>US</v>
          </cell>
          <cell r="BC44">
            <v>400000001</v>
          </cell>
          <cell r="BD44" t="str">
            <v>400M - 450M</v>
          </cell>
        </row>
        <row r="45">
          <cell r="E45">
            <v>64000000</v>
          </cell>
          <cell r="F45"/>
          <cell r="G45"/>
          <cell r="H45">
            <v>0.245</v>
          </cell>
          <cell r="I45">
            <v>0.16500000000000001</v>
          </cell>
          <cell r="J45">
            <v>1435</v>
          </cell>
          <cell r="K45"/>
          <cell r="L45"/>
          <cell r="M45"/>
          <cell r="N45">
            <v>0.15730337078651771</v>
          </cell>
          <cell r="O45">
            <v>9.9633383653222912E-2</v>
          </cell>
          <cell r="P45">
            <v>1435</v>
          </cell>
          <cell r="Q45"/>
          <cell r="AR45"/>
          <cell r="AS45" t="str">
            <v>Blank</v>
          </cell>
          <cell r="AT45" t="str">
            <v>Blank</v>
          </cell>
          <cell r="AV45" t="str">
            <v>MH</v>
          </cell>
          <cell r="AW45" t="str">
            <v xml:space="preserve">MARSHALL ISLANDS </v>
          </cell>
          <cell r="AX45" t="str">
            <v>US</v>
          </cell>
          <cell r="BC45">
            <v>450000001</v>
          </cell>
          <cell r="BD45" t="str">
            <v>450M - 500M</v>
          </cell>
        </row>
        <row r="46">
          <cell r="E46">
            <v>65000000</v>
          </cell>
          <cell r="F46"/>
          <cell r="G46"/>
          <cell r="H46">
            <v>0.245</v>
          </cell>
          <cell r="I46">
            <v>0.16500000000000001</v>
          </cell>
          <cell r="J46">
            <v>1435</v>
          </cell>
          <cell r="K46"/>
          <cell r="L46"/>
          <cell r="M46"/>
          <cell r="N46">
            <v>0.16666666666666757</v>
          </cell>
          <cell r="O46">
            <v>0.10599571734475252</v>
          </cell>
          <cell r="P46">
            <v>1435</v>
          </cell>
          <cell r="Q46"/>
          <cell r="AR46"/>
          <cell r="AS46"/>
          <cell r="AT46"/>
          <cell r="AV46" t="str">
            <v>MD</v>
          </cell>
          <cell r="AW46" t="str">
            <v xml:space="preserve">MARYLAND </v>
          </cell>
          <cell r="AX46" t="str">
            <v>US</v>
          </cell>
          <cell r="BC46">
            <v>500000001</v>
          </cell>
          <cell r="BD46" t="str">
            <v>&gt; 500M</v>
          </cell>
        </row>
        <row r="47">
          <cell r="E47">
            <v>66000000</v>
          </cell>
          <cell r="F47"/>
          <cell r="G47"/>
          <cell r="H47">
            <v>0.245</v>
          </cell>
          <cell r="I47">
            <v>0.16500000000000001</v>
          </cell>
          <cell r="J47">
            <v>1435</v>
          </cell>
          <cell r="K47"/>
          <cell r="L47"/>
          <cell r="M47"/>
          <cell r="N47">
            <v>0.17582417582417675</v>
          </cell>
          <cell r="O47">
            <v>0.11226876461832744</v>
          </cell>
          <cell r="P47">
            <v>1435</v>
          </cell>
          <cell r="Q47"/>
          <cell r="AR47"/>
          <cell r="AS47"/>
          <cell r="AT47"/>
          <cell r="AV47" t="str">
            <v>MA</v>
          </cell>
          <cell r="AW47" t="str">
            <v>MASSACHUSETTS</v>
          </cell>
          <cell r="AX47" t="str">
            <v>US</v>
          </cell>
        </row>
        <row r="48">
          <cell r="E48">
            <v>67000000</v>
          </cell>
          <cell r="F48"/>
          <cell r="G48"/>
          <cell r="H48">
            <v>0.245</v>
          </cell>
          <cell r="I48">
            <v>0.16500000000000001</v>
          </cell>
          <cell r="J48">
            <v>1435</v>
          </cell>
          <cell r="K48"/>
          <cell r="L48"/>
          <cell r="M48"/>
          <cell r="N48">
            <v>0.18478260869565313</v>
          </cell>
          <cell r="O48">
            <v>0.11845439189189054</v>
          </cell>
          <cell r="P48">
            <v>1435</v>
          </cell>
          <cell r="Q48"/>
          <cell r="AV48" t="str">
            <v>MI</v>
          </cell>
          <cell r="AW48" t="str">
            <v xml:space="preserve">MICHIGAN </v>
          </cell>
          <cell r="AX48" t="str">
            <v>US</v>
          </cell>
        </row>
        <row r="49">
          <cell r="E49">
            <v>68000000</v>
          </cell>
          <cell r="F49"/>
          <cell r="G49"/>
          <cell r="H49">
            <v>0.245</v>
          </cell>
          <cell r="I49">
            <v>0.16500000000000001</v>
          </cell>
          <cell r="J49">
            <v>1435</v>
          </cell>
          <cell r="K49"/>
          <cell r="L49"/>
          <cell r="M49"/>
          <cell r="N49">
            <v>0.19354838709677519</v>
          </cell>
          <cell r="O49">
            <v>0.12455441392325295</v>
          </cell>
          <cell r="P49">
            <v>1435</v>
          </cell>
          <cell r="Q49"/>
          <cell r="AV49" t="str">
            <v>MN</v>
          </cell>
          <cell r="AW49" t="str">
            <v>MINNESOTA</v>
          </cell>
          <cell r="AX49" t="str">
            <v>US</v>
          </cell>
        </row>
        <row r="50">
          <cell r="E50">
            <v>69000000</v>
          </cell>
          <cell r="F50"/>
          <cell r="G50"/>
          <cell r="H50">
            <v>0.245</v>
          </cell>
          <cell r="I50">
            <v>0.16500000000000001</v>
          </cell>
          <cell r="J50">
            <v>1435</v>
          </cell>
          <cell r="K50"/>
          <cell r="L50"/>
          <cell r="M50"/>
          <cell r="N50">
            <v>0.20212765957446913</v>
          </cell>
          <cell r="O50">
            <v>0.13057059558517137</v>
          </cell>
          <cell r="P50">
            <v>1435</v>
          </cell>
          <cell r="Q50"/>
          <cell r="AV50" t="str">
            <v>MS</v>
          </cell>
          <cell r="AW50" t="str">
            <v>MISSISSIPPI</v>
          </cell>
          <cell r="AX50" t="str">
            <v>US</v>
          </cell>
        </row>
        <row r="51">
          <cell r="E51">
            <v>70000000</v>
          </cell>
          <cell r="F51"/>
          <cell r="G51"/>
          <cell r="H51">
            <v>0.245</v>
          </cell>
          <cell r="I51">
            <v>0.16500000000000001</v>
          </cell>
          <cell r="J51">
            <v>1435</v>
          </cell>
          <cell r="K51"/>
          <cell r="L51"/>
          <cell r="M51"/>
          <cell r="N51">
            <v>0.21052631578947475</v>
          </cell>
          <cell r="O51">
            <v>0.13650465356773375</v>
          </cell>
          <cell r="P51">
            <v>1435</v>
          </cell>
          <cell r="Q51"/>
          <cell r="AV51" t="str">
            <v>MO</v>
          </cell>
          <cell r="AW51" t="str">
            <v xml:space="preserve">MISSOURI </v>
          </cell>
          <cell r="AX51" t="str">
            <v>US</v>
          </cell>
        </row>
        <row r="52">
          <cell r="E52">
            <v>71000000</v>
          </cell>
          <cell r="F52"/>
          <cell r="G52"/>
          <cell r="H52">
            <v>0.245</v>
          </cell>
          <cell r="I52">
            <v>0.16500000000000001</v>
          </cell>
          <cell r="J52">
            <v>1435</v>
          </cell>
          <cell r="K52"/>
          <cell r="L52"/>
          <cell r="M52"/>
          <cell r="N52">
            <v>0.21875000000000111</v>
          </cell>
          <cell r="O52">
            <v>0.14235825801150212</v>
          </cell>
          <cell r="P52">
            <v>1435</v>
          </cell>
          <cell r="Q52"/>
          <cell r="AV52" t="str">
            <v>MT</v>
          </cell>
          <cell r="AW52" t="str">
            <v>MONTANA</v>
          </cell>
          <cell r="AX52" t="str">
            <v>US</v>
          </cell>
        </row>
        <row r="53">
          <cell r="E53">
            <v>72000000</v>
          </cell>
          <cell r="F53"/>
          <cell r="G53"/>
          <cell r="H53">
            <v>0.245</v>
          </cell>
          <cell r="I53">
            <v>0.16500000000000001</v>
          </cell>
          <cell r="J53">
            <v>1435</v>
          </cell>
          <cell r="K53"/>
          <cell r="L53"/>
          <cell r="M53"/>
          <cell r="N53">
            <v>0.22680412371134134</v>
          </cell>
          <cell r="O53">
            <v>0.14813303407467701</v>
          </cell>
          <cell r="P53">
            <v>1435</v>
          </cell>
          <cell r="Q53"/>
          <cell r="AV53" t="str">
            <v>NE</v>
          </cell>
          <cell r="AW53" t="str">
            <v xml:space="preserve">NEBRASKA </v>
          </cell>
          <cell r="AX53" t="str">
            <v>US</v>
          </cell>
        </row>
        <row r="54">
          <cell r="E54">
            <v>73000000</v>
          </cell>
          <cell r="F54"/>
          <cell r="G54"/>
          <cell r="H54">
            <v>0.245</v>
          </cell>
          <cell r="I54">
            <v>0.16500000000000001</v>
          </cell>
          <cell r="J54">
            <v>1435</v>
          </cell>
          <cell r="K54"/>
          <cell r="L54"/>
          <cell r="M54"/>
          <cell r="N54">
            <v>0.23469387755102156</v>
          </cell>
          <cell r="O54">
            <v>0.15383056343737164</v>
          </cell>
          <cell r="P54">
            <v>1435</v>
          </cell>
          <cell r="Q54"/>
          <cell r="AV54" t="str">
            <v>NV</v>
          </cell>
          <cell r="AW54" t="str">
            <v xml:space="preserve">NEVADA </v>
          </cell>
          <cell r="AX54" t="str">
            <v>US</v>
          </cell>
        </row>
        <row r="55">
          <cell r="E55">
            <v>74000000</v>
          </cell>
          <cell r="F55"/>
          <cell r="G55"/>
          <cell r="H55">
            <v>0.245</v>
          </cell>
          <cell r="I55">
            <v>0.16500000000000001</v>
          </cell>
          <cell r="J55">
            <v>1435</v>
          </cell>
          <cell r="K55"/>
          <cell r="L55"/>
          <cell r="M55"/>
          <cell r="N55">
            <v>0.2424242424242436</v>
          </cell>
          <cell r="O55">
            <v>0.15945238574592135</v>
          </cell>
          <cell r="P55">
            <v>1435</v>
          </cell>
          <cell r="Q55"/>
          <cell r="AV55" t="str">
            <v>NH</v>
          </cell>
          <cell r="AW55" t="str">
            <v>NEW HAMPSHIRE</v>
          </cell>
          <cell r="AX55" t="str">
            <v>US</v>
          </cell>
        </row>
        <row r="56">
          <cell r="E56">
            <v>75000000</v>
          </cell>
          <cell r="F56"/>
          <cell r="G56"/>
          <cell r="H56">
            <v>0.245</v>
          </cell>
          <cell r="I56">
            <v>0.16500000000000001</v>
          </cell>
          <cell r="J56">
            <v>1435</v>
          </cell>
          <cell r="K56"/>
          <cell r="L56"/>
          <cell r="M56"/>
          <cell r="N56">
            <v>0.24999999999999994</v>
          </cell>
          <cell r="O56">
            <v>0.16500000000000009</v>
          </cell>
          <cell r="P56">
            <v>1435</v>
          </cell>
          <cell r="Q56"/>
          <cell r="AV56" t="str">
            <v>NJ</v>
          </cell>
          <cell r="AW56" t="str">
            <v xml:space="preserve">NEW JERSEY </v>
          </cell>
          <cell r="AX56" t="str">
            <v>US</v>
          </cell>
        </row>
        <row r="57">
          <cell r="E57">
            <v>76000000</v>
          </cell>
          <cell r="F57"/>
          <cell r="G57"/>
          <cell r="H57">
            <v>0.245</v>
          </cell>
          <cell r="I57">
            <v>0.16500000000000001</v>
          </cell>
          <cell r="J57">
            <v>1725</v>
          </cell>
          <cell r="K57"/>
          <cell r="L57"/>
          <cell r="M57"/>
          <cell r="N57">
            <v>0.25230061349693245</v>
          </cell>
          <cell r="O57">
            <v>0.16652531315240088</v>
          </cell>
          <cell r="P57">
            <v>1725</v>
          </cell>
          <cell r="Q57"/>
          <cell r="AV57" t="str">
            <v>NM</v>
          </cell>
          <cell r="AW57" t="str">
            <v xml:space="preserve">NEW MEXICO </v>
          </cell>
          <cell r="AX57" t="str">
            <v>US</v>
          </cell>
        </row>
        <row r="58">
          <cell r="E58">
            <v>77000000</v>
          </cell>
          <cell r="F58"/>
          <cell r="G58"/>
          <cell r="H58">
            <v>0.245</v>
          </cell>
          <cell r="I58">
            <v>0.16500000000000001</v>
          </cell>
          <cell r="J58">
            <v>1725</v>
          </cell>
          <cell r="K58"/>
          <cell r="L58"/>
          <cell r="M58"/>
          <cell r="N58">
            <v>0.25458715596330267</v>
          </cell>
          <cell r="O58">
            <v>0.16804506381870279</v>
          </cell>
          <cell r="P58">
            <v>1725</v>
          </cell>
          <cell r="Q58"/>
          <cell r="AV58" t="str">
            <v>NY</v>
          </cell>
          <cell r="AW58" t="str">
            <v xml:space="preserve">NEW YORK </v>
          </cell>
          <cell r="AX58" t="str">
            <v>US</v>
          </cell>
        </row>
        <row r="59">
          <cell r="E59">
            <v>78000000</v>
          </cell>
          <cell r="F59"/>
          <cell r="G59"/>
          <cell r="H59">
            <v>0.245</v>
          </cell>
          <cell r="I59">
            <v>0.16500000000000001</v>
          </cell>
          <cell r="J59">
            <v>1725</v>
          </cell>
          <cell r="K59"/>
          <cell r="L59"/>
          <cell r="M59"/>
          <cell r="N59">
            <v>0.25685975609756084</v>
          </cell>
          <cell r="O59">
            <v>0.16955928237129481</v>
          </cell>
          <cell r="P59">
            <v>1725</v>
          </cell>
          <cell r="Q59"/>
          <cell r="AV59" t="str">
            <v>NC</v>
          </cell>
          <cell r="AW59" t="str">
            <v xml:space="preserve">NORTH CAROLINA </v>
          </cell>
          <cell r="AX59" t="str">
            <v>US</v>
          </cell>
        </row>
        <row r="60">
          <cell r="E60">
            <v>79000000</v>
          </cell>
          <cell r="F60"/>
          <cell r="G60"/>
          <cell r="H60">
            <v>0.245</v>
          </cell>
          <cell r="I60">
            <v>0.16500000000000001</v>
          </cell>
          <cell r="J60">
            <v>1725</v>
          </cell>
          <cell r="K60"/>
          <cell r="L60"/>
          <cell r="M60"/>
          <cell r="N60">
            <v>0.25911854103343446</v>
          </cell>
          <cell r="O60">
            <v>0.17106799896184782</v>
          </cell>
          <cell r="P60">
            <v>1725</v>
          </cell>
          <cell r="Q60"/>
          <cell r="AV60" t="str">
            <v>ND</v>
          </cell>
          <cell r="AW60" t="str">
            <v xml:space="preserve">NORTH DAKOTA </v>
          </cell>
          <cell r="AX60" t="str">
            <v>US</v>
          </cell>
        </row>
        <row r="61">
          <cell r="E61">
            <v>80000000</v>
          </cell>
          <cell r="F61"/>
          <cell r="G61"/>
          <cell r="H61">
            <v>0.245</v>
          </cell>
          <cell r="I61">
            <v>0.16500000000000001</v>
          </cell>
          <cell r="J61">
            <v>1725</v>
          </cell>
          <cell r="K61"/>
          <cell r="L61"/>
          <cell r="M61"/>
          <cell r="N61">
            <v>0.26136363636363619</v>
          </cell>
          <cell r="O61">
            <v>0.17257124352331593</v>
          </cell>
          <cell r="P61">
            <v>1725</v>
          </cell>
          <cell r="Q61"/>
          <cell r="AV61" t="str">
            <v>MP</v>
          </cell>
          <cell r="AW61" t="str">
            <v xml:space="preserve">NORTHERN MARIANA ISLANDS </v>
          </cell>
          <cell r="AX61" t="str">
            <v>US</v>
          </cell>
        </row>
        <row r="62">
          <cell r="E62">
            <v>81000000</v>
          </cell>
          <cell r="F62"/>
          <cell r="G62"/>
          <cell r="H62">
            <v>0.245</v>
          </cell>
          <cell r="I62">
            <v>0.16500000000000001</v>
          </cell>
          <cell r="J62">
            <v>1725</v>
          </cell>
          <cell r="K62"/>
          <cell r="L62"/>
          <cell r="M62"/>
          <cell r="N62">
            <v>0.26359516616314177</v>
          </cell>
          <cell r="O62">
            <v>0.17406904577191604</v>
          </cell>
          <cell r="P62">
            <v>1725</v>
          </cell>
          <cell r="Q62"/>
          <cell r="AV62" t="str">
            <v>OH</v>
          </cell>
          <cell r="AW62" t="str">
            <v xml:space="preserve">OHIO </v>
          </cell>
          <cell r="AX62" t="str">
            <v>US</v>
          </cell>
        </row>
        <row r="63">
          <cell r="E63">
            <v>82000000</v>
          </cell>
          <cell r="F63"/>
          <cell r="G63"/>
          <cell r="H63">
            <v>0.245</v>
          </cell>
          <cell r="I63">
            <v>0.16500000000000001</v>
          </cell>
          <cell r="J63">
            <v>1725</v>
          </cell>
          <cell r="K63"/>
          <cell r="L63"/>
          <cell r="M63"/>
          <cell r="N63">
            <v>0.26581325301204795</v>
          </cell>
          <cell r="O63">
            <v>0.17556143520908601</v>
          </cell>
          <cell r="P63">
            <v>1725</v>
          </cell>
          <cell r="Q63"/>
          <cell r="AV63" t="str">
            <v>OK</v>
          </cell>
          <cell r="AW63" t="str">
            <v xml:space="preserve">OKLAHOMA </v>
          </cell>
          <cell r="AX63" t="str">
            <v>US</v>
          </cell>
        </row>
        <row r="64">
          <cell r="E64">
            <v>83000000</v>
          </cell>
          <cell r="F64"/>
          <cell r="G64"/>
          <cell r="H64">
            <v>0.245</v>
          </cell>
          <cell r="I64">
            <v>0.16500000000000001</v>
          </cell>
          <cell r="J64">
            <v>1725</v>
          </cell>
          <cell r="K64"/>
          <cell r="L64"/>
          <cell r="M64"/>
          <cell r="N64">
            <v>0.26801801801801772</v>
          </cell>
          <cell r="O64">
            <v>0.17704844112342155</v>
          </cell>
          <cell r="P64">
            <v>1725</v>
          </cell>
          <cell r="Q64"/>
          <cell r="AV64" t="str">
            <v>OR</v>
          </cell>
          <cell r="AW64" t="str">
            <v xml:space="preserve">OREGON </v>
          </cell>
          <cell r="AX64" t="str">
            <v>US</v>
          </cell>
        </row>
        <row r="65">
          <cell r="E65">
            <v>84000000</v>
          </cell>
          <cell r="F65"/>
          <cell r="G65"/>
          <cell r="H65">
            <v>0.245</v>
          </cell>
          <cell r="I65">
            <v>0.16500000000000001</v>
          </cell>
          <cell r="J65">
            <v>1725</v>
          </cell>
          <cell r="K65"/>
          <cell r="L65"/>
          <cell r="M65"/>
          <cell r="N65">
            <v>0.27020958083832303</v>
          </cell>
          <cell r="O65">
            <v>0.17853009259259231</v>
          </cell>
          <cell r="P65">
            <v>1725</v>
          </cell>
          <cell r="Q65"/>
          <cell r="AV65" t="str">
            <v>PW</v>
          </cell>
          <cell r="AW65" t="str">
            <v>PALAU</v>
          </cell>
          <cell r="AX65" t="str">
            <v>US</v>
          </cell>
        </row>
        <row r="66">
          <cell r="E66">
            <v>85000000</v>
          </cell>
          <cell r="F66"/>
          <cell r="G66"/>
          <cell r="H66">
            <v>0.245</v>
          </cell>
          <cell r="I66">
            <v>0.16500000000000001</v>
          </cell>
          <cell r="J66">
            <v>1725</v>
          </cell>
          <cell r="K66"/>
          <cell r="L66"/>
          <cell r="M66"/>
          <cell r="N66">
            <v>0.27238805970149221</v>
          </cell>
          <cell r="O66">
            <v>0.18000641848523716</v>
          </cell>
          <cell r="P66">
            <v>1725</v>
          </cell>
          <cell r="Q66"/>
          <cell r="AV66" t="str">
            <v>PA</v>
          </cell>
          <cell r="AW66" t="str">
            <v xml:space="preserve">PENNSYLVANIA </v>
          </cell>
          <cell r="AX66" t="str">
            <v>US</v>
          </cell>
        </row>
        <row r="67">
          <cell r="E67">
            <v>86000000</v>
          </cell>
          <cell r="F67"/>
          <cell r="G67"/>
          <cell r="H67">
            <v>0.245</v>
          </cell>
          <cell r="I67">
            <v>0.16500000000000001</v>
          </cell>
          <cell r="J67">
            <v>1725</v>
          </cell>
          <cell r="K67"/>
          <cell r="L67"/>
          <cell r="M67"/>
          <cell r="N67">
            <v>0.27455357142857106</v>
          </cell>
          <cell r="O67">
            <v>0.1814774474628392</v>
          </cell>
          <cell r="P67">
            <v>1725</v>
          </cell>
          <cell r="Q67"/>
          <cell r="AV67" t="str">
            <v>PR</v>
          </cell>
          <cell r="AW67" t="str">
            <v>PUERTO RICO</v>
          </cell>
          <cell r="AX67" t="str">
            <v>US</v>
          </cell>
        </row>
        <row r="68">
          <cell r="E68">
            <v>87000000</v>
          </cell>
          <cell r="F68"/>
          <cell r="G68"/>
          <cell r="H68">
            <v>0.245</v>
          </cell>
          <cell r="I68">
            <v>0.16500000000000001</v>
          </cell>
          <cell r="J68">
            <v>1725</v>
          </cell>
          <cell r="K68"/>
          <cell r="L68"/>
          <cell r="M68"/>
          <cell r="N68">
            <v>0.27670623145400552</v>
          </cell>
          <cell r="O68">
            <v>0.18294320798158056</v>
          </cell>
          <cell r="P68">
            <v>1725</v>
          </cell>
          <cell r="Q68"/>
          <cell r="AV68" t="str">
            <v>RI</v>
          </cell>
          <cell r="AW68" t="str">
            <v xml:space="preserve">RHODE ISLAND </v>
          </cell>
          <cell r="AX68" t="str">
            <v>US</v>
          </cell>
        </row>
        <row r="69">
          <cell r="E69">
            <v>88000000</v>
          </cell>
          <cell r="F69"/>
          <cell r="G69"/>
          <cell r="H69">
            <v>0.245</v>
          </cell>
          <cell r="I69">
            <v>0.16500000000000001</v>
          </cell>
          <cell r="J69">
            <v>1725</v>
          </cell>
          <cell r="K69"/>
          <cell r="L69"/>
          <cell r="M69"/>
          <cell r="N69">
            <v>0.27884615384615341</v>
          </cell>
          <cell r="O69">
            <v>0.18440372829417728</v>
          </cell>
          <cell r="P69">
            <v>1725</v>
          </cell>
          <cell r="Q69"/>
          <cell r="AV69" t="str">
            <v>SC</v>
          </cell>
          <cell r="AW69" t="str">
            <v xml:space="preserve">SOUTH CAROLINA </v>
          </cell>
          <cell r="AX69" t="str">
            <v>US</v>
          </cell>
        </row>
        <row r="70">
          <cell r="E70">
            <v>89000000</v>
          </cell>
          <cell r="F70"/>
          <cell r="G70"/>
          <cell r="H70">
            <v>0.245</v>
          </cell>
          <cell r="I70">
            <v>0.16500000000000001</v>
          </cell>
          <cell r="J70">
            <v>1725</v>
          </cell>
          <cell r="K70"/>
          <cell r="L70"/>
          <cell r="M70"/>
          <cell r="N70">
            <v>0.28097345132743318</v>
          </cell>
          <cell r="O70">
            <v>0.18585903645169466</v>
          </cell>
          <cell r="P70">
            <v>1725</v>
          </cell>
          <cell r="Q70"/>
          <cell r="AV70" t="str">
            <v>SD</v>
          </cell>
          <cell r="AW70" t="str">
            <v xml:space="preserve">SOUTH DAKOTA </v>
          </cell>
          <cell r="AX70" t="str">
            <v>US</v>
          </cell>
        </row>
        <row r="71">
          <cell r="E71">
            <v>90000000</v>
          </cell>
          <cell r="F71"/>
          <cell r="G71"/>
          <cell r="H71">
            <v>0.245</v>
          </cell>
          <cell r="I71">
            <v>0.16500000000000001</v>
          </cell>
          <cell r="J71">
            <v>1725</v>
          </cell>
          <cell r="K71"/>
          <cell r="L71"/>
          <cell r="M71"/>
          <cell r="N71">
            <v>0.28308823529411714</v>
          </cell>
          <cell r="O71">
            <v>0.187309160305343</v>
          </cell>
          <cell r="P71">
            <v>1725</v>
          </cell>
          <cell r="Q71"/>
          <cell r="AV71" t="str">
            <v>TN</v>
          </cell>
          <cell r="AW71" t="str">
            <v>TENNESSEE</v>
          </cell>
          <cell r="AX71" t="str">
            <v>US</v>
          </cell>
        </row>
        <row r="72">
          <cell r="E72">
            <v>91000000</v>
          </cell>
          <cell r="F72"/>
          <cell r="G72"/>
          <cell r="H72">
            <v>0.245</v>
          </cell>
          <cell r="I72">
            <v>0.16500000000000001</v>
          </cell>
          <cell r="J72">
            <v>1725</v>
          </cell>
          <cell r="K72"/>
          <cell r="L72"/>
          <cell r="M72"/>
          <cell r="N72">
            <v>0.2851906158357766</v>
          </cell>
          <cell r="O72">
            <v>0.18875412750825446</v>
          </cell>
          <cell r="P72">
            <v>1725</v>
          </cell>
          <cell r="Q72"/>
          <cell r="AV72" t="str">
            <v>TX</v>
          </cell>
          <cell r="AW72" t="str">
            <v>TEXAS</v>
          </cell>
          <cell r="AX72" t="str">
            <v>US</v>
          </cell>
        </row>
        <row r="73">
          <cell r="E73">
            <v>92000000</v>
          </cell>
          <cell r="F73"/>
          <cell r="G73"/>
          <cell r="H73">
            <v>0.245</v>
          </cell>
          <cell r="I73">
            <v>0.16500000000000001</v>
          </cell>
          <cell r="J73">
            <v>1725</v>
          </cell>
          <cell r="K73"/>
          <cell r="L73"/>
          <cell r="M73"/>
          <cell r="N73">
            <v>0.28728070175438541</v>
          </cell>
          <cell r="O73">
            <v>0.1901939655172408</v>
          </cell>
          <cell r="P73">
            <v>1725</v>
          </cell>
          <cell r="Q73"/>
          <cell r="AV73" t="str">
            <v>UT</v>
          </cell>
          <cell r="AW73" t="str">
            <v xml:space="preserve">UTAH </v>
          </cell>
          <cell r="AX73" t="str">
            <v>US</v>
          </cell>
        </row>
        <row r="74">
          <cell r="E74">
            <v>93000000</v>
          </cell>
          <cell r="F74"/>
          <cell r="G74"/>
          <cell r="H74">
            <v>0.245</v>
          </cell>
          <cell r="I74">
            <v>0.16500000000000001</v>
          </cell>
          <cell r="J74">
            <v>1725</v>
          </cell>
          <cell r="K74"/>
          <cell r="L74"/>
          <cell r="M74"/>
          <cell r="N74">
            <v>0.28935860058308982</v>
          </cell>
          <cell r="O74">
            <v>0.19162870159453241</v>
          </cell>
          <cell r="P74">
            <v>1725</v>
          </cell>
          <cell r="Q74"/>
          <cell r="AV74" t="str">
            <v>VT</v>
          </cell>
          <cell r="AW74" t="str">
            <v>VERMONT</v>
          </cell>
          <cell r="AX74" t="str">
            <v>US</v>
          </cell>
        </row>
        <row r="75">
          <cell r="E75">
            <v>94000000</v>
          </cell>
          <cell r="F75"/>
          <cell r="G75"/>
          <cell r="H75">
            <v>0.245</v>
          </cell>
          <cell r="I75">
            <v>0.16500000000000001</v>
          </cell>
          <cell r="J75">
            <v>1725</v>
          </cell>
          <cell r="K75"/>
          <cell r="L75"/>
          <cell r="M75"/>
          <cell r="N75">
            <v>0.29142441860465057</v>
          </cell>
          <cell r="O75">
            <v>0.19305836280949909</v>
          </cell>
          <cell r="P75">
            <v>1725</v>
          </cell>
          <cell r="Q75"/>
          <cell r="AV75" t="str">
            <v>VI</v>
          </cell>
          <cell r="AW75" t="str">
            <v xml:space="preserve">VIRGIN ISLANDS </v>
          </cell>
          <cell r="AX75" t="str">
            <v>US</v>
          </cell>
        </row>
        <row r="76">
          <cell r="E76">
            <v>95000000</v>
          </cell>
          <cell r="F76"/>
          <cell r="G76"/>
          <cell r="H76">
            <v>0.245</v>
          </cell>
          <cell r="I76">
            <v>0.16500000000000001</v>
          </cell>
          <cell r="J76">
            <v>1725</v>
          </cell>
          <cell r="K76"/>
          <cell r="L76"/>
          <cell r="M76"/>
          <cell r="N76">
            <v>0.29347826086956458</v>
          </cell>
          <cell r="O76">
            <v>0.19448297604035239</v>
          </cell>
          <cell r="P76">
            <v>1725</v>
          </cell>
          <cell r="Q76"/>
          <cell r="AV76" t="str">
            <v>VA</v>
          </cell>
          <cell r="AW76" t="str">
            <v xml:space="preserve">VIRGINIA </v>
          </cell>
          <cell r="AX76" t="str">
            <v>US</v>
          </cell>
        </row>
        <row r="77">
          <cell r="E77">
            <v>96000000</v>
          </cell>
          <cell r="F77"/>
          <cell r="G77"/>
          <cell r="H77">
            <v>0.245</v>
          </cell>
          <cell r="I77">
            <v>0.16500000000000001</v>
          </cell>
          <cell r="J77">
            <v>1725</v>
          </cell>
          <cell r="K77"/>
          <cell r="L77"/>
          <cell r="M77"/>
          <cell r="N77">
            <v>0.29552023121387216</v>
          </cell>
          <cell r="O77">
            <v>0.19590256797583008</v>
          </cell>
          <cell r="P77">
            <v>1725</v>
          </cell>
          <cell r="Q77"/>
          <cell r="AV77" t="str">
            <v>WA</v>
          </cell>
          <cell r="AW77" t="str">
            <v xml:space="preserve">WASHINGTON </v>
          </cell>
          <cell r="AX77" t="str">
            <v>US</v>
          </cell>
        </row>
        <row r="78">
          <cell r="E78">
            <v>97000000</v>
          </cell>
          <cell r="F78"/>
          <cell r="G78"/>
          <cell r="H78">
            <v>0.245</v>
          </cell>
          <cell r="I78">
            <v>0.16500000000000001</v>
          </cell>
          <cell r="J78">
            <v>1725</v>
          </cell>
          <cell r="K78"/>
          <cell r="L78"/>
          <cell r="M78"/>
          <cell r="N78">
            <v>0.2975504322766564</v>
          </cell>
          <cell r="O78">
            <v>0.19731716511686276</v>
          </cell>
          <cell r="P78">
            <v>1725</v>
          </cell>
          <cell r="Q78"/>
          <cell r="AV78" t="str">
            <v>WV</v>
          </cell>
          <cell r="AW78" t="str">
            <v>WEST VIRGINIA</v>
          </cell>
          <cell r="AX78" t="str">
            <v>US</v>
          </cell>
        </row>
        <row r="79">
          <cell r="E79">
            <v>98000000</v>
          </cell>
          <cell r="F79"/>
          <cell r="G79"/>
          <cell r="H79">
            <v>0.245</v>
          </cell>
          <cell r="I79">
            <v>0.16500000000000001</v>
          </cell>
          <cell r="J79">
            <v>1725</v>
          </cell>
          <cell r="K79"/>
          <cell r="L79"/>
          <cell r="M79"/>
          <cell r="N79">
            <v>0.29956896551724066</v>
          </cell>
          <cell r="O79">
            <v>0.19872679377822297</v>
          </cell>
          <cell r="P79">
            <v>1725</v>
          </cell>
          <cell r="Q79"/>
          <cell r="AV79" t="str">
            <v>WI</v>
          </cell>
          <cell r="AW79" t="str">
            <v>WISCONSIN</v>
          </cell>
          <cell r="AX79" t="str">
            <v>US</v>
          </cell>
        </row>
        <row r="80">
          <cell r="E80">
            <v>99000000</v>
          </cell>
          <cell r="F80"/>
          <cell r="G80"/>
          <cell r="H80">
            <v>0.245</v>
          </cell>
          <cell r="I80">
            <v>0.16500000000000001</v>
          </cell>
          <cell r="J80">
            <v>1725</v>
          </cell>
          <cell r="K80"/>
          <cell r="L80"/>
          <cell r="M80"/>
          <cell r="N80">
            <v>0.30157593123209098</v>
          </cell>
          <cell r="O80">
            <v>0.20013148009015694</v>
          </cell>
          <cell r="P80">
            <v>1725</v>
          </cell>
          <cell r="Q80"/>
          <cell r="AV80" t="str">
            <v>WY</v>
          </cell>
          <cell r="AW80" t="str">
            <v>WYOMING</v>
          </cell>
          <cell r="AX80" t="str">
            <v>US</v>
          </cell>
        </row>
        <row r="81">
          <cell r="E81">
            <v>100000000</v>
          </cell>
          <cell r="F81"/>
          <cell r="G81"/>
          <cell r="H81">
            <v>0.245</v>
          </cell>
          <cell r="I81">
            <v>0.16500000000000001</v>
          </cell>
          <cell r="J81">
            <v>1725</v>
          </cell>
          <cell r="K81"/>
          <cell r="L81"/>
          <cell r="M81"/>
          <cell r="N81">
            <v>0.30357142857142783</v>
          </cell>
          <cell r="O81">
            <v>0.20153124999999913</v>
          </cell>
          <cell r="P81">
            <v>1725</v>
          </cell>
          <cell r="Q81"/>
          <cell r="AV81" t="str">
            <v>AG</v>
          </cell>
          <cell r="AW81" t="str">
            <v>ARGENTINIA</v>
          </cell>
          <cell r="AX81" t="str">
            <v>SA</v>
          </cell>
        </row>
        <row r="82">
          <cell r="E82">
            <v>101000000</v>
          </cell>
          <cell r="F82"/>
          <cell r="G82"/>
          <cell r="H82">
            <v>0.33500000000000002</v>
          </cell>
          <cell r="I82">
            <v>0.23499999999999999</v>
          </cell>
          <cell r="J82">
            <v>2585</v>
          </cell>
          <cell r="K82"/>
          <cell r="L82"/>
          <cell r="M82"/>
          <cell r="N82">
            <v>0.3055555555555548</v>
          </cell>
          <cell r="O82">
            <v>0.20292612927376999</v>
          </cell>
          <cell r="P82">
            <v>2585</v>
          </cell>
          <cell r="Q82"/>
          <cell r="AV82" t="str">
            <v>EC</v>
          </cell>
          <cell r="AW82" t="str">
            <v>Ecuador</v>
          </cell>
          <cell r="AX82" t="str">
            <v>SA</v>
          </cell>
        </row>
        <row r="83">
          <cell r="E83">
            <v>102000000</v>
          </cell>
          <cell r="F83"/>
          <cell r="G83"/>
          <cell r="H83">
            <v>0.33500000000000002</v>
          </cell>
          <cell r="I83">
            <v>0.23499999999999999</v>
          </cell>
          <cell r="J83">
            <v>2585</v>
          </cell>
          <cell r="K83"/>
          <cell r="L83"/>
          <cell r="M83"/>
          <cell r="N83">
            <v>0.30752840909090828</v>
          </cell>
          <cell r="O83">
            <v>0.2043161434977569</v>
          </cell>
          <cell r="P83">
            <v>2585</v>
          </cell>
          <cell r="Q83"/>
          <cell r="AV83" t="str">
            <v>MX</v>
          </cell>
          <cell r="AW83" t="str">
            <v>MEXICO</v>
          </cell>
          <cell r="AX83" t="str">
            <v>SA</v>
          </cell>
        </row>
        <row r="84">
          <cell r="E84">
            <v>103000000</v>
          </cell>
          <cell r="F84"/>
          <cell r="G84"/>
          <cell r="H84">
            <v>0.33500000000000002</v>
          </cell>
          <cell r="I84">
            <v>0.23499999999999999</v>
          </cell>
          <cell r="J84">
            <v>2585</v>
          </cell>
          <cell r="K84"/>
          <cell r="L84"/>
          <cell r="M84"/>
          <cell r="N84">
            <v>0.30949008498583486</v>
          </cell>
          <cell r="O84">
            <v>0.2057013180800786</v>
          </cell>
          <cell r="P84">
            <v>2585</v>
          </cell>
          <cell r="Q84"/>
          <cell r="AV84" t="str">
            <v>BD</v>
          </cell>
          <cell r="AW84" t="str">
            <v>BERMUDA</v>
          </cell>
          <cell r="AX84" t="str">
            <v>US</v>
          </cell>
        </row>
        <row r="85">
          <cell r="E85">
            <v>104000000</v>
          </cell>
          <cell r="F85"/>
          <cell r="G85"/>
          <cell r="H85">
            <v>0.33500000000000002</v>
          </cell>
          <cell r="I85">
            <v>0.23499999999999999</v>
          </cell>
          <cell r="J85">
            <v>2585</v>
          </cell>
          <cell r="K85"/>
          <cell r="L85"/>
          <cell r="M85"/>
          <cell r="N85">
            <v>0.31144067796610087</v>
          </cell>
          <cell r="O85">
            <v>0.20708167825223334</v>
          </cell>
          <cell r="P85">
            <v>2585</v>
          </cell>
          <cell r="Q85"/>
          <cell r="AV85" t="str">
            <v>PN</v>
          </cell>
          <cell r="AW85" t="str">
            <v>Panama</v>
          </cell>
          <cell r="AX85" t="str">
            <v>SA</v>
          </cell>
        </row>
        <row r="86">
          <cell r="E86">
            <v>105000000</v>
          </cell>
          <cell r="F86"/>
          <cell r="G86"/>
          <cell r="H86">
            <v>0.33500000000000002</v>
          </cell>
          <cell r="I86">
            <v>0.23499999999999999</v>
          </cell>
          <cell r="J86">
            <v>2585</v>
          </cell>
          <cell r="K86"/>
          <cell r="L86"/>
          <cell r="M86"/>
          <cell r="N86">
            <v>0.31338028169013998</v>
          </cell>
          <cell r="O86">
            <v>0.20845724907063093</v>
          </cell>
          <cell r="P86">
            <v>2585</v>
          </cell>
          <cell r="Q86"/>
          <cell r="AV86" t="str">
            <v>PU</v>
          </cell>
          <cell r="AW86" t="str">
            <v>Peru</v>
          </cell>
          <cell r="AX86" t="str">
            <v>SA</v>
          </cell>
        </row>
        <row r="87">
          <cell r="E87">
            <v>106000000</v>
          </cell>
          <cell r="F87"/>
          <cell r="G87"/>
          <cell r="H87">
            <v>0.33500000000000002</v>
          </cell>
          <cell r="I87">
            <v>0.23499999999999999</v>
          </cell>
          <cell r="J87">
            <v>2585</v>
          </cell>
          <cell r="K87"/>
          <cell r="L87"/>
          <cell r="M87"/>
          <cell r="N87">
            <v>0.31530898876404406</v>
          </cell>
          <cell r="O87">
            <v>0.20982805541810876</v>
          </cell>
          <cell r="P87">
            <v>2585</v>
          </cell>
          <cell r="Q87"/>
          <cell r="AV87" t="str">
            <v>AFG</v>
          </cell>
          <cell r="AW87" t="str">
            <v>Afghanistan</v>
          </cell>
          <cell r="AX87" t="str">
            <v>INT</v>
          </cell>
        </row>
        <row r="88">
          <cell r="E88">
            <v>107000000</v>
          </cell>
          <cell r="F88"/>
          <cell r="G88"/>
          <cell r="H88">
            <v>0.33500000000000002</v>
          </cell>
          <cell r="I88">
            <v>0.23499999999999999</v>
          </cell>
          <cell r="J88">
            <v>2585</v>
          </cell>
          <cell r="K88"/>
          <cell r="L88"/>
          <cell r="M88"/>
          <cell r="N88">
            <v>0.31722689075630162</v>
          </cell>
          <cell r="O88">
            <v>0.21119412200543233</v>
          </cell>
          <cell r="P88">
            <v>2585</v>
          </cell>
          <cell r="Q88"/>
          <cell r="AV88" t="str">
            <v>ALA</v>
          </cell>
          <cell r="AW88" t="str">
            <v>Aland Islands</v>
          </cell>
          <cell r="AX88" t="str">
            <v>INT</v>
          </cell>
        </row>
        <row r="89">
          <cell r="E89">
            <v>108000000</v>
          </cell>
          <cell r="F89"/>
          <cell r="G89"/>
          <cell r="H89">
            <v>0.33500000000000002</v>
          </cell>
          <cell r="I89">
            <v>0.23499999999999999</v>
          </cell>
          <cell r="J89">
            <v>2585</v>
          </cell>
          <cell r="K89"/>
          <cell r="L89"/>
          <cell r="M89"/>
          <cell r="N89">
            <v>0.31913407821228956</v>
          </cell>
          <cell r="O89">
            <v>0.21255547337277991</v>
          </cell>
          <cell r="P89">
            <v>2585</v>
          </cell>
          <cell r="Q89"/>
          <cell r="AV89" t="str">
            <v>ALB</v>
          </cell>
          <cell r="AW89" t="str">
            <v>Albania</v>
          </cell>
          <cell r="AX89" t="str">
            <v>INT</v>
          </cell>
        </row>
        <row r="90">
          <cell r="E90">
            <v>109000000</v>
          </cell>
          <cell r="F90"/>
          <cell r="G90"/>
          <cell r="H90">
            <v>0.33500000000000002</v>
          </cell>
          <cell r="I90">
            <v>0.23499999999999999</v>
          </cell>
          <cell r="J90">
            <v>2585</v>
          </cell>
          <cell r="K90"/>
          <cell r="L90"/>
          <cell r="M90"/>
          <cell r="N90">
            <v>0.32103064066852272</v>
          </cell>
          <cell r="O90">
            <v>0.21391213389121222</v>
          </cell>
          <cell r="P90">
            <v>2585</v>
          </cell>
          <cell r="Q90"/>
          <cell r="AV90" t="str">
            <v>DZA</v>
          </cell>
          <cell r="AW90" t="str">
            <v>Algeria</v>
          </cell>
          <cell r="AX90" t="str">
            <v>INT</v>
          </cell>
        </row>
        <row r="91">
          <cell r="E91">
            <v>110000000</v>
          </cell>
          <cell r="F91"/>
          <cell r="G91"/>
          <cell r="H91">
            <v>0.33500000000000002</v>
          </cell>
          <cell r="I91">
            <v>0.23499999999999999</v>
          </cell>
          <cell r="J91">
            <v>2585</v>
          </cell>
          <cell r="K91"/>
          <cell r="L91"/>
          <cell r="M91"/>
          <cell r="N91">
            <v>0.32291666666666569</v>
          </cell>
          <cell r="O91">
            <v>0.21526412776412654</v>
          </cell>
          <cell r="P91">
            <v>2585</v>
          </cell>
          <cell r="Q91"/>
          <cell r="AV91" t="str">
            <v>ASM</v>
          </cell>
          <cell r="AW91" t="str">
            <v>American Samoa</v>
          </cell>
          <cell r="AX91" t="str">
            <v>INT</v>
          </cell>
        </row>
        <row r="92">
          <cell r="E92">
            <v>111000000</v>
          </cell>
          <cell r="F92"/>
          <cell r="G92"/>
          <cell r="H92">
            <v>0.33500000000000002</v>
          </cell>
          <cell r="I92">
            <v>0.23499999999999999</v>
          </cell>
          <cell r="J92">
            <v>2585</v>
          </cell>
          <cell r="K92"/>
          <cell r="L92"/>
          <cell r="M92"/>
          <cell r="N92">
            <v>0.32479224376731203</v>
          </cell>
          <cell r="O92">
            <v>0.21661147902869632</v>
          </cell>
          <cell r="P92">
            <v>2585</v>
          </cell>
          <cell r="Q92"/>
          <cell r="AV92" t="str">
            <v>AND</v>
          </cell>
          <cell r="AW92" t="str">
            <v>Andorra</v>
          </cell>
          <cell r="AX92" t="str">
            <v>INT</v>
          </cell>
        </row>
        <row r="93">
          <cell r="E93">
            <v>112000000</v>
          </cell>
          <cell r="F93"/>
          <cell r="G93"/>
          <cell r="H93">
            <v>0.33500000000000002</v>
          </cell>
          <cell r="I93">
            <v>0.23499999999999999</v>
          </cell>
          <cell r="J93">
            <v>2585</v>
          </cell>
          <cell r="K93"/>
          <cell r="L93"/>
          <cell r="M93"/>
          <cell r="N93">
            <v>0.3266574585635349</v>
          </cell>
          <cell r="O93">
            <v>0.2179542115572955</v>
          </cell>
          <cell r="P93">
            <v>2585</v>
          </cell>
          <cell r="Q93"/>
          <cell r="AV93" t="str">
            <v>AGO</v>
          </cell>
          <cell r="AW93" t="str">
            <v>Angola</v>
          </cell>
          <cell r="AX93" t="str">
            <v>INT</v>
          </cell>
        </row>
        <row r="94">
          <cell r="E94">
            <v>113000000</v>
          </cell>
          <cell r="F94"/>
          <cell r="G94"/>
          <cell r="H94">
            <v>0.33500000000000002</v>
          </cell>
          <cell r="I94">
            <v>0.23499999999999999</v>
          </cell>
          <cell r="J94">
            <v>2585</v>
          </cell>
          <cell r="K94"/>
          <cell r="L94"/>
          <cell r="M94"/>
          <cell r="N94">
            <v>0.32851239669421384</v>
          </cell>
          <cell r="O94">
            <v>0.21929234905890849</v>
          </cell>
          <cell r="P94">
            <v>2585</v>
          </cell>
          <cell r="Q94"/>
          <cell r="AV94" t="str">
            <v>AIA</v>
          </cell>
          <cell r="AW94" t="str">
            <v>Anguilla</v>
          </cell>
          <cell r="AX94" t="str">
            <v>INT</v>
          </cell>
        </row>
        <row r="95">
          <cell r="E95">
            <v>114000000</v>
          </cell>
          <cell r="F95"/>
          <cell r="G95"/>
          <cell r="H95">
            <v>0.33500000000000002</v>
          </cell>
          <cell r="I95">
            <v>0.23499999999999999</v>
          </cell>
          <cell r="J95">
            <v>2585</v>
          </cell>
          <cell r="K95"/>
          <cell r="L95"/>
          <cell r="M95"/>
          <cell r="N95">
            <v>0.33035714285714179</v>
          </cell>
          <cell r="O95">
            <v>0.22062591508052573</v>
          </cell>
          <cell r="P95">
            <v>2585</v>
          </cell>
          <cell r="Q95"/>
          <cell r="AV95" t="str">
            <v>ATA</v>
          </cell>
          <cell r="AW95" t="str">
            <v>Antarctica</v>
          </cell>
          <cell r="AX95" t="str">
            <v>INT</v>
          </cell>
        </row>
        <row r="96">
          <cell r="E96">
            <v>115000000</v>
          </cell>
          <cell r="F96"/>
          <cell r="G96"/>
          <cell r="H96">
            <v>0.33500000000000002</v>
          </cell>
          <cell r="I96">
            <v>0.23499999999999999</v>
          </cell>
          <cell r="J96">
            <v>2585</v>
          </cell>
          <cell r="K96"/>
          <cell r="L96"/>
          <cell r="M96"/>
          <cell r="N96">
            <v>0.33219178082191675</v>
          </cell>
          <cell r="O96">
            <v>0.22195493300852481</v>
          </cell>
          <cell r="P96">
            <v>2585</v>
          </cell>
          <cell r="Q96"/>
          <cell r="AV96" t="str">
            <v>ATG</v>
          </cell>
          <cell r="AW96" t="str">
            <v>Antigua and Barbuda</v>
          </cell>
          <cell r="AX96" t="str">
            <v>INT</v>
          </cell>
        </row>
        <row r="97">
          <cell r="E97">
            <v>116000000</v>
          </cell>
          <cell r="F97"/>
          <cell r="G97"/>
          <cell r="H97">
            <v>0.33500000000000002</v>
          </cell>
          <cell r="I97">
            <v>0.23499999999999999</v>
          </cell>
          <cell r="J97">
            <v>2585</v>
          </cell>
          <cell r="K97"/>
          <cell r="L97"/>
          <cell r="M97"/>
          <cell r="N97">
            <v>0.33401639344262185</v>
          </cell>
          <cell r="O97">
            <v>0.22327942607003751</v>
          </cell>
          <cell r="P97">
            <v>2585</v>
          </cell>
          <cell r="Q97"/>
          <cell r="AV97" t="str">
            <v>ARG</v>
          </cell>
          <cell r="AW97" t="str">
            <v>Argentina</v>
          </cell>
          <cell r="AX97" t="str">
            <v>INT</v>
          </cell>
        </row>
        <row r="98">
          <cell r="E98">
            <v>117000000</v>
          </cell>
          <cell r="F98"/>
          <cell r="G98"/>
          <cell r="H98">
            <v>0.33500000000000002</v>
          </cell>
          <cell r="I98">
            <v>0.23499999999999999</v>
          </cell>
          <cell r="J98">
            <v>2585</v>
          </cell>
          <cell r="K98"/>
          <cell r="L98"/>
          <cell r="M98"/>
          <cell r="N98">
            <v>0.33583106267029861</v>
          </cell>
          <cell r="O98">
            <v>0.224599417334303</v>
          </cell>
          <cell r="P98">
            <v>2585</v>
          </cell>
          <cell r="Q98"/>
          <cell r="AV98" t="str">
            <v>ARM</v>
          </cell>
          <cell r="AW98" t="str">
            <v>Armenia</v>
          </cell>
          <cell r="AX98" t="str">
            <v>INT</v>
          </cell>
        </row>
        <row r="99">
          <cell r="E99">
            <v>118000000</v>
          </cell>
          <cell r="F99"/>
          <cell r="G99"/>
          <cell r="H99">
            <v>0.33500000000000002</v>
          </cell>
          <cell r="I99">
            <v>0.23499999999999999</v>
          </cell>
          <cell r="J99">
            <v>2585</v>
          </cell>
          <cell r="K99"/>
          <cell r="L99"/>
          <cell r="M99"/>
          <cell r="N99">
            <v>0.33763586956521624</v>
          </cell>
          <cell r="O99">
            <v>0.22591492971400726</v>
          </cell>
          <cell r="P99">
            <v>2585</v>
          </cell>
          <cell r="Q99"/>
          <cell r="AV99" t="str">
            <v>ABW</v>
          </cell>
          <cell r="AW99" t="str">
            <v>Aruba</v>
          </cell>
          <cell r="AX99" t="str">
            <v>INT</v>
          </cell>
        </row>
        <row r="100">
          <cell r="E100">
            <v>119000000</v>
          </cell>
          <cell r="F100"/>
          <cell r="G100"/>
          <cell r="H100">
            <v>0.33500000000000002</v>
          </cell>
          <cell r="I100">
            <v>0.23499999999999999</v>
          </cell>
          <cell r="J100">
            <v>2585</v>
          </cell>
          <cell r="K100"/>
          <cell r="L100"/>
          <cell r="M100"/>
          <cell r="N100">
            <v>0.33943089430894191</v>
          </cell>
          <cell r="O100">
            <v>0.2272259859666087</v>
          </cell>
          <cell r="P100">
            <v>2585</v>
          </cell>
          <cell r="Q100"/>
          <cell r="AV100" t="str">
            <v>AUS</v>
          </cell>
          <cell r="AW100" t="str">
            <v>Australia</v>
          </cell>
          <cell r="AX100" t="str">
            <v>INT</v>
          </cell>
        </row>
        <row r="101">
          <cell r="E101">
            <v>120000000</v>
          </cell>
          <cell r="F101"/>
          <cell r="G101"/>
          <cell r="H101">
            <v>0.33500000000000002</v>
          </cell>
          <cell r="I101">
            <v>0.23499999999999999</v>
          </cell>
          <cell r="J101">
            <v>2585</v>
          </cell>
          <cell r="K101"/>
          <cell r="L101"/>
          <cell r="M101"/>
          <cell r="N101">
            <v>0.34121621621621501</v>
          </cell>
          <cell r="O101">
            <v>0.22853260869565065</v>
          </cell>
          <cell r="P101">
            <v>2585</v>
          </cell>
          <cell r="Q101"/>
          <cell r="AV101" t="str">
            <v>AUT</v>
          </cell>
          <cell r="AW101" t="str">
            <v>Austria</v>
          </cell>
          <cell r="AX101" t="str">
            <v>INT</v>
          </cell>
        </row>
        <row r="102">
          <cell r="E102">
            <v>121000000</v>
          </cell>
          <cell r="F102"/>
          <cell r="G102"/>
          <cell r="H102">
            <v>0.33500000000000002</v>
          </cell>
          <cell r="I102">
            <v>0.23499999999999999</v>
          </cell>
          <cell r="J102">
            <v>2585</v>
          </cell>
          <cell r="K102"/>
          <cell r="L102"/>
          <cell r="M102"/>
          <cell r="N102">
            <v>0.34299191374662952</v>
          </cell>
          <cell r="O102">
            <v>0.22983482035206018</v>
          </cell>
          <cell r="P102">
            <v>2585</v>
          </cell>
          <cell r="Q102"/>
          <cell r="AV102" t="str">
            <v>AZE</v>
          </cell>
          <cell r="AW102" t="str">
            <v>Azerbaijan</v>
          </cell>
          <cell r="AX102" t="str">
            <v>INT</v>
          </cell>
        </row>
        <row r="103">
          <cell r="E103">
            <v>122000000</v>
          </cell>
          <cell r="F103"/>
          <cell r="G103"/>
          <cell r="H103">
            <v>0.33500000000000002</v>
          </cell>
          <cell r="I103">
            <v>0.23499999999999999</v>
          </cell>
          <cell r="J103">
            <v>2585</v>
          </cell>
          <cell r="K103"/>
          <cell r="L103"/>
          <cell r="M103"/>
          <cell r="N103">
            <v>0.34475806451612784</v>
          </cell>
          <cell r="O103">
            <v>0.23113264323543414</v>
          </cell>
          <cell r="P103">
            <v>2585</v>
          </cell>
          <cell r="Q103"/>
          <cell r="AV103" t="str">
            <v>BHS</v>
          </cell>
          <cell r="AW103" t="str">
            <v>Bahamas</v>
          </cell>
          <cell r="AX103" t="str">
            <v>INT</v>
          </cell>
        </row>
        <row r="104">
          <cell r="E104">
            <v>123000000</v>
          </cell>
          <cell r="F104"/>
          <cell r="G104"/>
          <cell r="H104">
            <v>0.33500000000000002</v>
          </cell>
          <cell r="I104">
            <v>0.23499999999999999</v>
          </cell>
          <cell r="J104">
            <v>2585</v>
          </cell>
          <cell r="K104"/>
          <cell r="L104"/>
          <cell r="M104"/>
          <cell r="N104">
            <v>0.34651474530830972</v>
          </cell>
          <cell r="O104">
            <v>0.23242609949531201</v>
          </cell>
          <cell r="P104">
            <v>2585</v>
          </cell>
          <cell r="Q104"/>
          <cell r="AV104" t="str">
            <v>BHR</v>
          </cell>
          <cell r="AW104" t="str">
            <v>Bahrain</v>
          </cell>
          <cell r="AX104" t="str">
            <v>INT</v>
          </cell>
        </row>
        <row r="105">
          <cell r="E105">
            <v>124000000</v>
          </cell>
          <cell r="F105"/>
          <cell r="G105"/>
          <cell r="H105">
            <v>0.33500000000000002</v>
          </cell>
          <cell r="I105">
            <v>0.23499999999999999</v>
          </cell>
          <cell r="J105">
            <v>2585</v>
          </cell>
          <cell r="K105"/>
          <cell r="L105"/>
          <cell r="M105"/>
          <cell r="N105">
            <v>0.34826203208556022</v>
          </cell>
          <cell r="O105">
            <v>0.23371521113243598</v>
          </cell>
          <cell r="P105">
            <v>2585</v>
          </cell>
          <cell r="Q105"/>
          <cell r="AV105" t="str">
            <v>BGD</v>
          </cell>
          <cell r="AW105" t="str">
            <v>Bangladesh</v>
          </cell>
          <cell r="AX105" t="str">
            <v>INT</v>
          </cell>
        </row>
        <row r="106">
          <cell r="E106">
            <v>125000000</v>
          </cell>
          <cell r="F106"/>
          <cell r="G106"/>
          <cell r="H106">
            <v>0.33500000000000002</v>
          </cell>
          <cell r="I106">
            <v>0.23499999999999999</v>
          </cell>
          <cell r="J106">
            <v>2585</v>
          </cell>
          <cell r="K106"/>
          <cell r="L106"/>
          <cell r="M106"/>
          <cell r="N106">
            <v>0.34999999999999992</v>
          </cell>
          <cell r="O106">
            <v>0.23500000000000001</v>
          </cell>
          <cell r="P106">
            <v>2585</v>
          </cell>
          <cell r="Q106"/>
          <cell r="AV106" t="str">
            <v>BRB</v>
          </cell>
          <cell r="AW106" t="str">
            <v>Barbados</v>
          </cell>
          <cell r="AX106" t="str">
            <v>INT</v>
          </cell>
        </row>
        <row r="107">
          <cell r="E107">
            <v>126000000</v>
          </cell>
          <cell r="F107"/>
          <cell r="G107"/>
          <cell r="H107">
            <v>0.33500000000000002</v>
          </cell>
          <cell r="I107">
            <v>0.23499999999999999</v>
          </cell>
          <cell r="J107">
            <v>2875</v>
          </cell>
          <cell r="K107"/>
          <cell r="L107"/>
          <cell r="M107"/>
          <cell r="N107">
            <v>0.35194988530086457</v>
          </cell>
          <cell r="O107">
            <v>0.2358989424206816</v>
          </cell>
          <cell r="P107">
            <v>2875</v>
          </cell>
          <cell r="Q107"/>
          <cell r="AV107" t="str">
            <v>BLR</v>
          </cell>
          <cell r="AW107" t="str">
            <v>Belarus</v>
          </cell>
          <cell r="AX107" t="str">
            <v>INT</v>
          </cell>
        </row>
        <row r="108">
          <cell r="E108">
            <v>127000000</v>
          </cell>
          <cell r="F108"/>
          <cell r="G108"/>
          <cell r="H108">
            <v>0.33500000000000002</v>
          </cell>
          <cell r="I108">
            <v>0.23499999999999999</v>
          </cell>
          <cell r="J108">
            <v>2875</v>
          </cell>
          <cell r="K108"/>
          <cell r="L108"/>
          <cell r="M108"/>
          <cell r="N108">
            <v>0.35388810696692458</v>
          </cell>
          <cell r="O108">
            <v>0.23679577464788742</v>
          </cell>
          <cell r="P108">
            <v>2875</v>
          </cell>
          <cell r="Q108"/>
          <cell r="AV108" t="str">
            <v>BEL</v>
          </cell>
          <cell r="AW108" t="str">
            <v>Belgium</v>
          </cell>
          <cell r="AX108" t="str">
            <v>INT</v>
          </cell>
        </row>
        <row r="109">
          <cell r="E109">
            <v>128000000</v>
          </cell>
          <cell r="F109"/>
          <cell r="G109"/>
          <cell r="H109">
            <v>0.33500000000000002</v>
          </cell>
          <cell r="I109">
            <v>0.23499999999999999</v>
          </cell>
          <cell r="J109">
            <v>2875</v>
          </cell>
          <cell r="K109"/>
          <cell r="L109"/>
          <cell r="M109"/>
          <cell r="N109">
            <v>0.35581476933871237</v>
          </cell>
          <cell r="O109">
            <v>0.23769050410316545</v>
          </cell>
          <cell r="P109">
            <v>2875</v>
          </cell>
          <cell r="Q109"/>
          <cell r="AV109" t="str">
            <v>BLZ</v>
          </cell>
          <cell r="AW109" t="str">
            <v>Belize</v>
          </cell>
          <cell r="AX109" t="str">
            <v>INT</v>
          </cell>
        </row>
        <row r="110">
          <cell r="E110">
            <v>129000000</v>
          </cell>
          <cell r="F110"/>
          <cell r="G110"/>
          <cell r="H110">
            <v>0.33500000000000002</v>
          </cell>
          <cell r="I110">
            <v>0.23499999999999999</v>
          </cell>
          <cell r="J110">
            <v>2875</v>
          </cell>
          <cell r="K110"/>
          <cell r="L110"/>
          <cell r="M110"/>
          <cell r="N110">
            <v>0.35772997551591451</v>
          </cell>
          <cell r="O110">
            <v>0.23858313817330229</v>
          </cell>
          <cell r="P110">
            <v>2875</v>
          </cell>
          <cell r="Q110"/>
          <cell r="AV110" t="str">
            <v>BEN</v>
          </cell>
          <cell r="AW110" t="str">
            <v>Benin</v>
          </cell>
          <cell r="AX110" t="str">
            <v>INT</v>
          </cell>
        </row>
        <row r="111">
          <cell r="E111">
            <v>130000000</v>
          </cell>
          <cell r="F111"/>
          <cell r="G111"/>
          <cell r="H111">
            <v>0.33500000000000002</v>
          </cell>
          <cell r="I111">
            <v>0.23499999999999999</v>
          </cell>
          <cell r="J111">
            <v>2875</v>
          </cell>
          <cell r="K111"/>
          <cell r="L111"/>
          <cell r="M111"/>
          <cell r="N111">
            <v>0.35963382737576266</v>
          </cell>
          <cell r="O111">
            <v>0.23947368421052653</v>
          </cell>
          <cell r="P111">
            <v>2875</v>
          </cell>
          <cell r="Q111"/>
          <cell r="AV111" t="str">
            <v>BMU</v>
          </cell>
          <cell r="AW111" t="str">
            <v>Bermuda</v>
          </cell>
          <cell r="AX111" t="str">
            <v>INT</v>
          </cell>
        </row>
        <row r="112">
          <cell r="E112">
            <v>131000000</v>
          </cell>
          <cell r="F112"/>
          <cell r="G112"/>
          <cell r="H112">
            <v>0.33500000000000002</v>
          </cell>
          <cell r="I112">
            <v>0.23499999999999999</v>
          </cell>
          <cell r="J112">
            <v>2875</v>
          </cell>
          <cell r="K112"/>
          <cell r="L112"/>
          <cell r="M112"/>
          <cell r="N112">
            <v>0.36152642559109854</v>
          </cell>
          <cell r="O112">
            <v>0.24036214953271054</v>
          </cell>
          <cell r="P112">
            <v>2875</v>
          </cell>
          <cell r="Q112"/>
          <cell r="AV112" t="str">
            <v>BTN</v>
          </cell>
          <cell r="AW112" t="str">
            <v>Bhutan</v>
          </cell>
          <cell r="AX112" t="str">
            <v>INT</v>
          </cell>
        </row>
        <row r="113">
          <cell r="E113">
            <v>132000000</v>
          </cell>
          <cell r="F113"/>
          <cell r="G113"/>
          <cell r="H113">
            <v>0.33500000000000002</v>
          </cell>
          <cell r="I113">
            <v>0.23499999999999999</v>
          </cell>
          <cell r="J113">
            <v>2875</v>
          </cell>
          <cell r="K113"/>
          <cell r="L113"/>
          <cell r="M113"/>
          <cell r="N113">
            <v>0.36340786964811905</v>
          </cell>
          <cell r="O113">
            <v>0.24124854142357091</v>
          </cell>
          <cell r="P113">
            <v>2875</v>
          </cell>
          <cell r="Q113"/>
          <cell r="AV113" t="str">
            <v>BOL</v>
          </cell>
          <cell r="AW113" t="str">
            <v>Bolivia</v>
          </cell>
          <cell r="AX113" t="str">
            <v>INT</v>
          </cell>
        </row>
        <row r="114">
          <cell r="E114">
            <v>133000000</v>
          </cell>
          <cell r="F114"/>
          <cell r="G114"/>
          <cell r="H114">
            <v>0.33500000000000002</v>
          </cell>
          <cell r="I114">
            <v>0.23499999999999999</v>
          </cell>
          <cell r="J114">
            <v>2875</v>
          </cell>
          <cell r="K114"/>
          <cell r="L114"/>
          <cell r="M114"/>
          <cell r="N114">
            <v>0.36527825786380896</v>
          </cell>
          <cell r="O114">
            <v>0.24213286713286747</v>
          </cell>
          <cell r="P114">
            <v>2875</v>
          </cell>
          <cell r="Q114"/>
          <cell r="AV114" t="str">
            <v>BIH</v>
          </cell>
          <cell r="AW114" t="str">
            <v>Bosnia and Herzegovina</v>
          </cell>
          <cell r="AX114" t="str">
            <v>INT</v>
          </cell>
        </row>
        <row r="115">
          <cell r="E115">
            <v>134000000</v>
          </cell>
          <cell r="F115"/>
          <cell r="G115"/>
          <cell r="H115">
            <v>0.33500000000000002</v>
          </cell>
          <cell r="I115">
            <v>0.23499999999999999</v>
          </cell>
          <cell r="J115">
            <v>2875</v>
          </cell>
          <cell r="K115"/>
          <cell r="L115"/>
          <cell r="M115"/>
          <cell r="N115">
            <v>0.36713768740306713</v>
          </cell>
          <cell r="O115">
            <v>0.24301513387660109</v>
          </cell>
          <cell r="P115">
            <v>2875</v>
          </cell>
          <cell r="Q115"/>
          <cell r="AV115" t="str">
            <v>BWA</v>
          </cell>
          <cell r="AW115" t="str">
            <v>Botswana</v>
          </cell>
          <cell r="AX115" t="str">
            <v>INT</v>
          </cell>
        </row>
        <row r="116">
          <cell r="E116">
            <v>135000000</v>
          </cell>
          <cell r="F116"/>
          <cell r="G116"/>
          <cell r="H116">
            <v>0.33500000000000002</v>
          </cell>
          <cell r="I116">
            <v>0.23499999999999999</v>
          </cell>
          <cell r="J116">
            <v>2875</v>
          </cell>
          <cell r="K116"/>
          <cell r="L116"/>
          <cell r="M116"/>
          <cell r="N116">
            <v>0.36898625429553233</v>
          </cell>
          <cell r="O116">
            <v>0.24389534883720973</v>
          </cell>
          <cell r="P116">
            <v>2875</v>
          </cell>
          <cell r="Q116"/>
          <cell r="AV116" t="str">
            <v>BVT</v>
          </cell>
          <cell r="AW116" t="str">
            <v>Bouvet Island</v>
          </cell>
          <cell r="AX116" t="str">
            <v>INT</v>
          </cell>
        </row>
        <row r="117">
          <cell r="E117">
            <v>136000000</v>
          </cell>
          <cell r="F117"/>
          <cell r="G117"/>
          <cell r="H117">
            <v>0.33500000000000002</v>
          </cell>
          <cell r="I117">
            <v>0.23499999999999999</v>
          </cell>
          <cell r="J117">
            <v>2875</v>
          </cell>
          <cell r="K117"/>
          <cell r="L117"/>
          <cell r="M117"/>
          <cell r="N117">
            <v>0.3708240534521155</v>
          </cell>
          <cell r="O117">
            <v>0.24477351916376353</v>
          </cell>
          <cell r="P117">
            <v>2875</v>
          </cell>
          <cell r="Q117"/>
          <cell r="AV117" t="str">
            <v>BRA</v>
          </cell>
          <cell r="AW117" t="str">
            <v>Brazil</v>
          </cell>
          <cell r="AX117" t="str">
            <v>INT</v>
          </cell>
        </row>
        <row r="118">
          <cell r="E118">
            <v>137000000</v>
          </cell>
          <cell r="F118"/>
          <cell r="G118"/>
          <cell r="H118">
            <v>0.33500000000000002</v>
          </cell>
          <cell r="I118">
            <v>0.23499999999999999</v>
          </cell>
          <cell r="J118">
            <v>2875</v>
          </cell>
          <cell r="K118"/>
          <cell r="L118"/>
          <cell r="M118"/>
          <cell r="N118">
            <v>0.37265117868124326</v>
          </cell>
          <cell r="O118">
            <v>0.24564965197215829</v>
          </cell>
          <cell r="P118">
            <v>2875</v>
          </cell>
          <cell r="Q118"/>
          <cell r="AV118" t="str">
            <v>IOT</v>
          </cell>
          <cell r="AW118" t="str">
            <v>British Indian Ocean Territory</v>
          </cell>
          <cell r="AX118" t="str">
            <v>INT</v>
          </cell>
        </row>
        <row r="119">
          <cell r="E119">
            <v>138000000</v>
          </cell>
          <cell r="F119"/>
          <cell r="G119"/>
          <cell r="H119">
            <v>0.33500000000000002</v>
          </cell>
          <cell r="I119">
            <v>0.23499999999999999</v>
          </cell>
          <cell r="J119">
            <v>2875</v>
          </cell>
          <cell r="K119"/>
          <cell r="L119"/>
          <cell r="M119"/>
          <cell r="N119">
            <v>0.37446772270481998</v>
          </cell>
          <cell r="O119">
            <v>0.24652375434530763</v>
          </cell>
          <cell r="P119">
            <v>2875</v>
          </cell>
          <cell r="Q119"/>
          <cell r="AV119" t="str">
            <v>BRN</v>
          </cell>
          <cell r="AW119" t="str">
            <v>Brunei Darussalam</v>
          </cell>
          <cell r="AX119" t="str">
            <v>INT</v>
          </cell>
        </row>
        <row r="120">
          <cell r="E120">
            <v>139000000</v>
          </cell>
          <cell r="F120"/>
          <cell r="G120"/>
          <cell r="H120">
            <v>0.33500000000000002</v>
          </cell>
          <cell r="I120">
            <v>0.23499999999999999</v>
          </cell>
          <cell r="J120">
            <v>2875</v>
          </cell>
          <cell r="K120"/>
          <cell r="L120"/>
          <cell r="M120"/>
          <cell r="N120">
            <v>0.37627377717391269</v>
          </cell>
          <cell r="O120">
            <v>0.24739583333333393</v>
          </cell>
          <cell r="P120">
            <v>2875</v>
          </cell>
          <cell r="Q120"/>
          <cell r="AV120" t="str">
            <v>BGR</v>
          </cell>
          <cell r="AW120" t="str">
            <v>Bulgaria</v>
          </cell>
          <cell r="AX120" t="str">
            <v>INT</v>
          </cell>
        </row>
        <row r="121">
          <cell r="E121">
            <v>140000000</v>
          </cell>
          <cell r="F121"/>
          <cell r="G121"/>
          <cell r="H121">
            <v>0.33500000000000002</v>
          </cell>
          <cell r="I121">
            <v>0.23499999999999999</v>
          </cell>
          <cell r="J121">
            <v>2875</v>
          </cell>
          <cell r="K121"/>
          <cell r="L121"/>
          <cell r="M121"/>
          <cell r="N121">
            <v>0.3780694326841656</v>
          </cell>
          <cell r="O121">
            <v>0.24826589595375786</v>
          </cell>
          <cell r="P121">
            <v>2875</v>
          </cell>
          <cell r="Q121"/>
          <cell r="AV121" t="str">
            <v>BFA</v>
          </cell>
          <cell r="AW121" t="str">
            <v>Burkina Faso</v>
          </cell>
          <cell r="AX121" t="str">
            <v>INT</v>
          </cell>
        </row>
        <row r="122">
          <cell r="E122">
            <v>141000000</v>
          </cell>
          <cell r="F122"/>
          <cell r="G122"/>
          <cell r="H122">
            <v>0.33500000000000002</v>
          </cell>
          <cell r="I122">
            <v>0.23499999999999999</v>
          </cell>
          <cell r="J122">
            <v>2875</v>
          </cell>
          <cell r="K122"/>
          <cell r="L122"/>
          <cell r="M122"/>
          <cell r="N122">
            <v>0.37985477879094859</v>
          </cell>
          <cell r="O122">
            <v>0.24913394919168658</v>
          </cell>
          <cell r="P122">
            <v>2875</v>
          </cell>
          <cell r="Q122"/>
          <cell r="AV122" t="str">
            <v>BDI</v>
          </cell>
          <cell r="AW122" t="str">
            <v>Burundi</v>
          </cell>
          <cell r="AX122" t="str">
            <v>INT</v>
          </cell>
        </row>
        <row r="123">
          <cell r="E123">
            <v>142000000</v>
          </cell>
          <cell r="F123"/>
          <cell r="G123"/>
          <cell r="H123">
            <v>0.33500000000000002</v>
          </cell>
          <cell r="I123">
            <v>0.23499999999999999</v>
          </cell>
          <cell r="J123">
            <v>2875</v>
          </cell>
          <cell r="K123"/>
          <cell r="L123"/>
          <cell r="M123"/>
          <cell r="N123">
            <v>0.38162990402424607</v>
          </cell>
          <cell r="O123">
            <v>0.25000000000000072</v>
          </cell>
          <cell r="P123">
            <v>2875</v>
          </cell>
          <cell r="Q123"/>
          <cell r="AV123" t="str">
            <v>KHM</v>
          </cell>
          <cell r="AW123" t="str">
            <v>Cambodia</v>
          </cell>
          <cell r="AX123" t="str">
            <v>INT</v>
          </cell>
        </row>
        <row r="124">
          <cell r="E124">
            <v>143000000</v>
          </cell>
          <cell r="F124"/>
          <cell r="G124"/>
          <cell r="H124">
            <v>0.33500000000000002</v>
          </cell>
          <cell r="I124">
            <v>0.23499999999999999</v>
          </cell>
          <cell r="J124">
            <v>2875</v>
          </cell>
          <cell r="K124"/>
          <cell r="L124"/>
          <cell r="M124"/>
          <cell r="N124">
            <v>0.38339489590329034</v>
          </cell>
          <cell r="O124">
            <v>0.25086405529953992</v>
          </cell>
          <cell r="P124">
            <v>2875</v>
          </cell>
          <cell r="Q124"/>
          <cell r="AV124" t="str">
            <v>CMR</v>
          </cell>
          <cell r="AW124" t="str">
            <v>Cameroon</v>
          </cell>
          <cell r="AX124" t="str">
            <v>INT</v>
          </cell>
        </row>
        <row r="125">
          <cell r="E125">
            <v>144000000</v>
          </cell>
          <cell r="F125"/>
          <cell r="G125"/>
          <cell r="H125">
            <v>0.33500000000000002</v>
          </cell>
          <cell r="I125">
            <v>0.23499999999999999</v>
          </cell>
          <cell r="J125">
            <v>2875</v>
          </cell>
          <cell r="K125"/>
          <cell r="L125"/>
          <cell r="M125"/>
          <cell r="N125">
            <v>0.38514984095094545</v>
          </cell>
          <cell r="O125">
            <v>0.25172612197928734</v>
          </cell>
          <cell r="P125">
            <v>2875</v>
          </cell>
          <cell r="Q125"/>
          <cell r="AV125" t="str">
            <v>CAN</v>
          </cell>
          <cell r="AW125" t="str">
            <v>Canada</v>
          </cell>
          <cell r="AX125" t="str">
            <v>INT</v>
          </cell>
        </row>
        <row r="126">
          <cell r="E126">
            <v>145000000</v>
          </cell>
          <cell r="F126"/>
          <cell r="G126"/>
          <cell r="H126">
            <v>0.33500000000000002</v>
          </cell>
          <cell r="I126">
            <v>0.23499999999999999</v>
          </cell>
          <cell r="J126">
            <v>2875</v>
          </cell>
          <cell r="K126"/>
          <cell r="L126"/>
          <cell r="M126"/>
          <cell r="N126">
            <v>0.38689482470784592</v>
          </cell>
          <cell r="O126">
            <v>0.25258620689655253</v>
          </cell>
          <cell r="P126">
            <v>2875</v>
          </cell>
          <cell r="Q126"/>
          <cell r="AV126" t="str">
            <v>CPV</v>
          </cell>
          <cell r="AW126" t="str">
            <v>Cape Verde</v>
          </cell>
          <cell r="AX126" t="str">
            <v>INT</v>
          </cell>
        </row>
        <row r="127">
          <cell r="E127">
            <v>146000000</v>
          </cell>
          <cell r="F127"/>
          <cell r="G127"/>
          <cell r="H127">
            <v>0.33500000000000002</v>
          </cell>
          <cell r="I127">
            <v>0.23499999999999999</v>
          </cell>
          <cell r="J127">
            <v>2875</v>
          </cell>
          <cell r="K127"/>
          <cell r="L127"/>
          <cell r="M127"/>
          <cell r="N127">
            <v>0.38862993174629551</v>
          </cell>
          <cell r="O127">
            <v>0.25344431687715357</v>
          </cell>
          <cell r="P127">
            <v>2875</v>
          </cell>
          <cell r="Q127"/>
          <cell r="AV127" t="str">
            <v>CYM</v>
          </cell>
          <cell r="AW127" t="str">
            <v>Cayman Islands</v>
          </cell>
          <cell r="AX127" t="str">
            <v>INT</v>
          </cell>
        </row>
        <row r="128">
          <cell r="E128">
            <v>147000000</v>
          </cell>
          <cell r="F128"/>
          <cell r="G128"/>
          <cell r="H128">
            <v>0.33500000000000002</v>
          </cell>
          <cell r="I128">
            <v>0.23499999999999999</v>
          </cell>
          <cell r="J128">
            <v>2875</v>
          </cell>
          <cell r="K128"/>
          <cell r="L128"/>
          <cell r="M128"/>
          <cell r="N128">
            <v>0.39035524568393043</v>
          </cell>
          <cell r="O128">
            <v>0.25430045871559726</v>
          </cell>
          <cell r="P128">
            <v>2875</v>
          </cell>
          <cell r="Q128"/>
          <cell r="AV128" t="str">
            <v>CAF</v>
          </cell>
          <cell r="AW128" t="str">
            <v>Central African Republic</v>
          </cell>
          <cell r="AX128" t="str">
            <v>INT</v>
          </cell>
        </row>
        <row r="129">
          <cell r="E129">
            <v>148000000</v>
          </cell>
          <cell r="F129"/>
          <cell r="G129"/>
          <cell r="H129">
            <v>0.33500000000000002</v>
          </cell>
          <cell r="I129">
            <v>0.23499999999999999</v>
          </cell>
          <cell r="J129">
            <v>2875</v>
          </cell>
          <cell r="K129"/>
          <cell r="L129"/>
          <cell r="M129"/>
          <cell r="N129">
            <v>0.39207084919715224</v>
          </cell>
          <cell r="O129">
            <v>0.25515463917525866</v>
          </cell>
          <cell r="P129">
            <v>2875</v>
          </cell>
          <cell r="Q129"/>
          <cell r="AV129" t="str">
            <v>TCD</v>
          </cell>
          <cell r="AW129" t="str">
            <v>Chad</v>
          </cell>
          <cell r="AX129" t="str">
            <v>INT</v>
          </cell>
        </row>
        <row r="130">
          <cell r="E130">
            <v>149000000</v>
          </cell>
          <cell r="F130"/>
          <cell r="G130"/>
          <cell r="H130">
            <v>0.33500000000000002</v>
          </cell>
          <cell r="I130">
            <v>0.23499999999999999</v>
          </cell>
          <cell r="J130">
            <v>2875</v>
          </cell>
          <cell r="K130"/>
          <cell r="L130"/>
          <cell r="M130"/>
          <cell r="N130">
            <v>0.39377682403433423</v>
          </cell>
          <cell r="O130">
            <v>0.25600686498855935</v>
          </cell>
          <cell r="P130">
            <v>2875</v>
          </cell>
          <cell r="Q130"/>
          <cell r="AV130" t="str">
            <v>CHL</v>
          </cell>
          <cell r="AW130" t="str">
            <v>Chile</v>
          </cell>
          <cell r="AX130" t="str">
            <v>INT</v>
          </cell>
        </row>
        <row r="131">
          <cell r="E131">
            <v>150000000</v>
          </cell>
          <cell r="F131"/>
          <cell r="G131"/>
          <cell r="H131">
            <v>0.33500000000000002</v>
          </cell>
          <cell r="I131">
            <v>0.23499999999999999</v>
          </cell>
          <cell r="J131">
            <v>2875</v>
          </cell>
          <cell r="K131"/>
          <cell r="L131"/>
          <cell r="M131"/>
          <cell r="N131">
            <v>0.39547325102880598</v>
          </cell>
          <cell r="O131">
            <v>0.25685714285714389</v>
          </cell>
          <cell r="P131">
            <v>2875</v>
          </cell>
          <cell r="Q131"/>
          <cell r="AV131" t="str">
            <v>CHN</v>
          </cell>
          <cell r="AW131" t="str">
            <v>China</v>
          </cell>
          <cell r="AX131" t="str">
            <v>INT</v>
          </cell>
        </row>
        <row r="132">
          <cell r="E132">
            <v>151000000</v>
          </cell>
          <cell r="F132"/>
          <cell r="G132"/>
          <cell r="H132">
            <v>0.40500000000000003</v>
          </cell>
          <cell r="I132">
            <v>0.27750000000000002</v>
          </cell>
          <cell r="J132">
            <v>3450</v>
          </cell>
          <cell r="K132"/>
          <cell r="L132"/>
          <cell r="M132"/>
          <cell r="N132">
            <v>0.39716021011162123</v>
          </cell>
          <cell r="O132">
            <v>0.25770547945205585</v>
          </cell>
          <cell r="P132">
            <v>3450</v>
          </cell>
          <cell r="Q132"/>
          <cell r="AV132" t="str">
            <v>CXR</v>
          </cell>
          <cell r="AW132" t="str">
            <v>Christmas Island</v>
          </cell>
          <cell r="AX132" t="str">
            <v>INT</v>
          </cell>
        </row>
        <row r="133">
          <cell r="E133">
            <v>152000000</v>
          </cell>
          <cell r="F133"/>
          <cell r="G133"/>
          <cell r="H133">
            <v>0.40500000000000003</v>
          </cell>
          <cell r="I133">
            <v>0.27750000000000002</v>
          </cell>
          <cell r="J133">
            <v>3450</v>
          </cell>
          <cell r="K133"/>
          <cell r="L133"/>
          <cell r="M133"/>
          <cell r="N133">
            <v>0.39883778032411138</v>
          </cell>
          <cell r="O133">
            <v>0.25855188141391217</v>
          </cell>
          <cell r="P133">
            <v>3450</v>
          </cell>
          <cell r="Q133"/>
          <cell r="AV133" t="str">
            <v>CCK</v>
          </cell>
          <cell r="AW133" t="str">
            <v>Cocos (Keeling) Islands</v>
          </cell>
          <cell r="AX133" t="str">
            <v>INT</v>
          </cell>
        </row>
        <row r="134">
          <cell r="E134">
            <v>153000000</v>
          </cell>
          <cell r="F134"/>
          <cell r="G134"/>
          <cell r="H134">
            <v>0.40500000000000003</v>
          </cell>
          <cell r="I134">
            <v>0.27750000000000002</v>
          </cell>
          <cell r="J134">
            <v>3450</v>
          </cell>
          <cell r="K134"/>
          <cell r="L134"/>
          <cell r="M134"/>
          <cell r="N134">
            <v>0.40050603983023114</v>
          </cell>
          <cell r="O134">
            <v>0.25939635535307631</v>
          </cell>
          <cell r="P134">
            <v>3450</v>
          </cell>
          <cell r="Q134"/>
          <cell r="AV134" t="str">
            <v>COL</v>
          </cell>
          <cell r="AW134" t="str">
            <v>Colombia</v>
          </cell>
          <cell r="AX134" t="str">
            <v>INT</v>
          </cell>
        </row>
        <row r="135">
          <cell r="E135">
            <v>154000000</v>
          </cell>
          <cell r="F135"/>
          <cell r="G135"/>
          <cell r="H135">
            <v>0.40500000000000003</v>
          </cell>
          <cell r="I135">
            <v>0.27750000000000002</v>
          </cell>
          <cell r="J135">
            <v>3450</v>
          </cell>
          <cell r="K135"/>
          <cell r="L135"/>
          <cell r="M135"/>
          <cell r="N135">
            <v>0.40216506592869866</v>
          </cell>
          <cell r="O135">
            <v>0.2602389078498305</v>
          </cell>
          <cell r="P135">
            <v>3450</v>
          </cell>
          <cell r="Q135"/>
          <cell r="AV135" t="str">
            <v>COM</v>
          </cell>
          <cell r="AW135" t="str">
            <v>Comoros</v>
          </cell>
          <cell r="AX135" t="str">
            <v>INT</v>
          </cell>
        </row>
        <row r="136">
          <cell r="E136">
            <v>155000000</v>
          </cell>
          <cell r="F136"/>
          <cell r="G136"/>
          <cell r="H136">
            <v>0.40500000000000003</v>
          </cell>
          <cell r="I136">
            <v>0.27750000000000002</v>
          </cell>
          <cell r="J136">
            <v>3450</v>
          </cell>
          <cell r="K136"/>
          <cell r="L136"/>
          <cell r="M136"/>
          <cell r="N136">
            <v>0.40381493506493438</v>
          </cell>
          <cell r="O136">
            <v>0.26107954545454665</v>
          </cell>
          <cell r="P136">
            <v>3450</v>
          </cell>
          <cell r="Q136"/>
          <cell r="AV136" t="str">
            <v>COG</v>
          </cell>
          <cell r="AW136" t="str">
            <v>Congo</v>
          </cell>
          <cell r="AX136" t="str">
            <v>INT</v>
          </cell>
        </row>
        <row r="137">
          <cell r="E137">
            <v>156000000</v>
          </cell>
          <cell r="F137"/>
          <cell r="G137"/>
          <cell r="H137">
            <v>0.40500000000000003</v>
          </cell>
          <cell r="I137">
            <v>0.27750000000000002</v>
          </cell>
          <cell r="J137">
            <v>3450</v>
          </cell>
          <cell r="K137"/>
          <cell r="L137"/>
          <cell r="M137"/>
          <cell r="N137">
            <v>0.40545572284280329</v>
          </cell>
          <cell r="O137">
            <v>0.26191827468785595</v>
          </cell>
          <cell r="P137">
            <v>3450</v>
          </cell>
          <cell r="Q137"/>
          <cell r="AV137" t="str">
            <v>COD</v>
          </cell>
          <cell r="AW137" t="str">
            <v>Congo, DRC</v>
          </cell>
          <cell r="AX137" t="str">
            <v>INT</v>
          </cell>
        </row>
        <row r="138">
          <cell r="E138">
            <v>157000000</v>
          </cell>
          <cell r="F138"/>
          <cell r="G138"/>
          <cell r="H138">
            <v>0.40500000000000003</v>
          </cell>
          <cell r="I138">
            <v>0.27750000000000002</v>
          </cell>
          <cell r="J138">
            <v>3450</v>
          </cell>
          <cell r="K138"/>
          <cell r="L138"/>
          <cell r="M138"/>
          <cell r="N138">
            <v>0.40708750403616334</v>
          </cell>
          <cell r="O138">
            <v>0.26275510204081759</v>
          </cell>
          <cell r="P138">
            <v>3450</v>
          </cell>
          <cell r="Q138"/>
          <cell r="AV138" t="str">
            <v>COK</v>
          </cell>
          <cell r="AW138" t="str">
            <v>Cook Islands</v>
          </cell>
          <cell r="AX138" t="str">
            <v>INT</v>
          </cell>
        </row>
        <row r="139">
          <cell r="E139">
            <v>158000000</v>
          </cell>
          <cell r="F139"/>
          <cell r="G139"/>
          <cell r="H139">
            <v>0.40500000000000003</v>
          </cell>
          <cell r="I139">
            <v>0.27750000000000002</v>
          </cell>
          <cell r="J139">
            <v>3450</v>
          </cell>
          <cell r="K139"/>
          <cell r="L139"/>
          <cell r="M139"/>
          <cell r="N139">
            <v>0.4087103526002247</v>
          </cell>
          <cell r="O139">
            <v>0.26359003397508624</v>
          </cell>
          <cell r="P139">
            <v>3450</v>
          </cell>
          <cell r="Q139"/>
          <cell r="AV139" t="str">
            <v>CRI</v>
          </cell>
          <cell r="AW139" t="str">
            <v>Costa Rica</v>
          </cell>
          <cell r="AX139" t="str">
            <v>INT</v>
          </cell>
        </row>
        <row r="140">
          <cell r="E140">
            <v>159000000</v>
          </cell>
          <cell r="F140"/>
          <cell r="G140"/>
          <cell r="H140">
            <v>0.40500000000000003</v>
          </cell>
          <cell r="I140">
            <v>0.27750000000000002</v>
          </cell>
          <cell r="J140">
            <v>3450</v>
          </cell>
          <cell r="K140"/>
          <cell r="L140"/>
          <cell r="M140"/>
          <cell r="N140">
            <v>0.41032434168272247</v>
          </cell>
          <cell r="O140">
            <v>0.26442307692307826</v>
          </cell>
          <cell r="P140">
            <v>3450</v>
          </cell>
          <cell r="Q140"/>
          <cell r="AV140" t="str">
            <v>CIV</v>
          </cell>
          <cell r="AW140" t="str">
            <v>Cote d'Ivoire</v>
          </cell>
          <cell r="AX140" t="str">
            <v>INT</v>
          </cell>
        </row>
        <row r="141">
          <cell r="E141">
            <v>160000000</v>
          </cell>
          <cell r="F141"/>
          <cell r="G141"/>
          <cell r="H141">
            <v>0.40500000000000003</v>
          </cell>
          <cell r="I141">
            <v>0.27750000000000002</v>
          </cell>
          <cell r="J141">
            <v>3450</v>
          </cell>
          <cell r="K141"/>
          <cell r="L141"/>
          <cell r="M141"/>
          <cell r="N141">
            <v>0.41192954363490719</v>
          </cell>
          <cell r="O141">
            <v>0.26525423728813696</v>
          </cell>
          <cell r="P141">
            <v>3450</v>
          </cell>
          <cell r="Q141"/>
          <cell r="AV141" t="str">
            <v>HRV</v>
          </cell>
          <cell r="AW141" t="str">
            <v>Croatia</v>
          </cell>
          <cell r="AX141" t="str">
            <v>INT</v>
          </cell>
        </row>
        <row r="142">
          <cell r="E142">
            <v>161000000</v>
          </cell>
          <cell r="F142"/>
          <cell r="G142"/>
          <cell r="H142">
            <v>0.40500000000000003</v>
          </cell>
          <cell r="I142">
            <v>0.27750000000000002</v>
          </cell>
          <cell r="J142">
            <v>3450</v>
          </cell>
          <cell r="K142"/>
          <cell r="L142"/>
          <cell r="M142"/>
          <cell r="N142">
            <v>0.41352603002235633</v>
          </cell>
          <cell r="O142">
            <v>0.26608352144469666</v>
          </cell>
          <cell r="P142">
            <v>3450</v>
          </cell>
          <cell r="Q142"/>
          <cell r="AV142" t="str">
            <v>CUB</v>
          </cell>
          <cell r="AW142" t="str">
            <v>Cuba</v>
          </cell>
          <cell r="AX142" t="str">
            <v>INT</v>
          </cell>
        </row>
        <row r="143">
          <cell r="E143">
            <v>162000000</v>
          </cell>
          <cell r="F143"/>
          <cell r="G143"/>
          <cell r="H143">
            <v>0.40500000000000003</v>
          </cell>
          <cell r="I143">
            <v>0.27750000000000002</v>
          </cell>
          <cell r="J143">
            <v>3450</v>
          </cell>
          <cell r="K143"/>
          <cell r="L143"/>
          <cell r="M143"/>
          <cell r="N143">
            <v>0.41511387163560998</v>
          </cell>
          <cell r="O143">
            <v>0.26691093573844565</v>
          </cell>
          <cell r="P143">
            <v>3450</v>
          </cell>
          <cell r="Q143"/>
          <cell r="AV143" t="str">
            <v>CYP</v>
          </cell>
          <cell r="AW143" t="str">
            <v>Cyprus</v>
          </cell>
          <cell r="AX143" t="str">
            <v>INT</v>
          </cell>
        </row>
        <row r="144">
          <cell r="E144">
            <v>163000000</v>
          </cell>
          <cell r="F144"/>
          <cell r="G144"/>
          <cell r="H144">
            <v>0.40500000000000003</v>
          </cell>
          <cell r="I144">
            <v>0.27750000000000002</v>
          </cell>
          <cell r="J144">
            <v>3450</v>
          </cell>
          <cell r="K144"/>
          <cell r="L144"/>
          <cell r="M144"/>
          <cell r="N144">
            <v>0.41669313850063455</v>
          </cell>
          <cell r="O144">
            <v>0.26773648648648796</v>
          </cell>
          <cell r="P144">
            <v>3450</v>
          </cell>
          <cell r="Q144"/>
          <cell r="AV144" t="str">
            <v>CZE</v>
          </cell>
          <cell r="AW144" t="str">
            <v>Czech Republic</v>
          </cell>
          <cell r="AX144" t="str">
            <v>INT</v>
          </cell>
        </row>
        <row r="145">
          <cell r="E145">
            <v>164000000</v>
          </cell>
          <cell r="F145"/>
          <cell r="G145"/>
          <cell r="H145">
            <v>0.40500000000000003</v>
          </cell>
          <cell r="I145">
            <v>0.27750000000000002</v>
          </cell>
          <cell r="J145">
            <v>3450</v>
          </cell>
          <cell r="K145"/>
          <cell r="L145"/>
          <cell r="M145"/>
          <cell r="N145">
            <v>0.41826389988911689</v>
          </cell>
          <cell r="O145">
            <v>0.26856017997750437</v>
          </cell>
          <cell r="P145">
            <v>3450</v>
          </cell>
          <cell r="Q145"/>
          <cell r="AV145" t="str">
            <v>DNK</v>
          </cell>
          <cell r="AW145" t="str">
            <v>Denmark</v>
          </cell>
          <cell r="AX145" t="str">
            <v>INT</v>
          </cell>
        </row>
        <row r="146">
          <cell r="E146">
            <v>165000000</v>
          </cell>
          <cell r="F146"/>
          <cell r="G146"/>
          <cell r="H146">
            <v>0.40500000000000003</v>
          </cell>
          <cell r="I146">
            <v>0.27750000000000002</v>
          </cell>
          <cell r="J146">
            <v>3450</v>
          </cell>
          <cell r="K146"/>
          <cell r="L146"/>
          <cell r="M146"/>
          <cell r="N146">
            <v>0.41982622432859318</v>
          </cell>
          <cell r="O146">
            <v>0.26938202247191168</v>
          </cell>
          <cell r="P146">
            <v>3450</v>
          </cell>
          <cell r="Q146"/>
          <cell r="AV146" t="str">
            <v>DJI</v>
          </cell>
          <cell r="AW146" t="str">
            <v>Djibouti</v>
          </cell>
          <cell r="AX146" t="str">
            <v>INT</v>
          </cell>
        </row>
        <row r="147">
          <cell r="E147">
            <v>166000000</v>
          </cell>
          <cell r="F147"/>
          <cell r="G147"/>
          <cell r="H147">
            <v>0.40500000000000003</v>
          </cell>
          <cell r="I147">
            <v>0.27750000000000002</v>
          </cell>
          <cell r="J147">
            <v>3450</v>
          </cell>
          <cell r="K147"/>
          <cell r="L147"/>
          <cell r="M147"/>
          <cell r="N147">
            <v>0.42138017961241447</v>
          </cell>
          <cell r="O147">
            <v>0.27020202020202183</v>
          </cell>
          <cell r="P147">
            <v>3450</v>
          </cell>
          <cell r="Q147"/>
          <cell r="AV147" t="str">
            <v>DMA</v>
          </cell>
          <cell r="AW147" t="str">
            <v>Dominica</v>
          </cell>
          <cell r="AX147" t="str">
            <v>INT</v>
          </cell>
        </row>
        <row r="148">
          <cell r="E148">
            <v>167000000</v>
          </cell>
          <cell r="F148"/>
          <cell r="G148"/>
          <cell r="H148">
            <v>0.40500000000000003</v>
          </cell>
          <cell r="I148">
            <v>0.27750000000000002</v>
          </cell>
          <cell r="J148">
            <v>3450</v>
          </cell>
          <cell r="K148"/>
          <cell r="L148"/>
          <cell r="M148"/>
          <cell r="N148">
            <v>0.42292583280955287</v>
          </cell>
          <cell r="O148">
            <v>0.27102017937219897</v>
          </cell>
          <cell r="P148">
            <v>3450</v>
          </cell>
          <cell r="Q148"/>
          <cell r="AV148" t="str">
            <v>DOM</v>
          </cell>
          <cell r="AW148" t="str">
            <v>Dominican Republic</v>
          </cell>
          <cell r="AX148" t="str">
            <v>INT</v>
          </cell>
        </row>
        <row r="149">
          <cell r="E149">
            <v>168000000</v>
          </cell>
          <cell r="F149"/>
          <cell r="G149"/>
          <cell r="H149">
            <v>0.40500000000000003</v>
          </cell>
          <cell r="I149">
            <v>0.27750000000000002</v>
          </cell>
          <cell r="J149">
            <v>3450</v>
          </cell>
          <cell r="K149"/>
          <cell r="L149"/>
          <cell r="M149"/>
          <cell r="N149">
            <v>0.4244632502742508</v>
          </cell>
          <cell r="O149">
            <v>0.27183650615901622</v>
          </cell>
          <cell r="P149">
            <v>3450</v>
          </cell>
          <cell r="Q149"/>
          <cell r="AV149" t="str">
            <v>ECU</v>
          </cell>
          <cell r="AW149" t="str">
            <v>Ecuador</v>
          </cell>
          <cell r="AX149" t="str">
            <v>INT</v>
          </cell>
        </row>
        <row r="150">
          <cell r="E150">
            <v>169000000</v>
          </cell>
          <cell r="F150"/>
          <cell r="G150"/>
          <cell r="H150">
            <v>0.40500000000000003</v>
          </cell>
          <cell r="I150">
            <v>0.27750000000000002</v>
          </cell>
          <cell r="J150">
            <v>3450</v>
          </cell>
          <cell r="K150"/>
          <cell r="L150"/>
          <cell r="M150"/>
          <cell r="N150">
            <v>0.42599249765551644</v>
          </cell>
          <cell r="O150">
            <v>0.27265100671141113</v>
          </cell>
          <cell r="P150">
            <v>3450</v>
          </cell>
          <cell r="Q150"/>
          <cell r="AV150" t="str">
            <v>EGY</v>
          </cell>
          <cell r="AW150" t="str">
            <v>Egypt</v>
          </cell>
          <cell r="AX150" t="str">
            <v>INT</v>
          </cell>
        </row>
        <row r="151">
          <cell r="E151">
            <v>170000000</v>
          </cell>
          <cell r="F151"/>
          <cell r="G151"/>
          <cell r="H151">
            <v>0.40500000000000003</v>
          </cell>
          <cell r="I151">
            <v>0.27750000000000002</v>
          </cell>
          <cell r="J151">
            <v>3450</v>
          </cell>
          <cell r="K151"/>
          <cell r="L151"/>
          <cell r="M151"/>
          <cell r="N151">
            <v>0.42751363990646829</v>
          </cell>
          <cell r="O151">
            <v>0.27346368715083974</v>
          </cell>
          <cell r="P151">
            <v>3450</v>
          </cell>
          <cell r="Q151"/>
          <cell r="AV151" t="str">
            <v>SLV</v>
          </cell>
          <cell r="AW151" t="str">
            <v>El Salvador</v>
          </cell>
          <cell r="AX151" t="str">
            <v>INT</v>
          </cell>
        </row>
        <row r="152">
          <cell r="E152">
            <v>171000000</v>
          </cell>
          <cell r="F152"/>
          <cell r="G152"/>
          <cell r="H152">
            <v>0.40500000000000003</v>
          </cell>
          <cell r="I152">
            <v>0.27750000000000002</v>
          </cell>
          <cell r="J152">
            <v>3450</v>
          </cell>
          <cell r="K152"/>
          <cell r="L152"/>
          <cell r="M152"/>
          <cell r="N152">
            <v>0.42902674129353141</v>
          </cell>
          <cell r="O152">
            <v>0.27427455357143032</v>
          </cell>
          <cell r="P152">
            <v>3450</v>
          </cell>
          <cell r="Q152"/>
          <cell r="AV152" t="str">
            <v>GNQ</v>
          </cell>
          <cell r="AW152" t="str">
            <v>Equatorial Guinea</v>
          </cell>
          <cell r="AX152" t="str">
            <v>INT</v>
          </cell>
        </row>
        <row r="153">
          <cell r="E153">
            <v>172000000</v>
          </cell>
          <cell r="F153"/>
          <cell r="G153"/>
          <cell r="H153">
            <v>0.40500000000000003</v>
          </cell>
          <cell r="I153">
            <v>0.27750000000000002</v>
          </cell>
          <cell r="J153">
            <v>3450</v>
          </cell>
          <cell r="K153"/>
          <cell r="L153"/>
          <cell r="M153"/>
          <cell r="N153">
            <v>0.43053186540548832</v>
          </cell>
          <cell r="O153">
            <v>0.27508361204013559</v>
          </cell>
          <cell r="P153">
            <v>3450</v>
          </cell>
          <cell r="Q153"/>
          <cell r="AV153" t="str">
            <v>ERI</v>
          </cell>
          <cell r="AW153" t="str">
            <v>Eritrea</v>
          </cell>
          <cell r="AX153" t="str">
            <v>INT</v>
          </cell>
        </row>
        <row r="154">
          <cell r="E154">
            <v>173000000</v>
          </cell>
          <cell r="F154"/>
          <cell r="G154"/>
          <cell r="H154">
            <v>0.40500000000000003</v>
          </cell>
          <cell r="I154">
            <v>0.27750000000000002</v>
          </cell>
          <cell r="J154">
            <v>3450</v>
          </cell>
          <cell r="K154"/>
          <cell r="L154"/>
          <cell r="M154"/>
          <cell r="N154">
            <v>0.43202907516238692</v>
          </cell>
          <cell r="O154">
            <v>0.27589086859688383</v>
          </cell>
          <cell r="P154">
            <v>3450</v>
          </cell>
          <cell r="Q154"/>
          <cell r="AV154" t="str">
            <v>EST</v>
          </cell>
          <cell r="AW154" t="str">
            <v>Estonia</v>
          </cell>
          <cell r="AX154" t="str">
            <v>INT</v>
          </cell>
        </row>
        <row r="155">
          <cell r="E155">
            <v>174000000</v>
          </cell>
          <cell r="F155"/>
          <cell r="G155"/>
          <cell r="H155">
            <v>0.40500000000000003</v>
          </cell>
          <cell r="I155">
            <v>0.27750000000000002</v>
          </cell>
          <cell r="J155">
            <v>3450</v>
          </cell>
          <cell r="K155"/>
          <cell r="L155"/>
          <cell r="M155"/>
          <cell r="N155">
            <v>0.4335184328243088</v>
          </cell>
          <cell r="O155">
            <v>0.27669632925472937</v>
          </cell>
          <cell r="P155">
            <v>3450</v>
          </cell>
          <cell r="Q155"/>
          <cell r="AV155" t="str">
            <v>ETH</v>
          </cell>
          <cell r="AW155" t="str">
            <v>Ethiopia</v>
          </cell>
          <cell r="AX155" t="str">
            <v>INT</v>
          </cell>
        </row>
        <row r="156">
          <cell r="E156">
            <v>175000000</v>
          </cell>
          <cell r="F156"/>
          <cell r="G156"/>
          <cell r="H156">
            <v>0.40500000000000003</v>
          </cell>
          <cell r="I156">
            <v>0.27750000000000002</v>
          </cell>
          <cell r="J156">
            <v>3450</v>
          </cell>
          <cell r="K156"/>
          <cell r="L156"/>
          <cell r="M156"/>
          <cell r="N156">
            <v>0.43500000000000005</v>
          </cell>
          <cell r="O156">
            <v>0.27750000000000008</v>
          </cell>
          <cell r="P156">
            <v>3450</v>
          </cell>
          <cell r="Q156"/>
          <cell r="AV156" t="str">
            <v>FLK</v>
          </cell>
          <cell r="AW156" t="str">
            <v>Falkland Islands (Malvinas)</v>
          </cell>
          <cell r="AX156" t="str">
            <v>INT</v>
          </cell>
        </row>
        <row r="157">
          <cell r="E157">
            <v>176000000</v>
          </cell>
          <cell r="F157"/>
          <cell r="G157"/>
          <cell r="H157">
            <v>0.40500000000000003</v>
          </cell>
          <cell r="I157">
            <v>0.27750000000000002</v>
          </cell>
          <cell r="J157">
            <v>3450</v>
          </cell>
          <cell r="K157"/>
          <cell r="L157"/>
          <cell r="M157"/>
          <cell r="N157">
            <v>0.43627740096333434</v>
          </cell>
          <cell r="O157">
            <v>0.27791115379143549</v>
          </cell>
          <cell r="P157">
            <v>3450</v>
          </cell>
          <cell r="Q157"/>
          <cell r="AV157" t="str">
            <v>FRO</v>
          </cell>
          <cell r="AW157" t="str">
            <v>Faroe Islands</v>
          </cell>
          <cell r="AX157" t="str">
            <v>INT</v>
          </cell>
        </row>
        <row r="158">
          <cell r="E158">
            <v>177000000</v>
          </cell>
          <cell r="F158"/>
          <cell r="G158"/>
          <cell r="H158">
            <v>0.40500000000000003</v>
          </cell>
          <cell r="I158">
            <v>0.27750000000000002</v>
          </cell>
          <cell r="J158">
            <v>3450</v>
          </cell>
          <cell r="K158"/>
          <cell r="L158"/>
          <cell r="M158"/>
          <cell r="N158">
            <v>0.43754903883876028</v>
          </cell>
          <cell r="O158">
            <v>0.27832183989762549</v>
          </cell>
          <cell r="P158">
            <v>3450</v>
          </cell>
          <cell r="Q158"/>
          <cell r="AV158" t="str">
            <v>FJI</v>
          </cell>
          <cell r="AW158" t="str">
            <v>Fiji</v>
          </cell>
          <cell r="AX158" t="str">
            <v>INT</v>
          </cell>
        </row>
        <row r="159">
          <cell r="E159">
            <v>178000000</v>
          </cell>
          <cell r="F159"/>
          <cell r="G159"/>
          <cell r="H159">
            <v>0.40500000000000003</v>
          </cell>
          <cell r="I159">
            <v>0.27750000000000002</v>
          </cell>
          <cell r="J159">
            <v>3450</v>
          </cell>
          <cell r="K159"/>
          <cell r="L159"/>
          <cell r="M159"/>
          <cell r="N159">
            <v>0.43881495253938735</v>
          </cell>
          <cell r="O159">
            <v>0.27873205911610055</v>
          </cell>
          <cell r="P159">
            <v>3450</v>
          </cell>
          <cell r="Q159"/>
          <cell r="AV159" t="str">
            <v>FIN</v>
          </cell>
          <cell r="AW159" t="str">
            <v>Finland</v>
          </cell>
          <cell r="AX159" t="str">
            <v>INT</v>
          </cell>
        </row>
        <row r="160">
          <cell r="E160">
            <v>179000000</v>
          </cell>
          <cell r="F160"/>
          <cell r="G160"/>
          <cell r="H160">
            <v>0.40500000000000003</v>
          </cell>
          <cell r="I160">
            <v>0.27750000000000002</v>
          </cell>
          <cell r="J160">
            <v>3450</v>
          </cell>
          <cell r="K160"/>
          <cell r="L160"/>
          <cell r="M160"/>
          <cell r="N160">
            <v>0.44007518062878331</v>
          </cell>
          <cell r="O160">
            <v>0.27914181224257911</v>
          </cell>
          <cell r="P160">
            <v>3450</v>
          </cell>
          <cell r="Q160"/>
          <cell r="AV160" t="str">
            <v>FRA</v>
          </cell>
          <cell r="AW160" t="str">
            <v>France</v>
          </cell>
          <cell r="AX160" t="str">
            <v>INT</v>
          </cell>
        </row>
        <row r="161">
          <cell r="E161">
            <v>180000000</v>
          </cell>
          <cell r="F161"/>
          <cell r="G161"/>
          <cell r="H161">
            <v>0.40500000000000003</v>
          </cell>
          <cell r="I161">
            <v>0.27750000000000002</v>
          </cell>
          <cell r="J161">
            <v>3450</v>
          </cell>
          <cell r="K161"/>
          <cell r="L161"/>
          <cell r="M161"/>
          <cell r="N161">
            <v>0.44132976132489027</v>
          </cell>
          <cell r="O161">
            <v>0.27955110007097217</v>
          </cell>
          <cell r="P161">
            <v>3450</v>
          </cell>
          <cell r="Q161"/>
          <cell r="AV161" t="str">
            <v>GUF</v>
          </cell>
          <cell r="AW161" t="str">
            <v>French Guiana</v>
          </cell>
          <cell r="AX161" t="str">
            <v>INT</v>
          </cell>
        </row>
        <row r="162">
          <cell r="E162">
            <v>181000000</v>
          </cell>
          <cell r="F162"/>
          <cell r="G162"/>
          <cell r="H162">
            <v>0.40500000000000003</v>
          </cell>
          <cell r="I162">
            <v>0.27750000000000002</v>
          </cell>
          <cell r="J162">
            <v>3450</v>
          </cell>
          <cell r="K162"/>
          <cell r="L162"/>
          <cell r="M162"/>
          <cell r="N162">
            <v>0.44257873250388785</v>
          </cell>
          <cell r="O162">
            <v>0.27995992339338899</v>
          </cell>
          <cell r="P162">
            <v>3450</v>
          </cell>
          <cell r="Q162"/>
          <cell r="AV162" t="str">
            <v>PYF</v>
          </cell>
          <cell r="AW162" t="str">
            <v>French Polynesia</v>
          </cell>
          <cell r="AX162" t="str">
            <v>INT</v>
          </cell>
        </row>
        <row r="163">
          <cell r="E163">
            <v>182000000</v>
          </cell>
          <cell r="F163"/>
          <cell r="G163"/>
          <cell r="H163">
            <v>0.40500000000000003</v>
          </cell>
          <cell r="I163">
            <v>0.27750000000000002</v>
          </cell>
          <cell r="J163">
            <v>3450</v>
          </cell>
          <cell r="K163"/>
          <cell r="L163"/>
          <cell r="M163"/>
          <cell r="N163">
            <v>0.44382213170400525</v>
          </cell>
          <cell r="O163">
            <v>0.2803682830001416</v>
          </cell>
          <cell r="P163">
            <v>3450</v>
          </cell>
          <cell r="Q163"/>
          <cell r="AV163" t="str">
            <v>ATF</v>
          </cell>
          <cell r="AW163" t="str">
            <v>French Southern Territories</v>
          </cell>
          <cell r="AX163" t="str">
            <v>INT</v>
          </cell>
        </row>
        <row r="164">
          <cell r="E164">
            <v>183000000</v>
          </cell>
          <cell r="F164"/>
          <cell r="G164"/>
          <cell r="H164">
            <v>0.40500000000000003</v>
          </cell>
          <cell r="I164">
            <v>0.27750000000000002</v>
          </cell>
          <cell r="J164">
            <v>3450</v>
          </cell>
          <cell r="K164"/>
          <cell r="L164"/>
          <cell r="M164"/>
          <cell r="N164">
            <v>0.44505999612928177</v>
          </cell>
          <cell r="O164">
            <v>0.28077617967975038</v>
          </cell>
          <cell r="P164">
            <v>3450</v>
          </cell>
          <cell r="Q164"/>
          <cell r="AV164" t="str">
            <v>GAB</v>
          </cell>
          <cell r="AW164" t="str">
            <v>Gabon</v>
          </cell>
          <cell r="AX164" t="str">
            <v>INT</v>
          </cell>
        </row>
        <row r="165">
          <cell r="E165">
            <v>184000000</v>
          </cell>
          <cell r="F165"/>
          <cell r="G165"/>
          <cell r="H165">
            <v>0.40500000000000003</v>
          </cell>
          <cell r="I165">
            <v>0.27750000000000002</v>
          </cell>
          <cell r="J165">
            <v>3450</v>
          </cell>
          <cell r="K165"/>
          <cell r="L165"/>
          <cell r="M165"/>
          <cell r="N165">
            <v>0.44629236265327771</v>
          </cell>
          <cell r="O165">
            <v>0.28118361421894889</v>
          </cell>
          <cell r="P165">
            <v>3450</v>
          </cell>
          <cell r="Q165"/>
          <cell r="AV165" t="str">
            <v>GMB</v>
          </cell>
          <cell r="AW165" t="str">
            <v>Gambia</v>
          </cell>
          <cell r="AX165" t="str">
            <v>INT</v>
          </cell>
        </row>
        <row r="166">
          <cell r="E166">
            <v>185000000</v>
          </cell>
          <cell r="F166"/>
          <cell r="G166"/>
          <cell r="H166">
            <v>0.40500000000000003</v>
          </cell>
          <cell r="I166">
            <v>0.27750000000000002</v>
          </cell>
          <cell r="J166">
            <v>3450</v>
          </cell>
          <cell r="K166"/>
          <cell r="L166"/>
          <cell r="M166"/>
          <cell r="N166">
            <v>0.44751926782273577</v>
          </cell>
          <cell r="O166">
            <v>0.281590587402689</v>
          </cell>
          <cell r="P166">
            <v>3450</v>
          </cell>
          <cell r="Q166"/>
          <cell r="AV166" t="str">
            <v>GEO</v>
          </cell>
          <cell r="AW166" t="str">
            <v>Georgia</v>
          </cell>
          <cell r="AX166" t="str">
            <v>INT</v>
          </cell>
        </row>
        <row r="167">
          <cell r="E167">
            <v>186000000</v>
          </cell>
          <cell r="F167"/>
          <cell r="G167"/>
          <cell r="H167">
            <v>0.40500000000000003</v>
          </cell>
          <cell r="I167">
            <v>0.27750000000000002</v>
          </cell>
          <cell r="J167">
            <v>3450</v>
          </cell>
          <cell r="K167"/>
          <cell r="L167"/>
          <cell r="M167"/>
          <cell r="N167">
            <v>0.44874074786119356</v>
          </cell>
          <cell r="O167">
            <v>0.28199710001414591</v>
          </cell>
          <cell r="P167">
            <v>3450</v>
          </cell>
          <cell r="Q167"/>
          <cell r="AV167" t="str">
            <v>DEU</v>
          </cell>
          <cell r="AW167" t="str">
            <v>Germany</v>
          </cell>
          <cell r="AX167" t="str">
            <v>INT</v>
          </cell>
        </row>
        <row r="168">
          <cell r="E168">
            <v>187000000</v>
          </cell>
          <cell r="F168"/>
          <cell r="G168"/>
          <cell r="H168">
            <v>0.40500000000000003</v>
          </cell>
          <cell r="I168">
            <v>0.27750000000000002</v>
          </cell>
          <cell r="J168">
            <v>3450</v>
          </cell>
          <cell r="K168"/>
          <cell r="L168"/>
          <cell r="M168"/>
          <cell r="N168">
            <v>0.44995683867254904</v>
          </cell>
          <cell r="O168">
            <v>0.28240315283472323</v>
          </cell>
          <cell r="P168">
            <v>3450</v>
          </cell>
          <cell r="Q168"/>
          <cell r="AV168" t="str">
            <v>GHA</v>
          </cell>
          <cell r="AW168" t="str">
            <v>Ghana</v>
          </cell>
          <cell r="AX168" t="str">
            <v>INT</v>
          </cell>
        </row>
        <row r="169">
          <cell r="E169">
            <v>188000000</v>
          </cell>
          <cell r="F169"/>
          <cell r="G169"/>
          <cell r="H169">
            <v>0.40500000000000003</v>
          </cell>
          <cell r="I169">
            <v>0.27750000000000002</v>
          </cell>
          <cell r="J169">
            <v>3450</v>
          </cell>
          <cell r="K169"/>
          <cell r="L169"/>
          <cell r="M169"/>
          <cell r="N169">
            <v>0.45116757584457806</v>
          </cell>
          <cell r="O169">
            <v>0.28280874664405781</v>
          </cell>
          <cell r="P169">
            <v>3450</v>
          </cell>
          <cell r="Q169"/>
          <cell r="AV169" t="str">
            <v>GIB</v>
          </cell>
          <cell r="AW169" t="str">
            <v>Gibraltar</v>
          </cell>
          <cell r="AX169" t="str">
            <v>INT</v>
          </cell>
        </row>
        <row r="170">
          <cell r="E170">
            <v>189000000</v>
          </cell>
          <cell r="F170"/>
          <cell r="G170"/>
          <cell r="H170">
            <v>0.40500000000000003</v>
          </cell>
          <cell r="I170">
            <v>0.27750000000000002</v>
          </cell>
          <cell r="J170">
            <v>3450</v>
          </cell>
          <cell r="K170"/>
          <cell r="L170"/>
          <cell r="M170"/>
          <cell r="N170">
            <v>0.45237299465240599</v>
          </cell>
          <cell r="O170">
            <v>0.28321388222002497</v>
          </cell>
          <cell r="P170">
            <v>3450</v>
          </cell>
          <cell r="Q170"/>
          <cell r="AV170" t="str">
            <v>GRC</v>
          </cell>
          <cell r="AW170" t="str">
            <v>Greece</v>
          </cell>
          <cell r="AX170" t="str">
            <v>INT</v>
          </cell>
        </row>
        <row r="171">
          <cell r="E171">
            <v>190000000</v>
          </cell>
          <cell r="F171"/>
          <cell r="G171"/>
          <cell r="H171">
            <v>0.40500000000000003</v>
          </cell>
          <cell r="I171">
            <v>0.27750000000000002</v>
          </cell>
          <cell r="J171">
            <v>3450</v>
          </cell>
          <cell r="K171"/>
          <cell r="L171"/>
          <cell r="M171"/>
          <cell r="N171">
            <v>0.45357313006193384</v>
          </cell>
          <cell r="O171">
            <v>0.28361856033874333</v>
          </cell>
          <cell r="P171">
            <v>3450</v>
          </cell>
          <cell r="Q171"/>
          <cell r="AV171" t="str">
            <v>GRL</v>
          </cell>
          <cell r="AW171" t="str">
            <v>Greenland</v>
          </cell>
          <cell r="AX171" t="str">
            <v>INT</v>
          </cell>
        </row>
        <row r="172">
          <cell r="E172">
            <v>191000000</v>
          </cell>
          <cell r="F172"/>
          <cell r="G172"/>
          <cell r="H172">
            <v>0.40500000000000003</v>
          </cell>
          <cell r="I172">
            <v>0.27750000000000002</v>
          </cell>
          <cell r="J172">
            <v>3450</v>
          </cell>
          <cell r="K172"/>
          <cell r="L172"/>
          <cell r="M172"/>
          <cell r="N172">
            <v>0.45476801673321876</v>
          </cell>
          <cell r="O172">
            <v>0.28402278177457979</v>
          </cell>
          <cell r="P172">
            <v>3450</v>
          </cell>
          <cell r="Q172"/>
          <cell r="AV172" t="str">
            <v>GRD</v>
          </cell>
          <cell r="AW172" t="str">
            <v>Grenada</v>
          </cell>
          <cell r="AX172" t="str">
            <v>INT</v>
          </cell>
        </row>
        <row r="173">
          <cell r="E173">
            <v>192000000</v>
          </cell>
          <cell r="F173"/>
          <cell r="G173"/>
          <cell r="H173">
            <v>0.40500000000000003</v>
          </cell>
          <cell r="I173">
            <v>0.27750000000000002</v>
          </cell>
          <cell r="J173">
            <v>3450</v>
          </cell>
          <cell r="K173"/>
          <cell r="L173"/>
          <cell r="M173"/>
          <cell r="N173">
            <v>0.45595768902381129</v>
          </cell>
          <cell r="O173">
            <v>0.28442654730015454</v>
          </cell>
          <cell r="P173">
            <v>3450</v>
          </cell>
          <cell r="Q173"/>
          <cell r="AV173" t="str">
            <v>GLP</v>
          </cell>
          <cell r="AW173" t="str">
            <v>Guadeloupe</v>
          </cell>
          <cell r="AX173" t="str">
            <v>INT</v>
          </cell>
        </row>
        <row r="174">
          <cell r="E174">
            <v>193000000</v>
          </cell>
          <cell r="F174"/>
          <cell r="G174"/>
          <cell r="H174">
            <v>0.40500000000000003</v>
          </cell>
          <cell r="I174">
            <v>0.27750000000000002</v>
          </cell>
          <cell r="J174">
            <v>3450</v>
          </cell>
          <cell r="K174"/>
          <cell r="L174"/>
          <cell r="M174"/>
          <cell r="N174">
            <v>0.45714218099204795</v>
          </cell>
          <cell r="O174">
            <v>0.28482985768634572</v>
          </cell>
          <cell r="P174">
            <v>3450</v>
          </cell>
          <cell r="Q174"/>
          <cell r="AV174" t="str">
            <v>GUM</v>
          </cell>
          <cell r="AW174" t="str">
            <v>Guam</v>
          </cell>
          <cell r="AX174" t="str">
            <v>INT</v>
          </cell>
        </row>
        <row r="175">
          <cell r="E175">
            <v>194000000</v>
          </cell>
          <cell r="F175"/>
          <cell r="G175"/>
          <cell r="H175">
            <v>0.40500000000000003</v>
          </cell>
          <cell r="I175">
            <v>0.27750000000000002</v>
          </cell>
          <cell r="J175">
            <v>3450</v>
          </cell>
          <cell r="K175"/>
          <cell r="L175"/>
          <cell r="M175"/>
          <cell r="N175">
            <v>0.45832152640030172</v>
          </cell>
          <cell r="O175">
            <v>0.2852327137022948</v>
          </cell>
          <cell r="P175">
            <v>3450</v>
          </cell>
          <cell r="Q175"/>
          <cell r="AV175" t="str">
            <v>GTM</v>
          </cell>
          <cell r="AW175" t="str">
            <v>Guatemala</v>
          </cell>
          <cell r="AX175" t="str">
            <v>INT</v>
          </cell>
        </row>
        <row r="176">
          <cell r="E176">
            <v>195000000</v>
          </cell>
          <cell r="F176"/>
          <cell r="G176"/>
          <cell r="H176">
            <v>0.40500000000000003</v>
          </cell>
          <cell r="I176">
            <v>0.27750000000000002</v>
          </cell>
          <cell r="J176">
            <v>3450</v>
          </cell>
          <cell r="K176"/>
          <cell r="L176"/>
          <cell r="M176"/>
          <cell r="N176">
            <v>0.45949575871818982</v>
          </cell>
          <cell r="O176">
            <v>0.28563511611541098</v>
          </cell>
          <cell r="P176">
            <v>3450</v>
          </cell>
          <cell r="Q176"/>
          <cell r="AV176" t="str">
            <v>GGY</v>
          </cell>
          <cell r="AW176" t="str">
            <v>Guernsey</v>
          </cell>
          <cell r="AX176" t="str">
            <v>INT</v>
          </cell>
        </row>
        <row r="177">
          <cell r="E177">
            <v>196000000</v>
          </cell>
          <cell r="F177"/>
          <cell r="G177"/>
          <cell r="H177">
            <v>0.40500000000000003</v>
          </cell>
          <cell r="I177">
            <v>0.27750000000000002</v>
          </cell>
          <cell r="J177">
            <v>3450</v>
          </cell>
          <cell r="K177"/>
          <cell r="L177"/>
          <cell r="M177"/>
          <cell r="N177">
            <v>0.46066491112574004</v>
          </cell>
          <cell r="O177">
            <v>0.28603706569137644</v>
          </cell>
          <cell r="P177">
            <v>3450</v>
          </cell>
          <cell r="Q177"/>
          <cell r="AV177" t="str">
            <v>GIN</v>
          </cell>
          <cell r="AW177" t="str">
            <v>Guinea</v>
          </cell>
          <cell r="AX177" t="str">
            <v>INT</v>
          </cell>
        </row>
        <row r="178">
          <cell r="E178">
            <v>197000000</v>
          </cell>
          <cell r="F178"/>
          <cell r="G178"/>
          <cell r="H178">
            <v>0.40500000000000003</v>
          </cell>
          <cell r="I178">
            <v>0.27750000000000002</v>
          </cell>
          <cell r="J178">
            <v>3450</v>
          </cell>
          <cell r="K178"/>
          <cell r="L178"/>
          <cell r="M178"/>
          <cell r="N178">
            <v>0.46182901651651587</v>
          </cell>
          <cell r="O178">
            <v>0.28643856319415079</v>
          </cell>
          <cell r="P178">
            <v>3450</v>
          </cell>
          <cell r="Q178"/>
          <cell r="AV178" t="str">
            <v>GNB</v>
          </cell>
          <cell r="AW178" t="str">
            <v>Guinea-Bissau</v>
          </cell>
          <cell r="AX178" t="str">
            <v>INT</v>
          </cell>
        </row>
        <row r="179">
          <cell r="E179">
            <v>198000000</v>
          </cell>
          <cell r="F179"/>
          <cell r="G179"/>
          <cell r="H179">
            <v>0.40500000000000003</v>
          </cell>
          <cell r="I179">
            <v>0.27750000000000002</v>
          </cell>
          <cell r="J179">
            <v>3450</v>
          </cell>
          <cell r="K179"/>
          <cell r="L179"/>
          <cell r="M179"/>
          <cell r="N179">
            <v>0.46298810750070163</v>
          </cell>
          <cell r="O179">
            <v>0.28683960938597647</v>
          </cell>
          <cell r="P179">
            <v>3450</v>
          </cell>
          <cell r="Q179"/>
          <cell r="AV179" t="str">
            <v>GUY</v>
          </cell>
          <cell r="AW179" t="str">
            <v>Guyana</v>
          </cell>
          <cell r="AX179" t="str">
            <v>INT</v>
          </cell>
        </row>
        <row r="180">
          <cell r="E180">
            <v>199000000</v>
          </cell>
          <cell r="F180"/>
          <cell r="G180"/>
          <cell r="H180">
            <v>0.40500000000000003</v>
          </cell>
          <cell r="I180">
            <v>0.27750000000000002</v>
          </cell>
          <cell r="J180">
            <v>3450</v>
          </cell>
          <cell r="K180"/>
          <cell r="L180"/>
          <cell r="M180"/>
          <cell r="N180">
            <v>0.46414221640814735</v>
          </cell>
          <cell r="O180">
            <v>0.28724020502738296</v>
          </cell>
          <cell r="P180">
            <v>3450</v>
          </cell>
          <cell r="Q180"/>
          <cell r="AV180" t="str">
            <v>HTI</v>
          </cell>
          <cell r="AW180" t="str">
            <v>Haiti</v>
          </cell>
          <cell r="AX180" t="str">
            <v>INT</v>
          </cell>
        </row>
        <row r="181">
          <cell r="E181">
            <v>200000000</v>
          </cell>
          <cell r="F181"/>
          <cell r="G181"/>
          <cell r="H181">
            <v>0.40500000000000003</v>
          </cell>
          <cell r="I181">
            <v>0.27750000000000002</v>
          </cell>
          <cell r="J181">
            <v>3450</v>
          </cell>
          <cell r="K181"/>
          <cell r="L181"/>
          <cell r="M181"/>
          <cell r="N181">
            <v>0.4652913752913746</v>
          </cell>
          <cell r="O181">
            <v>0.28764035087719214</v>
          </cell>
          <cell r="P181">
            <v>3450</v>
          </cell>
          <cell r="Q181"/>
          <cell r="AV181" t="str">
            <v>HMD</v>
          </cell>
          <cell r="AW181" t="str">
            <v>Heard Island and McDonald Islands</v>
          </cell>
          <cell r="AX181" t="str">
            <v>INT</v>
          </cell>
        </row>
        <row r="182">
          <cell r="E182">
            <v>201000000</v>
          </cell>
          <cell r="F182"/>
          <cell r="G182"/>
          <cell r="H182">
            <v>0.44600000000000001</v>
          </cell>
          <cell r="I182">
            <v>0.29749999999999999</v>
          </cell>
          <cell r="J182">
            <v>3735</v>
          </cell>
          <cell r="K182"/>
          <cell r="L182"/>
          <cell r="M182"/>
          <cell r="N182">
            <v>0.4664356159285441</v>
          </cell>
          <cell r="O182">
            <v>0.28804004769252262</v>
          </cell>
          <cell r="P182">
            <v>3735</v>
          </cell>
          <cell r="Q182"/>
          <cell r="AV182" t="str">
            <v>VAT</v>
          </cell>
          <cell r="AW182" t="str">
            <v>Holy See</v>
          </cell>
          <cell r="AX182" t="str">
            <v>INT</v>
          </cell>
        </row>
        <row r="183">
          <cell r="E183">
            <v>202000000</v>
          </cell>
          <cell r="F183"/>
          <cell r="G183"/>
          <cell r="H183">
            <v>0.44600000000000001</v>
          </cell>
          <cell r="I183">
            <v>0.29749999999999999</v>
          </cell>
          <cell r="J183">
            <v>3735</v>
          </cell>
          <cell r="K183"/>
          <cell r="L183"/>
          <cell r="M183"/>
          <cell r="N183">
            <v>0.46757496982638491</v>
          </cell>
          <cell r="O183">
            <v>0.28843929622879483</v>
          </cell>
          <cell r="P183">
            <v>3735</v>
          </cell>
          <cell r="Q183"/>
          <cell r="AV183" t="str">
            <v>HND</v>
          </cell>
          <cell r="AW183" t="str">
            <v>Honduras</v>
          </cell>
          <cell r="AX183" t="str">
            <v>INT</v>
          </cell>
        </row>
        <row r="184">
          <cell r="E184">
            <v>203000000</v>
          </cell>
          <cell r="F184"/>
          <cell r="G184"/>
          <cell r="H184">
            <v>0.44600000000000001</v>
          </cell>
          <cell r="I184">
            <v>0.29749999999999999</v>
          </cell>
          <cell r="J184">
            <v>3735</v>
          </cell>
          <cell r="K184"/>
          <cell r="L184"/>
          <cell r="M184"/>
          <cell r="N184">
            <v>0.46870946822308612</v>
          </cell>
          <cell r="O184">
            <v>0.28883809723973564</v>
          </cell>
          <cell r="P184">
            <v>3735</v>
          </cell>
          <cell r="Q184"/>
          <cell r="AV184" t="str">
            <v>HKG</v>
          </cell>
          <cell r="AW184" t="str">
            <v>Hong Kong</v>
          </cell>
          <cell r="AX184" t="str">
            <v>INT</v>
          </cell>
        </row>
        <row r="185">
          <cell r="E185">
            <v>204000000</v>
          </cell>
          <cell r="F185"/>
          <cell r="G185"/>
          <cell r="H185">
            <v>0.44600000000000001</v>
          </cell>
          <cell r="I185">
            <v>0.29749999999999999</v>
          </cell>
          <cell r="J185">
            <v>3735</v>
          </cell>
          <cell r="K185"/>
          <cell r="L185"/>
          <cell r="M185"/>
          <cell r="N185">
            <v>0.46983914209115202</v>
          </cell>
          <cell r="O185">
            <v>0.28923645147738314</v>
          </cell>
          <cell r="P185">
            <v>3735</v>
          </cell>
          <cell r="Q185"/>
          <cell r="AV185" t="str">
            <v>HUN</v>
          </cell>
          <cell r="AW185" t="str">
            <v>Hungary</v>
          </cell>
          <cell r="AX185" t="str">
            <v>INT</v>
          </cell>
        </row>
        <row r="186">
          <cell r="E186">
            <v>205000000</v>
          </cell>
          <cell r="F186"/>
          <cell r="G186"/>
          <cell r="H186">
            <v>0.44600000000000001</v>
          </cell>
          <cell r="I186">
            <v>0.29749999999999999</v>
          </cell>
          <cell r="J186">
            <v>3735</v>
          </cell>
          <cell r="K186"/>
          <cell r="L186"/>
          <cell r="M186"/>
          <cell r="N186">
            <v>0.47096402214022054</v>
          </cell>
          <cell r="O186">
            <v>0.28963435969209134</v>
          </cell>
          <cell r="P186">
            <v>3735</v>
          </cell>
          <cell r="Q186"/>
          <cell r="AV186" t="str">
            <v>ISL</v>
          </cell>
          <cell r="AW186" t="str">
            <v>Iceland</v>
          </cell>
          <cell r="AX186" t="str">
            <v>INT</v>
          </cell>
        </row>
        <row r="187">
          <cell r="E187">
            <v>206000000</v>
          </cell>
          <cell r="F187"/>
          <cell r="G187"/>
          <cell r="H187">
            <v>0.44600000000000001</v>
          </cell>
          <cell r="I187">
            <v>0.29749999999999999</v>
          </cell>
          <cell r="J187">
            <v>3735</v>
          </cell>
          <cell r="K187"/>
          <cell r="L187"/>
          <cell r="M187"/>
          <cell r="N187">
            <v>0.47208413881984634</v>
          </cell>
          <cell r="O187">
            <v>0.29003182263253496</v>
          </cell>
          <cell r="P187">
            <v>3735</v>
          </cell>
          <cell r="Q187"/>
          <cell r="AV187" t="str">
            <v>IND</v>
          </cell>
          <cell r="AW187" t="str">
            <v>India</v>
          </cell>
          <cell r="AX187" t="str">
            <v>INT</v>
          </cell>
        </row>
        <row r="188">
          <cell r="E188">
            <v>207000000</v>
          </cell>
          <cell r="F188"/>
          <cell r="G188"/>
          <cell r="H188">
            <v>0.44600000000000001</v>
          </cell>
          <cell r="I188">
            <v>0.29749999999999999</v>
          </cell>
          <cell r="J188">
            <v>3735</v>
          </cell>
          <cell r="K188"/>
          <cell r="L188"/>
          <cell r="M188"/>
          <cell r="N188">
            <v>0.47319952232224788</v>
          </cell>
          <cell r="O188">
            <v>0.29042884104571398</v>
          </cell>
          <cell r="P188">
            <v>3735</v>
          </cell>
          <cell r="Q188"/>
          <cell r="AV188" t="str">
            <v>IDN</v>
          </cell>
          <cell r="AW188" t="str">
            <v>Indonesia</v>
          </cell>
          <cell r="AX188" t="str">
            <v>INT</v>
          </cell>
        </row>
        <row r="189">
          <cell r="E189">
            <v>208000000</v>
          </cell>
          <cell r="F189"/>
          <cell r="G189"/>
          <cell r="H189">
            <v>0.44600000000000001</v>
          </cell>
          <cell r="I189">
            <v>0.29749999999999999</v>
          </cell>
          <cell r="J189">
            <v>3735</v>
          </cell>
          <cell r="K189"/>
          <cell r="L189"/>
          <cell r="M189"/>
          <cell r="N189">
            <v>0.4743102025850206</v>
          </cell>
          <cell r="O189">
            <v>0.29082541567695847</v>
          </cell>
          <cell r="P189">
            <v>3735</v>
          </cell>
          <cell r="Q189"/>
          <cell r="AV189" t="str">
            <v>IRN</v>
          </cell>
          <cell r="AW189" t="str">
            <v>Iran</v>
          </cell>
          <cell r="AX189" t="str">
            <v>INT</v>
          </cell>
        </row>
        <row r="190">
          <cell r="E190">
            <v>209000000</v>
          </cell>
          <cell r="F190"/>
          <cell r="G190"/>
          <cell r="H190">
            <v>0.44600000000000001</v>
          </cell>
          <cell r="I190">
            <v>0.29749999999999999</v>
          </cell>
          <cell r="J190">
            <v>3735</v>
          </cell>
          <cell r="K190"/>
          <cell r="L190"/>
          <cell r="M190"/>
          <cell r="N190">
            <v>0.47541620929381539</v>
          </cell>
          <cell r="O190">
            <v>0.29122154726993321</v>
          </cell>
          <cell r="P190">
            <v>3735</v>
          </cell>
          <cell r="Q190"/>
          <cell r="AV190" t="str">
            <v>IRQ</v>
          </cell>
          <cell r="AW190" t="str">
            <v>Iraq</v>
          </cell>
          <cell r="AX190" t="str">
            <v>INT</v>
          </cell>
        </row>
        <row r="191">
          <cell r="E191">
            <v>210000000</v>
          </cell>
          <cell r="F191"/>
          <cell r="G191"/>
          <cell r="H191">
            <v>0.44600000000000001</v>
          </cell>
          <cell r="I191">
            <v>0.29749999999999999</v>
          </cell>
          <cell r="J191">
            <v>3735</v>
          </cell>
          <cell r="K191"/>
          <cell r="L191"/>
          <cell r="M191"/>
          <cell r="N191">
            <v>0.47651757188498306</v>
          </cell>
          <cell r="O191">
            <v>0.29161723656664218</v>
          </cell>
          <cell r="P191">
            <v>3735</v>
          </cell>
          <cell r="Q191"/>
          <cell r="AV191" t="str">
            <v>IRL</v>
          </cell>
          <cell r="AW191" t="str">
            <v>Ireland</v>
          </cell>
          <cell r="AX191" t="str">
            <v>INT</v>
          </cell>
        </row>
        <row r="192">
          <cell r="E192">
            <v>211000000</v>
          </cell>
          <cell r="F192"/>
          <cell r="G192"/>
          <cell r="H192">
            <v>0.44600000000000001</v>
          </cell>
          <cell r="I192">
            <v>0.29749999999999999</v>
          </cell>
          <cell r="J192">
            <v>3735</v>
          </cell>
          <cell r="K192"/>
          <cell r="L192"/>
          <cell r="M192"/>
          <cell r="N192">
            <v>0.47761431954818628</v>
          </cell>
          <cell r="O192">
            <v>0.29201248430743354</v>
          </cell>
          <cell r="P192">
            <v>3735</v>
          </cell>
          <cell r="Q192"/>
          <cell r="AV192" t="str">
            <v>IMN</v>
          </cell>
          <cell r="AW192" t="str">
            <v>Isle of Man</v>
          </cell>
          <cell r="AX192" t="str">
            <v>INT</v>
          </cell>
        </row>
        <row r="193">
          <cell r="E193">
            <v>212000000</v>
          </cell>
          <cell r="F193"/>
          <cell r="G193"/>
          <cell r="H193">
            <v>0.44600000000000001</v>
          </cell>
          <cell r="I193">
            <v>0.29749999999999999</v>
          </cell>
          <cell r="J193">
            <v>3735</v>
          </cell>
          <cell r="K193"/>
          <cell r="L193"/>
          <cell r="M193"/>
          <cell r="N193">
            <v>0.47870648122897819</v>
          </cell>
          <cell r="O193">
            <v>0.2924072912310039</v>
          </cell>
          <cell r="P193">
            <v>3735</v>
          </cell>
          <cell r="Q193"/>
          <cell r="AV193" t="str">
            <v>ISR</v>
          </cell>
          <cell r="AW193" t="str">
            <v>Israel</v>
          </cell>
          <cell r="AX193" t="str">
            <v>INT</v>
          </cell>
        </row>
        <row r="194">
          <cell r="E194">
            <v>213000000</v>
          </cell>
          <cell r="F194"/>
          <cell r="G194"/>
          <cell r="H194">
            <v>0.44600000000000001</v>
          </cell>
          <cell r="I194">
            <v>0.29749999999999999</v>
          </cell>
          <cell r="J194">
            <v>3735</v>
          </cell>
          <cell r="K194"/>
          <cell r="L194"/>
          <cell r="M194"/>
          <cell r="N194">
            <v>0.47979408563134873</v>
          </cell>
          <cell r="O194">
            <v>0.29280165807440306</v>
          </cell>
          <cell r="P194">
            <v>3735</v>
          </cell>
          <cell r="Q194"/>
          <cell r="AV194" t="str">
            <v>ITA</v>
          </cell>
          <cell r="AW194" t="str">
            <v>Italy</v>
          </cell>
          <cell r="AX194" t="str">
            <v>INT</v>
          </cell>
        </row>
        <row r="195">
          <cell r="E195">
            <v>214000000</v>
          </cell>
          <cell r="F195"/>
          <cell r="G195"/>
          <cell r="H195">
            <v>0.44600000000000001</v>
          </cell>
          <cell r="I195">
            <v>0.29749999999999999</v>
          </cell>
          <cell r="J195">
            <v>3735</v>
          </cell>
          <cell r="K195"/>
          <cell r="L195"/>
          <cell r="M195"/>
          <cell r="N195">
            <v>0.48087716122023971</v>
          </cell>
          <cell r="O195">
            <v>0.29319558557303865</v>
          </cell>
          <cell r="P195">
            <v>3735</v>
          </cell>
          <cell r="Q195"/>
          <cell r="AV195" t="str">
            <v>JAM</v>
          </cell>
          <cell r="AW195" t="str">
            <v>Jamaica</v>
          </cell>
          <cell r="AX195" t="str">
            <v>INT</v>
          </cell>
        </row>
        <row r="196">
          <cell r="E196">
            <v>215000000</v>
          </cell>
          <cell r="F196"/>
          <cell r="G196"/>
          <cell r="H196">
            <v>0.44600000000000001</v>
          </cell>
          <cell r="I196">
            <v>0.29749999999999999</v>
          </cell>
          <cell r="J196">
            <v>3735</v>
          </cell>
          <cell r="K196"/>
          <cell r="L196"/>
          <cell r="M196"/>
          <cell r="N196">
            <v>0.48195573622402782</v>
          </cell>
          <cell r="O196">
            <v>0.29358907446068061</v>
          </cell>
          <cell r="P196">
            <v>3735</v>
          </cell>
          <cell r="Q196"/>
          <cell r="AV196" t="str">
            <v>JPN</v>
          </cell>
          <cell r="AW196" t="str">
            <v>Japan</v>
          </cell>
          <cell r="AX196" t="str">
            <v>INT</v>
          </cell>
        </row>
        <row r="197">
          <cell r="E197">
            <v>216000000</v>
          </cell>
          <cell r="F197"/>
          <cell r="G197"/>
          <cell r="H197">
            <v>0.44600000000000001</v>
          </cell>
          <cell r="I197">
            <v>0.29749999999999999</v>
          </cell>
          <cell r="J197">
            <v>3735</v>
          </cell>
          <cell r="K197"/>
          <cell r="L197"/>
          <cell r="M197"/>
          <cell r="N197">
            <v>0.48302983863697718</v>
          </cell>
          <cell r="O197">
            <v>0.29398212546946584</v>
          </cell>
          <cell r="P197">
            <v>3735</v>
          </cell>
          <cell r="Q197"/>
          <cell r="AV197" t="str">
            <v>JEY</v>
          </cell>
          <cell r="AW197" t="str">
            <v>Jersey</v>
          </cell>
          <cell r="AX197" t="str">
            <v>INT</v>
          </cell>
        </row>
        <row r="198">
          <cell r="E198">
            <v>217000000</v>
          </cell>
          <cell r="F198"/>
          <cell r="G198"/>
          <cell r="H198">
            <v>0.44600000000000001</v>
          </cell>
          <cell r="I198">
            <v>0.29749999999999999</v>
          </cell>
          <cell r="J198">
            <v>3735</v>
          </cell>
          <cell r="K198"/>
          <cell r="L198"/>
          <cell r="M198"/>
          <cell r="N198">
            <v>0.48409949622166132</v>
          </cell>
          <cell r="O198">
            <v>0.29437473932990266</v>
          </cell>
          <cell r="P198">
            <v>3735</v>
          </cell>
          <cell r="Q198"/>
          <cell r="AV198" t="str">
            <v>JOR</v>
          </cell>
          <cell r="AW198" t="str">
            <v>Jordan</v>
          </cell>
          <cell r="AX198" t="str">
            <v>INT</v>
          </cell>
        </row>
        <row r="199">
          <cell r="E199">
            <v>218000000</v>
          </cell>
          <cell r="F199"/>
          <cell r="G199"/>
          <cell r="H199">
            <v>0.44600000000000001</v>
          </cell>
          <cell r="I199">
            <v>0.29749999999999999</v>
          </cell>
          <cell r="J199">
            <v>3735</v>
          </cell>
          <cell r="K199"/>
          <cell r="L199"/>
          <cell r="M199"/>
          <cell r="N199">
            <v>0.48516473651135533</v>
          </cell>
          <cell r="O199">
            <v>0.2947669167708753</v>
          </cell>
          <cell r="P199">
            <v>3735</v>
          </cell>
          <cell r="Q199"/>
          <cell r="AV199" t="str">
            <v>KAZ</v>
          </cell>
          <cell r="AW199" t="str">
            <v>Kazakhstan</v>
          </cell>
          <cell r="AX199" t="str">
            <v>INT</v>
          </cell>
        </row>
        <row r="200">
          <cell r="E200">
            <v>219000000</v>
          </cell>
          <cell r="F200"/>
          <cell r="G200"/>
          <cell r="H200">
            <v>0.44600000000000001</v>
          </cell>
          <cell r="I200">
            <v>0.29749999999999999</v>
          </cell>
          <cell r="J200">
            <v>3735</v>
          </cell>
          <cell r="K200"/>
          <cell r="L200"/>
          <cell r="M200"/>
          <cell r="N200">
            <v>0.48622558681239803</v>
          </cell>
          <cell r="O200">
            <v>0.29515865851964856</v>
          </cell>
          <cell r="P200">
            <v>3735</v>
          </cell>
          <cell r="Q200"/>
          <cell r="AV200" t="str">
            <v>KEN</v>
          </cell>
          <cell r="AW200" t="str">
            <v>Kenya</v>
          </cell>
          <cell r="AX200" t="str">
            <v>INT</v>
          </cell>
        </row>
        <row r="201">
          <cell r="E201">
            <v>220000000</v>
          </cell>
          <cell r="F201"/>
          <cell r="G201"/>
          <cell r="H201">
            <v>0.44600000000000001</v>
          </cell>
          <cell r="I201">
            <v>0.29749999999999999</v>
          </cell>
          <cell r="J201">
            <v>3735</v>
          </cell>
          <cell r="K201"/>
          <cell r="L201"/>
          <cell r="M201"/>
          <cell r="N201">
            <v>0.48728207420652542</v>
          </cell>
          <cell r="O201">
            <v>0.29554996530187216</v>
          </cell>
          <cell r="P201">
            <v>3735</v>
          </cell>
          <cell r="Q201"/>
          <cell r="AV201" t="str">
            <v>KIR</v>
          </cell>
          <cell r="AW201" t="str">
            <v>Kiribati</v>
          </cell>
          <cell r="AX201" t="str">
            <v>INT</v>
          </cell>
        </row>
        <row r="202">
          <cell r="E202">
            <v>221000000</v>
          </cell>
          <cell r="F202"/>
          <cell r="G202"/>
          <cell r="H202">
            <v>0.44600000000000001</v>
          </cell>
          <cell r="I202">
            <v>0.29749999999999999</v>
          </cell>
          <cell r="J202">
            <v>3735</v>
          </cell>
          <cell r="K202"/>
          <cell r="L202"/>
          <cell r="M202"/>
          <cell r="N202">
            <v>0.48833422555317507</v>
          </cell>
          <cell r="O202">
            <v>0.29594083784158531</v>
          </cell>
          <cell r="P202">
            <v>3735</v>
          </cell>
          <cell r="Q202"/>
          <cell r="AV202" t="str">
            <v>PRK</v>
          </cell>
          <cell r="AW202" t="str">
            <v>North Korea</v>
          </cell>
          <cell r="AX202" t="str">
            <v>INT</v>
          </cell>
        </row>
        <row r="203">
          <cell r="E203">
            <v>222000000</v>
          </cell>
          <cell r="F203"/>
          <cell r="G203"/>
          <cell r="H203">
            <v>0.44600000000000001</v>
          </cell>
          <cell r="I203">
            <v>0.29749999999999999</v>
          </cell>
          <cell r="J203">
            <v>3735</v>
          </cell>
          <cell r="K203"/>
          <cell r="L203"/>
          <cell r="M203"/>
          <cell r="N203">
            <v>0.48938206749176261</v>
          </cell>
          <cell r="O203">
            <v>0.29633127686122118</v>
          </cell>
          <cell r="P203">
            <v>3735</v>
          </cell>
          <cell r="Q203"/>
          <cell r="AV203" t="str">
            <v>KOR</v>
          </cell>
          <cell r="AW203" t="str">
            <v>South Korea</v>
          </cell>
          <cell r="AX203" t="str">
            <v>INT</v>
          </cell>
        </row>
        <row r="204">
          <cell r="E204">
            <v>223000000</v>
          </cell>
          <cell r="F204"/>
          <cell r="G204"/>
          <cell r="H204">
            <v>0.44600000000000001</v>
          </cell>
          <cell r="I204">
            <v>0.29749999999999999</v>
          </cell>
          <cell r="J204">
            <v>3735</v>
          </cell>
          <cell r="K204"/>
          <cell r="L204"/>
          <cell r="M204"/>
          <cell r="N204">
            <v>0.49042562644392979</v>
          </cell>
          <cell r="O204">
            <v>0.29672128308161122</v>
          </cell>
          <cell r="P204">
            <v>3735</v>
          </cell>
          <cell r="Q204"/>
          <cell r="AV204" t="str">
            <v>KWT</v>
          </cell>
          <cell r="AW204" t="str">
            <v>Kuwait</v>
          </cell>
          <cell r="AX204" t="str">
            <v>INT</v>
          </cell>
        </row>
        <row r="205">
          <cell r="E205">
            <v>224000000</v>
          </cell>
          <cell r="F205"/>
          <cell r="G205"/>
          <cell r="H205">
            <v>0.44600000000000001</v>
          </cell>
          <cell r="I205">
            <v>0.29749999999999999</v>
          </cell>
          <cell r="J205">
            <v>3735</v>
          </cell>
          <cell r="K205"/>
          <cell r="L205"/>
          <cell r="M205"/>
          <cell r="N205">
            <v>0.4914649286157653</v>
          </cell>
          <cell r="O205">
            <v>0.29711085722198971</v>
          </cell>
          <cell r="P205">
            <v>3735</v>
          </cell>
          <cell r="Q205"/>
          <cell r="AV205" t="str">
            <v>KGZ</v>
          </cell>
          <cell r="AW205" t="str">
            <v>Kyrgyzstan</v>
          </cell>
          <cell r="AX205" t="str">
            <v>INT</v>
          </cell>
        </row>
        <row r="206">
          <cell r="E206">
            <v>225000000</v>
          </cell>
          <cell r="F206"/>
          <cell r="G206"/>
          <cell r="H206">
            <v>0.44600000000000001</v>
          </cell>
          <cell r="I206">
            <v>0.29749999999999999</v>
          </cell>
          <cell r="J206">
            <v>3735</v>
          </cell>
          <cell r="K206"/>
          <cell r="L206"/>
          <cell r="M206"/>
          <cell r="N206">
            <v>0.49249999999999994</v>
          </cell>
          <cell r="O206">
            <v>0.29750000000000004</v>
          </cell>
          <cell r="P206">
            <v>3735</v>
          </cell>
          <cell r="Q206"/>
          <cell r="AV206" t="str">
            <v>LAO</v>
          </cell>
          <cell r="AW206" t="str">
            <v>Laos</v>
          </cell>
          <cell r="AX206" t="str">
            <v>INT</v>
          </cell>
        </row>
        <row r="207">
          <cell r="E207">
            <v>226000000</v>
          </cell>
          <cell r="F207"/>
          <cell r="G207"/>
          <cell r="H207">
            <v>0.44600000000000001</v>
          </cell>
          <cell r="I207">
            <v>0.29749999999999999</v>
          </cell>
          <cell r="J207">
            <v>3735</v>
          </cell>
          <cell r="K207"/>
          <cell r="L207"/>
          <cell r="M207"/>
          <cell r="N207">
            <v>0.49348564954682778</v>
          </cell>
          <cell r="O207">
            <v>0.29791148045101773</v>
          </cell>
          <cell r="P207">
            <v>3735</v>
          </cell>
          <cell r="Q207"/>
          <cell r="AV207" t="str">
            <v>LVA</v>
          </cell>
          <cell r="AW207" t="str">
            <v>Latvia</v>
          </cell>
          <cell r="AX207" t="str">
            <v>INT</v>
          </cell>
        </row>
        <row r="208">
          <cell r="E208">
            <v>227000000</v>
          </cell>
          <cell r="F208"/>
          <cell r="G208"/>
          <cell r="H208">
            <v>0.44600000000000001</v>
          </cell>
          <cell r="I208">
            <v>0.29749999999999999</v>
          </cell>
          <cell r="J208">
            <v>3735</v>
          </cell>
          <cell r="K208"/>
          <cell r="L208"/>
          <cell r="M208"/>
          <cell r="N208">
            <v>0.49446747792375617</v>
          </cell>
          <cell r="O208">
            <v>0.29832247914532417</v>
          </cell>
          <cell r="P208">
            <v>3735</v>
          </cell>
          <cell r="Q208"/>
          <cell r="AV208" t="str">
            <v>LBN</v>
          </cell>
          <cell r="AW208" t="str">
            <v>Lebanon</v>
          </cell>
          <cell r="AX208" t="str">
            <v>INT</v>
          </cell>
        </row>
        <row r="209">
          <cell r="E209">
            <v>228000000</v>
          </cell>
          <cell r="F209"/>
          <cell r="G209"/>
          <cell r="H209">
            <v>0.44600000000000001</v>
          </cell>
          <cell r="I209">
            <v>0.29749999999999999</v>
          </cell>
          <cell r="J209">
            <v>3735</v>
          </cell>
          <cell r="K209"/>
          <cell r="L209"/>
          <cell r="M209"/>
          <cell r="N209">
            <v>0.49544550730868442</v>
          </cell>
          <cell r="O209">
            <v>0.29873299692847743</v>
          </cell>
          <cell r="P209">
            <v>3735</v>
          </cell>
          <cell r="Q209"/>
          <cell r="AV209" t="str">
            <v>LSO</v>
          </cell>
          <cell r="AW209" t="str">
            <v>Lesotho</v>
          </cell>
          <cell r="AX209" t="str">
            <v>INT</v>
          </cell>
        </row>
        <row r="210">
          <cell r="E210">
            <v>229000000</v>
          </cell>
          <cell r="F210"/>
          <cell r="G210"/>
          <cell r="H210">
            <v>0.44600000000000001</v>
          </cell>
          <cell r="I210">
            <v>0.29749999999999999</v>
          </cell>
          <cell r="J210">
            <v>3735</v>
          </cell>
          <cell r="K210"/>
          <cell r="L210"/>
          <cell r="M210"/>
          <cell r="N210">
            <v>0.49641975970821711</v>
          </cell>
          <cell r="O210">
            <v>0.29914303464405789</v>
          </cell>
          <cell r="P210">
            <v>3735</v>
          </cell>
          <cell r="Q210"/>
          <cell r="AV210" t="str">
            <v>LBR</v>
          </cell>
          <cell r="AW210" t="str">
            <v>Liberia</v>
          </cell>
          <cell r="AX210" t="str">
            <v>INT</v>
          </cell>
        </row>
        <row r="211">
          <cell r="E211">
            <v>230000000</v>
          </cell>
          <cell r="F211"/>
          <cell r="G211"/>
          <cell r="H211">
            <v>0.44600000000000001</v>
          </cell>
          <cell r="I211">
            <v>0.29749999999999999</v>
          </cell>
          <cell r="J211">
            <v>3735</v>
          </cell>
          <cell r="K211"/>
          <cell r="L211"/>
          <cell r="M211"/>
          <cell r="N211">
            <v>0.49739025695931477</v>
          </cell>
          <cell r="O211">
            <v>0.29955259313367422</v>
          </cell>
          <cell r="P211">
            <v>3735</v>
          </cell>
          <cell r="Q211"/>
          <cell r="AV211" t="str">
            <v>LBY</v>
          </cell>
          <cell r="AW211" t="str">
            <v>Libya</v>
          </cell>
          <cell r="AX211" t="str">
            <v>INT</v>
          </cell>
        </row>
        <row r="212">
          <cell r="E212">
            <v>231000000</v>
          </cell>
          <cell r="F212"/>
          <cell r="G212"/>
          <cell r="H212">
            <v>0.44600000000000001</v>
          </cell>
          <cell r="I212">
            <v>0.29749999999999999</v>
          </cell>
          <cell r="J212">
            <v>3735</v>
          </cell>
          <cell r="K212"/>
          <cell r="L212"/>
          <cell r="M212"/>
          <cell r="N212">
            <v>0.49835702073092542</v>
          </cell>
          <cell r="O212">
            <v>0.29996167323696893</v>
          </cell>
          <cell r="P212">
            <v>3735</v>
          </cell>
          <cell r="Q212"/>
          <cell r="AV212" t="str">
            <v>LIE</v>
          </cell>
          <cell r="AW212" t="str">
            <v>Liechtenstein</v>
          </cell>
          <cell r="AX212" t="str">
            <v>INT</v>
          </cell>
        </row>
        <row r="213">
          <cell r="E213">
            <v>232000000</v>
          </cell>
          <cell r="F213"/>
          <cell r="G213"/>
          <cell r="H213">
            <v>0.44600000000000001</v>
          </cell>
          <cell r="I213">
            <v>0.29749999999999999</v>
          </cell>
          <cell r="J213">
            <v>3735</v>
          </cell>
          <cell r="K213"/>
          <cell r="L213"/>
          <cell r="M213"/>
          <cell r="N213">
            <v>0.49932007252559729</v>
          </cell>
          <cell r="O213">
            <v>0.30037027579162412</v>
          </cell>
          <cell r="P213">
            <v>3735</v>
          </cell>
          <cell r="Q213"/>
          <cell r="AV213" t="str">
            <v>LTU</v>
          </cell>
          <cell r="AW213" t="str">
            <v>Lithuania</v>
          </cell>
          <cell r="AX213" t="str">
            <v>INT</v>
          </cell>
        </row>
        <row r="214">
          <cell r="E214">
            <v>233000000</v>
          </cell>
          <cell r="F214"/>
          <cell r="G214"/>
          <cell r="H214">
            <v>0.44600000000000001</v>
          </cell>
          <cell r="I214">
            <v>0.29749999999999999</v>
          </cell>
          <cell r="J214">
            <v>3735</v>
          </cell>
          <cell r="K214"/>
          <cell r="L214"/>
          <cell r="M214"/>
          <cell r="N214">
            <v>0.50027943368107308</v>
          </cell>
          <cell r="O214">
            <v>0.30077840163336733</v>
          </cell>
          <cell r="P214">
            <v>3735</v>
          </cell>
          <cell r="Q214"/>
          <cell r="AV214" t="str">
            <v>LUX</v>
          </cell>
          <cell r="AW214" t="str">
            <v>Luxembourg</v>
          </cell>
          <cell r="AX214" t="str">
            <v>INT</v>
          </cell>
        </row>
        <row r="215">
          <cell r="E215">
            <v>234000000</v>
          </cell>
          <cell r="F215"/>
          <cell r="G215"/>
          <cell r="H215">
            <v>0.44600000000000001</v>
          </cell>
          <cell r="I215">
            <v>0.29749999999999999</v>
          </cell>
          <cell r="J215">
            <v>3735</v>
          </cell>
          <cell r="K215"/>
          <cell r="L215"/>
          <cell r="M215"/>
          <cell r="N215">
            <v>0.50123512537186576</v>
          </cell>
          <cell r="O215">
            <v>0.30118605159597722</v>
          </cell>
          <cell r="P215">
            <v>3735</v>
          </cell>
          <cell r="Q215"/>
          <cell r="AV215" t="str">
            <v>MAC</v>
          </cell>
          <cell r="AW215" t="str">
            <v>Macao</v>
          </cell>
          <cell r="AX215" t="str">
            <v>INT</v>
          </cell>
        </row>
        <row r="216">
          <cell r="E216">
            <v>235000000</v>
          </cell>
          <cell r="F216"/>
          <cell r="G216"/>
          <cell r="H216">
            <v>0.44600000000000001</v>
          </cell>
          <cell r="I216">
            <v>0.29749999999999999</v>
          </cell>
          <cell r="J216">
            <v>3735</v>
          </cell>
          <cell r="K216"/>
          <cell r="L216"/>
          <cell r="M216"/>
          <cell r="N216">
            <v>0.50218716861081658</v>
          </cell>
          <cell r="O216">
            <v>0.30159322651128911</v>
          </cell>
          <cell r="P216">
            <v>3735</v>
          </cell>
          <cell r="Q216"/>
          <cell r="AV216" t="str">
            <v>MKD</v>
          </cell>
          <cell r="AW216" t="str">
            <v>Macedonia</v>
          </cell>
          <cell r="AX216" t="str">
            <v>INT</v>
          </cell>
        </row>
        <row r="217">
          <cell r="E217">
            <v>236000000</v>
          </cell>
          <cell r="F217"/>
          <cell r="G217"/>
          <cell r="H217">
            <v>0.44600000000000001</v>
          </cell>
          <cell r="I217">
            <v>0.29749999999999999</v>
          </cell>
          <cell r="J217">
            <v>3735</v>
          </cell>
          <cell r="K217"/>
          <cell r="L217"/>
          <cell r="M217"/>
          <cell r="N217">
            <v>0.50313558425063509</v>
          </cell>
          <cell r="O217">
            <v>0.30199992720920071</v>
          </cell>
          <cell r="P217">
            <v>3735</v>
          </cell>
          <cell r="Q217"/>
          <cell r="AV217" t="str">
            <v>MDG</v>
          </cell>
          <cell r="AW217" t="str">
            <v>Madagascar</v>
          </cell>
          <cell r="AX217" t="str">
            <v>INT</v>
          </cell>
        </row>
        <row r="218">
          <cell r="E218">
            <v>237000000</v>
          </cell>
          <cell r="F218"/>
          <cell r="G218"/>
          <cell r="H218">
            <v>0.44600000000000001</v>
          </cell>
          <cell r="I218">
            <v>0.29749999999999999</v>
          </cell>
          <cell r="J218">
            <v>3735</v>
          </cell>
          <cell r="K218"/>
          <cell r="L218"/>
          <cell r="M218"/>
          <cell r="N218">
            <v>0.50408039298542162</v>
          </cell>
          <cell r="O218">
            <v>0.30240615451767783</v>
          </cell>
          <cell r="P218">
            <v>3735</v>
          </cell>
          <cell r="Q218"/>
          <cell r="AV218" t="str">
            <v>MWI</v>
          </cell>
          <cell r="AW218" t="str">
            <v>Malawi</v>
          </cell>
          <cell r="AX218" t="str">
            <v>INT</v>
          </cell>
        </row>
        <row r="219">
          <cell r="E219">
            <v>238000000</v>
          </cell>
          <cell r="F219"/>
          <cell r="G219"/>
          <cell r="H219">
            <v>0.44600000000000001</v>
          </cell>
          <cell r="I219">
            <v>0.29749999999999999</v>
          </cell>
          <cell r="J219">
            <v>3735</v>
          </cell>
          <cell r="K219"/>
          <cell r="L219"/>
          <cell r="M219"/>
          <cell r="N219">
            <v>0.50502161535217216</v>
          </cell>
          <cell r="O219">
            <v>0.30281190926275986</v>
          </cell>
          <cell r="P219">
            <v>3735</v>
          </cell>
          <cell r="Q219"/>
          <cell r="AV219" t="str">
            <v>MYS</v>
          </cell>
          <cell r="AW219" t="str">
            <v>Malaysia</v>
          </cell>
          <cell r="AX219" t="str">
            <v>INT</v>
          </cell>
        </row>
        <row r="220">
          <cell r="E220">
            <v>239000000</v>
          </cell>
          <cell r="F220"/>
          <cell r="G220"/>
          <cell r="H220">
            <v>0.44600000000000001</v>
          </cell>
          <cell r="I220">
            <v>0.29749999999999999</v>
          </cell>
          <cell r="J220">
            <v>3735</v>
          </cell>
          <cell r="K220"/>
          <cell r="L220"/>
          <cell r="M220"/>
          <cell r="N220">
            <v>0.50595927173226707</v>
          </cell>
          <cell r="O220">
            <v>0.30321719226856558</v>
          </cell>
          <cell r="P220">
            <v>3735</v>
          </cell>
          <cell r="Q220"/>
          <cell r="AV220" t="str">
            <v>MDV</v>
          </cell>
          <cell r="AW220" t="str">
            <v>Maldives</v>
          </cell>
          <cell r="AX220" t="str">
            <v>INT</v>
          </cell>
        </row>
        <row r="221">
          <cell r="E221">
            <v>240000000</v>
          </cell>
          <cell r="F221"/>
          <cell r="G221"/>
          <cell r="H221">
            <v>0.44600000000000001</v>
          </cell>
          <cell r="I221">
            <v>0.29749999999999999</v>
          </cell>
          <cell r="J221">
            <v>3735</v>
          </cell>
          <cell r="K221"/>
          <cell r="L221"/>
          <cell r="M221"/>
          <cell r="N221">
            <v>0.50689338235294135</v>
          </cell>
          <cell r="O221">
            <v>0.30362200435729841</v>
          </cell>
          <cell r="P221">
            <v>3735</v>
          </cell>
          <cell r="Q221"/>
          <cell r="AV221" t="str">
            <v>MLI</v>
          </cell>
          <cell r="AW221" t="str">
            <v>Mali</v>
          </cell>
          <cell r="AX221" t="str">
            <v>INT</v>
          </cell>
        </row>
        <row r="222">
          <cell r="E222">
            <v>241000000</v>
          </cell>
          <cell r="F222"/>
          <cell r="G222"/>
          <cell r="H222">
            <v>0.44600000000000001</v>
          </cell>
          <cell r="I222">
            <v>0.29749999999999999</v>
          </cell>
          <cell r="J222">
            <v>3735</v>
          </cell>
          <cell r="K222"/>
          <cell r="L222"/>
          <cell r="M222"/>
          <cell r="N222">
            <v>0.50782396728873991</v>
          </cell>
          <cell r="O222">
            <v>0.30402634634925235</v>
          </cell>
          <cell r="P222">
            <v>3735</v>
          </cell>
          <cell r="Q222"/>
          <cell r="AV222" t="str">
            <v>MLT</v>
          </cell>
          <cell r="AW222" t="str">
            <v>Malta</v>
          </cell>
          <cell r="AX222" t="str">
            <v>INT</v>
          </cell>
        </row>
        <row r="223">
          <cell r="E223">
            <v>242000000</v>
          </cell>
          <cell r="F223"/>
          <cell r="G223"/>
          <cell r="H223">
            <v>0.44600000000000001</v>
          </cell>
          <cell r="I223">
            <v>0.29749999999999999</v>
          </cell>
          <cell r="J223">
            <v>3735</v>
          </cell>
          <cell r="K223"/>
          <cell r="L223"/>
          <cell r="M223"/>
          <cell r="N223">
            <v>0.50875104646295533</v>
          </cell>
          <cell r="O223">
            <v>0.30443021906281731</v>
          </cell>
          <cell r="P223">
            <v>3735</v>
          </cell>
          <cell r="Q223"/>
          <cell r="AV223" t="str">
            <v>MHL</v>
          </cell>
          <cell r="AW223" t="str">
            <v>Marshall Islands</v>
          </cell>
          <cell r="AX223" t="str">
            <v>INT</v>
          </cell>
        </row>
        <row r="224">
          <cell r="E224">
            <v>243000000</v>
          </cell>
          <cell r="F224"/>
          <cell r="G224"/>
          <cell r="H224">
            <v>0.44600000000000001</v>
          </cell>
          <cell r="I224">
            <v>0.29749999999999999</v>
          </cell>
          <cell r="J224">
            <v>3735</v>
          </cell>
          <cell r="K224"/>
          <cell r="L224"/>
          <cell r="M224"/>
          <cell r="N224">
            <v>0.50967463964904969</v>
          </cell>
          <cell r="O224">
            <v>0.30483362331448449</v>
          </cell>
          <cell r="P224">
            <v>3735</v>
          </cell>
          <cell r="Q224"/>
          <cell r="AV224" t="str">
            <v>MTQ</v>
          </cell>
          <cell r="AW224" t="str">
            <v>Martinique</v>
          </cell>
          <cell r="AX224" t="str">
            <v>INT</v>
          </cell>
        </row>
        <row r="225">
          <cell r="E225">
            <v>244000000</v>
          </cell>
          <cell r="F225"/>
          <cell r="G225"/>
          <cell r="H225">
            <v>0.44600000000000001</v>
          </cell>
          <cell r="I225">
            <v>0.29749999999999999</v>
          </cell>
          <cell r="J225">
            <v>3735</v>
          </cell>
          <cell r="K225"/>
          <cell r="L225"/>
          <cell r="M225"/>
          <cell r="N225">
            <v>0.51059476647206026</v>
          </cell>
          <cell r="O225">
            <v>0.30523655991885229</v>
          </cell>
          <cell r="P225">
            <v>3735</v>
          </cell>
          <cell r="Q225"/>
          <cell r="AV225" t="str">
            <v>MRT</v>
          </cell>
          <cell r="AW225" t="str">
            <v>Mauritania</v>
          </cell>
          <cell r="AX225" t="str">
            <v>INT</v>
          </cell>
        </row>
        <row r="226">
          <cell r="E226">
            <v>245000000</v>
          </cell>
          <cell r="F226"/>
          <cell r="G226"/>
          <cell r="H226">
            <v>0.44600000000000001</v>
          </cell>
          <cell r="I226">
            <v>0.29749999999999999</v>
          </cell>
          <cell r="J226">
            <v>3735</v>
          </cell>
          <cell r="K226"/>
          <cell r="L226"/>
          <cell r="M226"/>
          <cell r="N226">
            <v>0.5115114464099898</v>
          </cell>
          <cell r="O226">
            <v>0.30563902968863133</v>
          </cell>
          <cell r="P226">
            <v>3735</v>
          </cell>
          <cell r="Q226"/>
          <cell r="AV226" t="str">
            <v>MUS</v>
          </cell>
          <cell r="AW226" t="str">
            <v>Mauritius</v>
          </cell>
          <cell r="AX226" t="str">
            <v>INT</v>
          </cell>
        </row>
        <row r="227">
          <cell r="E227">
            <v>246000000</v>
          </cell>
          <cell r="F227"/>
          <cell r="G227"/>
          <cell r="H227">
            <v>0.44600000000000001</v>
          </cell>
          <cell r="I227">
            <v>0.29749999999999999</v>
          </cell>
          <cell r="J227">
            <v>3735</v>
          </cell>
          <cell r="K227"/>
          <cell r="L227"/>
          <cell r="M227"/>
          <cell r="N227">
            <v>0.51242469879518093</v>
          </cell>
          <cell r="O227">
            <v>0.30604103343465039</v>
          </cell>
          <cell r="P227">
            <v>3735</v>
          </cell>
          <cell r="Q227"/>
          <cell r="AV227" t="str">
            <v>MYT</v>
          </cell>
          <cell r="AW227" t="str">
            <v>Mayotte</v>
          </cell>
          <cell r="AX227" t="str">
            <v>INT</v>
          </cell>
        </row>
        <row r="228">
          <cell r="E228">
            <v>247000000</v>
          </cell>
          <cell r="F228"/>
          <cell r="G228"/>
          <cell r="H228">
            <v>0.44600000000000001</v>
          </cell>
          <cell r="I228">
            <v>0.29749999999999999</v>
          </cell>
          <cell r="J228">
            <v>3735</v>
          </cell>
          <cell r="K228"/>
          <cell r="L228"/>
          <cell r="M228"/>
          <cell r="N228">
            <v>0.51333454281567514</v>
          </cell>
          <cell r="O228">
            <v>0.30644257196586133</v>
          </cell>
          <cell r="P228">
            <v>3735</v>
          </cell>
          <cell r="Q228"/>
          <cell r="AV228" t="str">
            <v>MEX</v>
          </cell>
          <cell r="AW228" t="str">
            <v>Mexico</v>
          </cell>
          <cell r="AX228" t="str">
            <v>INT</v>
          </cell>
        </row>
        <row r="229">
          <cell r="E229">
            <v>248000000</v>
          </cell>
          <cell r="F229"/>
          <cell r="G229"/>
          <cell r="H229">
            <v>0.44600000000000001</v>
          </cell>
          <cell r="I229">
            <v>0.29749999999999999</v>
          </cell>
          <cell r="J229">
            <v>3735</v>
          </cell>
          <cell r="K229"/>
          <cell r="L229"/>
          <cell r="M229"/>
          <cell r="N229">
            <v>0.5142409975165565</v>
          </cell>
          <cell r="O229">
            <v>0.306843646089345</v>
          </cell>
          <cell r="P229">
            <v>3735</v>
          </cell>
          <cell r="Q229"/>
          <cell r="AV229" t="str">
            <v>FSM</v>
          </cell>
          <cell r="AW229" t="str">
            <v>Micronesia</v>
          </cell>
          <cell r="AX229" t="str">
            <v>INT</v>
          </cell>
        </row>
        <row r="230">
          <cell r="E230">
            <v>249000000</v>
          </cell>
          <cell r="F230"/>
          <cell r="G230"/>
          <cell r="H230">
            <v>0.44600000000000001</v>
          </cell>
          <cell r="I230">
            <v>0.29749999999999999</v>
          </cell>
          <cell r="J230">
            <v>3735</v>
          </cell>
          <cell r="K230"/>
          <cell r="L230"/>
          <cell r="M230"/>
          <cell r="N230">
            <v>0.51514408180128102</v>
          </cell>
          <cell r="O230">
            <v>0.30724425661031635</v>
          </cell>
          <cell r="P230">
            <v>3735</v>
          </cell>
          <cell r="Q230"/>
          <cell r="AV230" t="str">
            <v>MDA</v>
          </cell>
          <cell r="AW230" t="str">
            <v>Moldova</v>
          </cell>
          <cell r="AX230" t="str">
            <v>INT</v>
          </cell>
        </row>
        <row r="231">
          <cell r="E231">
            <v>250000000</v>
          </cell>
          <cell r="F231"/>
          <cell r="G231"/>
          <cell r="H231">
            <v>0.44600000000000001</v>
          </cell>
          <cell r="I231">
            <v>0.29749999999999999</v>
          </cell>
          <cell r="J231">
            <v>3735</v>
          </cell>
          <cell r="K231"/>
          <cell r="L231"/>
          <cell r="M231"/>
          <cell r="N231">
            <v>0.51604381443298997</v>
          </cell>
          <cell r="O231">
            <v>0.30764440433212986</v>
          </cell>
          <cell r="P231">
            <v>3735</v>
          </cell>
          <cell r="Q231"/>
          <cell r="AV231" t="str">
            <v>MCO</v>
          </cell>
          <cell r="AW231" t="str">
            <v>Monaco</v>
          </cell>
          <cell r="AX231" t="str">
            <v>INT</v>
          </cell>
        </row>
        <row r="232">
          <cell r="E232">
            <v>251000000</v>
          </cell>
          <cell r="F232"/>
          <cell r="G232"/>
          <cell r="H232">
            <v>0.46700000000000003</v>
          </cell>
          <cell r="I232">
            <v>0.3175</v>
          </cell>
          <cell r="J232">
            <v>4310</v>
          </cell>
          <cell r="K232"/>
          <cell r="L232"/>
          <cell r="M232"/>
          <cell r="N232">
            <v>0.51694021403581014</v>
          </cell>
          <cell r="O232">
            <v>0.30804409005628508</v>
          </cell>
          <cell r="P232">
            <v>4310</v>
          </cell>
          <cell r="Q232"/>
          <cell r="AV232" t="str">
            <v>MNG</v>
          </cell>
          <cell r="AW232" t="str">
            <v>Mongolia</v>
          </cell>
          <cell r="AX232" t="str">
            <v>INT</v>
          </cell>
        </row>
        <row r="233">
          <cell r="E233">
            <v>252000000</v>
          </cell>
          <cell r="F233"/>
          <cell r="G233"/>
          <cell r="H233">
            <v>0.46700000000000003</v>
          </cell>
          <cell r="I233">
            <v>0.3175</v>
          </cell>
          <cell r="J233">
            <v>4310</v>
          </cell>
          <cell r="K233"/>
          <cell r="L233"/>
          <cell r="M233"/>
          <cell r="N233">
            <v>0.51783329909613829</v>
          </cell>
          <cell r="O233">
            <v>0.30844331458243174</v>
          </cell>
          <cell r="P233">
            <v>4310</v>
          </cell>
          <cell r="Q233"/>
          <cell r="AV233" t="str">
            <v>MNE</v>
          </cell>
          <cell r="AW233" t="str">
            <v>Montenegro</v>
          </cell>
          <cell r="AX233" t="str">
            <v>INT</v>
          </cell>
        </row>
        <row r="234">
          <cell r="E234">
            <v>253000000</v>
          </cell>
          <cell r="F234"/>
          <cell r="G234"/>
          <cell r="H234">
            <v>0.46700000000000003</v>
          </cell>
          <cell r="I234">
            <v>0.3175</v>
          </cell>
          <cell r="J234">
            <v>4310</v>
          </cell>
          <cell r="K234"/>
          <cell r="L234"/>
          <cell r="M234"/>
          <cell r="N234">
            <v>0.51872308796391253</v>
          </cell>
          <cell r="O234">
            <v>0.30884207870837527</v>
          </cell>
          <cell r="P234">
            <v>4310</v>
          </cell>
          <cell r="Q234"/>
          <cell r="AV234" t="str">
            <v>MSR</v>
          </cell>
          <cell r="AW234" t="str">
            <v>Montserrat</v>
          </cell>
          <cell r="AX234" t="str">
            <v>INT</v>
          </cell>
        </row>
        <row r="235">
          <cell r="E235">
            <v>254000000</v>
          </cell>
          <cell r="F235"/>
          <cell r="G235"/>
          <cell r="H235">
            <v>0.46700000000000003</v>
          </cell>
          <cell r="I235">
            <v>0.3175</v>
          </cell>
          <cell r="J235">
            <v>4310</v>
          </cell>
          <cell r="K235"/>
          <cell r="L235"/>
          <cell r="M235"/>
          <cell r="N235">
            <v>0.51960959885386848</v>
          </cell>
          <cell r="O235">
            <v>0.30924038323008196</v>
          </cell>
          <cell r="P235">
            <v>4310</v>
          </cell>
          <cell r="Q235"/>
          <cell r="AV235" t="str">
            <v>MAR</v>
          </cell>
          <cell r="AW235" t="str">
            <v>Morocco</v>
          </cell>
          <cell r="AX235" t="str">
            <v>INT</v>
          </cell>
        </row>
        <row r="236">
          <cell r="E236">
            <v>255000000</v>
          </cell>
          <cell r="F236"/>
          <cell r="G236"/>
          <cell r="H236">
            <v>0.46700000000000003</v>
          </cell>
          <cell r="I236">
            <v>0.3175</v>
          </cell>
          <cell r="J236">
            <v>4310</v>
          </cell>
          <cell r="K236"/>
          <cell r="L236"/>
          <cell r="M236"/>
          <cell r="N236">
            <v>0.52049284984678279</v>
          </cell>
          <cell r="O236">
            <v>0.30963822894168452</v>
          </cell>
          <cell r="P236">
            <v>4310</v>
          </cell>
          <cell r="Q236"/>
          <cell r="AV236" t="str">
            <v>MOZ</v>
          </cell>
          <cell r="AW236" t="str">
            <v>Mozambique</v>
          </cell>
          <cell r="AX236" t="str">
            <v>INT</v>
          </cell>
        </row>
        <row r="237">
          <cell r="E237">
            <v>256000000</v>
          </cell>
          <cell r="F237"/>
          <cell r="G237"/>
          <cell r="H237">
            <v>0.46700000000000003</v>
          </cell>
          <cell r="I237">
            <v>0.3175</v>
          </cell>
          <cell r="J237">
            <v>4310</v>
          </cell>
          <cell r="K237"/>
          <cell r="L237"/>
          <cell r="M237"/>
          <cell r="N237">
            <v>0.52137285889070173</v>
          </cell>
          <cell r="O237">
            <v>0.31003561663548695</v>
          </cell>
          <cell r="P237">
            <v>4310</v>
          </cell>
          <cell r="Q237"/>
          <cell r="AV237" t="str">
            <v>MMR</v>
          </cell>
          <cell r="AW237" t="str">
            <v>Myanmar</v>
          </cell>
          <cell r="AX237" t="str">
            <v>INT</v>
          </cell>
        </row>
        <row r="238">
          <cell r="E238">
            <v>257000000</v>
          </cell>
          <cell r="F238"/>
          <cell r="G238"/>
          <cell r="H238">
            <v>0.46700000000000003</v>
          </cell>
          <cell r="I238">
            <v>0.3175</v>
          </cell>
          <cell r="J238">
            <v>4310</v>
          </cell>
          <cell r="K238"/>
          <cell r="L238"/>
          <cell r="M238"/>
          <cell r="N238">
            <v>0.52224964380215788</v>
          </cell>
          <cell r="O238">
            <v>0.31043254710197021</v>
          </cell>
          <cell r="P238">
            <v>4310</v>
          </cell>
          <cell r="Q238"/>
          <cell r="AV238" t="str">
            <v>NAM</v>
          </cell>
          <cell r="AW238" t="str">
            <v>Namibia</v>
          </cell>
          <cell r="AX238" t="str">
            <v>INT</v>
          </cell>
        </row>
        <row r="239">
          <cell r="E239">
            <v>258000000</v>
          </cell>
          <cell r="F239"/>
          <cell r="G239"/>
          <cell r="H239">
            <v>0.46700000000000003</v>
          </cell>
          <cell r="I239">
            <v>0.3175</v>
          </cell>
          <cell r="J239">
            <v>4310</v>
          </cell>
          <cell r="K239"/>
          <cell r="L239"/>
          <cell r="M239"/>
          <cell r="N239">
            <v>0.52312322226737129</v>
          </cell>
          <cell r="O239">
            <v>0.31082902112979716</v>
          </cell>
          <cell r="P239">
            <v>4310</v>
          </cell>
          <cell r="Q239"/>
          <cell r="AV239" t="str">
            <v>NRU</v>
          </cell>
          <cell r="AW239" t="str">
            <v>Nauru</v>
          </cell>
          <cell r="AX239" t="str">
            <v>INT</v>
          </cell>
        </row>
        <row r="240">
          <cell r="E240">
            <v>259000000</v>
          </cell>
          <cell r="F240"/>
          <cell r="G240"/>
          <cell r="H240">
            <v>0.46700000000000003</v>
          </cell>
          <cell r="I240">
            <v>0.3175</v>
          </cell>
          <cell r="J240">
            <v>4310</v>
          </cell>
          <cell r="K240"/>
          <cell r="L240"/>
          <cell r="M240"/>
          <cell r="N240">
            <v>0.52399361184343984</v>
          </cell>
          <cell r="O240">
            <v>0.31122503950581798</v>
          </cell>
          <cell r="P240">
            <v>4310</v>
          </cell>
          <cell r="Q240"/>
          <cell r="AV240" t="str">
            <v>NPL</v>
          </cell>
          <cell r="AW240" t="str">
            <v>Nepal</v>
          </cell>
          <cell r="AX240" t="str">
            <v>INT</v>
          </cell>
        </row>
        <row r="241">
          <cell r="E241">
            <v>260000000</v>
          </cell>
          <cell r="F241"/>
          <cell r="G241"/>
          <cell r="H241">
            <v>0.46700000000000003</v>
          </cell>
          <cell r="I241">
            <v>0.3175</v>
          </cell>
          <cell r="J241">
            <v>4310</v>
          </cell>
          <cell r="K241"/>
          <cell r="L241"/>
          <cell r="M241"/>
          <cell r="N241">
            <v>0.52486082995951455</v>
          </cell>
          <cell r="O241">
            <v>0.31162060301507521</v>
          </cell>
          <cell r="P241">
            <v>4310</v>
          </cell>
          <cell r="Q241"/>
          <cell r="AV241" t="str">
            <v>NLD</v>
          </cell>
          <cell r="AW241" t="str">
            <v>Netherlands</v>
          </cell>
          <cell r="AX241" t="str">
            <v>INT</v>
          </cell>
        </row>
        <row r="242">
          <cell r="E242">
            <v>261000000</v>
          </cell>
          <cell r="F242"/>
          <cell r="G242"/>
          <cell r="H242">
            <v>0.46700000000000003</v>
          </cell>
          <cell r="I242">
            <v>0.3175</v>
          </cell>
          <cell r="J242">
            <v>4310</v>
          </cell>
          <cell r="K242"/>
          <cell r="L242"/>
          <cell r="M242"/>
          <cell r="N242">
            <v>0.52572489391796362</v>
          </cell>
          <cell r="O242">
            <v>0.31201571244080911</v>
          </cell>
          <cell r="P242">
            <v>4310</v>
          </cell>
          <cell r="Q242"/>
          <cell r="AV242" t="str">
            <v>ANT</v>
          </cell>
          <cell r="AW242" t="str">
            <v>Netherlands Antilles</v>
          </cell>
          <cell r="AX242" t="str">
            <v>INT</v>
          </cell>
        </row>
        <row r="243">
          <cell r="E243">
            <v>262000000</v>
          </cell>
          <cell r="F243"/>
          <cell r="G243"/>
          <cell r="H243">
            <v>0.46700000000000003</v>
          </cell>
          <cell r="I243">
            <v>0.3175</v>
          </cell>
          <cell r="J243">
            <v>4310</v>
          </cell>
          <cell r="K243"/>
          <cell r="L243"/>
          <cell r="M243"/>
          <cell r="N243">
            <v>0.52658582089552275</v>
          </cell>
          <cell r="O243">
            <v>0.31241036856446275</v>
          </cell>
          <cell r="P243">
            <v>4310</v>
          </cell>
          <cell r="Q243"/>
          <cell r="AV243" t="str">
            <v>NCL</v>
          </cell>
          <cell r="AW243" t="str">
            <v>New Caledonia</v>
          </cell>
          <cell r="AX243" t="str">
            <v>INT</v>
          </cell>
        </row>
        <row r="244">
          <cell r="E244">
            <v>263000000</v>
          </cell>
          <cell r="F244"/>
          <cell r="G244"/>
          <cell r="H244">
            <v>0.46700000000000003</v>
          </cell>
          <cell r="I244">
            <v>0.3175</v>
          </cell>
          <cell r="J244">
            <v>4310</v>
          </cell>
          <cell r="K244"/>
          <cell r="L244"/>
          <cell r="M244"/>
          <cell r="N244">
            <v>0.52744362794443367</v>
          </cell>
          <cell r="O244">
            <v>0.31280457216568708</v>
          </cell>
          <cell r="P244">
            <v>4310</v>
          </cell>
          <cell r="Q244"/>
          <cell r="AV244" t="str">
            <v>NZL</v>
          </cell>
          <cell r="AW244" t="str">
            <v>New Zealand</v>
          </cell>
          <cell r="AX244" t="str">
            <v>INT</v>
          </cell>
        </row>
        <row r="245">
          <cell r="E245">
            <v>264000000</v>
          </cell>
          <cell r="F245"/>
          <cell r="G245"/>
          <cell r="H245">
            <v>0.46700000000000003</v>
          </cell>
          <cell r="I245">
            <v>0.3175</v>
          </cell>
          <cell r="J245">
            <v>4310</v>
          </cell>
          <cell r="K245"/>
          <cell r="L245"/>
          <cell r="M245"/>
          <cell r="N245">
            <v>0.52829833199356957</v>
          </cell>
          <cell r="O245">
            <v>0.31319832402234615</v>
          </cell>
          <cell r="P245">
            <v>4310</v>
          </cell>
          <cell r="Q245"/>
          <cell r="AV245" t="str">
            <v>NIC</v>
          </cell>
          <cell r="AW245" t="str">
            <v>Nicaragua</v>
          </cell>
          <cell r="AX245" t="str">
            <v>INT</v>
          </cell>
        </row>
        <row r="246">
          <cell r="E246">
            <v>265000000</v>
          </cell>
          <cell r="F246"/>
          <cell r="G246"/>
          <cell r="H246">
            <v>0.46700000000000003</v>
          </cell>
          <cell r="I246">
            <v>0.3175</v>
          </cell>
          <cell r="J246">
            <v>4310</v>
          </cell>
          <cell r="K246"/>
          <cell r="L246"/>
          <cell r="M246"/>
          <cell r="N246">
            <v>0.52914994984954911</v>
          </cell>
          <cell r="O246">
            <v>0.31359162491052234</v>
          </cell>
          <cell r="P246">
            <v>4310</v>
          </cell>
          <cell r="Q246"/>
          <cell r="AV246" t="str">
            <v>NER</v>
          </cell>
          <cell r="AW246" t="str">
            <v>Niger</v>
          </cell>
          <cell r="AX246" t="str">
            <v>INT</v>
          </cell>
        </row>
        <row r="247">
          <cell r="E247">
            <v>266000000</v>
          </cell>
          <cell r="F247"/>
          <cell r="G247"/>
          <cell r="H247">
            <v>0.46700000000000003</v>
          </cell>
          <cell r="I247">
            <v>0.3175</v>
          </cell>
          <cell r="J247">
            <v>4310</v>
          </cell>
          <cell r="K247"/>
          <cell r="L247"/>
          <cell r="M247"/>
          <cell r="N247">
            <v>0.52999849819783784</v>
          </cell>
          <cell r="O247">
            <v>0.3139844756045212</v>
          </cell>
          <cell r="P247">
            <v>4310</v>
          </cell>
          <cell r="Q247"/>
          <cell r="AV247" t="str">
            <v>NGA</v>
          </cell>
          <cell r="AW247" t="str">
            <v>Nigeria</v>
          </cell>
          <cell r="AX247" t="str">
            <v>INT</v>
          </cell>
        </row>
        <row r="248">
          <cell r="E248">
            <v>267000000</v>
          </cell>
          <cell r="F248"/>
          <cell r="G248"/>
          <cell r="H248">
            <v>0.46700000000000003</v>
          </cell>
          <cell r="I248">
            <v>0.3175</v>
          </cell>
          <cell r="J248">
            <v>4310</v>
          </cell>
          <cell r="K248"/>
          <cell r="L248"/>
          <cell r="M248"/>
          <cell r="N248">
            <v>0.53084399360383816</v>
          </cell>
          <cell r="O248">
            <v>0.31437687687687665</v>
          </cell>
          <cell r="P248">
            <v>4310</v>
          </cell>
          <cell r="Q248"/>
          <cell r="AV248" t="str">
            <v>NIU</v>
          </cell>
          <cell r="AW248" t="str">
            <v>Niue</v>
          </cell>
          <cell r="AX248" t="str">
            <v>INT</v>
          </cell>
        </row>
        <row r="249">
          <cell r="E249">
            <v>268000000</v>
          </cell>
          <cell r="F249"/>
          <cell r="G249"/>
          <cell r="H249">
            <v>0.46700000000000003</v>
          </cell>
          <cell r="I249">
            <v>0.3175</v>
          </cell>
          <cell r="J249">
            <v>4310</v>
          </cell>
          <cell r="K249"/>
          <cell r="L249"/>
          <cell r="M249"/>
          <cell r="N249">
            <v>0.53168645251396696</v>
          </cell>
          <cell r="O249">
            <v>0.31476882949835622</v>
          </cell>
          <cell r="P249">
            <v>4310</v>
          </cell>
          <cell r="Q249"/>
          <cell r="AV249" t="str">
            <v>NFK</v>
          </cell>
          <cell r="AW249" t="str">
            <v>Norfolk Island</v>
          </cell>
          <cell r="AX249" t="str">
            <v>INT</v>
          </cell>
        </row>
        <row r="250">
          <cell r="E250">
            <v>269000000</v>
          </cell>
          <cell r="F250"/>
          <cell r="G250"/>
          <cell r="H250">
            <v>0.46700000000000003</v>
          </cell>
          <cell r="I250">
            <v>0.3175</v>
          </cell>
          <cell r="J250">
            <v>4310</v>
          </cell>
          <cell r="K250"/>
          <cell r="L250"/>
          <cell r="M250"/>
          <cell r="N250">
            <v>0.53252589125672223</v>
          </cell>
          <cell r="O250">
            <v>0.3151603342379658</v>
          </cell>
          <cell r="P250">
            <v>4310</v>
          </cell>
          <cell r="Q250"/>
          <cell r="AV250" t="str">
            <v>MNP</v>
          </cell>
          <cell r="AW250" t="str">
            <v>Northern Mariana Islands</v>
          </cell>
          <cell r="AX250" t="str">
            <v>INT</v>
          </cell>
        </row>
        <row r="251">
          <cell r="E251">
            <v>270000000</v>
          </cell>
          <cell r="F251"/>
          <cell r="G251"/>
          <cell r="H251">
            <v>0.46700000000000003</v>
          </cell>
          <cell r="I251">
            <v>0.3175</v>
          </cell>
          <cell r="J251">
            <v>4310</v>
          </cell>
          <cell r="K251"/>
          <cell r="L251"/>
          <cell r="M251"/>
          <cell r="N251">
            <v>0.53336232604373801</v>
          </cell>
          <cell r="O251">
            <v>0.31555139186295483</v>
          </cell>
          <cell r="P251">
            <v>4310</v>
          </cell>
          <cell r="Q251"/>
          <cell r="AV251" t="str">
            <v>NOR</v>
          </cell>
          <cell r="AW251" t="str">
            <v>Norway</v>
          </cell>
          <cell r="AX251" t="str">
            <v>INT</v>
          </cell>
        </row>
        <row r="252">
          <cell r="E252">
            <v>271000000</v>
          </cell>
          <cell r="F252"/>
          <cell r="G252"/>
          <cell r="H252">
            <v>0.46700000000000003</v>
          </cell>
          <cell r="I252">
            <v>0.3175</v>
          </cell>
          <cell r="J252">
            <v>4310</v>
          </cell>
          <cell r="K252"/>
          <cell r="L252"/>
          <cell r="M252"/>
          <cell r="N252">
            <v>0.53419577297082799</v>
          </cell>
          <cell r="O252">
            <v>0.31594200313882126</v>
          </cell>
          <cell r="P252">
            <v>4310</v>
          </cell>
          <cell r="Q252"/>
          <cell r="AV252" t="str">
            <v>OMN</v>
          </cell>
          <cell r="AW252" t="str">
            <v>Oman</v>
          </cell>
          <cell r="AX252" t="str">
            <v>INT</v>
          </cell>
        </row>
        <row r="253">
          <cell r="E253">
            <v>272000000</v>
          </cell>
          <cell r="F253"/>
          <cell r="G253"/>
          <cell r="H253">
            <v>0.46700000000000003</v>
          </cell>
          <cell r="I253">
            <v>0.3175</v>
          </cell>
          <cell r="J253">
            <v>4310</v>
          </cell>
          <cell r="K253"/>
          <cell r="L253"/>
          <cell r="M253"/>
          <cell r="N253">
            <v>0.53502624801901788</v>
          </cell>
          <cell r="O253">
            <v>0.31633216882931675</v>
          </cell>
          <cell r="P253">
            <v>4310</v>
          </cell>
          <cell r="Q253"/>
          <cell r="AV253" t="str">
            <v>PAK</v>
          </cell>
          <cell r="AW253" t="str">
            <v>Pakistan</v>
          </cell>
          <cell r="AX253" t="str">
            <v>INT</v>
          </cell>
        </row>
        <row r="254">
          <cell r="E254">
            <v>273000000</v>
          </cell>
          <cell r="F254"/>
          <cell r="G254"/>
          <cell r="H254">
            <v>0.46700000000000003</v>
          </cell>
          <cell r="I254">
            <v>0.3175</v>
          </cell>
          <cell r="J254">
            <v>4310</v>
          </cell>
          <cell r="K254"/>
          <cell r="L254"/>
          <cell r="M254"/>
          <cell r="N254">
            <v>0.53585376705556698</v>
          </cell>
          <cell r="O254">
            <v>0.31672188969645121</v>
          </cell>
          <cell r="P254">
            <v>4310</v>
          </cell>
          <cell r="Q254"/>
          <cell r="AV254" t="str">
            <v>PLW</v>
          </cell>
          <cell r="AW254" t="str">
            <v>Palau</v>
          </cell>
          <cell r="AX254" t="str">
            <v>INT</v>
          </cell>
        </row>
        <row r="255">
          <cell r="E255">
            <v>274000000</v>
          </cell>
          <cell r="F255"/>
          <cell r="G255"/>
          <cell r="H255">
            <v>0.46700000000000003</v>
          </cell>
          <cell r="I255">
            <v>0.3175</v>
          </cell>
          <cell r="J255">
            <v>4310</v>
          </cell>
          <cell r="K255"/>
          <cell r="L255"/>
          <cell r="M255"/>
          <cell r="N255">
            <v>0.53667834583497875</v>
          </cell>
          <cell r="O255">
            <v>0.31711116650049825</v>
          </cell>
          <cell r="P255">
            <v>4310</v>
          </cell>
          <cell r="Q255"/>
          <cell r="AV255" t="str">
            <v>PSE</v>
          </cell>
          <cell r="AW255" t="str">
            <v>Palestinian Territory, Occupied</v>
          </cell>
          <cell r="AX255" t="str">
            <v>INT</v>
          </cell>
        </row>
        <row r="256">
          <cell r="E256">
            <v>275000000</v>
          </cell>
          <cell r="F256"/>
          <cell r="G256"/>
          <cell r="H256">
            <v>0.46700000000000003</v>
          </cell>
          <cell r="I256">
            <v>0.3175</v>
          </cell>
          <cell r="J256">
            <v>4310</v>
          </cell>
          <cell r="K256"/>
          <cell r="L256"/>
          <cell r="M256"/>
          <cell r="N256">
            <v>0.53749999999999998</v>
          </cell>
          <cell r="O256">
            <v>0.31749999999999995</v>
          </cell>
          <cell r="P256">
            <v>4310</v>
          </cell>
          <cell r="Q256"/>
          <cell r="AV256" t="str">
            <v>PAN</v>
          </cell>
          <cell r="AW256" t="str">
            <v>Panama</v>
          </cell>
          <cell r="AX256" t="str">
            <v>INT</v>
          </cell>
        </row>
        <row r="257">
          <cell r="E257">
            <v>276000000</v>
          </cell>
          <cell r="F257"/>
          <cell r="G257"/>
          <cell r="H257">
            <v>0.46700000000000003</v>
          </cell>
          <cell r="I257">
            <v>0.3175</v>
          </cell>
          <cell r="J257">
            <v>4310</v>
          </cell>
          <cell r="K257"/>
          <cell r="L257"/>
          <cell r="M257"/>
          <cell r="N257">
            <v>0.53807740324594255</v>
          </cell>
          <cell r="O257">
            <v>0.31881283344826328</v>
          </cell>
          <cell r="P257">
            <v>4310</v>
          </cell>
          <cell r="Q257"/>
          <cell r="AV257" t="str">
            <v>PNG</v>
          </cell>
          <cell r="AW257" t="str">
            <v>Papua New Guinea</v>
          </cell>
          <cell r="AX257" t="str">
            <v>INT</v>
          </cell>
        </row>
        <row r="258">
          <cell r="E258">
            <v>277000000</v>
          </cell>
          <cell r="F258"/>
          <cell r="G258"/>
          <cell r="H258">
            <v>0.46700000000000003</v>
          </cell>
          <cell r="I258">
            <v>0.3175</v>
          </cell>
          <cell r="J258">
            <v>4310</v>
          </cell>
          <cell r="K258"/>
          <cell r="L258"/>
          <cell r="M258"/>
          <cell r="N258">
            <v>0.53865336658354113</v>
          </cell>
          <cell r="O258">
            <v>0.32012062595088014</v>
          </cell>
          <cell r="P258">
            <v>4310</v>
          </cell>
          <cell r="Q258"/>
          <cell r="AV258" t="str">
            <v>PRY</v>
          </cell>
          <cell r="AW258" t="str">
            <v>Paraguay</v>
          </cell>
          <cell r="AX258" t="str">
            <v>INT</v>
          </cell>
        </row>
        <row r="259">
          <cell r="E259">
            <v>278000000</v>
          </cell>
          <cell r="F259"/>
          <cell r="G259"/>
          <cell r="H259">
            <v>0.46700000000000003</v>
          </cell>
          <cell r="I259">
            <v>0.3175</v>
          </cell>
          <cell r="J259">
            <v>4310</v>
          </cell>
          <cell r="K259"/>
          <cell r="L259"/>
          <cell r="M259"/>
          <cell r="N259">
            <v>0.539227895392279</v>
          </cell>
          <cell r="O259">
            <v>0.32142340648613454</v>
          </cell>
          <cell r="P259">
            <v>4310</v>
          </cell>
          <cell r="Q259"/>
          <cell r="AV259" t="str">
            <v>PER</v>
          </cell>
          <cell r="AW259" t="str">
            <v>Peru</v>
          </cell>
          <cell r="AX259" t="str">
            <v>INT</v>
          </cell>
        </row>
        <row r="260">
          <cell r="E260">
            <v>279000000</v>
          </cell>
          <cell r="F260"/>
          <cell r="G260"/>
          <cell r="H260">
            <v>0.46700000000000003</v>
          </cell>
          <cell r="I260">
            <v>0.3175</v>
          </cell>
          <cell r="J260">
            <v>4310</v>
          </cell>
          <cell r="K260"/>
          <cell r="L260"/>
          <cell r="M260"/>
          <cell r="N260">
            <v>0.53980099502487566</v>
          </cell>
          <cell r="O260">
            <v>0.32272120381062336</v>
          </cell>
          <cell r="P260">
            <v>4310</v>
          </cell>
          <cell r="Q260"/>
          <cell r="AV260" t="str">
            <v>PHL</v>
          </cell>
          <cell r="AW260" t="str">
            <v>Philippines</v>
          </cell>
          <cell r="AX260" t="str">
            <v>INT</v>
          </cell>
        </row>
        <row r="261">
          <cell r="E261">
            <v>280000000</v>
          </cell>
          <cell r="F261"/>
          <cell r="G261"/>
          <cell r="H261">
            <v>0.46700000000000003</v>
          </cell>
          <cell r="I261">
            <v>0.3175</v>
          </cell>
          <cell r="J261">
            <v>4310</v>
          </cell>
          <cell r="K261"/>
          <cell r="L261"/>
          <cell r="M261"/>
          <cell r="N261">
            <v>0.54037267080745355</v>
          </cell>
          <cell r="O261">
            <v>0.324014046461372</v>
          </cell>
          <cell r="P261">
            <v>4310</v>
          </cell>
          <cell r="Q261"/>
          <cell r="AV261" t="str">
            <v>PCN</v>
          </cell>
          <cell r="AW261" t="str">
            <v>Pitcairn</v>
          </cell>
          <cell r="AX261" t="str">
            <v>INT</v>
          </cell>
        </row>
        <row r="262">
          <cell r="E262">
            <v>281000000</v>
          </cell>
          <cell r="F262"/>
          <cell r="G262"/>
          <cell r="H262">
            <v>0.46700000000000003</v>
          </cell>
          <cell r="I262">
            <v>0.3175</v>
          </cell>
          <cell r="J262">
            <v>4310</v>
          </cell>
          <cell r="K262"/>
          <cell r="L262"/>
          <cell r="M262"/>
          <cell r="N262">
            <v>0.54094292803970245</v>
          </cell>
          <cell r="O262">
            <v>0.32530196275792622</v>
          </cell>
          <cell r="P262">
            <v>4310</v>
          </cell>
          <cell r="Q262"/>
          <cell r="AV262" t="str">
            <v>POL</v>
          </cell>
          <cell r="AW262" t="str">
            <v>Poland</v>
          </cell>
          <cell r="AX262" t="str">
            <v>INT</v>
          </cell>
        </row>
        <row r="263">
          <cell r="E263">
            <v>282000000</v>
          </cell>
          <cell r="F263"/>
          <cell r="G263"/>
          <cell r="H263">
            <v>0.46700000000000003</v>
          </cell>
          <cell r="I263">
            <v>0.3175</v>
          </cell>
          <cell r="J263">
            <v>4310</v>
          </cell>
          <cell r="K263"/>
          <cell r="L263"/>
          <cell r="M263"/>
          <cell r="N263">
            <v>0.54151177199504363</v>
          </cell>
          <cell r="O263">
            <v>0.32658498080442006</v>
          </cell>
          <cell r="P263">
            <v>4310</v>
          </cell>
          <cell r="Q263"/>
          <cell r="AV263" t="str">
            <v>PRT</v>
          </cell>
          <cell r="AW263" t="str">
            <v>Portugal</v>
          </cell>
          <cell r="AX263" t="str">
            <v>INT</v>
          </cell>
        </row>
        <row r="264">
          <cell r="E264">
            <v>283000000</v>
          </cell>
          <cell r="F264"/>
          <cell r="G264"/>
          <cell r="H264">
            <v>0.46700000000000003</v>
          </cell>
          <cell r="I264">
            <v>0.3175</v>
          </cell>
          <cell r="J264">
            <v>4310</v>
          </cell>
          <cell r="K264"/>
          <cell r="L264"/>
          <cell r="M264"/>
          <cell r="N264">
            <v>0.54207920792079234</v>
          </cell>
          <cell r="O264">
            <v>0.32786312849161975</v>
          </cell>
          <cell r="P264">
            <v>4310</v>
          </cell>
          <cell r="Q264"/>
          <cell r="AV264" t="str">
            <v>PRI</v>
          </cell>
          <cell r="AW264" t="str">
            <v>Puerto Rico</v>
          </cell>
          <cell r="AX264" t="str">
            <v>INT</v>
          </cell>
        </row>
        <row r="265">
          <cell r="E265">
            <v>284000000</v>
          </cell>
          <cell r="F265"/>
          <cell r="G265"/>
          <cell r="H265">
            <v>0.46700000000000003</v>
          </cell>
          <cell r="I265">
            <v>0.3175</v>
          </cell>
          <cell r="J265">
            <v>4310</v>
          </cell>
          <cell r="K265"/>
          <cell r="L265"/>
          <cell r="M265"/>
          <cell r="N265">
            <v>0.54264524103831924</v>
          </cell>
          <cell r="O265">
            <v>0.32913643349894517</v>
          </cell>
          <cell r="P265">
            <v>4310</v>
          </cell>
          <cell r="Q265"/>
          <cell r="AV265" t="str">
            <v>QAT</v>
          </cell>
          <cell r="AW265" t="str">
            <v>Qatar</v>
          </cell>
          <cell r="AX265" t="str">
            <v>INT</v>
          </cell>
        </row>
        <row r="266">
          <cell r="E266">
            <v>285000000</v>
          </cell>
          <cell r="F266"/>
          <cell r="G266"/>
          <cell r="H266">
            <v>0.46700000000000003</v>
          </cell>
          <cell r="I266">
            <v>0.3175</v>
          </cell>
          <cell r="J266">
            <v>4310</v>
          </cell>
          <cell r="K266"/>
          <cell r="L266"/>
          <cell r="M266"/>
          <cell r="N266">
            <v>0.54320987654321018</v>
          </cell>
          <cell r="O266">
            <v>0.33040492329646765</v>
          </cell>
          <cell r="P266">
            <v>4310</v>
          </cell>
          <cell r="Q266"/>
          <cell r="AV266" t="str">
            <v>REU</v>
          </cell>
          <cell r="AW266" t="str">
            <v>Reunion</v>
          </cell>
          <cell r="AX266" t="str">
            <v>INT</v>
          </cell>
        </row>
        <row r="267">
          <cell r="E267">
            <v>286000000</v>
          </cell>
          <cell r="F267"/>
          <cell r="G267"/>
          <cell r="H267">
            <v>0.46700000000000003</v>
          </cell>
          <cell r="I267">
            <v>0.3175</v>
          </cell>
          <cell r="J267">
            <v>4310</v>
          </cell>
          <cell r="K267"/>
          <cell r="L267"/>
          <cell r="M267"/>
          <cell r="N267">
            <v>0.54377311960542574</v>
          </cell>
          <cell r="O267">
            <v>0.33166862514688555</v>
          </cell>
          <cell r="P267">
            <v>4310</v>
          </cell>
          <cell r="Q267"/>
          <cell r="AV267" t="str">
            <v>ROU</v>
          </cell>
          <cell r="AW267" t="str">
            <v>Romania</v>
          </cell>
          <cell r="AX267" t="str">
            <v>INT</v>
          </cell>
        </row>
        <row r="268">
          <cell r="E268">
            <v>287000000</v>
          </cell>
          <cell r="F268"/>
          <cell r="G268"/>
          <cell r="H268">
            <v>0.46700000000000003</v>
          </cell>
          <cell r="I268">
            <v>0.3175</v>
          </cell>
          <cell r="J268">
            <v>4310</v>
          </cell>
          <cell r="K268"/>
          <cell r="L268"/>
          <cell r="M268"/>
          <cell r="N268">
            <v>0.54433497536945852</v>
          </cell>
          <cell r="O268">
            <v>0.33292756610747748</v>
          </cell>
          <cell r="P268">
            <v>4310</v>
          </cell>
          <cell r="Q268"/>
          <cell r="AV268" t="str">
            <v>RUS</v>
          </cell>
          <cell r="AW268" t="str">
            <v>Russian Federation</v>
          </cell>
          <cell r="AX268" t="str">
            <v>INT</v>
          </cell>
        </row>
        <row r="269">
          <cell r="E269">
            <v>288000000</v>
          </cell>
          <cell r="F269"/>
          <cell r="G269"/>
          <cell r="H269">
            <v>0.46700000000000003</v>
          </cell>
          <cell r="I269">
            <v>0.3175</v>
          </cell>
          <cell r="J269">
            <v>4310</v>
          </cell>
          <cell r="K269"/>
          <cell r="L269"/>
          <cell r="M269"/>
          <cell r="N269">
            <v>0.54489544895449005</v>
          </cell>
          <cell r="O269">
            <v>0.33418177303203322</v>
          </cell>
          <cell r="P269">
            <v>4310</v>
          </cell>
          <cell r="Q269"/>
          <cell r="AV269" t="str">
            <v>RWA</v>
          </cell>
          <cell r="AW269" t="str">
            <v>Rwanda</v>
          </cell>
          <cell r="AX269" t="str">
            <v>INT</v>
          </cell>
        </row>
        <row r="270">
          <cell r="E270">
            <v>289000000</v>
          </cell>
          <cell r="F270"/>
          <cell r="G270"/>
          <cell r="H270">
            <v>0.46700000000000003</v>
          </cell>
          <cell r="I270">
            <v>0.3175</v>
          </cell>
          <cell r="J270">
            <v>4310</v>
          </cell>
          <cell r="K270"/>
          <cell r="L270"/>
          <cell r="M270"/>
          <cell r="N270">
            <v>0.54545454545454597</v>
          </cell>
          <cell r="O270">
            <v>0.33543127257276339</v>
          </cell>
          <cell r="P270">
            <v>4310</v>
          </cell>
          <cell r="Q270"/>
          <cell r="AV270" t="str">
            <v>BLM</v>
          </cell>
          <cell r="AW270" t="str">
            <v>Saint Barthélemy</v>
          </cell>
          <cell r="AX270" t="str">
            <v>INT</v>
          </cell>
        </row>
        <row r="271">
          <cell r="E271">
            <v>290000000</v>
          </cell>
          <cell r="F271"/>
          <cell r="G271"/>
          <cell r="H271">
            <v>0.46700000000000003</v>
          </cell>
          <cell r="I271">
            <v>0.3175</v>
          </cell>
          <cell r="J271">
            <v>4310</v>
          </cell>
          <cell r="K271"/>
          <cell r="L271"/>
          <cell r="M271"/>
          <cell r="N271">
            <v>0.54601226993865082</v>
          </cell>
          <cell r="O271">
            <v>0.33667609118218705</v>
          </cell>
          <cell r="P271">
            <v>4310</v>
          </cell>
          <cell r="Q271"/>
          <cell r="AV271" t="str">
            <v>SHN</v>
          </cell>
          <cell r="AW271" t="str">
            <v>Saint Helena, Ascension and Tristan da Cunha</v>
          </cell>
          <cell r="AX271" t="str">
            <v>INT</v>
          </cell>
        </row>
        <row r="272">
          <cell r="E272">
            <v>291000000</v>
          </cell>
          <cell r="F272"/>
          <cell r="G272"/>
          <cell r="H272">
            <v>0.46700000000000003</v>
          </cell>
          <cell r="I272">
            <v>0.3175</v>
          </cell>
          <cell r="J272">
            <v>4310</v>
          </cell>
          <cell r="K272"/>
          <cell r="L272"/>
          <cell r="M272"/>
          <cell r="N272">
            <v>0.546568627450981</v>
          </cell>
          <cell r="O272">
            <v>0.33791625511499862</v>
          </cell>
          <cell r="P272">
            <v>4310</v>
          </cell>
          <cell r="Q272"/>
          <cell r="AV272" t="str">
            <v>KNA</v>
          </cell>
          <cell r="AW272" t="str">
            <v>Saint Kitts and Nevis</v>
          </cell>
          <cell r="AX272" t="str">
            <v>INT</v>
          </cell>
        </row>
        <row r="273">
          <cell r="E273">
            <v>292000000</v>
          </cell>
          <cell r="F273"/>
          <cell r="G273"/>
          <cell r="H273">
            <v>0.46700000000000003</v>
          </cell>
          <cell r="I273">
            <v>0.3175</v>
          </cell>
          <cell r="J273">
            <v>4310</v>
          </cell>
          <cell r="K273"/>
          <cell r="L273"/>
          <cell r="M273"/>
          <cell r="N273">
            <v>0.54712362301101647</v>
          </cell>
          <cell r="O273">
            <v>0.33915179042991378</v>
          </cell>
          <cell r="P273">
            <v>4310</v>
          </cell>
          <cell r="Q273"/>
          <cell r="AV273" t="str">
            <v>LCA</v>
          </cell>
          <cell r="AW273" t="str">
            <v>Saint Lucia</v>
          </cell>
          <cell r="AX273" t="str">
            <v>INT</v>
          </cell>
        </row>
        <row r="274">
          <cell r="E274">
            <v>293000000</v>
          </cell>
          <cell r="F274"/>
          <cell r="G274"/>
          <cell r="H274">
            <v>0.46700000000000003</v>
          </cell>
          <cell r="I274">
            <v>0.3175</v>
          </cell>
          <cell r="J274">
            <v>4310</v>
          </cell>
          <cell r="K274"/>
          <cell r="L274"/>
          <cell r="M274"/>
          <cell r="N274">
            <v>0.54767726161369257</v>
          </cell>
          <cell r="O274">
            <v>0.3403827229914943</v>
          </cell>
          <cell r="P274">
            <v>4310</v>
          </cell>
          <cell r="Q274"/>
          <cell r="AV274" t="str">
            <v>MAF</v>
          </cell>
          <cell r="AW274" t="str">
            <v>Saint Martin</v>
          </cell>
          <cell r="AX274" t="str">
            <v>INT</v>
          </cell>
        </row>
        <row r="275">
          <cell r="E275">
            <v>294000000</v>
          </cell>
          <cell r="F275"/>
          <cell r="G275"/>
          <cell r="H275">
            <v>0.46700000000000003</v>
          </cell>
          <cell r="I275">
            <v>0.3175</v>
          </cell>
          <cell r="J275">
            <v>4310</v>
          </cell>
          <cell r="K275"/>
          <cell r="L275"/>
          <cell r="M275"/>
          <cell r="N275">
            <v>0.54822954822954895</v>
          </cell>
          <cell r="O275">
            <v>0.34160907847195349</v>
          </cell>
          <cell r="P275">
            <v>4310</v>
          </cell>
          <cell r="Q275"/>
          <cell r="AV275" t="str">
            <v>SPM</v>
          </cell>
          <cell r="AW275" t="str">
            <v>Saint Pierre and Miquelon</v>
          </cell>
          <cell r="AX275" t="str">
            <v>INT</v>
          </cell>
        </row>
        <row r="276">
          <cell r="E276">
            <v>295000000</v>
          </cell>
          <cell r="F276"/>
          <cell r="G276"/>
          <cell r="H276">
            <v>0.46700000000000003</v>
          </cell>
          <cell r="I276">
            <v>0.3175</v>
          </cell>
          <cell r="J276">
            <v>4310</v>
          </cell>
          <cell r="K276"/>
          <cell r="L276"/>
          <cell r="M276"/>
          <cell r="N276">
            <v>0.54878048780487876</v>
          </cell>
          <cell r="O276">
            <v>0.3428308823529404</v>
          </cell>
          <cell r="P276">
            <v>4310</v>
          </cell>
          <cell r="Q276"/>
          <cell r="AV276" t="str">
            <v>VCT</v>
          </cell>
          <cell r="AW276" t="str">
            <v>Saint Vincent and the Grenadines</v>
          </cell>
          <cell r="AX276" t="str">
            <v>INT</v>
          </cell>
        </row>
        <row r="277">
          <cell r="E277">
            <v>296000000</v>
          </cell>
          <cell r="F277"/>
          <cell r="G277"/>
          <cell r="H277">
            <v>0.46700000000000003</v>
          </cell>
          <cell r="I277">
            <v>0.3175</v>
          </cell>
          <cell r="J277">
            <v>4310</v>
          </cell>
          <cell r="K277"/>
          <cell r="L277"/>
          <cell r="M277"/>
          <cell r="N277">
            <v>0.54933008526187654</v>
          </cell>
          <cell r="O277">
            <v>0.34404815992730492</v>
          </cell>
          <cell r="P277">
            <v>4310</v>
          </cell>
          <cell r="Q277"/>
          <cell r="AV277" t="str">
            <v>WSM</v>
          </cell>
          <cell r="AW277" t="str">
            <v>Samoa</v>
          </cell>
          <cell r="AX277" t="str">
            <v>INT</v>
          </cell>
        </row>
        <row r="278">
          <cell r="E278">
            <v>297000000</v>
          </cell>
          <cell r="F278"/>
          <cell r="G278"/>
          <cell r="H278">
            <v>0.46700000000000003</v>
          </cell>
          <cell r="I278">
            <v>0.3175</v>
          </cell>
          <cell r="J278">
            <v>4310</v>
          </cell>
          <cell r="K278"/>
          <cell r="L278"/>
          <cell r="M278"/>
          <cell r="N278">
            <v>0.54987834549878423</v>
          </cell>
          <cell r="O278">
            <v>0.34526093630084337</v>
          </cell>
          <cell r="P278">
            <v>4310</v>
          </cell>
          <cell r="Q278"/>
          <cell r="AV278" t="str">
            <v>SMR</v>
          </cell>
          <cell r="AW278" t="str">
            <v>San Marino</v>
          </cell>
          <cell r="AX278" t="str">
            <v>INT</v>
          </cell>
        </row>
        <row r="279">
          <cell r="E279">
            <v>298000000</v>
          </cell>
          <cell r="F279"/>
          <cell r="G279"/>
          <cell r="H279">
            <v>0.46700000000000003</v>
          </cell>
          <cell r="I279">
            <v>0.3175</v>
          </cell>
          <cell r="J279">
            <v>4310</v>
          </cell>
          <cell r="K279"/>
          <cell r="L279"/>
          <cell r="M279"/>
          <cell r="N279">
            <v>0.55042527339003733</v>
          </cell>
          <cell r="O279">
            <v>0.34646923639402399</v>
          </cell>
          <cell r="P279">
            <v>4310</v>
          </cell>
          <cell r="Q279"/>
          <cell r="AV279" t="str">
            <v>STP</v>
          </cell>
          <cell r="AW279" t="str">
            <v>Sao Tome and Principe</v>
          </cell>
          <cell r="AX279" t="str">
            <v>INT</v>
          </cell>
        </row>
        <row r="280">
          <cell r="E280">
            <v>299000000</v>
          </cell>
          <cell r="F280"/>
          <cell r="G280"/>
          <cell r="H280">
            <v>0.46700000000000003</v>
          </cell>
          <cell r="I280">
            <v>0.3175</v>
          </cell>
          <cell r="J280">
            <v>4310</v>
          </cell>
          <cell r="K280"/>
          <cell r="L280"/>
          <cell r="M280"/>
          <cell r="N280">
            <v>0.55097087378640863</v>
          </cell>
          <cell r="O280">
            <v>0.34767308494369431</v>
          </cell>
          <cell r="P280">
            <v>4310</v>
          </cell>
          <cell r="Q280"/>
          <cell r="AV280" t="str">
            <v>SAU</v>
          </cell>
          <cell r="AW280" t="str">
            <v>Saudi Arabia</v>
          </cell>
          <cell r="AX280" t="str">
            <v>INT</v>
          </cell>
        </row>
        <row r="281">
          <cell r="E281">
            <v>300000000</v>
          </cell>
          <cell r="F281"/>
          <cell r="G281"/>
          <cell r="H281">
            <v>0.46700000000000003</v>
          </cell>
          <cell r="I281">
            <v>0.3175</v>
          </cell>
          <cell r="J281">
            <v>4310</v>
          </cell>
          <cell r="K281"/>
          <cell r="L281"/>
          <cell r="M281"/>
          <cell r="N281">
            <v>0.5515151515151524</v>
          </cell>
          <cell r="O281">
            <v>0.3488725065047692</v>
          </cell>
          <cell r="P281">
            <v>4310</v>
          </cell>
          <cell r="Q281"/>
          <cell r="AV281" t="str">
            <v>SEN</v>
          </cell>
          <cell r="AW281" t="str">
            <v>Senegal</v>
          </cell>
          <cell r="AX281" t="str">
            <v>INT</v>
          </cell>
        </row>
        <row r="282">
          <cell r="E282">
            <v>301000000</v>
          </cell>
          <cell r="F282"/>
          <cell r="G282"/>
          <cell r="H282">
            <v>0.48099999999999998</v>
          </cell>
          <cell r="I282">
            <v>0.45</v>
          </cell>
          <cell r="J282">
            <v>4885</v>
          </cell>
          <cell r="K282"/>
          <cell r="L282"/>
          <cell r="M282"/>
          <cell r="N282">
            <v>0.55205811138014627</v>
          </cell>
          <cell r="O282">
            <v>0.35006752545190012</v>
          </cell>
          <cell r="P282">
            <v>4885</v>
          </cell>
          <cell r="Q282"/>
          <cell r="AV282" t="str">
            <v>SRB</v>
          </cell>
          <cell r="AW282" t="str">
            <v>Serbia</v>
          </cell>
          <cell r="AX282" t="str">
            <v>INT</v>
          </cell>
        </row>
        <row r="283">
          <cell r="E283">
            <v>302000000</v>
          </cell>
          <cell r="F283"/>
          <cell r="G283"/>
          <cell r="H283">
            <v>0.48099999999999998</v>
          </cell>
          <cell r="I283">
            <v>0.45</v>
          </cell>
          <cell r="J283">
            <v>4885</v>
          </cell>
          <cell r="K283"/>
          <cell r="L283"/>
          <cell r="M283"/>
          <cell r="N283">
            <v>0.55259975816203244</v>
          </cell>
          <cell r="O283">
            <v>0.35125816598112647</v>
          </cell>
          <cell r="P283">
            <v>4885</v>
          </cell>
          <cell r="Q283"/>
          <cell r="AV283" t="str">
            <v>SYC</v>
          </cell>
          <cell r="AW283" t="str">
            <v>Seychelles</v>
          </cell>
          <cell r="AX283" t="str">
            <v>INT</v>
          </cell>
        </row>
        <row r="284">
          <cell r="E284">
            <v>303000000</v>
          </cell>
          <cell r="F284"/>
          <cell r="G284"/>
          <cell r="H284">
            <v>0.48099999999999998</v>
          </cell>
          <cell r="I284">
            <v>0.45</v>
          </cell>
          <cell r="J284">
            <v>4885</v>
          </cell>
          <cell r="K284"/>
          <cell r="L284"/>
          <cell r="M284"/>
          <cell r="N284">
            <v>0.5531400966183585</v>
          </cell>
          <cell r="O284">
            <v>0.35244445211150877</v>
          </cell>
          <cell r="P284">
            <v>4885</v>
          </cell>
          <cell r="Q284"/>
          <cell r="AV284" t="str">
            <v>SLE</v>
          </cell>
          <cell r="AW284" t="str">
            <v>Sierra Leone</v>
          </cell>
          <cell r="AX284" t="str">
            <v>INT</v>
          </cell>
        </row>
        <row r="285">
          <cell r="E285">
            <v>304000000</v>
          </cell>
          <cell r="F285"/>
          <cell r="G285"/>
          <cell r="H285">
            <v>0.48099999999999998</v>
          </cell>
          <cell r="I285">
            <v>0.45</v>
          </cell>
          <cell r="J285">
            <v>4885</v>
          </cell>
          <cell r="K285"/>
          <cell r="L285"/>
          <cell r="M285"/>
          <cell r="N285">
            <v>0.55367913148371639</v>
          </cell>
          <cell r="O285">
            <v>0.35362640768674342</v>
          </cell>
          <cell r="P285">
            <v>4885</v>
          </cell>
          <cell r="Q285"/>
          <cell r="AV285" t="str">
            <v>SGP</v>
          </cell>
          <cell r="AW285" t="str">
            <v>Singapore</v>
          </cell>
          <cell r="AX285" t="str">
            <v>INT</v>
          </cell>
        </row>
        <row r="286">
          <cell r="E286">
            <v>305000000</v>
          </cell>
          <cell r="F286"/>
          <cell r="G286"/>
          <cell r="H286">
            <v>0.48099999999999998</v>
          </cell>
          <cell r="I286">
            <v>0.45</v>
          </cell>
          <cell r="J286">
            <v>4885</v>
          </cell>
          <cell r="K286"/>
          <cell r="L286"/>
          <cell r="M286"/>
          <cell r="N286">
            <v>0.55421686746988064</v>
          </cell>
          <cell r="O286">
            <v>0.35480405637676066</v>
          </cell>
          <cell r="P286">
            <v>4885</v>
          </cell>
          <cell r="Q286"/>
          <cell r="AV286" t="str">
            <v>SVK</v>
          </cell>
          <cell r="AW286" t="str">
            <v>Slovakia</v>
          </cell>
          <cell r="AX286" t="str">
            <v>INT</v>
          </cell>
        </row>
        <row r="287">
          <cell r="E287">
            <v>306000000</v>
          </cell>
          <cell r="F287"/>
          <cell r="G287"/>
          <cell r="H287">
            <v>0.48099999999999998</v>
          </cell>
          <cell r="I287">
            <v>0.45</v>
          </cell>
          <cell r="J287">
            <v>4885</v>
          </cell>
          <cell r="K287"/>
          <cell r="L287"/>
          <cell r="M287"/>
          <cell r="N287">
            <v>0.55475330926594579</v>
          </cell>
          <cell r="O287">
            <v>0.35597742167930435</v>
          </cell>
          <cell r="P287">
            <v>4885</v>
          </cell>
          <cell r="Q287"/>
          <cell r="AV287" t="str">
            <v>SVN</v>
          </cell>
          <cell r="AW287" t="str">
            <v>Slovenia</v>
          </cell>
          <cell r="AX287" t="str">
            <v>INT</v>
          </cell>
        </row>
        <row r="288">
          <cell r="E288">
            <v>307000000</v>
          </cell>
          <cell r="F288"/>
          <cell r="G288"/>
          <cell r="H288">
            <v>0.48099999999999998</v>
          </cell>
          <cell r="I288">
            <v>0.45</v>
          </cell>
          <cell r="J288">
            <v>4885</v>
          </cell>
          <cell r="K288"/>
          <cell r="L288"/>
          <cell r="M288"/>
          <cell r="N288">
            <v>0.55528846153846267</v>
          </cell>
          <cell r="O288">
            <v>0.3571465269214949</v>
          </cell>
          <cell r="P288">
            <v>4885</v>
          </cell>
          <cell r="Q288"/>
          <cell r="AV288" t="str">
            <v>SLB</v>
          </cell>
          <cell r="AW288" t="str">
            <v>Solomon Islands</v>
          </cell>
          <cell r="AX288" t="str">
            <v>INT</v>
          </cell>
        </row>
        <row r="289">
          <cell r="E289">
            <v>308000000</v>
          </cell>
          <cell r="F289"/>
          <cell r="G289"/>
          <cell r="H289">
            <v>0.48099999999999998</v>
          </cell>
          <cell r="I289">
            <v>0.45</v>
          </cell>
          <cell r="J289">
            <v>4885</v>
          </cell>
          <cell r="K289"/>
          <cell r="L289"/>
          <cell r="M289"/>
          <cell r="N289">
            <v>0.55582232893157379</v>
          </cell>
          <cell r="O289">
            <v>0.35831139526137523</v>
          </cell>
          <cell r="P289">
            <v>4885</v>
          </cell>
          <cell r="Q289"/>
          <cell r="AV289" t="str">
            <v>SOM</v>
          </cell>
          <cell r="AW289" t="str">
            <v>Somalia</v>
          </cell>
          <cell r="AX289" t="str">
            <v>INT</v>
          </cell>
        </row>
        <row r="290">
          <cell r="E290">
            <v>309000000</v>
          </cell>
          <cell r="F290"/>
          <cell r="G290"/>
          <cell r="H290">
            <v>0.48099999999999998</v>
          </cell>
          <cell r="I290">
            <v>0.45</v>
          </cell>
          <cell r="J290">
            <v>4885</v>
          </cell>
          <cell r="K290"/>
          <cell r="L290"/>
          <cell r="M290"/>
          <cell r="N290">
            <v>0.55635491606714749</v>
          </cell>
          <cell r="O290">
            <v>0.35947204968943974</v>
          </cell>
          <cell r="P290">
            <v>4885</v>
          </cell>
          <cell r="Q290"/>
          <cell r="AV290" t="str">
            <v>ZAF</v>
          </cell>
          <cell r="AW290" t="str">
            <v>South Africa</v>
          </cell>
          <cell r="AX290" t="str">
            <v>INT</v>
          </cell>
        </row>
        <row r="291">
          <cell r="E291">
            <v>310000000</v>
          </cell>
          <cell r="F291"/>
          <cell r="G291"/>
          <cell r="H291">
            <v>0.48099999999999998</v>
          </cell>
          <cell r="I291">
            <v>0.45</v>
          </cell>
          <cell r="J291">
            <v>4885</v>
          </cell>
          <cell r="K291"/>
          <cell r="L291"/>
          <cell r="M291"/>
          <cell r="N291">
            <v>0.55688622754491146</v>
          </cell>
          <cell r="O291">
            <v>0.36062851303014692</v>
          </cell>
          <cell r="P291">
            <v>4885</v>
          </cell>
          <cell r="Q291"/>
          <cell r="AV291" t="str">
            <v>SGS</v>
          </cell>
          <cell r="AW291" t="str">
            <v>South Georgia and the South Sandwich Islands</v>
          </cell>
          <cell r="AX291" t="str">
            <v>INT</v>
          </cell>
        </row>
        <row r="292">
          <cell r="E292">
            <v>311000000</v>
          </cell>
          <cell r="F292"/>
          <cell r="G292"/>
          <cell r="H292">
            <v>0.48099999999999998</v>
          </cell>
          <cell r="I292">
            <v>0.45</v>
          </cell>
          <cell r="J292">
            <v>4885</v>
          </cell>
          <cell r="K292"/>
          <cell r="L292"/>
          <cell r="M292"/>
          <cell r="N292">
            <v>0.55741626794258503</v>
          </cell>
          <cell r="O292">
            <v>0.36178080794341544</v>
          </cell>
          <cell r="P292">
            <v>4885</v>
          </cell>
          <cell r="Q292"/>
          <cell r="AV292" t="str">
            <v>ESP</v>
          </cell>
          <cell r="AW292" t="str">
            <v>Spain</v>
          </cell>
          <cell r="AX292" t="str">
            <v>INT</v>
          </cell>
        </row>
        <row r="293">
          <cell r="E293">
            <v>312000000</v>
          </cell>
          <cell r="F293"/>
          <cell r="G293"/>
          <cell r="H293">
            <v>0.48099999999999998</v>
          </cell>
          <cell r="I293">
            <v>0.45</v>
          </cell>
          <cell r="J293">
            <v>4885</v>
          </cell>
          <cell r="K293"/>
          <cell r="L293"/>
          <cell r="M293"/>
          <cell r="N293">
            <v>0.5579450418160109</v>
          </cell>
          <cell r="O293">
            <v>0.36292895692610433</v>
          </cell>
          <cell r="P293">
            <v>4885</v>
          </cell>
          <cell r="Q293"/>
          <cell r="AV293" t="str">
            <v>LKA</v>
          </cell>
          <cell r="AW293" t="str">
            <v>Sri Lanka</v>
          </cell>
          <cell r="AX293" t="str">
            <v>INT</v>
          </cell>
        </row>
        <row r="294">
          <cell r="E294">
            <v>313000000</v>
          </cell>
          <cell r="F294"/>
          <cell r="G294"/>
          <cell r="H294">
            <v>0.48099999999999998</v>
          </cell>
          <cell r="I294">
            <v>0.45</v>
          </cell>
          <cell r="J294">
            <v>4885</v>
          </cell>
          <cell r="K294"/>
          <cell r="L294"/>
          <cell r="M294"/>
          <cell r="N294">
            <v>0.55847255369928539</v>
          </cell>
          <cell r="O294">
            <v>0.36407298231347696</v>
          </cell>
          <cell r="P294">
            <v>4885</v>
          </cell>
          <cell r="Q294"/>
          <cell r="AV294" t="str">
            <v>SDN</v>
          </cell>
          <cell r="AW294" t="str">
            <v>Sudan</v>
          </cell>
          <cell r="AX294" t="str">
            <v>INT</v>
          </cell>
        </row>
        <row r="295">
          <cell r="E295">
            <v>314000000</v>
          </cell>
          <cell r="F295"/>
          <cell r="G295"/>
          <cell r="H295">
            <v>0.48099999999999998</v>
          </cell>
          <cell r="I295">
            <v>0.45</v>
          </cell>
          <cell r="J295">
            <v>4885</v>
          </cell>
          <cell r="K295"/>
          <cell r="L295"/>
          <cell r="M295"/>
          <cell r="N295">
            <v>0.55899880810488822</v>
          </cell>
          <cell r="O295">
            <v>0.36521290628064934</v>
          </cell>
          <cell r="P295">
            <v>4885</v>
          </cell>
          <cell r="Q295"/>
          <cell r="AV295" t="str">
            <v>SUR</v>
          </cell>
          <cell r="AW295" t="str">
            <v>Suriname</v>
          </cell>
          <cell r="AX295" t="str">
            <v>INT</v>
          </cell>
        </row>
        <row r="296">
          <cell r="E296">
            <v>315000000</v>
          </cell>
          <cell r="F296"/>
          <cell r="G296"/>
          <cell r="H296">
            <v>0.48099999999999998</v>
          </cell>
          <cell r="I296">
            <v>0.45</v>
          </cell>
          <cell r="J296">
            <v>4885</v>
          </cell>
          <cell r="K296"/>
          <cell r="L296"/>
          <cell r="M296"/>
          <cell r="N296">
            <v>0.55952380952381098</v>
          </cell>
          <cell r="O296">
            <v>0.36634875084402285</v>
          </cell>
          <cell r="P296">
            <v>4885</v>
          </cell>
          <cell r="Q296"/>
          <cell r="AV296" t="str">
            <v>SJM</v>
          </cell>
          <cell r="AW296" t="str">
            <v>Svalbard and Jan Mayen</v>
          </cell>
          <cell r="AX296" t="str">
            <v>INT</v>
          </cell>
        </row>
        <row r="297">
          <cell r="E297">
            <v>316000000</v>
          </cell>
          <cell r="F297"/>
          <cell r="G297"/>
          <cell r="H297">
            <v>0.48099999999999998</v>
          </cell>
          <cell r="I297">
            <v>0.45</v>
          </cell>
          <cell r="J297">
            <v>4885</v>
          </cell>
          <cell r="K297"/>
          <cell r="L297"/>
          <cell r="M297"/>
          <cell r="N297">
            <v>0.56004756242568521</v>
          </cell>
          <cell r="O297">
            <v>0.36748053786270202</v>
          </cell>
          <cell r="P297">
            <v>4885</v>
          </cell>
          <cell r="Q297"/>
          <cell r="AV297" t="str">
            <v>SWZ</v>
          </cell>
          <cell r="AW297" t="str">
            <v>Swaziland</v>
          </cell>
          <cell r="AX297" t="str">
            <v>INT</v>
          </cell>
        </row>
        <row r="298">
          <cell r="E298">
            <v>317000000</v>
          </cell>
          <cell r="F298"/>
          <cell r="G298"/>
          <cell r="H298">
            <v>0.48099999999999998</v>
          </cell>
          <cell r="I298">
            <v>0.45</v>
          </cell>
          <cell r="J298">
            <v>4885</v>
          </cell>
          <cell r="K298"/>
          <cell r="L298"/>
          <cell r="M298"/>
          <cell r="N298">
            <v>0.5605700712589089</v>
          </cell>
          <cell r="O298">
            <v>0.36860828903989623</v>
          </cell>
          <cell r="P298">
            <v>4885</v>
          </cell>
          <cell r="Q298"/>
          <cell r="AV298" t="str">
            <v>SWE</v>
          </cell>
          <cell r="AW298" t="str">
            <v>Sweden</v>
          </cell>
          <cell r="AX298" t="str">
            <v>INT</v>
          </cell>
        </row>
        <row r="299">
          <cell r="E299">
            <v>318000000</v>
          </cell>
          <cell r="F299"/>
          <cell r="G299"/>
          <cell r="H299">
            <v>0.48099999999999998</v>
          </cell>
          <cell r="I299">
            <v>0.45</v>
          </cell>
          <cell r="J299">
            <v>4885</v>
          </cell>
          <cell r="K299"/>
          <cell r="L299"/>
          <cell r="M299"/>
          <cell r="N299">
            <v>0.56109134045077258</v>
          </cell>
          <cell r="O299">
            <v>0.36973202592430754</v>
          </cell>
          <cell r="P299">
            <v>4885</v>
          </cell>
          <cell r="Q299"/>
          <cell r="AV299" t="str">
            <v>CHE</v>
          </cell>
          <cell r="AW299" t="str">
            <v>Switzerland</v>
          </cell>
          <cell r="AX299" t="str">
            <v>INT</v>
          </cell>
        </row>
        <row r="300">
          <cell r="E300">
            <v>319000000</v>
          </cell>
          <cell r="F300"/>
          <cell r="G300"/>
          <cell r="H300">
            <v>0.48099999999999998</v>
          </cell>
          <cell r="I300">
            <v>0.45</v>
          </cell>
          <cell r="J300">
            <v>4885</v>
          </cell>
          <cell r="K300"/>
          <cell r="L300"/>
          <cell r="M300"/>
          <cell r="N300">
            <v>0.56161137440758457</v>
          </cell>
          <cell r="O300">
            <v>0.37085176991150287</v>
          </cell>
          <cell r="P300">
            <v>4885</v>
          </cell>
          <cell r="Q300"/>
          <cell r="AV300" t="str">
            <v>SYR</v>
          </cell>
          <cell r="AW300" t="str">
            <v>Syria</v>
          </cell>
          <cell r="AX300" t="str">
            <v>INT</v>
          </cell>
        </row>
        <row r="301">
          <cell r="E301">
            <v>320000000</v>
          </cell>
          <cell r="F301"/>
          <cell r="G301"/>
          <cell r="H301">
            <v>0.48099999999999998</v>
          </cell>
          <cell r="I301">
            <v>0.45</v>
          </cell>
          <cell r="J301">
            <v>4885</v>
          </cell>
          <cell r="K301"/>
          <cell r="L301"/>
          <cell r="M301"/>
          <cell r="N301">
            <v>0.56213017751479455</v>
          </cell>
          <cell r="O301">
            <v>0.37196754224527195</v>
          </cell>
          <cell r="P301">
            <v>4885</v>
          </cell>
          <cell r="Q301"/>
          <cell r="AV301" t="str">
            <v>TWN</v>
          </cell>
          <cell r="AW301" t="str">
            <v>Taiwan</v>
          </cell>
          <cell r="AX301" t="str">
            <v>INT</v>
          </cell>
        </row>
        <row r="302">
          <cell r="E302">
            <v>321000000</v>
          </cell>
          <cell r="F302"/>
          <cell r="G302"/>
          <cell r="H302">
            <v>0.48099999999999998</v>
          </cell>
          <cell r="I302">
            <v>0.45</v>
          </cell>
          <cell r="J302">
            <v>4885</v>
          </cell>
          <cell r="K302"/>
          <cell r="L302"/>
          <cell r="M302"/>
          <cell r="N302">
            <v>0.56264775413711754</v>
          </cell>
          <cell r="O302">
            <v>0.37307936401897096</v>
          </cell>
          <cell r="P302">
            <v>4885</v>
          </cell>
          <cell r="Q302"/>
          <cell r="AV302" t="str">
            <v>TJK</v>
          </cell>
          <cell r="AW302" t="str">
            <v>Tajikistan</v>
          </cell>
          <cell r="AX302" t="str">
            <v>INT</v>
          </cell>
        </row>
        <row r="303">
          <cell r="E303">
            <v>322000000</v>
          </cell>
          <cell r="F303"/>
          <cell r="G303"/>
          <cell r="H303">
            <v>0.48099999999999998</v>
          </cell>
          <cell r="I303">
            <v>0.45</v>
          </cell>
          <cell r="J303">
            <v>4885</v>
          </cell>
          <cell r="K303"/>
          <cell r="L303"/>
          <cell r="M303"/>
          <cell r="N303">
            <v>0.56316410861865573</v>
          </cell>
          <cell r="O303">
            <v>0.37418725617685145</v>
          </cell>
          <cell r="P303">
            <v>4885</v>
          </cell>
          <cell r="Q303"/>
          <cell r="AV303" t="str">
            <v>TZA</v>
          </cell>
          <cell r="AW303" t="str">
            <v>Tanzania</v>
          </cell>
          <cell r="AX303" t="str">
            <v>INT</v>
          </cell>
        </row>
        <row r="304">
          <cell r="E304">
            <v>323000000</v>
          </cell>
          <cell r="F304"/>
          <cell r="G304"/>
          <cell r="H304">
            <v>0.48099999999999998</v>
          </cell>
          <cell r="I304">
            <v>0.45</v>
          </cell>
          <cell r="J304">
            <v>4885</v>
          </cell>
          <cell r="K304"/>
          <cell r="L304"/>
          <cell r="M304"/>
          <cell r="N304">
            <v>0.5636792452830206</v>
          </cell>
          <cell r="O304">
            <v>0.3752912395153758</v>
          </cell>
          <cell r="P304">
            <v>4885</v>
          </cell>
          <cell r="Q304"/>
          <cell r="AV304" t="str">
            <v>THA</v>
          </cell>
          <cell r="AW304" t="str">
            <v>Thailand</v>
          </cell>
          <cell r="AX304" t="str">
            <v>INT</v>
          </cell>
        </row>
        <row r="305">
          <cell r="E305">
            <v>324000000</v>
          </cell>
          <cell r="F305"/>
          <cell r="G305"/>
          <cell r="H305">
            <v>0.48099999999999998</v>
          </cell>
          <cell r="I305">
            <v>0.45</v>
          </cell>
          <cell r="J305">
            <v>4885</v>
          </cell>
          <cell r="K305"/>
          <cell r="L305"/>
          <cell r="M305"/>
          <cell r="N305">
            <v>0.56419316843345291</v>
          </cell>
          <cell r="O305">
            <v>0.37639133468451835</v>
          </cell>
          <cell r="P305">
            <v>4885</v>
          </cell>
          <cell r="Q305"/>
          <cell r="AV305" t="str">
            <v>TLS</v>
          </cell>
          <cell r="AW305" t="str">
            <v>Timor-Leste</v>
          </cell>
          <cell r="AX305" t="str">
            <v>INT</v>
          </cell>
        </row>
        <row r="306">
          <cell r="E306">
            <v>325000000</v>
          </cell>
          <cell r="F306"/>
          <cell r="G306"/>
          <cell r="H306">
            <v>0.48099999999999998</v>
          </cell>
          <cell r="I306">
            <v>0.45</v>
          </cell>
          <cell r="J306">
            <v>4885</v>
          </cell>
          <cell r="K306"/>
          <cell r="L306"/>
          <cell r="M306"/>
          <cell r="N306">
            <v>0.56470588235294294</v>
          </cell>
          <cell r="O306">
            <v>0.37748756218905299</v>
          </cell>
          <cell r="P306">
            <v>4885</v>
          </cell>
          <cell r="Q306"/>
          <cell r="AV306" t="str">
            <v>TGO</v>
          </cell>
          <cell r="AW306" t="str">
            <v>Togo</v>
          </cell>
          <cell r="AX306" t="str">
            <v>INT</v>
          </cell>
        </row>
        <row r="307">
          <cell r="E307">
            <v>326000000</v>
          </cell>
          <cell r="F307"/>
          <cell r="G307"/>
          <cell r="H307">
            <v>0.48099999999999998</v>
          </cell>
          <cell r="I307">
            <v>0.45</v>
          </cell>
          <cell r="J307">
            <v>4885</v>
          </cell>
          <cell r="K307"/>
          <cell r="L307"/>
          <cell r="M307"/>
          <cell r="N307">
            <v>0.56521739130434967</v>
          </cell>
          <cell r="O307">
            <v>0.37857994238982706</v>
          </cell>
          <cell r="P307">
            <v>4885</v>
          </cell>
          <cell r="Q307"/>
          <cell r="AV307" t="str">
            <v>TKL</v>
          </cell>
          <cell r="AW307" t="str">
            <v>Tokelau</v>
          </cell>
          <cell r="AX307" t="str">
            <v>INT</v>
          </cell>
        </row>
        <row r="308">
          <cell r="E308">
            <v>327000000</v>
          </cell>
          <cell r="F308"/>
          <cell r="G308"/>
          <cell r="H308">
            <v>0.48099999999999998</v>
          </cell>
          <cell r="I308">
            <v>0.45</v>
          </cell>
          <cell r="J308">
            <v>4885</v>
          </cell>
          <cell r="K308"/>
          <cell r="L308"/>
          <cell r="M308"/>
          <cell r="N308">
            <v>0.56572769953051827</v>
          </cell>
          <cell r="O308">
            <v>0.37966849550502202</v>
          </cell>
          <cell r="P308">
            <v>4885</v>
          </cell>
          <cell r="Q308"/>
          <cell r="AV308" t="str">
            <v>TON</v>
          </cell>
          <cell r="AW308" t="str">
            <v>Tonga</v>
          </cell>
          <cell r="AX308" t="str">
            <v>INT</v>
          </cell>
        </row>
        <row r="309">
          <cell r="E309">
            <v>328000000</v>
          </cell>
          <cell r="F309"/>
          <cell r="G309"/>
          <cell r="H309">
            <v>0.48099999999999998</v>
          </cell>
          <cell r="I309">
            <v>0.45</v>
          </cell>
          <cell r="J309">
            <v>4885</v>
          </cell>
          <cell r="K309"/>
          <cell r="L309"/>
          <cell r="M309"/>
          <cell r="N309">
            <v>0.56623681125439818</v>
          </cell>
          <cell r="O309">
            <v>0.38075324161140073</v>
          </cell>
          <cell r="P309">
            <v>4885</v>
          </cell>
          <cell r="Q309"/>
          <cell r="AV309" t="str">
            <v>TTO</v>
          </cell>
          <cell r="AW309" t="str">
            <v>Trinidad and Tobago</v>
          </cell>
          <cell r="AX309" t="str">
            <v>INT</v>
          </cell>
        </row>
        <row r="310">
          <cell r="E310">
            <v>329000000</v>
          </cell>
          <cell r="F310"/>
          <cell r="G310"/>
          <cell r="H310">
            <v>0.48099999999999998</v>
          </cell>
          <cell r="I310">
            <v>0.45</v>
          </cell>
          <cell r="J310">
            <v>4885</v>
          </cell>
          <cell r="K310"/>
          <cell r="L310"/>
          <cell r="M310"/>
          <cell r="N310">
            <v>0.56674473067915887</v>
          </cell>
          <cell r="O310">
            <v>0.38183420064554197</v>
          </cell>
          <cell r="P310">
            <v>4885</v>
          </cell>
          <cell r="Q310"/>
          <cell r="AV310" t="str">
            <v>TUN</v>
          </cell>
          <cell r="AW310" t="str">
            <v>Tunisia</v>
          </cell>
          <cell r="AX310" t="str">
            <v>INT</v>
          </cell>
        </row>
        <row r="311">
          <cell r="E311">
            <v>330000000</v>
          </cell>
          <cell r="F311"/>
          <cell r="G311"/>
          <cell r="H311">
            <v>0.48099999999999998</v>
          </cell>
          <cell r="I311">
            <v>0.45</v>
          </cell>
          <cell r="J311">
            <v>4885</v>
          </cell>
          <cell r="K311"/>
          <cell r="L311"/>
          <cell r="M311"/>
          <cell r="N311">
            <v>0.567251461988306</v>
          </cell>
          <cell r="O311">
            <v>0.38291139240506145</v>
          </cell>
          <cell r="P311">
            <v>4885</v>
          </cell>
          <cell r="Q311"/>
          <cell r="AV311" t="str">
            <v>TUR</v>
          </cell>
          <cell r="AW311" t="str">
            <v>Turkey</v>
          </cell>
          <cell r="AX311" t="str">
            <v>INT</v>
          </cell>
        </row>
        <row r="312">
          <cell r="E312">
            <v>331000000</v>
          </cell>
          <cell r="F312"/>
          <cell r="G312"/>
          <cell r="H312">
            <v>0.48099999999999998</v>
          </cell>
          <cell r="I312">
            <v>0.45</v>
          </cell>
          <cell r="J312">
            <v>4885</v>
          </cell>
          <cell r="K312"/>
          <cell r="L312"/>
          <cell r="M312"/>
          <cell r="N312">
            <v>0.56775700934579632</v>
          </cell>
          <cell r="O312">
            <v>0.38398483654982091</v>
          </cell>
          <cell r="P312">
            <v>4885</v>
          </cell>
          <cell r="Q312"/>
          <cell r="AV312" t="str">
            <v>TKM</v>
          </cell>
          <cell r="AW312" t="str">
            <v>Turkmenistan</v>
          </cell>
          <cell r="AX312" t="str">
            <v>INT</v>
          </cell>
        </row>
        <row r="313">
          <cell r="E313">
            <v>332000000</v>
          </cell>
          <cell r="F313"/>
          <cell r="G313"/>
          <cell r="H313">
            <v>0.48099999999999998</v>
          </cell>
          <cell r="I313">
            <v>0.45</v>
          </cell>
          <cell r="J313">
            <v>4885</v>
          </cell>
          <cell r="K313"/>
          <cell r="L313"/>
          <cell r="M313"/>
          <cell r="N313">
            <v>0.56826137689615142</v>
          </cell>
          <cell r="O313">
            <v>0.38505455260312382</v>
          </cell>
          <cell r="P313">
            <v>4885</v>
          </cell>
          <cell r="Q313"/>
          <cell r="AV313" t="str">
            <v>TCA</v>
          </cell>
          <cell r="AW313" t="str">
            <v>Turks and Caicos Islands</v>
          </cell>
          <cell r="AX313" t="str">
            <v>INT</v>
          </cell>
        </row>
        <row r="314">
          <cell r="E314">
            <v>333000000</v>
          </cell>
          <cell r="F314"/>
          <cell r="G314"/>
          <cell r="H314">
            <v>0.48099999999999998</v>
          </cell>
          <cell r="I314">
            <v>0.45</v>
          </cell>
          <cell r="J314">
            <v>4885</v>
          </cell>
          <cell r="K314"/>
          <cell r="L314"/>
          <cell r="M314"/>
          <cell r="N314">
            <v>0.56876456876457082</v>
          </cell>
          <cell r="O314">
            <v>0.38612055995289923</v>
          </cell>
          <cell r="P314">
            <v>4885</v>
          </cell>
          <cell r="Q314"/>
          <cell r="AV314" t="str">
            <v>TUV</v>
          </cell>
          <cell r="AW314" t="str">
            <v>Tuvalu</v>
          </cell>
          <cell r="AX314" t="str">
            <v>INT</v>
          </cell>
        </row>
        <row r="315">
          <cell r="E315">
            <v>334000000</v>
          </cell>
          <cell r="F315"/>
          <cell r="G315"/>
          <cell r="H315">
            <v>0.48099999999999998</v>
          </cell>
          <cell r="I315">
            <v>0.45</v>
          </cell>
          <cell r="J315">
            <v>4885</v>
          </cell>
          <cell r="K315"/>
          <cell r="L315"/>
          <cell r="M315"/>
          <cell r="N315">
            <v>0.56926658905704519</v>
          </cell>
          <cell r="O315">
            <v>0.38718287785287298</v>
          </cell>
          <cell r="P315">
            <v>4885</v>
          </cell>
          <cell r="Q315"/>
          <cell r="AV315" t="str">
            <v>UGA</v>
          </cell>
          <cell r="AW315" t="str">
            <v>Uganda</v>
          </cell>
          <cell r="AX315" t="str">
            <v>INT</v>
          </cell>
        </row>
        <row r="316">
          <cell r="E316">
            <v>335000000</v>
          </cell>
          <cell r="F316"/>
          <cell r="G316"/>
          <cell r="H316">
            <v>0.48099999999999998</v>
          </cell>
          <cell r="I316">
            <v>0.45</v>
          </cell>
          <cell r="J316">
            <v>4885</v>
          </cell>
          <cell r="K316"/>
          <cell r="L316"/>
          <cell r="M316"/>
          <cell r="N316">
            <v>0.56976744186046724</v>
          </cell>
          <cell r="O316">
            <v>0.38824152542372681</v>
          </cell>
          <cell r="P316">
            <v>4885</v>
          </cell>
          <cell r="Q316"/>
          <cell r="AV316" t="str">
            <v>UKR</v>
          </cell>
          <cell r="AW316" t="str">
            <v>Ukraine</v>
          </cell>
          <cell r="AX316" t="str">
            <v>INT</v>
          </cell>
        </row>
        <row r="317">
          <cell r="E317">
            <v>336000000</v>
          </cell>
          <cell r="F317"/>
          <cell r="G317"/>
          <cell r="H317">
            <v>0.48099999999999998</v>
          </cell>
          <cell r="I317">
            <v>0.45</v>
          </cell>
          <cell r="J317">
            <v>4885</v>
          </cell>
          <cell r="K317"/>
          <cell r="L317"/>
          <cell r="M317"/>
          <cell r="N317">
            <v>0.57026713124274309</v>
          </cell>
          <cell r="O317">
            <v>0.38929652165424589</v>
          </cell>
          <cell r="P317">
            <v>4885</v>
          </cell>
          <cell r="Q317"/>
          <cell r="AV317" t="str">
            <v>ARE</v>
          </cell>
          <cell r="AW317" t="str">
            <v>United Arab Emirates</v>
          </cell>
          <cell r="AX317" t="str">
            <v>INT</v>
          </cell>
        </row>
        <row r="318">
          <cell r="E318">
            <v>337000000</v>
          </cell>
          <cell r="F318"/>
          <cell r="G318"/>
          <cell r="H318">
            <v>0.48099999999999998</v>
          </cell>
          <cell r="I318">
            <v>0.45</v>
          </cell>
          <cell r="J318">
            <v>4885</v>
          </cell>
          <cell r="K318"/>
          <cell r="L318"/>
          <cell r="M318"/>
          <cell r="N318">
            <v>0.5707656612529024</v>
          </cell>
          <cell r="O318">
            <v>0.39034788540245363</v>
          </cell>
          <cell r="P318">
            <v>4885</v>
          </cell>
          <cell r="Q318"/>
          <cell r="AV318" t="str">
            <v>GBR</v>
          </cell>
          <cell r="AW318" t="str">
            <v>United Kingdom</v>
          </cell>
          <cell r="AX318" t="str">
            <v>INT</v>
          </cell>
        </row>
        <row r="319">
          <cell r="E319">
            <v>338000000</v>
          </cell>
          <cell r="F319"/>
          <cell r="G319"/>
          <cell r="H319">
            <v>0.48099999999999998</v>
          </cell>
          <cell r="I319">
            <v>0.45</v>
          </cell>
          <cell r="J319">
            <v>4885</v>
          </cell>
          <cell r="K319"/>
          <cell r="L319"/>
          <cell r="M319"/>
          <cell r="N319">
            <v>0.57126303592120731</v>
          </cell>
          <cell r="O319">
            <v>0.39139563539673583</v>
          </cell>
          <cell r="P319">
            <v>4885</v>
          </cell>
          <cell r="Q319"/>
          <cell r="AV319" t="str">
            <v>USA</v>
          </cell>
          <cell r="AW319" t="str">
            <v>United States</v>
          </cell>
          <cell r="AX319" t="str">
            <v>INT</v>
          </cell>
        </row>
        <row r="320">
          <cell r="E320">
            <v>339000000</v>
          </cell>
          <cell r="F320"/>
          <cell r="G320"/>
          <cell r="H320">
            <v>0.48099999999999998</v>
          </cell>
          <cell r="I320">
            <v>0.45</v>
          </cell>
          <cell r="J320">
            <v>4885</v>
          </cell>
          <cell r="K320"/>
          <cell r="L320"/>
          <cell r="M320"/>
          <cell r="N320">
            <v>0.57175925925926152</v>
          </cell>
          <cell r="O320">
            <v>0.39243979023695247</v>
          </cell>
          <cell r="P320">
            <v>4885</v>
          </cell>
          <cell r="Q320"/>
          <cell r="AV320" t="str">
            <v>UMI</v>
          </cell>
          <cell r="AW320" t="str">
            <v>United States Minor Outlying Islands</v>
          </cell>
          <cell r="AX320" t="str">
            <v>INT</v>
          </cell>
        </row>
        <row r="321">
          <cell r="E321">
            <v>340000000</v>
          </cell>
          <cell r="F321"/>
          <cell r="G321"/>
          <cell r="H321">
            <v>0.48099999999999998</v>
          </cell>
          <cell r="I321">
            <v>0.45</v>
          </cell>
          <cell r="J321">
            <v>4885</v>
          </cell>
          <cell r="K321"/>
          <cell r="L321"/>
          <cell r="M321"/>
          <cell r="N321">
            <v>0.57225433526011782</v>
          </cell>
          <cell r="O321">
            <v>0.39348036839553835</v>
          </cell>
          <cell r="P321">
            <v>4885</v>
          </cell>
          <cell r="Q321"/>
          <cell r="AV321" t="str">
            <v>URY</v>
          </cell>
          <cell r="AW321" t="str">
            <v>Uruguay</v>
          </cell>
          <cell r="AX321" t="str">
            <v>INT</v>
          </cell>
        </row>
        <row r="322">
          <cell r="E322">
            <v>341000000</v>
          </cell>
          <cell r="F322"/>
          <cell r="G322"/>
          <cell r="H322">
            <v>0.48099999999999998</v>
          </cell>
          <cell r="I322">
            <v>0.45</v>
          </cell>
          <cell r="J322">
            <v>4885</v>
          </cell>
          <cell r="K322"/>
          <cell r="L322"/>
          <cell r="M322"/>
          <cell r="N322">
            <v>0.57274826789838562</v>
          </cell>
          <cell r="O322">
            <v>0.39451738821859261</v>
          </cell>
          <cell r="P322">
            <v>4885</v>
          </cell>
          <cell r="Q322"/>
          <cell r="AV322" t="str">
            <v>UZB</v>
          </cell>
          <cell r="AW322" t="str">
            <v>Uzbekistan</v>
          </cell>
          <cell r="AX322" t="str">
            <v>INT</v>
          </cell>
        </row>
        <row r="323">
          <cell r="E323">
            <v>342000000</v>
          </cell>
          <cell r="F323"/>
          <cell r="G323"/>
          <cell r="H323">
            <v>0.48099999999999998</v>
          </cell>
          <cell r="I323">
            <v>0.45</v>
          </cell>
          <cell r="J323">
            <v>4885</v>
          </cell>
          <cell r="K323"/>
          <cell r="L323"/>
          <cell r="M323"/>
          <cell r="N323">
            <v>0.57324106113033679</v>
          </cell>
          <cell r="O323">
            <v>0.39555086792695671</v>
          </cell>
          <cell r="P323">
            <v>4885</v>
          </cell>
          <cell r="Q323"/>
          <cell r="AV323" t="str">
            <v>VUT</v>
          </cell>
          <cell r="AW323" t="str">
            <v>Vanuatu</v>
          </cell>
          <cell r="AX323" t="str">
            <v>INT</v>
          </cell>
        </row>
        <row r="324">
          <cell r="E324">
            <v>343000000</v>
          </cell>
          <cell r="F324"/>
          <cell r="G324"/>
          <cell r="H324">
            <v>0.48099999999999998</v>
          </cell>
          <cell r="I324">
            <v>0.45</v>
          </cell>
          <cell r="J324">
            <v>4885</v>
          </cell>
          <cell r="K324"/>
          <cell r="L324"/>
          <cell r="M324"/>
          <cell r="N324">
            <v>0.57373271889401156</v>
          </cell>
          <cell r="O324">
            <v>0.39658082561728175</v>
          </cell>
          <cell r="P324">
            <v>4885</v>
          </cell>
          <cell r="Q324"/>
          <cell r="AV324" t="str">
            <v>VEN</v>
          </cell>
          <cell r="AW324" t="str">
            <v>Venezuela</v>
          </cell>
          <cell r="AX324" t="str">
            <v>INT</v>
          </cell>
        </row>
        <row r="325">
          <cell r="E325">
            <v>344000000</v>
          </cell>
          <cell r="F325"/>
          <cell r="G325"/>
          <cell r="H325">
            <v>0.48099999999999998</v>
          </cell>
          <cell r="I325">
            <v>0.45</v>
          </cell>
          <cell r="J325">
            <v>4885</v>
          </cell>
          <cell r="K325"/>
          <cell r="L325"/>
          <cell r="M325"/>
          <cell r="N325">
            <v>0.57422324510932343</v>
          </cell>
          <cell r="O325">
            <v>0.39760727926308476</v>
          </cell>
          <cell r="P325">
            <v>4885</v>
          </cell>
          <cell r="Q325"/>
          <cell r="AV325" t="str">
            <v>VNM</v>
          </cell>
          <cell r="AW325" t="str">
            <v>Viet Nam</v>
          </cell>
          <cell r="AX325" t="str">
            <v>INT</v>
          </cell>
        </row>
        <row r="326">
          <cell r="E326">
            <v>345000000</v>
          </cell>
          <cell r="F326"/>
          <cell r="G326"/>
          <cell r="H326">
            <v>0.48099999999999998</v>
          </cell>
          <cell r="I326">
            <v>0.45</v>
          </cell>
          <cell r="J326">
            <v>4885</v>
          </cell>
          <cell r="K326"/>
          <cell r="L326"/>
          <cell r="M326"/>
          <cell r="N326">
            <v>0.57471264367816333</v>
          </cell>
          <cell r="O326">
            <v>0.398630246715794</v>
          </cell>
          <cell r="P326">
            <v>4885</v>
          </cell>
          <cell r="Q326"/>
          <cell r="AV326" t="str">
            <v>VGB</v>
          </cell>
          <cell r="AW326" t="str">
            <v>Virgin Islands, British</v>
          </cell>
          <cell r="AX326" t="str">
            <v>INT</v>
          </cell>
        </row>
        <row r="327">
          <cell r="E327">
            <v>346000000</v>
          </cell>
          <cell r="F327"/>
          <cell r="G327"/>
          <cell r="H327">
            <v>0.48099999999999998</v>
          </cell>
          <cell r="I327">
            <v>0.45</v>
          </cell>
          <cell r="J327">
            <v>4885</v>
          </cell>
          <cell r="K327"/>
          <cell r="L327"/>
          <cell r="M327"/>
          <cell r="N327">
            <v>0.57520091848450305</v>
          </cell>
          <cell r="O327">
            <v>0.39964974570578415</v>
          </cell>
          <cell r="P327">
            <v>4885</v>
          </cell>
          <cell r="Q327"/>
          <cell r="AV327" t="str">
            <v>VIR</v>
          </cell>
          <cell r="AW327" t="str">
            <v>Virgin Islands, U.S.</v>
          </cell>
          <cell r="AX327" t="str">
            <v>INT</v>
          </cell>
        </row>
        <row r="328">
          <cell r="E328">
            <v>347000000</v>
          </cell>
          <cell r="F328"/>
          <cell r="G328"/>
          <cell r="H328">
            <v>0.48099999999999998</v>
          </cell>
          <cell r="I328">
            <v>0.45</v>
          </cell>
          <cell r="J328">
            <v>4885</v>
          </cell>
          <cell r="K328"/>
          <cell r="L328"/>
          <cell r="M328"/>
          <cell r="N328">
            <v>0.5756880733944979</v>
          </cell>
          <cell r="O328">
            <v>0.40066579384340045</v>
          </cell>
          <cell r="P328">
            <v>4885</v>
          </cell>
          <cell r="Q328"/>
          <cell r="AV328" t="str">
            <v>WLF</v>
          </cell>
          <cell r="AW328" t="str">
            <v>Wallis and Futuna</v>
          </cell>
          <cell r="AX328" t="str">
            <v>INT</v>
          </cell>
        </row>
        <row r="329">
          <cell r="E329">
            <v>348000000</v>
          </cell>
          <cell r="F329"/>
          <cell r="G329"/>
          <cell r="H329">
            <v>0.48099999999999998</v>
          </cell>
          <cell r="I329">
            <v>0.45</v>
          </cell>
          <cell r="J329">
            <v>4885</v>
          </cell>
          <cell r="K329"/>
          <cell r="L329"/>
          <cell r="M329"/>
          <cell r="N329">
            <v>0.57617411225658899</v>
          </cell>
          <cell r="O329">
            <v>0.40167840861997284</v>
          </cell>
          <cell r="P329">
            <v>4885</v>
          </cell>
          <cell r="Q329"/>
          <cell r="AV329" t="str">
            <v>ESH</v>
          </cell>
          <cell r="AW329" t="str">
            <v>Western Sahara</v>
          </cell>
          <cell r="AX329" t="str">
            <v>INT</v>
          </cell>
        </row>
        <row r="330">
          <cell r="E330">
            <v>349000000</v>
          </cell>
          <cell r="F330"/>
          <cell r="G330"/>
          <cell r="H330">
            <v>0.48099999999999998</v>
          </cell>
          <cell r="I330">
            <v>0.45</v>
          </cell>
          <cell r="J330">
            <v>4885</v>
          </cell>
          <cell r="K330"/>
          <cell r="L330"/>
          <cell r="M330"/>
          <cell r="N330">
            <v>0.5766590389016043</v>
          </cell>
          <cell r="O330">
            <v>0.40268760740881954</v>
          </cell>
          <cell r="P330">
            <v>4885</v>
          </cell>
          <cell r="Q330"/>
          <cell r="AV330" t="str">
            <v>YEM</v>
          </cell>
          <cell r="AW330" t="str">
            <v>Yemen</v>
          </cell>
          <cell r="AX330" t="str">
            <v>INT</v>
          </cell>
        </row>
        <row r="331">
          <cell r="E331">
            <v>350000000</v>
          </cell>
          <cell r="F331"/>
          <cell r="G331"/>
          <cell r="H331">
            <v>0.48099999999999998</v>
          </cell>
          <cell r="I331">
            <v>0.45</v>
          </cell>
          <cell r="J331">
            <v>4885</v>
          </cell>
          <cell r="K331"/>
          <cell r="L331"/>
          <cell r="M331"/>
          <cell r="N331">
            <v>0.57714285714285973</v>
          </cell>
          <cell r="O331">
            <v>0.40369340746624072</v>
          </cell>
          <cell r="P331">
            <v>4885</v>
          </cell>
          <cell r="Q331"/>
          <cell r="AV331" t="str">
            <v>ZMB</v>
          </cell>
          <cell r="AW331" t="str">
            <v>Zambia</v>
          </cell>
          <cell r="AX331" t="str">
            <v>INT</v>
          </cell>
        </row>
        <row r="332">
          <cell r="E332">
            <v>351000000</v>
          </cell>
          <cell r="F332"/>
          <cell r="G332"/>
          <cell r="H332">
            <v>0.496</v>
          </cell>
          <cell r="I332">
            <v>0.45</v>
          </cell>
          <cell r="J332">
            <v>5460</v>
          </cell>
          <cell r="K332"/>
          <cell r="L332"/>
          <cell r="M332"/>
          <cell r="N332">
            <v>0.57762557077625831</v>
          </cell>
          <cell r="O332">
            <v>0.40469582593250208</v>
          </cell>
          <cell r="P332">
            <v>5460</v>
          </cell>
          <cell r="Q332"/>
          <cell r="AV332" t="str">
            <v>ZWE</v>
          </cell>
          <cell r="AW332" t="str">
            <v>Zimbabwe</v>
          </cell>
          <cell r="AX332" t="str">
            <v>INT</v>
          </cell>
        </row>
        <row r="333">
          <cell r="E333">
            <v>352000000</v>
          </cell>
          <cell r="F333"/>
          <cell r="G333"/>
          <cell r="H333">
            <v>0.496</v>
          </cell>
          <cell r="I333">
            <v>0.45</v>
          </cell>
          <cell r="J333">
            <v>5460</v>
          </cell>
          <cell r="K333"/>
          <cell r="L333"/>
          <cell r="M333"/>
          <cell r="N333">
            <v>0.57810718358039026</v>
          </cell>
          <cell r="O333">
            <v>0.4056948798328085</v>
          </cell>
          <cell r="P333">
            <v>5460</v>
          </cell>
          <cell r="Q333"/>
          <cell r="AV333"/>
          <cell r="AW333"/>
          <cell r="AX333"/>
        </row>
        <row r="334">
          <cell r="E334">
            <v>353000000</v>
          </cell>
          <cell r="F334"/>
          <cell r="G334"/>
          <cell r="H334">
            <v>0.496</v>
          </cell>
          <cell r="I334">
            <v>0.45</v>
          </cell>
          <cell r="J334">
            <v>5460</v>
          </cell>
          <cell r="K334"/>
          <cell r="L334"/>
          <cell r="M334"/>
          <cell r="N334">
            <v>0.57858769931663134</v>
          </cell>
          <cell r="O334">
            <v>0.4066905860782678</v>
          </cell>
          <cell r="P334">
            <v>5460</v>
          </cell>
          <cell r="Q334"/>
        </row>
        <row r="335">
          <cell r="E335">
            <v>354000000</v>
          </cell>
          <cell r="F335"/>
          <cell r="G335"/>
          <cell r="H335">
            <v>0.496</v>
          </cell>
          <cell r="I335">
            <v>0.45</v>
          </cell>
          <cell r="J335">
            <v>5460</v>
          </cell>
          <cell r="K335"/>
          <cell r="L335"/>
          <cell r="M335"/>
          <cell r="N335">
            <v>0.57906712172924046</v>
          </cell>
          <cell r="O335">
            <v>0.40768296146684518</v>
          </cell>
          <cell r="P335">
            <v>5460</v>
          </cell>
          <cell r="Q335"/>
        </row>
        <row r="336">
          <cell r="E336">
            <v>355000000</v>
          </cell>
          <cell r="F336"/>
          <cell r="G336"/>
          <cell r="H336">
            <v>0.496</v>
          </cell>
          <cell r="I336">
            <v>0.45</v>
          </cell>
          <cell r="J336">
            <v>5460</v>
          </cell>
          <cell r="K336"/>
          <cell r="L336"/>
          <cell r="M336"/>
          <cell r="N336">
            <v>0.57954545454545725</v>
          </cell>
          <cell r="O336">
            <v>0.40867202268430758</v>
          </cell>
          <cell r="P336">
            <v>5460</v>
          </cell>
          <cell r="Q336"/>
        </row>
        <row r="337">
          <cell r="E337">
            <v>356000000</v>
          </cell>
          <cell r="F337"/>
          <cell r="G337"/>
          <cell r="H337">
            <v>0.496</v>
          </cell>
          <cell r="I337">
            <v>0.45</v>
          </cell>
          <cell r="J337">
            <v>5460</v>
          </cell>
          <cell r="K337"/>
          <cell r="L337"/>
          <cell r="M337"/>
          <cell r="N337">
            <v>0.58002270147559865</v>
          </cell>
          <cell r="O337">
            <v>0.40965778630515903</v>
          </cell>
          <cell r="P337">
            <v>5460</v>
          </cell>
          <cell r="Q337"/>
        </row>
        <row r="338">
          <cell r="E338">
            <v>357000000</v>
          </cell>
          <cell r="F338"/>
          <cell r="G338"/>
          <cell r="H338">
            <v>0.496</v>
          </cell>
          <cell r="I338">
            <v>0.45</v>
          </cell>
          <cell r="J338">
            <v>5460</v>
          </cell>
          <cell r="K338"/>
          <cell r="L338"/>
          <cell r="M338"/>
          <cell r="N338">
            <v>0.58049886621315472</v>
          </cell>
          <cell r="O338">
            <v>0.41064026879356652</v>
          </cell>
          <cell r="P338">
            <v>5460</v>
          </cell>
          <cell r="Q338"/>
        </row>
        <row r="339">
          <cell r="E339">
            <v>358000000</v>
          </cell>
          <cell r="F339"/>
          <cell r="G339"/>
          <cell r="H339">
            <v>0.496</v>
          </cell>
          <cell r="I339">
            <v>0.45</v>
          </cell>
          <cell r="J339">
            <v>5460</v>
          </cell>
          <cell r="K339"/>
          <cell r="L339"/>
          <cell r="M339"/>
          <cell r="N339">
            <v>0.58097395243488381</v>
          </cell>
          <cell r="O339">
            <v>0.4116194865042766</v>
          </cell>
          <cell r="P339">
            <v>5460</v>
          </cell>
          <cell r="Q339"/>
        </row>
        <row r="340">
          <cell r="E340">
            <v>359000000</v>
          </cell>
          <cell r="F340"/>
          <cell r="G340"/>
          <cell r="H340">
            <v>0.496</v>
          </cell>
          <cell r="I340">
            <v>0.45</v>
          </cell>
          <cell r="J340">
            <v>5460</v>
          </cell>
          <cell r="K340"/>
          <cell r="L340"/>
          <cell r="M340"/>
          <cell r="N340">
            <v>0.5814479638009078</v>
          </cell>
          <cell r="O340">
            <v>0.41259545568352274</v>
          </cell>
          <cell r="P340">
            <v>5460</v>
          </cell>
          <cell r="Q340"/>
        </row>
        <row r="341">
          <cell r="E341">
            <v>360000000</v>
          </cell>
          <cell r="F341"/>
          <cell r="G341"/>
          <cell r="H341">
            <v>0.496</v>
          </cell>
          <cell r="I341">
            <v>0.45</v>
          </cell>
          <cell r="J341">
            <v>5460</v>
          </cell>
          <cell r="K341"/>
          <cell r="L341"/>
          <cell r="M341"/>
          <cell r="N341">
            <v>0.58192090395480511</v>
          </cell>
          <cell r="O341">
            <v>0.41356819246992399</v>
          </cell>
          <cell r="P341">
            <v>5460</v>
          </cell>
          <cell r="Q341"/>
        </row>
        <row r="342">
          <cell r="E342">
            <v>361000000</v>
          </cell>
          <cell r="F342"/>
          <cell r="G342"/>
          <cell r="H342">
            <v>0.496</v>
          </cell>
          <cell r="I342">
            <v>0.45</v>
          </cell>
          <cell r="J342">
            <v>5460</v>
          </cell>
          <cell r="K342"/>
          <cell r="L342"/>
          <cell r="M342"/>
          <cell r="N342">
            <v>0.58239277652370491</v>
          </cell>
          <cell r="O342">
            <v>0.41453771289537455</v>
          </cell>
          <cell r="P342">
            <v>5460</v>
          </cell>
          <cell r="Q342"/>
        </row>
        <row r="343">
          <cell r="E343">
            <v>362000000</v>
          </cell>
          <cell r="F343"/>
          <cell r="G343"/>
          <cell r="H343">
            <v>0.496</v>
          </cell>
          <cell r="I343">
            <v>0.45</v>
          </cell>
          <cell r="J343">
            <v>5460</v>
          </cell>
          <cell r="K343"/>
          <cell r="L343"/>
          <cell r="M343"/>
          <cell r="N343">
            <v>0.58286358511837943</v>
          </cell>
          <cell r="O343">
            <v>0.4155040328859243</v>
          </cell>
          <cell r="P343">
            <v>5460</v>
          </cell>
          <cell r="Q343"/>
        </row>
        <row r="344">
          <cell r="E344">
            <v>363000000</v>
          </cell>
          <cell r="F344"/>
          <cell r="G344"/>
          <cell r="H344">
            <v>0.496</v>
          </cell>
          <cell r="I344">
            <v>0.45</v>
          </cell>
          <cell r="J344">
            <v>5460</v>
          </cell>
          <cell r="K344"/>
          <cell r="L344"/>
          <cell r="M344"/>
          <cell r="N344">
            <v>0.58333333333333626</v>
          </cell>
          <cell r="O344">
            <v>0.41646716826265129</v>
          </cell>
          <cell r="P344">
            <v>5460</v>
          </cell>
          <cell r="Q344"/>
        </row>
        <row r="345">
          <cell r="E345">
            <v>364000000</v>
          </cell>
          <cell r="F345"/>
          <cell r="G345"/>
          <cell r="H345">
            <v>0.496</v>
          </cell>
          <cell r="I345">
            <v>0.45</v>
          </cell>
          <cell r="J345">
            <v>5460</v>
          </cell>
          <cell r="K345"/>
          <cell r="L345"/>
          <cell r="M345"/>
          <cell r="N345">
            <v>0.58380202474690956</v>
          </cell>
          <cell r="O345">
            <v>0.41742713474252457</v>
          </cell>
          <cell r="P345">
            <v>5460</v>
          </cell>
          <cell r="Q345"/>
        </row>
        <row r="346">
          <cell r="E346">
            <v>365000000</v>
          </cell>
          <cell r="F346"/>
          <cell r="G346"/>
          <cell r="H346">
            <v>0.496</v>
          </cell>
          <cell r="I346">
            <v>0.45</v>
          </cell>
          <cell r="J346">
            <v>5460</v>
          </cell>
          <cell r="K346"/>
          <cell r="L346"/>
          <cell r="M346"/>
          <cell r="N346">
            <v>0.5842696629213513</v>
          </cell>
          <cell r="O346">
            <v>0.41838394793925981</v>
          </cell>
          <cell r="P346">
            <v>5460</v>
          </cell>
          <cell r="Q346"/>
        </row>
        <row r="347">
          <cell r="E347">
            <v>366000000</v>
          </cell>
          <cell r="F347"/>
          <cell r="G347"/>
          <cell r="H347">
            <v>0.496</v>
          </cell>
          <cell r="I347">
            <v>0.45</v>
          </cell>
          <cell r="J347">
            <v>5460</v>
          </cell>
          <cell r="K347"/>
          <cell r="L347"/>
          <cell r="M347"/>
          <cell r="N347">
            <v>0.58473625140292107</v>
          </cell>
          <cell r="O347">
            <v>0.41933762336416525</v>
          </cell>
          <cell r="P347">
            <v>5460</v>
          </cell>
          <cell r="Q347"/>
        </row>
        <row r="348">
          <cell r="E348">
            <v>367000000</v>
          </cell>
          <cell r="F348"/>
          <cell r="G348"/>
          <cell r="H348">
            <v>0.496</v>
          </cell>
          <cell r="I348">
            <v>0.45</v>
          </cell>
          <cell r="J348">
            <v>5460</v>
          </cell>
          <cell r="K348"/>
          <cell r="L348"/>
          <cell r="M348"/>
          <cell r="N348">
            <v>0.58520179372197612</v>
          </cell>
          <cell r="O348">
            <v>0.42028817642698024</v>
          </cell>
          <cell r="P348">
            <v>5460</v>
          </cell>
          <cell r="Q348"/>
        </row>
        <row r="349">
          <cell r="E349">
            <v>368000000</v>
          </cell>
          <cell r="F349"/>
          <cell r="G349"/>
          <cell r="H349">
            <v>0.496</v>
          </cell>
          <cell r="I349">
            <v>0.45</v>
          </cell>
          <cell r="J349">
            <v>5460</v>
          </cell>
          <cell r="K349"/>
          <cell r="L349"/>
          <cell r="M349"/>
          <cell r="N349">
            <v>0.5856662933930602</v>
          </cell>
          <cell r="O349">
            <v>0.42123562243670515</v>
          </cell>
          <cell r="P349">
            <v>5460</v>
          </cell>
          <cell r="Q349"/>
        </row>
        <row r="350">
          <cell r="E350">
            <v>369000000</v>
          </cell>
          <cell r="F350"/>
          <cell r="G350"/>
          <cell r="H350">
            <v>0.496</v>
          </cell>
          <cell r="I350">
            <v>0.45</v>
          </cell>
          <cell r="J350">
            <v>5460</v>
          </cell>
          <cell r="K350"/>
          <cell r="L350"/>
          <cell r="M350"/>
          <cell r="N350">
            <v>0.58612975391499189</v>
          </cell>
          <cell r="O350">
            <v>0.42217997660242318</v>
          </cell>
          <cell r="P350">
            <v>5460</v>
          </cell>
          <cell r="Q350"/>
        </row>
        <row r="351">
          <cell r="E351">
            <v>370000000</v>
          </cell>
          <cell r="F351"/>
          <cell r="G351"/>
          <cell r="H351">
            <v>0.496</v>
          </cell>
          <cell r="I351">
            <v>0.45</v>
          </cell>
          <cell r="J351">
            <v>5460</v>
          </cell>
          <cell r="K351"/>
          <cell r="L351"/>
          <cell r="M351"/>
          <cell r="N351">
            <v>0.58659217877095282</v>
          </cell>
          <cell r="O351">
            <v>0.42312125403411432</v>
          </cell>
          <cell r="P351">
            <v>5460</v>
          </cell>
          <cell r="Q351"/>
        </row>
        <row r="352">
          <cell r="E352">
            <v>371000000</v>
          </cell>
          <cell r="F352"/>
          <cell r="G352"/>
          <cell r="H352">
            <v>0.496</v>
          </cell>
          <cell r="I352">
            <v>0.45</v>
          </cell>
          <cell r="J352">
            <v>5460</v>
          </cell>
          <cell r="K352"/>
          <cell r="L352"/>
          <cell r="M352"/>
          <cell r="N352">
            <v>0.58705357142857451</v>
          </cell>
          <cell r="O352">
            <v>0.42405946974346104</v>
          </cell>
          <cell r="P352">
            <v>5460</v>
          </cell>
          <cell r="Q352"/>
        </row>
        <row r="353">
          <cell r="E353">
            <v>372000000</v>
          </cell>
          <cell r="F353"/>
          <cell r="G353"/>
          <cell r="H353">
            <v>0.496</v>
          </cell>
          <cell r="I353">
            <v>0.45</v>
          </cell>
          <cell r="J353">
            <v>5460</v>
          </cell>
          <cell r="K353"/>
          <cell r="L353"/>
          <cell r="M353"/>
          <cell r="N353">
            <v>0.58751393534002549</v>
          </cell>
          <cell r="O353">
            <v>0.42499463864464654</v>
          </cell>
          <cell r="P353">
            <v>5460</v>
          </cell>
          <cell r="Q353"/>
        </row>
        <row r="354">
          <cell r="E354">
            <v>373000000</v>
          </cell>
          <cell r="F354"/>
          <cell r="G354"/>
          <cell r="H354">
            <v>0.496</v>
          </cell>
          <cell r="I354">
            <v>0.45</v>
          </cell>
          <cell r="J354">
            <v>5460</v>
          </cell>
          <cell r="K354"/>
          <cell r="L354"/>
          <cell r="M354"/>
          <cell r="N354">
            <v>0.58797327394209675</v>
          </cell>
          <cell r="O354">
            <v>0.42592677555514491</v>
          </cell>
          <cell r="P354">
            <v>5460</v>
          </cell>
          <cell r="Q354"/>
        </row>
        <row r="355">
          <cell r="E355">
            <v>374000000</v>
          </cell>
          <cell r="F355"/>
          <cell r="G355"/>
          <cell r="H355">
            <v>0.496</v>
          </cell>
          <cell r="I355">
            <v>0.45</v>
          </cell>
          <cell r="J355">
            <v>5460</v>
          </cell>
          <cell r="K355"/>
          <cell r="L355"/>
          <cell r="M355"/>
          <cell r="N355">
            <v>0.58843159065628792</v>
          </cell>
          <cell r="O355">
            <v>0.42685589519650369</v>
          </cell>
          <cell r="P355">
            <v>5460</v>
          </cell>
          <cell r="Q355"/>
        </row>
        <row r="356">
          <cell r="E356">
            <v>375000000</v>
          </cell>
          <cell r="F356"/>
          <cell r="G356"/>
          <cell r="H356">
            <v>0.496</v>
          </cell>
          <cell r="I356">
            <v>0.45</v>
          </cell>
          <cell r="J356">
            <v>5460</v>
          </cell>
          <cell r="K356"/>
          <cell r="L356"/>
          <cell r="M356"/>
          <cell r="N356">
            <v>0.58888888888889213</v>
          </cell>
          <cell r="O356">
            <v>0.42778201219511908</v>
          </cell>
          <cell r="P356">
            <v>5460</v>
          </cell>
          <cell r="Q356"/>
        </row>
        <row r="357">
          <cell r="E357">
            <v>376000000</v>
          </cell>
          <cell r="F357"/>
          <cell r="G357"/>
          <cell r="H357">
            <v>0.496</v>
          </cell>
          <cell r="I357">
            <v>0.45</v>
          </cell>
          <cell r="J357">
            <v>5460</v>
          </cell>
          <cell r="K357"/>
          <cell r="L357"/>
          <cell r="M357"/>
          <cell r="N357">
            <v>0.58934517203107983</v>
          </cell>
          <cell r="O357">
            <v>0.42870514108300323</v>
          </cell>
          <cell r="P357">
            <v>5460</v>
          </cell>
          <cell r="Q357"/>
        </row>
        <row r="358">
          <cell r="E358">
            <v>377000000</v>
          </cell>
          <cell r="F358"/>
          <cell r="G358"/>
          <cell r="H358">
            <v>0.496</v>
          </cell>
          <cell r="I358">
            <v>0.45</v>
          </cell>
          <cell r="J358">
            <v>5460</v>
          </cell>
          <cell r="K358"/>
          <cell r="L358"/>
          <cell r="M358"/>
          <cell r="N358">
            <v>0.5898004434589833</v>
          </cell>
          <cell r="O358">
            <v>0.42962529629854446</v>
          </cell>
          <cell r="P358">
            <v>5460</v>
          </cell>
          <cell r="Q358"/>
        </row>
        <row r="359">
          <cell r="E359">
            <v>378000000</v>
          </cell>
          <cell r="F359"/>
          <cell r="G359"/>
          <cell r="H359">
            <v>0.496</v>
          </cell>
          <cell r="I359">
            <v>0.45</v>
          </cell>
          <cell r="J359">
            <v>5460</v>
          </cell>
          <cell r="K359"/>
          <cell r="L359"/>
          <cell r="M359"/>
          <cell r="N359">
            <v>0.59025470653377965</v>
          </cell>
          <cell r="O359">
            <v>0.43054249218726004</v>
          </cell>
          <cell r="P359">
            <v>5460</v>
          </cell>
          <cell r="Q359"/>
        </row>
        <row r="360">
          <cell r="E360">
            <v>379000000</v>
          </cell>
          <cell r="F360"/>
          <cell r="G360"/>
          <cell r="H360">
            <v>0.496</v>
          </cell>
          <cell r="I360">
            <v>0.45</v>
          </cell>
          <cell r="J360">
            <v>5460</v>
          </cell>
          <cell r="K360"/>
          <cell r="L360"/>
          <cell r="M360"/>
          <cell r="N360">
            <v>0.59070796460177322</v>
          </cell>
          <cell r="O360">
            <v>0.43145674300254155</v>
          </cell>
          <cell r="P360">
            <v>5460</v>
          </cell>
          <cell r="Q360"/>
        </row>
        <row r="361">
          <cell r="E361">
            <v>380000000</v>
          </cell>
          <cell r="F361"/>
          <cell r="G361"/>
          <cell r="H361">
            <v>0.496</v>
          </cell>
          <cell r="I361">
            <v>0.45</v>
          </cell>
          <cell r="J361">
            <v>5460</v>
          </cell>
          <cell r="K361"/>
          <cell r="L361"/>
          <cell r="M361"/>
          <cell r="N361">
            <v>0.59116022099447851</v>
          </cell>
          <cell r="O361">
            <v>0.43236806290639351</v>
          </cell>
          <cell r="P361">
            <v>5460</v>
          </cell>
          <cell r="Q361"/>
        </row>
        <row r="362">
          <cell r="E362">
            <v>381000000</v>
          </cell>
          <cell r="F362"/>
          <cell r="G362"/>
          <cell r="H362">
            <v>0.496</v>
          </cell>
          <cell r="I362">
            <v>0.45</v>
          </cell>
          <cell r="J362">
            <v>5460</v>
          </cell>
          <cell r="K362"/>
          <cell r="L362"/>
          <cell r="M362"/>
          <cell r="N362">
            <v>0.59161147902870093</v>
          </cell>
          <cell r="O362">
            <v>0.43327646597016428</v>
          </cell>
          <cell r="P362">
            <v>5460</v>
          </cell>
          <cell r="Q362"/>
        </row>
        <row r="363">
          <cell r="E363">
            <v>382000000</v>
          </cell>
          <cell r="F363"/>
          <cell r="G363"/>
          <cell r="H363">
            <v>0.496</v>
          </cell>
          <cell r="I363">
            <v>0.45</v>
          </cell>
          <cell r="J363">
            <v>5460</v>
          </cell>
          <cell r="K363"/>
          <cell r="L363"/>
          <cell r="M363"/>
          <cell r="N363">
            <v>0.59206174200661865</v>
          </cell>
          <cell r="O363">
            <v>0.43418196617527061</v>
          </cell>
          <cell r="P363">
            <v>5460</v>
          </cell>
          <cell r="Q363"/>
        </row>
        <row r="364">
          <cell r="E364">
            <v>383000000</v>
          </cell>
          <cell r="F364"/>
          <cell r="G364"/>
          <cell r="H364">
            <v>0.496</v>
          </cell>
          <cell r="I364">
            <v>0.45</v>
          </cell>
          <cell r="J364">
            <v>5460</v>
          </cell>
          <cell r="K364"/>
          <cell r="L364"/>
          <cell r="M364"/>
          <cell r="N364">
            <v>0.59251101321586241</v>
          </cell>
          <cell r="O364">
            <v>0.43508457741391465</v>
          </cell>
          <cell r="P364">
            <v>5460</v>
          </cell>
          <cell r="Q364"/>
        </row>
        <row r="365">
          <cell r="E365">
            <v>384000000</v>
          </cell>
          <cell r="F365"/>
          <cell r="G365"/>
          <cell r="H365">
            <v>0.496</v>
          </cell>
          <cell r="I365">
            <v>0.45</v>
          </cell>
          <cell r="J365">
            <v>5460</v>
          </cell>
          <cell r="K365"/>
          <cell r="L365"/>
          <cell r="M365"/>
          <cell r="N365">
            <v>0.5929592959295964</v>
          </cell>
          <cell r="O365">
            <v>0.43598431348979472</v>
          </cell>
          <cell r="P365">
            <v>5460</v>
          </cell>
          <cell r="Q365"/>
        </row>
        <row r="366">
          <cell r="E366">
            <v>385000000</v>
          </cell>
          <cell r="F366"/>
          <cell r="G366"/>
          <cell r="H366">
            <v>0.496</v>
          </cell>
          <cell r="I366">
            <v>0.45</v>
          </cell>
          <cell r="J366">
            <v>5460</v>
          </cell>
          <cell r="K366"/>
          <cell r="L366"/>
          <cell r="M366"/>
          <cell r="N366">
            <v>0.59340659340659685</v>
          </cell>
          <cell r="O366">
            <v>0.43688118811880883</v>
          </cell>
          <cell r="P366">
            <v>5460</v>
          </cell>
          <cell r="Q366"/>
        </row>
        <row r="367">
          <cell r="E367">
            <v>386000000</v>
          </cell>
          <cell r="F367"/>
          <cell r="G367"/>
          <cell r="H367">
            <v>0.496</v>
          </cell>
          <cell r="I367">
            <v>0.45</v>
          </cell>
          <cell r="J367">
            <v>5460</v>
          </cell>
          <cell r="K367"/>
          <cell r="L367"/>
          <cell r="M367"/>
          <cell r="N367">
            <v>0.59385290889133169</v>
          </cell>
          <cell r="O367">
            <v>0.43777521492975158</v>
          </cell>
          <cell r="P367">
            <v>5460</v>
          </cell>
          <cell r="Q367"/>
        </row>
        <row r="368">
          <cell r="E368">
            <v>387000000</v>
          </cell>
          <cell r="F368"/>
          <cell r="G368"/>
          <cell r="H368">
            <v>0.496</v>
          </cell>
          <cell r="I368">
            <v>0.45</v>
          </cell>
          <cell r="J368">
            <v>5460</v>
          </cell>
          <cell r="K368"/>
          <cell r="L368"/>
          <cell r="M368"/>
          <cell r="N368">
            <v>0.59429824561403866</v>
          </cell>
          <cell r="O368">
            <v>0.43866640746500468</v>
          </cell>
          <cell r="P368">
            <v>5460</v>
          </cell>
          <cell r="Q368"/>
        </row>
        <row r="369">
          <cell r="E369">
            <v>388000000</v>
          </cell>
          <cell r="F369"/>
          <cell r="G369"/>
          <cell r="H369">
            <v>0.496</v>
          </cell>
          <cell r="I369">
            <v>0.45</v>
          </cell>
          <cell r="J369">
            <v>5460</v>
          </cell>
          <cell r="K369"/>
          <cell r="L369"/>
          <cell r="M369"/>
          <cell r="N369">
            <v>0.59474260679080315</v>
          </cell>
          <cell r="O369">
            <v>0.4395547791812206</v>
          </cell>
          <cell r="P369">
            <v>5460</v>
          </cell>
          <cell r="Q369"/>
        </row>
        <row r="370">
          <cell r="E370">
            <v>389000000</v>
          </cell>
          <cell r="F370"/>
          <cell r="G370"/>
          <cell r="H370">
            <v>0.496</v>
          </cell>
          <cell r="I370">
            <v>0.45</v>
          </cell>
          <cell r="J370">
            <v>5460</v>
          </cell>
          <cell r="K370"/>
          <cell r="L370"/>
          <cell r="M370"/>
          <cell r="N370">
            <v>0.59518599562363594</v>
          </cell>
          <cell r="O370">
            <v>0.44044034344999983</v>
          </cell>
          <cell r="P370">
            <v>5460</v>
          </cell>
          <cell r="Q370"/>
        </row>
        <row r="371">
          <cell r="E371">
            <v>390000000</v>
          </cell>
          <cell r="F371"/>
          <cell r="G371"/>
          <cell r="H371">
            <v>0.496</v>
          </cell>
          <cell r="I371">
            <v>0.45</v>
          </cell>
          <cell r="J371">
            <v>5460</v>
          </cell>
          <cell r="K371"/>
          <cell r="L371"/>
          <cell r="M371"/>
          <cell r="N371">
            <v>0.59562841530055</v>
          </cell>
          <cell r="O371">
            <v>0.44132311355856213</v>
          </cell>
          <cell r="P371">
            <v>5460</v>
          </cell>
          <cell r="Q371"/>
        </row>
        <row r="372">
          <cell r="E372">
            <v>391000000</v>
          </cell>
          <cell r="F372"/>
          <cell r="G372"/>
          <cell r="H372">
            <v>0.496</v>
          </cell>
          <cell r="I372">
            <v>0.45</v>
          </cell>
          <cell r="J372">
            <v>5460</v>
          </cell>
          <cell r="K372"/>
          <cell r="L372"/>
          <cell r="M372"/>
          <cell r="N372">
            <v>0.59606986899563685</v>
          </cell>
          <cell r="O372">
            <v>0.44220310271041052</v>
          </cell>
          <cell r="P372">
            <v>5460</v>
          </cell>
          <cell r="Q372"/>
        </row>
        <row r="373">
          <cell r="E373">
            <v>392000000</v>
          </cell>
          <cell r="F373"/>
          <cell r="G373"/>
          <cell r="H373">
            <v>0.496</v>
          </cell>
          <cell r="I373">
            <v>0.45</v>
          </cell>
          <cell r="J373">
            <v>5460</v>
          </cell>
          <cell r="K373"/>
          <cell r="L373"/>
          <cell r="M373"/>
          <cell r="N373">
            <v>0.59651035986914214</v>
          </cell>
          <cell r="O373">
            <v>0.44308032402599012</v>
          </cell>
          <cell r="P373">
            <v>5460</v>
          </cell>
          <cell r="Q373"/>
        </row>
        <row r="374">
          <cell r="E374">
            <v>393000000</v>
          </cell>
          <cell r="F374"/>
          <cell r="G374"/>
          <cell r="H374">
            <v>0.496</v>
          </cell>
          <cell r="I374">
            <v>0.45</v>
          </cell>
          <cell r="J374">
            <v>5460</v>
          </cell>
          <cell r="K374"/>
          <cell r="L374"/>
          <cell r="M374"/>
          <cell r="N374">
            <v>0.59694989106754182</v>
          </cell>
          <cell r="O374">
            <v>0.44395479054333981</v>
          </cell>
          <cell r="P374">
            <v>5460</v>
          </cell>
          <cell r="Q374"/>
        </row>
        <row r="375">
          <cell r="E375">
            <v>394000000</v>
          </cell>
          <cell r="F375"/>
          <cell r="G375"/>
          <cell r="H375">
            <v>0.496</v>
          </cell>
          <cell r="I375">
            <v>0.45</v>
          </cell>
          <cell r="J375">
            <v>5460</v>
          </cell>
          <cell r="K375"/>
          <cell r="L375"/>
          <cell r="M375"/>
          <cell r="N375">
            <v>0.59738846572361637</v>
          </cell>
          <cell r="O375">
            <v>0.44482651521873845</v>
          </cell>
          <cell r="P375">
            <v>5460</v>
          </cell>
          <cell r="Q375"/>
        </row>
        <row r="376">
          <cell r="E376">
            <v>395000000</v>
          </cell>
          <cell r="F376"/>
          <cell r="G376"/>
          <cell r="H376">
            <v>0.496</v>
          </cell>
          <cell r="I376">
            <v>0.45</v>
          </cell>
          <cell r="J376">
            <v>5460</v>
          </cell>
          <cell r="K376"/>
          <cell r="L376"/>
          <cell r="M376"/>
          <cell r="N376">
            <v>0.5978260869565255</v>
          </cell>
          <cell r="O376">
            <v>0.44569551092734466</v>
          </cell>
          <cell r="P376">
            <v>5460</v>
          </cell>
          <cell r="Q376"/>
        </row>
        <row r="377">
          <cell r="E377">
            <v>396000000</v>
          </cell>
          <cell r="F377"/>
          <cell r="G377"/>
          <cell r="H377">
            <v>0.496</v>
          </cell>
          <cell r="I377">
            <v>0.45</v>
          </cell>
          <cell r="J377">
            <v>5460</v>
          </cell>
          <cell r="K377"/>
          <cell r="L377"/>
          <cell r="M377"/>
          <cell r="N377">
            <v>0.5982627578718821</v>
          </cell>
          <cell r="O377">
            <v>0.44656179046383071</v>
          </cell>
          <cell r="P377">
            <v>5460</v>
          </cell>
          <cell r="Q377"/>
        </row>
        <row r="378">
          <cell r="E378">
            <v>397000000</v>
          </cell>
          <cell r="F378"/>
          <cell r="G378"/>
          <cell r="H378">
            <v>0.496</v>
          </cell>
          <cell r="I378">
            <v>0.45</v>
          </cell>
          <cell r="J378">
            <v>5460</v>
          </cell>
          <cell r="K378"/>
          <cell r="L378"/>
          <cell r="M378"/>
          <cell r="N378">
            <v>0.59869848156182592</v>
          </cell>
          <cell r="O378">
            <v>0.44742536654301035</v>
          </cell>
          <cell r="P378">
            <v>5460</v>
          </cell>
          <cell r="Q378"/>
        </row>
        <row r="379">
          <cell r="E379">
            <v>398000000</v>
          </cell>
          <cell r="F379"/>
          <cell r="G379"/>
          <cell r="H379">
            <v>0.496</v>
          </cell>
          <cell r="I379">
            <v>0.45</v>
          </cell>
          <cell r="J379">
            <v>5460</v>
          </cell>
          <cell r="K379"/>
          <cell r="L379"/>
          <cell r="M379"/>
          <cell r="N379">
            <v>0.5991332611050959</v>
          </cell>
          <cell r="O379">
            <v>0.44828625180046117</v>
          </cell>
          <cell r="P379">
            <v>5460</v>
          </cell>
          <cell r="Q379"/>
        </row>
        <row r="380">
          <cell r="E380">
            <v>399000000</v>
          </cell>
          <cell r="F380"/>
          <cell r="G380"/>
          <cell r="H380">
            <v>0.496</v>
          </cell>
          <cell r="I380">
            <v>0.45</v>
          </cell>
          <cell r="J380">
            <v>5460</v>
          </cell>
          <cell r="K380"/>
          <cell r="L380"/>
          <cell r="M380"/>
          <cell r="N380">
            <v>0.59956709956710341</v>
          </cell>
          <cell r="O380">
            <v>0.44914445879314063</v>
          </cell>
          <cell r="P380">
            <v>5460</v>
          </cell>
          <cell r="Q380"/>
        </row>
        <row r="381">
          <cell r="E381">
            <v>400000000</v>
          </cell>
          <cell r="F381"/>
          <cell r="G381"/>
          <cell r="H381">
            <v>0.496</v>
          </cell>
          <cell r="I381">
            <v>0.45</v>
          </cell>
          <cell r="J381">
            <v>5460</v>
          </cell>
          <cell r="K381"/>
          <cell r="L381"/>
          <cell r="M381"/>
          <cell r="N381">
            <v>0.6</v>
          </cell>
          <cell r="O381">
            <v>0.44999999999999996</v>
          </cell>
          <cell r="P381">
            <v>5460</v>
          </cell>
          <cell r="Q381"/>
        </row>
        <row r="382">
          <cell r="E382">
            <v>401000000</v>
          </cell>
          <cell r="F382"/>
          <cell r="G382"/>
          <cell r="H382">
            <v>0.51100000000000001</v>
          </cell>
          <cell r="I382">
            <v>0.45</v>
          </cell>
          <cell r="J382">
            <v>6035</v>
          </cell>
          <cell r="K382"/>
          <cell r="L382"/>
          <cell r="M382"/>
          <cell r="N382">
            <v>0.60043196544276456</v>
          </cell>
          <cell r="O382">
            <v>0.45085288782257588</v>
          </cell>
          <cell r="P382">
            <v>6035</v>
          </cell>
          <cell r="Q382"/>
        </row>
        <row r="383">
          <cell r="E383">
            <v>402000000</v>
          </cell>
          <cell r="F383"/>
          <cell r="G383"/>
          <cell r="H383">
            <v>0.51100000000000001</v>
          </cell>
          <cell r="I383">
            <v>0.45</v>
          </cell>
          <cell r="J383">
            <v>6035</v>
          </cell>
          <cell r="K383"/>
          <cell r="L383"/>
          <cell r="M383"/>
          <cell r="N383">
            <v>0.60086299892125139</v>
          </cell>
          <cell r="O383">
            <v>0.45170313458560946</v>
          </cell>
          <cell r="P383">
            <v>6035</v>
          </cell>
          <cell r="Q383"/>
        </row>
        <row r="384">
          <cell r="E384">
            <v>403000000</v>
          </cell>
          <cell r="F384"/>
          <cell r="G384"/>
          <cell r="H384">
            <v>0.51100000000000001</v>
          </cell>
          <cell r="I384">
            <v>0.45</v>
          </cell>
          <cell r="J384">
            <v>6035</v>
          </cell>
          <cell r="K384"/>
          <cell r="L384"/>
          <cell r="M384"/>
          <cell r="N384">
            <v>0.60129310344827591</v>
          </cell>
          <cell r="O384">
            <v>0.45255075253762678</v>
          </cell>
          <cell r="P384">
            <v>6035</v>
          </cell>
          <cell r="Q384"/>
        </row>
        <row r="385">
          <cell r="E385">
            <v>404000000</v>
          </cell>
          <cell r="F385"/>
          <cell r="G385"/>
          <cell r="H385">
            <v>0.51100000000000001</v>
          </cell>
          <cell r="I385">
            <v>0.45</v>
          </cell>
          <cell r="J385">
            <v>6035</v>
          </cell>
          <cell r="K385"/>
          <cell r="L385"/>
          <cell r="M385"/>
          <cell r="N385">
            <v>0.6017222820236815</v>
          </cell>
          <cell r="O385">
            <v>0.4533957538515303</v>
          </cell>
          <cell r="P385">
            <v>6035</v>
          </cell>
          <cell r="Q385"/>
        </row>
        <row r="386">
          <cell r="E386">
            <v>405000000</v>
          </cell>
          <cell r="F386"/>
          <cell r="G386"/>
          <cell r="H386">
            <v>0.51100000000000001</v>
          </cell>
          <cell r="I386">
            <v>0.45</v>
          </cell>
          <cell r="J386">
            <v>6035</v>
          </cell>
          <cell r="K386"/>
          <cell r="L386"/>
          <cell r="M386"/>
          <cell r="N386">
            <v>0.60215053763440873</v>
          </cell>
          <cell r="O386">
            <v>0.45423815062518158</v>
          </cell>
          <cell r="P386">
            <v>6035</v>
          </cell>
          <cell r="Q386"/>
        </row>
        <row r="387">
          <cell r="E387">
            <v>406000000</v>
          </cell>
          <cell r="F387"/>
          <cell r="G387"/>
          <cell r="H387">
            <v>0.51100000000000001</v>
          </cell>
          <cell r="I387">
            <v>0.45</v>
          </cell>
          <cell r="J387">
            <v>6035</v>
          </cell>
          <cell r="K387"/>
          <cell r="L387"/>
          <cell r="M387"/>
          <cell r="N387">
            <v>0.60257787325456513</v>
          </cell>
          <cell r="O387">
            <v>0.45507795488197877</v>
          </cell>
          <cell r="P387">
            <v>6035</v>
          </cell>
          <cell r="Q387"/>
        </row>
        <row r="388">
          <cell r="E388">
            <v>407000000</v>
          </cell>
          <cell r="F388"/>
          <cell r="G388"/>
          <cell r="H388">
            <v>0.51100000000000001</v>
          </cell>
          <cell r="I388">
            <v>0.45</v>
          </cell>
          <cell r="J388">
            <v>6035</v>
          </cell>
          <cell r="K388"/>
          <cell r="L388"/>
          <cell r="M388"/>
          <cell r="N388">
            <v>0.60300429184549376</v>
          </cell>
          <cell r="O388">
            <v>0.45591517857142838</v>
          </cell>
          <cell r="P388">
            <v>6035</v>
          </cell>
          <cell r="Q388"/>
        </row>
        <row r="389">
          <cell r="E389">
            <v>408000000</v>
          </cell>
          <cell r="F389"/>
          <cell r="G389"/>
          <cell r="H389">
            <v>0.51100000000000001</v>
          </cell>
          <cell r="I389">
            <v>0.45</v>
          </cell>
          <cell r="J389">
            <v>6035</v>
          </cell>
          <cell r="K389"/>
          <cell r="L389"/>
          <cell r="M389"/>
          <cell r="N389">
            <v>0.6034297963558416</v>
          </cell>
          <cell r="O389">
            <v>0.45674983356971238</v>
          </cell>
          <cell r="P389">
            <v>6035</v>
          </cell>
          <cell r="Q389"/>
        </row>
        <row r="390">
          <cell r="E390">
            <v>409000000</v>
          </cell>
          <cell r="F390"/>
          <cell r="G390"/>
          <cell r="H390">
            <v>0.51100000000000001</v>
          </cell>
          <cell r="I390">
            <v>0.45</v>
          </cell>
          <cell r="J390">
            <v>6035</v>
          </cell>
          <cell r="K390"/>
          <cell r="L390"/>
          <cell r="M390"/>
          <cell r="N390">
            <v>0.60385438972162764</v>
          </cell>
          <cell r="O390">
            <v>0.45758193168024947</v>
          </cell>
          <cell r="P390">
            <v>6035</v>
          </cell>
          <cell r="Q390"/>
        </row>
        <row r="391">
          <cell r="E391">
            <v>410000000</v>
          </cell>
          <cell r="F391"/>
          <cell r="G391"/>
          <cell r="H391">
            <v>0.51100000000000001</v>
          </cell>
          <cell r="I391">
            <v>0.45</v>
          </cell>
          <cell r="J391">
            <v>6035</v>
          </cell>
          <cell r="K391"/>
          <cell r="L391"/>
          <cell r="M391"/>
          <cell r="N391">
            <v>0.60427807486631047</v>
          </cell>
          <cell r="O391">
            <v>0.45841148463425163</v>
          </cell>
          <cell r="P391">
            <v>6035</v>
          </cell>
          <cell r="Q391"/>
        </row>
        <row r="392">
          <cell r="E392">
            <v>411000000</v>
          </cell>
          <cell r="F392"/>
          <cell r="G392"/>
          <cell r="H392">
            <v>0.51100000000000001</v>
          </cell>
          <cell r="I392">
            <v>0.45</v>
          </cell>
          <cell r="J392">
            <v>6035</v>
          </cell>
          <cell r="K392"/>
          <cell r="L392"/>
          <cell r="M392"/>
          <cell r="N392">
            <v>0.604700854700855</v>
          </cell>
          <cell r="O392">
            <v>0.45923850409127548</v>
          </cell>
          <cell r="P392">
            <v>6035</v>
          </cell>
          <cell r="Q392"/>
        </row>
        <row r="393">
          <cell r="E393">
            <v>412000000</v>
          </cell>
          <cell r="F393"/>
          <cell r="G393"/>
          <cell r="H393">
            <v>0.51100000000000001</v>
          </cell>
          <cell r="I393">
            <v>0.45</v>
          </cell>
          <cell r="J393">
            <v>6035</v>
          </cell>
          <cell r="K393"/>
          <cell r="L393"/>
          <cell r="M393"/>
          <cell r="N393">
            <v>0.60512273212379974</v>
          </cell>
          <cell r="O393">
            <v>0.46006300163976838</v>
          </cell>
          <cell r="P393">
            <v>6035</v>
          </cell>
          <cell r="Q393"/>
        </row>
        <row r="394">
          <cell r="E394">
            <v>413000000</v>
          </cell>
          <cell r="F394"/>
          <cell r="G394"/>
          <cell r="H394">
            <v>0.51100000000000001</v>
          </cell>
          <cell r="I394">
            <v>0.45</v>
          </cell>
          <cell r="J394">
            <v>6035</v>
          </cell>
          <cell r="K394"/>
          <cell r="L394"/>
          <cell r="M394"/>
          <cell r="N394">
            <v>0.60554371002132235</v>
          </cell>
          <cell r="O394">
            <v>0.46088498879760981</v>
          </cell>
          <cell r="P394">
            <v>6035</v>
          </cell>
          <cell r="Q394"/>
        </row>
        <row r="395">
          <cell r="E395">
            <v>414000000</v>
          </cell>
          <cell r="F395"/>
          <cell r="G395"/>
          <cell r="H395">
            <v>0.51100000000000001</v>
          </cell>
          <cell r="I395">
            <v>0.45</v>
          </cell>
          <cell r="J395">
            <v>6035</v>
          </cell>
          <cell r="K395"/>
          <cell r="L395"/>
          <cell r="M395"/>
          <cell r="N395">
            <v>0.60596379126730604</v>
          </cell>
          <cell r="O395">
            <v>0.46170447701264772</v>
          </cell>
          <cell r="P395">
            <v>6035</v>
          </cell>
          <cell r="Q395"/>
        </row>
        <row r="396">
          <cell r="E396">
            <v>415000000</v>
          </cell>
          <cell r="F396"/>
          <cell r="G396"/>
          <cell r="H396">
            <v>0.51100000000000001</v>
          </cell>
          <cell r="I396">
            <v>0.45</v>
          </cell>
          <cell r="J396">
            <v>6035</v>
          </cell>
          <cell r="K396"/>
          <cell r="L396"/>
          <cell r="M396"/>
          <cell r="N396">
            <v>0.60638297872340474</v>
          </cell>
          <cell r="O396">
            <v>0.46252147766322987</v>
          </cell>
          <cell r="P396">
            <v>6035</v>
          </cell>
          <cell r="Q396"/>
        </row>
        <row r="397">
          <cell r="E397">
            <v>416000000</v>
          </cell>
          <cell r="F397"/>
          <cell r="G397"/>
          <cell r="H397">
            <v>0.51100000000000001</v>
          </cell>
          <cell r="I397">
            <v>0.45</v>
          </cell>
          <cell r="J397">
            <v>6035</v>
          </cell>
          <cell r="K397"/>
          <cell r="L397"/>
          <cell r="M397"/>
          <cell r="N397">
            <v>0.60680127523910776</v>
          </cell>
          <cell r="O397">
            <v>0.4633360020587306</v>
          </cell>
          <cell r="P397">
            <v>6035</v>
          </cell>
          <cell r="Q397"/>
        </row>
        <row r="398">
          <cell r="E398">
            <v>417000000</v>
          </cell>
          <cell r="F398"/>
          <cell r="G398"/>
          <cell r="H398">
            <v>0.51100000000000001</v>
          </cell>
          <cell r="I398">
            <v>0.45</v>
          </cell>
          <cell r="J398">
            <v>6035</v>
          </cell>
          <cell r="K398"/>
          <cell r="L398"/>
          <cell r="M398"/>
          <cell r="N398">
            <v>0.6072186836518052</v>
          </cell>
          <cell r="O398">
            <v>0.46414806144007265</v>
          </cell>
          <cell r="P398">
            <v>6035</v>
          </cell>
          <cell r="Q398"/>
        </row>
        <row r="399">
          <cell r="E399">
            <v>418000000</v>
          </cell>
          <cell r="F399"/>
          <cell r="G399"/>
          <cell r="H399">
            <v>0.51100000000000001</v>
          </cell>
          <cell r="I399">
            <v>0.45</v>
          </cell>
          <cell r="J399">
            <v>6035</v>
          </cell>
          <cell r="K399"/>
          <cell r="L399"/>
          <cell r="M399"/>
          <cell r="N399">
            <v>0.60763520678685101</v>
          </cell>
          <cell r="O399">
            <v>0.4649576669802441</v>
          </cell>
          <cell r="P399">
            <v>6035</v>
          </cell>
          <cell r="Q399"/>
        </row>
        <row r="400">
          <cell r="E400">
            <v>419000000</v>
          </cell>
          <cell r="F400"/>
          <cell r="G400"/>
          <cell r="H400">
            <v>0.51100000000000001</v>
          </cell>
          <cell r="I400">
            <v>0.45</v>
          </cell>
          <cell r="J400">
            <v>6035</v>
          </cell>
          <cell r="K400"/>
          <cell r="L400"/>
          <cell r="M400"/>
          <cell r="N400">
            <v>0.60805084745762772</v>
          </cell>
          <cell r="O400">
            <v>0.4657648297848111</v>
          </cell>
          <cell r="P400">
            <v>6035</v>
          </cell>
          <cell r="Q400"/>
        </row>
        <row r="401">
          <cell r="E401">
            <v>420000000</v>
          </cell>
          <cell r="F401"/>
          <cell r="G401"/>
          <cell r="H401">
            <v>0.51100000000000001</v>
          </cell>
          <cell r="I401">
            <v>0.45</v>
          </cell>
          <cell r="J401">
            <v>6035</v>
          </cell>
          <cell r="K401"/>
          <cell r="L401"/>
          <cell r="M401"/>
          <cell r="N401">
            <v>0.60846560846560904</v>
          </cell>
          <cell r="O401">
            <v>0.46656956089242524</v>
          </cell>
          <cell r="P401">
            <v>6035</v>
          </cell>
          <cell r="Q401"/>
        </row>
        <row r="402">
          <cell r="E402">
            <v>421000000</v>
          </cell>
          <cell r="F402"/>
          <cell r="G402"/>
          <cell r="H402">
            <v>0.51100000000000001</v>
          </cell>
          <cell r="I402">
            <v>0.45</v>
          </cell>
          <cell r="J402">
            <v>6035</v>
          </cell>
          <cell r="K402"/>
          <cell r="L402"/>
          <cell r="M402"/>
          <cell r="N402">
            <v>0.60887949260042351</v>
          </cell>
          <cell r="O402">
            <v>0.46737187127532726</v>
          </cell>
          <cell r="P402">
            <v>6035</v>
          </cell>
          <cell r="Q402"/>
        </row>
        <row r="403">
          <cell r="E403">
            <v>422000000</v>
          </cell>
          <cell r="F403"/>
          <cell r="G403"/>
          <cell r="H403">
            <v>0.51100000000000001</v>
          </cell>
          <cell r="I403">
            <v>0.45</v>
          </cell>
          <cell r="J403">
            <v>6035</v>
          </cell>
          <cell r="K403"/>
          <cell r="L403"/>
          <cell r="M403"/>
          <cell r="N403">
            <v>0.60929250263991619</v>
          </cell>
          <cell r="O403">
            <v>0.46817177183984532</v>
          </cell>
          <cell r="P403">
            <v>6035</v>
          </cell>
          <cell r="Q403"/>
        </row>
        <row r="404">
          <cell r="E404">
            <v>423000000</v>
          </cell>
          <cell r="F404"/>
          <cell r="G404"/>
          <cell r="H404">
            <v>0.51100000000000001</v>
          </cell>
          <cell r="I404">
            <v>0.45</v>
          </cell>
          <cell r="J404">
            <v>6035</v>
          </cell>
          <cell r="K404"/>
          <cell r="L404"/>
          <cell r="M404"/>
          <cell r="N404">
            <v>0.60970464135021163</v>
          </cell>
          <cell r="O404">
            <v>0.46896927342688943</v>
          </cell>
          <cell r="P404">
            <v>6035</v>
          </cell>
          <cell r="Q404"/>
        </row>
        <row r="405">
          <cell r="E405">
            <v>424000000</v>
          </cell>
          <cell r="F405"/>
          <cell r="G405"/>
          <cell r="H405">
            <v>0.51100000000000001</v>
          </cell>
          <cell r="I405">
            <v>0.45</v>
          </cell>
          <cell r="J405">
            <v>6035</v>
          </cell>
          <cell r="K405"/>
          <cell r="L405"/>
          <cell r="M405"/>
          <cell r="N405">
            <v>0.61011591148577526</v>
          </cell>
          <cell r="O405">
            <v>0.46976438681244115</v>
          </cell>
          <cell r="P405">
            <v>6035</v>
          </cell>
          <cell r="Q405"/>
        </row>
        <row r="406">
          <cell r="E406">
            <v>425000000</v>
          </cell>
          <cell r="F406"/>
          <cell r="G406"/>
          <cell r="H406">
            <v>0.51100000000000001</v>
          </cell>
          <cell r="I406">
            <v>0.45</v>
          </cell>
          <cell r="J406">
            <v>6035</v>
          </cell>
          <cell r="K406"/>
          <cell r="L406"/>
          <cell r="M406"/>
          <cell r="N406">
            <v>0.61052631578947447</v>
          </cell>
          <cell r="O406">
            <v>0.47055712270803884</v>
          </cell>
          <cell r="P406">
            <v>6035</v>
          </cell>
          <cell r="Q406"/>
        </row>
        <row r="407">
          <cell r="E407">
            <v>426000000</v>
          </cell>
          <cell r="F407"/>
          <cell r="G407"/>
          <cell r="H407">
            <v>0.51100000000000001</v>
          </cell>
          <cell r="I407">
            <v>0.45</v>
          </cell>
          <cell r="J407">
            <v>6035</v>
          </cell>
          <cell r="K407"/>
          <cell r="L407"/>
          <cell r="M407"/>
          <cell r="N407">
            <v>0.61093585699264008</v>
          </cell>
          <cell r="O407">
            <v>0.47134749176125895</v>
          </cell>
          <cell r="P407">
            <v>6035</v>
          </cell>
          <cell r="Q407"/>
        </row>
        <row r="408">
          <cell r="E408">
            <v>427000000</v>
          </cell>
          <cell r="F408"/>
          <cell r="G408"/>
          <cell r="H408">
            <v>0.51100000000000001</v>
          </cell>
          <cell r="I408">
            <v>0.45</v>
          </cell>
          <cell r="J408">
            <v>6035</v>
          </cell>
          <cell r="K408"/>
          <cell r="L408"/>
          <cell r="M408"/>
          <cell r="N408">
            <v>0.61134453781512688</v>
          </cell>
          <cell r="O408">
            <v>0.47213550455619235</v>
          </cell>
          <cell r="P408">
            <v>6035</v>
          </cell>
          <cell r="Q408"/>
        </row>
        <row r="409">
          <cell r="E409">
            <v>428000000</v>
          </cell>
          <cell r="F409"/>
          <cell r="G409"/>
          <cell r="H409">
            <v>0.51100000000000001</v>
          </cell>
          <cell r="I409">
            <v>0.45</v>
          </cell>
          <cell r="J409">
            <v>6035</v>
          </cell>
          <cell r="K409"/>
          <cell r="L409"/>
          <cell r="M409"/>
          <cell r="N409">
            <v>0.61175236096537333</v>
          </cell>
          <cell r="O409">
            <v>0.47292117161391711</v>
          </cell>
          <cell r="P409">
            <v>6035</v>
          </cell>
          <cell r="Q409"/>
        </row>
        <row r="410">
          <cell r="E410">
            <v>429000000</v>
          </cell>
          <cell r="F410"/>
          <cell r="G410"/>
          <cell r="H410">
            <v>0.51100000000000001</v>
          </cell>
          <cell r="I410">
            <v>0.45</v>
          </cell>
          <cell r="J410">
            <v>6035</v>
          </cell>
          <cell r="K410"/>
          <cell r="L410"/>
          <cell r="M410"/>
          <cell r="N410">
            <v>0.61215932914046212</v>
          </cell>
          <cell r="O410">
            <v>0.4737045033929666</v>
          </cell>
          <cell r="P410">
            <v>6035</v>
          </cell>
          <cell r="Q410"/>
        </row>
        <row r="411">
          <cell r="E411">
            <v>430000000</v>
          </cell>
          <cell r="F411"/>
          <cell r="G411"/>
          <cell r="H411">
            <v>0.51100000000000001</v>
          </cell>
          <cell r="I411">
            <v>0.45</v>
          </cell>
          <cell r="J411">
            <v>6035</v>
          </cell>
          <cell r="K411"/>
          <cell r="L411"/>
          <cell r="M411"/>
          <cell r="N411">
            <v>0.61256544502617893</v>
          </cell>
          <cell r="O411">
            <v>0.47448551028979347</v>
          </cell>
          <cell r="P411">
            <v>6035</v>
          </cell>
          <cell r="Q411"/>
        </row>
        <row r="412">
          <cell r="E412">
            <v>431000000</v>
          </cell>
          <cell r="F412"/>
          <cell r="G412"/>
          <cell r="H412">
            <v>0.51100000000000001</v>
          </cell>
          <cell r="I412">
            <v>0.45</v>
          </cell>
          <cell r="J412">
            <v>6035</v>
          </cell>
          <cell r="K412"/>
          <cell r="L412"/>
          <cell r="M412"/>
          <cell r="N412">
            <v>0.61297071129707204</v>
          </cell>
          <cell r="O412">
            <v>0.47526420263922986</v>
          </cell>
          <cell r="P412">
            <v>6035</v>
          </cell>
          <cell r="Q412"/>
        </row>
        <row r="413">
          <cell r="E413">
            <v>432000000</v>
          </cell>
          <cell r="F413"/>
          <cell r="G413"/>
          <cell r="H413">
            <v>0.51100000000000001</v>
          </cell>
          <cell r="I413">
            <v>0.45</v>
          </cell>
          <cell r="J413">
            <v>6035</v>
          </cell>
          <cell r="K413"/>
          <cell r="L413"/>
          <cell r="M413"/>
          <cell r="N413">
            <v>0.61337513061651083</v>
          </cell>
          <cell r="O413">
            <v>0.47604059071494298</v>
          </cell>
          <cell r="P413">
            <v>6035</v>
          </cell>
          <cell r="Q413"/>
        </row>
        <row r="414">
          <cell r="E414">
            <v>433000000</v>
          </cell>
          <cell r="F414"/>
          <cell r="G414"/>
          <cell r="H414">
            <v>0.51100000000000001</v>
          </cell>
          <cell r="I414">
            <v>0.45</v>
          </cell>
          <cell r="J414">
            <v>6035</v>
          </cell>
          <cell r="K414"/>
          <cell r="L414"/>
          <cell r="M414"/>
          <cell r="N414">
            <v>0.61377870563674419</v>
          </cell>
          <cell r="O414">
            <v>0.47681468472988714</v>
          </cell>
          <cell r="P414">
            <v>6035</v>
          </cell>
          <cell r="Q414"/>
        </row>
        <row r="415">
          <cell r="E415">
            <v>434000000</v>
          </cell>
          <cell r="F415"/>
          <cell r="G415"/>
          <cell r="H415">
            <v>0.51100000000000001</v>
          </cell>
          <cell r="I415">
            <v>0.45</v>
          </cell>
          <cell r="J415">
            <v>6035</v>
          </cell>
          <cell r="K415"/>
          <cell r="L415"/>
          <cell r="M415"/>
          <cell r="N415">
            <v>0.61418143899895827</v>
          </cell>
          <cell r="O415">
            <v>0.47758649483675147</v>
          </cell>
          <cell r="P415">
            <v>6035</v>
          </cell>
          <cell r="Q415"/>
        </row>
        <row r="416">
          <cell r="E416">
            <v>435000000</v>
          </cell>
          <cell r="F416"/>
          <cell r="G416"/>
          <cell r="H416">
            <v>0.51100000000000001</v>
          </cell>
          <cell r="I416">
            <v>0.45</v>
          </cell>
          <cell r="J416">
            <v>6035</v>
          </cell>
          <cell r="K416"/>
          <cell r="L416"/>
          <cell r="M416"/>
          <cell r="N416">
            <v>0.61458333333333437</v>
          </cell>
          <cell r="O416">
            <v>0.4783560311284038</v>
          </cell>
          <cell r="P416">
            <v>6035</v>
          </cell>
          <cell r="Q416"/>
        </row>
        <row r="417">
          <cell r="E417">
            <v>436000000</v>
          </cell>
          <cell r="F417"/>
          <cell r="G417"/>
          <cell r="H417">
            <v>0.51100000000000001</v>
          </cell>
          <cell r="I417">
            <v>0.45</v>
          </cell>
          <cell r="J417">
            <v>6035</v>
          </cell>
          <cell r="K417"/>
          <cell r="L417"/>
          <cell r="M417"/>
          <cell r="N417">
            <v>0.61498439125910609</v>
          </cell>
          <cell r="O417">
            <v>0.47912330363833067</v>
          </cell>
          <cell r="P417">
            <v>6035</v>
          </cell>
          <cell r="Q417"/>
        </row>
        <row r="418">
          <cell r="E418">
            <v>437000000</v>
          </cell>
          <cell r="F418"/>
          <cell r="G418"/>
          <cell r="H418">
            <v>0.51100000000000001</v>
          </cell>
          <cell r="I418">
            <v>0.45</v>
          </cell>
          <cell r="J418">
            <v>6035</v>
          </cell>
          <cell r="K418"/>
          <cell r="L418"/>
          <cell r="M418"/>
          <cell r="N418">
            <v>0.61538461538461642</v>
          </cell>
          <cell r="O418">
            <v>0.4798883223410732</v>
          </cell>
          <cell r="P418">
            <v>6035</v>
          </cell>
          <cell r="Q418"/>
        </row>
        <row r="419">
          <cell r="E419">
            <v>438000000</v>
          </cell>
          <cell r="F419"/>
          <cell r="G419"/>
          <cell r="H419">
            <v>0.51100000000000001</v>
          </cell>
          <cell r="I419">
            <v>0.45</v>
          </cell>
          <cell r="J419">
            <v>6035</v>
          </cell>
          <cell r="K419"/>
          <cell r="L419"/>
          <cell r="M419"/>
          <cell r="N419">
            <v>0.6157840083073739</v>
          </cell>
          <cell r="O419">
            <v>0.48065109715265963</v>
          </cell>
          <cell r="P419">
            <v>6035</v>
          </cell>
          <cell r="Q419"/>
        </row>
        <row r="420">
          <cell r="E420">
            <v>439000000</v>
          </cell>
          <cell r="F420"/>
          <cell r="G420"/>
          <cell r="H420">
            <v>0.51100000000000001</v>
          </cell>
          <cell r="I420">
            <v>0.45</v>
          </cell>
          <cell r="J420">
            <v>6035</v>
          </cell>
          <cell r="K420"/>
          <cell r="L420"/>
          <cell r="M420"/>
          <cell r="N420">
            <v>0.61618257261410903</v>
          </cell>
          <cell r="O420">
            <v>0.48141163793103353</v>
          </cell>
          <cell r="P420">
            <v>6035</v>
          </cell>
          <cell r="Q420"/>
        </row>
        <row r="421">
          <cell r="E421">
            <v>440000000</v>
          </cell>
          <cell r="F421"/>
          <cell r="G421"/>
          <cell r="H421">
            <v>0.51100000000000001</v>
          </cell>
          <cell r="I421">
            <v>0.45</v>
          </cell>
          <cell r="J421">
            <v>6035</v>
          </cell>
          <cell r="K421"/>
          <cell r="L421"/>
          <cell r="M421"/>
          <cell r="N421">
            <v>0.61658031088083021</v>
          </cell>
          <cell r="O421">
            <v>0.48216995447647859</v>
          </cell>
          <cell r="P421">
            <v>6035</v>
          </cell>
          <cell r="Q421"/>
        </row>
        <row r="422">
          <cell r="E422">
            <v>441000000</v>
          </cell>
          <cell r="F422"/>
          <cell r="G422"/>
          <cell r="H422">
            <v>0.51100000000000001</v>
          </cell>
          <cell r="I422">
            <v>0.45</v>
          </cell>
          <cell r="J422">
            <v>6035</v>
          </cell>
          <cell r="K422"/>
          <cell r="L422"/>
          <cell r="M422"/>
          <cell r="N422">
            <v>0.61697722567287905</v>
          </cell>
          <cell r="O422">
            <v>0.48292605653203935</v>
          </cell>
          <cell r="P422">
            <v>6035</v>
          </cell>
          <cell r="Q422"/>
        </row>
        <row r="423">
          <cell r="E423">
            <v>442000000</v>
          </cell>
          <cell r="F423"/>
          <cell r="G423"/>
          <cell r="H423">
            <v>0.51100000000000001</v>
          </cell>
          <cell r="I423">
            <v>0.45</v>
          </cell>
          <cell r="J423">
            <v>6035</v>
          </cell>
          <cell r="K423"/>
          <cell r="L423"/>
          <cell r="M423"/>
          <cell r="N423">
            <v>0.61737331954498564</v>
          </cell>
          <cell r="O423">
            <v>0.48367995378393891</v>
          </cell>
          <cell r="P423">
            <v>6035</v>
          </cell>
          <cell r="Q423"/>
        </row>
        <row r="424">
          <cell r="E424">
            <v>443000000</v>
          </cell>
          <cell r="F424"/>
          <cell r="G424"/>
          <cell r="H424">
            <v>0.51100000000000001</v>
          </cell>
          <cell r="I424">
            <v>0.45</v>
          </cell>
          <cell r="J424">
            <v>6035</v>
          </cell>
          <cell r="K424"/>
          <cell r="L424"/>
          <cell r="M424"/>
          <cell r="N424">
            <v>0.61776859504132353</v>
          </cell>
          <cell r="O424">
            <v>0.48443165586199216</v>
          </cell>
          <cell r="P424">
            <v>6035</v>
          </cell>
          <cell r="Q424"/>
        </row>
        <row r="425">
          <cell r="E425">
            <v>444000000</v>
          </cell>
          <cell r="F425"/>
          <cell r="G425"/>
          <cell r="H425">
            <v>0.51100000000000001</v>
          </cell>
          <cell r="I425">
            <v>0.45</v>
          </cell>
          <cell r="J425">
            <v>6035</v>
          </cell>
          <cell r="K425"/>
          <cell r="L425"/>
          <cell r="M425"/>
          <cell r="N425">
            <v>0.61816305469556365</v>
          </cell>
          <cell r="O425">
            <v>0.48518117234001595</v>
          </cell>
          <cell r="P425">
            <v>6035</v>
          </cell>
          <cell r="Q425"/>
        </row>
        <row r="426">
          <cell r="E426">
            <v>445000000</v>
          </cell>
          <cell r="F426"/>
          <cell r="G426"/>
          <cell r="H426">
            <v>0.51100000000000001</v>
          </cell>
          <cell r="I426">
            <v>0.45</v>
          </cell>
          <cell r="J426">
            <v>6035</v>
          </cell>
          <cell r="K426"/>
          <cell r="L426"/>
          <cell r="M426"/>
          <cell r="N426">
            <v>0.61855670103092908</v>
          </cell>
          <cell r="O426">
            <v>0.48592851273623561</v>
          </cell>
          <cell r="P426">
            <v>6035</v>
          </cell>
          <cell r="Q426"/>
        </row>
        <row r="427">
          <cell r="E427">
            <v>446000000</v>
          </cell>
          <cell r="F427"/>
          <cell r="G427"/>
          <cell r="H427">
            <v>0.51100000000000001</v>
          </cell>
          <cell r="I427">
            <v>0.45</v>
          </cell>
          <cell r="J427">
            <v>6035</v>
          </cell>
          <cell r="K427"/>
          <cell r="L427"/>
          <cell r="M427"/>
          <cell r="N427">
            <v>0.61894953656024843</v>
          </cell>
          <cell r="O427">
            <v>0.48667368651368764</v>
          </cell>
          <cell r="P427">
            <v>6035</v>
          </cell>
          <cell r="Q427"/>
        </row>
        <row r="428">
          <cell r="E428">
            <v>447000000</v>
          </cell>
          <cell r="F428"/>
          <cell r="G428"/>
          <cell r="H428">
            <v>0.51100000000000001</v>
          </cell>
          <cell r="I428">
            <v>0.45</v>
          </cell>
          <cell r="J428">
            <v>6035</v>
          </cell>
          <cell r="K428"/>
          <cell r="L428"/>
          <cell r="M428"/>
          <cell r="N428">
            <v>0.61934156378600957</v>
          </cell>
          <cell r="O428">
            <v>0.48741670308061941</v>
          </cell>
          <cell r="P428">
            <v>6035</v>
          </cell>
          <cell r="Q428"/>
        </row>
        <row r="429">
          <cell r="E429">
            <v>448000000</v>
          </cell>
          <cell r="F429"/>
          <cell r="G429"/>
          <cell r="H429">
            <v>0.51100000000000001</v>
          </cell>
          <cell r="I429">
            <v>0.45</v>
          </cell>
          <cell r="J429">
            <v>6035</v>
          </cell>
          <cell r="K429"/>
          <cell r="L429"/>
          <cell r="M429"/>
          <cell r="N429">
            <v>0.61973278520041242</v>
          </cell>
          <cell r="O429">
            <v>0.48815757179088493</v>
          </cell>
          <cell r="P429">
            <v>6035</v>
          </cell>
          <cell r="Q429"/>
        </row>
        <row r="430">
          <cell r="E430">
            <v>449000000</v>
          </cell>
          <cell r="F430"/>
          <cell r="G430"/>
          <cell r="H430">
            <v>0.51100000000000001</v>
          </cell>
          <cell r="I430">
            <v>0.45</v>
          </cell>
          <cell r="J430">
            <v>6035</v>
          </cell>
          <cell r="K430"/>
          <cell r="L430"/>
          <cell r="M430"/>
          <cell r="N430">
            <v>0.62012320328542236</v>
          </cell>
          <cell r="O430">
            <v>0.48889630194433742</v>
          </cell>
          <cell r="P430">
            <v>6035</v>
          </cell>
          <cell r="Q430"/>
        </row>
        <row r="431">
          <cell r="E431">
            <v>450000000</v>
          </cell>
          <cell r="F431"/>
          <cell r="G431"/>
          <cell r="H431">
            <v>0.51100000000000001</v>
          </cell>
          <cell r="I431">
            <v>0.45</v>
          </cell>
          <cell r="J431">
            <v>6035</v>
          </cell>
          <cell r="K431"/>
          <cell r="L431"/>
          <cell r="M431"/>
          <cell r="N431">
            <v>0.62051282051282186</v>
          </cell>
          <cell r="O431">
            <v>0.48963290278721844</v>
          </cell>
          <cell r="P431">
            <v>6035</v>
          </cell>
          <cell r="Q431"/>
        </row>
        <row r="432">
          <cell r="E432">
            <v>451000000</v>
          </cell>
          <cell r="F432"/>
          <cell r="G432"/>
          <cell r="H432">
            <v>0.52600000000000002</v>
          </cell>
          <cell r="I432">
            <v>0.45</v>
          </cell>
          <cell r="J432">
            <v>6610</v>
          </cell>
          <cell r="K432"/>
          <cell r="L432"/>
          <cell r="M432"/>
          <cell r="N432">
            <v>0.62090163934426368</v>
          </cell>
          <cell r="O432">
            <v>0.49036738351254366</v>
          </cell>
          <cell r="P432">
            <v>6610</v>
          </cell>
          <cell r="Q432"/>
        </row>
        <row r="433">
          <cell r="E433">
            <v>452000000</v>
          </cell>
          <cell r="F433"/>
          <cell r="G433"/>
          <cell r="H433">
            <v>0.52600000000000002</v>
          </cell>
          <cell r="I433">
            <v>0.45</v>
          </cell>
          <cell r="J433">
            <v>6610</v>
          </cell>
          <cell r="K433"/>
          <cell r="L433"/>
          <cell r="M433"/>
          <cell r="N433">
            <v>0.62128966223132187</v>
          </cell>
          <cell r="O433">
            <v>0.49109975326048527</v>
          </cell>
          <cell r="P433">
            <v>6610</v>
          </cell>
          <cell r="Q433"/>
        </row>
        <row r="434">
          <cell r="E434">
            <v>453000000</v>
          </cell>
          <cell r="F434"/>
          <cell r="G434"/>
          <cell r="H434">
            <v>0.52600000000000002</v>
          </cell>
          <cell r="I434">
            <v>0.45</v>
          </cell>
          <cell r="J434">
            <v>6610</v>
          </cell>
          <cell r="K434"/>
          <cell r="L434"/>
          <cell r="M434"/>
          <cell r="N434">
            <v>0.6216768916155434</v>
          </cell>
          <cell r="O434">
            <v>0.49183002111875118</v>
          </cell>
          <cell r="P434">
            <v>6610</v>
          </cell>
          <cell r="Q434"/>
        </row>
        <row r="435">
          <cell r="E435">
            <v>454000000</v>
          </cell>
          <cell r="F435"/>
          <cell r="G435"/>
          <cell r="H435">
            <v>0.52600000000000002</v>
          </cell>
          <cell r="I435">
            <v>0.45</v>
          </cell>
          <cell r="J435">
            <v>6610</v>
          </cell>
          <cell r="K435"/>
          <cell r="L435"/>
          <cell r="M435"/>
          <cell r="N435">
            <v>0.6220633299285</v>
          </cell>
          <cell r="O435">
            <v>0.49255819612296092</v>
          </cell>
          <cell r="P435">
            <v>6610</v>
          </cell>
          <cell r="Q435"/>
        </row>
        <row r="436">
          <cell r="E436">
            <v>455000000</v>
          </cell>
          <cell r="F436"/>
          <cell r="G436"/>
          <cell r="H436">
            <v>0.52600000000000002</v>
          </cell>
          <cell r="I436">
            <v>0.45</v>
          </cell>
          <cell r="J436">
            <v>6610</v>
          </cell>
          <cell r="K436"/>
          <cell r="L436"/>
          <cell r="M436"/>
          <cell r="N436">
            <v>0.62244897959183831</v>
          </cell>
          <cell r="O436">
            <v>0.49328428725701817</v>
          </cell>
          <cell r="P436">
            <v>6610</v>
          </cell>
          <cell r="Q436"/>
        </row>
        <row r="437">
          <cell r="E437">
            <v>456000000</v>
          </cell>
          <cell r="F437"/>
          <cell r="G437"/>
          <cell r="H437">
            <v>0.52600000000000002</v>
          </cell>
          <cell r="I437">
            <v>0.45</v>
          </cell>
          <cell r="J437">
            <v>6610</v>
          </cell>
          <cell r="K437"/>
          <cell r="L437"/>
          <cell r="M437"/>
          <cell r="N437">
            <v>0.6228338430173308</v>
          </cell>
          <cell r="O437">
            <v>0.49400830345348051</v>
          </cell>
          <cell r="P437">
            <v>6610</v>
          </cell>
          <cell r="Q437"/>
        </row>
        <row r="438">
          <cell r="E438">
            <v>457000000</v>
          </cell>
          <cell r="F438"/>
          <cell r="G438"/>
          <cell r="H438">
            <v>0.52600000000000002</v>
          </cell>
          <cell r="I438">
            <v>0.45</v>
          </cell>
          <cell r="J438">
            <v>6610</v>
          </cell>
          <cell r="K438"/>
          <cell r="L438"/>
          <cell r="M438"/>
          <cell r="N438">
            <v>0.62321792260692621</v>
          </cell>
          <cell r="O438">
            <v>0.49473025359392542</v>
          </cell>
          <cell r="P438">
            <v>6610</v>
          </cell>
          <cell r="Q438"/>
        </row>
        <row r="439">
          <cell r="E439">
            <v>458000000</v>
          </cell>
          <cell r="F439"/>
          <cell r="G439"/>
          <cell r="H439">
            <v>0.52600000000000002</v>
          </cell>
          <cell r="I439">
            <v>0.45</v>
          </cell>
          <cell r="J439">
            <v>6610</v>
          </cell>
          <cell r="K439"/>
          <cell r="L439"/>
          <cell r="M439"/>
          <cell r="N439">
            <v>0.62360122075279911</v>
          </cell>
          <cell r="O439">
            <v>0.49545014650931346</v>
          </cell>
          <cell r="P439">
            <v>6610</v>
          </cell>
          <cell r="Q439"/>
        </row>
        <row r="440">
          <cell r="E440">
            <v>459000000</v>
          </cell>
          <cell r="F440"/>
          <cell r="G440"/>
          <cell r="H440">
            <v>0.52600000000000002</v>
          </cell>
          <cell r="I440">
            <v>0.45</v>
          </cell>
          <cell r="J440">
            <v>6610</v>
          </cell>
          <cell r="K440"/>
          <cell r="L440"/>
          <cell r="M440"/>
          <cell r="N440">
            <v>0.62398373983739996</v>
          </cell>
          <cell r="O440">
            <v>0.49616799098034875</v>
          </cell>
          <cell r="P440">
            <v>6610</v>
          </cell>
          <cell r="Q440"/>
        </row>
        <row r="441">
          <cell r="E441">
            <v>460000000</v>
          </cell>
          <cell r="F441"/>
          <cell r="G441"/>
          <cell r="H441">
            <v>0.52600000000000002</v>
          </cell>
          <cell r="I441">
            <v>0.45</v>
          </cell>
          <cell r="J441">
            <v>6610</v>
          </cell>
          <cell r="K441"/>
          <cell r="L441"/>
          <cell r="M441"/>
          <cell r="N441">
            <v>0.62436548223350419</v>
          </cell>
          <cell r="O441">
            <v>0.49688379573783542</v>
          </cell>
          <cell r="P441">
            <v>6610</v>
          </cell>
          <cell r="Q441"/>
        </row>
        <row r="442">
          <cell r="E442">
            <v>461000000</v>
          </cell>
          <cell r="F442"/>
          <cell r="G442"/>
          <cell r="H442">
            <v>0.52600000000000002</v>
          </cell>
          <cell r="I442">
            <v>0.45</v>
          </cell>
          <cell r="J442">
            <v>6610</v>
          </cell>
          <cell r="K442"/>
          <cell r="L442"/>
          <cell r="M442"/>
          <cell r="N442">
            <v>0.62474645030426135</v>
          </cell>
          <cell r="O442">
            <v>0.49759756946303202</v>
          </cell>
          <cell r="P442">
            <v>6610</v>
          </cell>
          <cell r="Q442"/>
        </row>
        <row r="443">
          <cell r="E443">
            <v>462000000</v>
          </cell>
          <cell r="F443"/>
          <cell r="G443"/>
          <cell r="H443">
            <v>0.52600000000000002</v>
          </cell>
          <cell r="I443">
            <v>0.45</v>
          </cell>
          <cell r="J443">
            <v>6610</v>
          </cell>
          <cell r="K443"/>
          <cell r="L443"/>
          <cell r="M443"/>
          <cell r="N443">
            <v>0.62512664640324389</v>
          </cell>
          <cell r="O443">
            <v>0.49830932078800216</v>
          </cell>
          <cell r="P443">
            <v>6610</v>
          </cell>
          <cell r="Q443"/>
        </row>
        <row r="444">
          <cell r="E444">
            <v>463000000</v>
          </cell>
          <cell r="F444"/>
          <cell r="G444"/>
          <cell r="H444">
            <v>0.52600000000000002</v>
          </cell>
          <cell r="I444">
            <v>0.45</v>
          </cell>
          <cell r="J444">
            <v>6610</v>
          </cell>
          <cell r="K444"/>
          <cell r="L444"/>
          <cell r="M444"/>
          <cell r="N444">
            <v>0.62550607287449567</v>
          </cell>
          <cell r="O444">
            <v>0.49901905829596271</v>
          </cell>
          <cell r="P444">
            <v>6610</v>
          </cell>
          <cell r="Q444"/>
        </row>
        <row r="445">
          <cell r="E445">
            <v>464000000</v>
          </cell>
          <cell r="F445"/>
          <cell r="G445"/>
          <cell r="H445">
            <v>0.52600000000000002</v>
          </cell>
          <cell r="I445">
            <v>0.45</v>
          </cell>
          <cell r="J445">
            <v>6610</v>
          </cell>
          <cell r="K445"/>
          <cell r="L445"/>
          <cell r="M445"/>
          <cell r="N445">
            <v>0.62588473205258011</v>
          </cell>
          <cell r="O445">
            <v>0.49972679052162877</v>
          </cell>
          <cell r="P445">
            <v>6610</v>
          </cell>
          <cell r="Q445"/>
        </row>
        <row r="446">
          <cell r="E446">
            <v>465000000</v>
          </cell>
          <cell r="F446"/>
          <cell r="G446"/>
          <cell r="H446">
            <v>0.52600000000000002</v>
          </cell>
          <cell r="I446">
            <v>0.45</v>
          </cell>
          <cell r="J446">
            <v>6610</v>
          </cell>
          <cell r="K446"/>
          <cell r="L446"/>
          <cell r="M446"/>
          <cell r="N446">
            <v>0.62626262626262807</v>
          </cell>
          <cell r="O446">
            <v>0.50043252595155563</v>
          </cell>
          <cell r="P446">
            <v>6610</v>
          </cell>
          <cell r="Q446"/>
        </row>
        <row r="447">
          <cell r="E447">
            <v>466000000</v>
          </cell>
          <cell r="F447"/>
          <cell r="G447"/>
          <cell r="H447">
            <v>0.52600000000000002</v>
          </cell>
          <cell r="I447">
            <v>0.45</v>
          </cell>
          <cell r="J447">
            <v>6610</v>
          </cell>
          <cell r="K447"/>
          <cell r="L447"/>
          <cell r="M447"/>
          <cell r="N447">
            <v>0.62663975782038528</v>
          </cell>
          <cell r="O447">
            <v>0.50113627302447827</v>
          </cell>
          <cell r="P447">
            <v>6610</v>
          </cell>
          <cell r="Q447"/>
        </row>
        <row r="448">
          <cell r="E448">
            <v>467000000</v>
          </cell>
          <cell r="F448"/>
          <cell r="G448"/>
          <cell r="H448">
            <v>0.52600000000000002</v>
          </cell>
          <cell r="I448">
            <v>0.45</v>
          </cell>
          <cell r="J448">
            <v>6610</v>
          </cell>
          <cell r="K448"/>
          <cell r="L448"/>
          <cell r="M448"/>
          <cell r="N448">
            <v>0.62701612903225989</v>
          </cell>
          <cell r="O448">
            <v>0.50183804013164746</v>
          </cell>
          <cell r="P448">
            <v>6610</v>
          </cell>
          <cell r="Q448"/>
        </row>
        <row r="449">
          <cell r="E449">
            <v>468000000</v>
          </cell>
          <cell r="F449"/>
          <cell r="G449"/>
          <cell r="H449">
            <v>0.52600000000000002</v>
          </cell>
          <cell r="I449">
            <v>0.45</v>
          </cell>
          <cell r="J449">
            <v>6610</v>
          </cell>
          <cell r="K449"/>
          <cell r="L449"/>
          <cell r="M449"/>
          <cell r="N449">
            <v>0.62739174219536942</v>
          </cell>
          <cell r="O449">
            <v>0.50253783561716325</v>
          </cell>
          <cell r="P449">
            <v>6610</v>
          </cell>
          <cell r="Q449"/>
        </row>
        <row r="450">
          <cell r="E450">
            <v>469000000</v>
          </cell>
          <cell r="F450"/>
          <cell r="G450"/>
          <cell r="H450">
            <v>0.52600000000000002</v>
          </cell>
          <cell r="I450">
            <v>0.45</v>
          </cell>
          <cell r="J450">
            <v>6610</v>
          </cell>
          <cell r="K450"/>
          <cell r="L450"/>
          <cell r="M450"/>
          <cell r="N450">
            <v>0.6277665995975874</v>
          </cell>
          <cell r="O450">
            <v>0.50323566777830586</v>
          </cell>
          <cell r="P450">
            <v>6610</v>
          </cell>
          <cell r="Q450"/>
        </row>
        <row r="451">
          <cell r="E451">
            <v>470000000</v>
          </cell>
          <cell r="F451"/>
          <cell r="G451"/>
          <cell r="H451">
            <v>0.52600000000000002</v>
          </cell>
          <cell r="I451">
            <v>0.45</v>
          </cell>
          <cell r="J451">
            <v>6610</v>
          </cell>
          <cell r="K451"/>
          <cell r="L451"/>
          <cell r="M451"/>
          <cell r="N451">
            <v>0.62814070351758977</v>
          </cell>
          <cell r="O451">
            <v>0.50393154486586367</v>
          </cell>
          <cell r="P451">
            <v>6610</v>
          </cell>
          <cell r="Q451"/>
        </row>
        <row r="452">
          <cell r="E452">
            <v>471000000</v>
          </cell>
          <cell r="F452"/>
          <cell r="G452"/>
          <cell r="H452">
            <v>0.52600000000000002</v>
          </cell>
          <cell r="I452">
            <v>0.45</v>
          </cell>
          <cell r="J452">
            <v>6610</v>
          </cell>
          <cell r="K452"/>
          <cell r="L452"/>
          <cell r="M452"/>
          <cell r="N452">
            <v>0.62851405622490153</v>
          </cell>
          <cell r="O452">
            <v>0.50462547508445821</v>
          </cell>
          <cell r="P452">
            <v>6610</v>
          </cell>
          <cell r="Q452"/>
        </row>
        <row r="453">
          <cell r="E453">
            <v>472000000</v>
          </cell>
          <cell r="F453"/>
          <cell r="G453"/>
          <cell r="H453">
            <v>0.52600000000000002</v>
          </cell>
          <cell r="I453">
            <v>0.45</v>
          </cell>
          <cell r="J453">
            <v>6610</v>
          </cell>
          <cell r="K453"/>
          <cell r="L453"/>
          <cell r="M453"/>
          <cell r="N453">
            <v>0.62888665997994175</v>
          </cell>
          <cell r="O453">
            <v>0.50531746659286669</v>
          </cell>
          <cell r="P453">
            <v>6610</v>
          </cell>
          <cell r="Q453"/>
        </row>
        <row r="454">
          <cell r="E454">
            <v>473000000</v>
          </cell>
          <cell r="F454"/>
          <cell r="G454"/>
          <cell r="H454">
            <v>0.52600000000000002</v>
          </cell>
          <cell r="I454">
            <v>0.45</v>
          </cell>
          <cell r="J454">
            <v>6610</v>
          </cell>
          <cell r="K454"/>
          <cell r="L454"/>
          <cell r="M454"/>
          <cell r="N454">
            <v>0.6292585170340701</v>
          </cell>
          <cell r="O454">
            <v>0.50600752750434164</v>
          </cell>
          <cell r="P454">
            <v>6610</v>
          </cell>
          <cell r="Q454"/>
        </row>
        <row r="455">
          <cell r="E455">
            <v>474000000</v>
          </cell>
          <cell r="F455"/>
          <cell r="G455"/>
          <cell r="H455">
            <v>0.52600000000000002</v>
          </cell>
          <cell r="I455">
            <v>0.45</v>
          </cell>
          <cell r="J455">
            <v>6610</v>
          </cell>
          <cell r="K455"/>
          <cell r="L455"/>
          <cell r="M455"/>
          <cell r="N455">
            <v>0.62962962962963165</v>
          </cell>
          <cell r="O455">
            <v>0.50669566588692827</v>
          </cell>
          <cell r="P455">
            <v>6610</v>
          </cell>
          <cell r="Q455"/>
        </row>
        <row r="456">
          <cell r="E456">
            <v>475000000</v>
          </cell>
          <cell r="F456"/>
          <cell r="G456"/>
          <cell r="H456">
            <v>0.52600000000000002</v>
          </cell>
          <cell r="I456">
            <v>0.45</v>
          </cell>
          <cell r="J456">
            <v>6610</v>
          </cell>
          <cell r="K456"/>
          <cell r="L456"/>
          <cell r="M456"/>
          <cell r="N456">
            <v>0.630000000000002</v>
          </cell>
          <cell r="O456">
            <v>0.50738188976377852</v>
          </cell>
          <cell r="P456">
            <v>6610</v>
          </cell>
          <cell r="Q456"/>
        </row>
        <row r="457">
          <cell r="E457">
            <v>476000000</v>
          </cell>
          <cell r="F457"/>
          <cell r="G457"/>
          <cell r="H457">
            <v>0.52600000000000002</v>
          </cell>
          <cell r="I457">
            <v>0.45</v>
          </cell>
          <cell r="J457">
            <v>6610</v>
          </cell>
          <cell r="K457"/>
          <cell r="L457"/>
          <cell r="M457"/>
          <cell r="N457">
            <v>0.63036963036963234</v>
          </cell>
          <cell r="O457">
            <v>0.50806620711346318</v>
          </cell>
          <cell r="P457">
            <v>6610</v>
          </cell>
          <cell r="Q457"/>
        </row>
        <row r="458">
          <cell r="E458">
            <v>477000000</v>
          </cell>
          <cell r="F458"/>
          <cell r="G458"/>
          <cell r="H458">
            <v>0.52600000000000002</v>
          </cell>
          <cell r="I458">
            <v>0.45</v>
          </cell>
          <cell r="J458">
            <v>6610</v>
          </cell>
          <cell r="K458"/>
          <cell r="L458"/>
          <cell r="M458"/>
          <cell r="N458">
            <v>0.63073852295409383</v>
          </cell>
          <cell r="O458">
            <v>0.50874862587028113</v>
          </cell>
          <cell r="P458">
            <v>6610</v>
          </cell>
          <cell r="Q458"/>
        </row>
        <row r="459">
          <cell r="E459">
            <v>478000000</v>
          </cell>
          <cell r="F459"/>
          <cell r="G459"/>
          <cell r="H459">
            <v>0.52600000000000002</v>
          </cell>
          <cell r="I459">
            <v>0.45</v>
          </cell>
          <cell r="J459">
            <v>6610</v>
          </cell>
          <cell r="K459"/>
          <cell r="L459"/>
          <cell r="M459"/>
          <cell r="N459">
            <v>0.63110667996012171</v>
          </cell>
          <cell r="O459">
            <v>0.50942915392456578</v>
          </cell>
          <cell r="P459">
            <v>6610</v>
          </cell>
          <cell r="Q459"/>
        </row>
        <row r="460">
          <cell r="E460">
            <v>479000000</v>
          </cell>
          <cell r="F460"/>
          <cell r="G460"/>
          <cell r="H460">
            <v>0.52600000000000002</v>
          </cell>
          <cell r="I460">
            <v>0.45</v>
          </cell>
          <cell r="J460">
            <v>6610</v>
          </cell>
          <cell r="K460"/>
          <cell r="L460"/>
          <cell r="M460"/>
          <cell r="N460">
            <v>0.63147410358565947</v>
          </cell>
          <cell r="O460">
            <v>0.51010779912298931</v>
          </cell>
          <cell r="P460">
            <v>6610</v>
          </cell>
          <cell r="Q460"/>
        </row>
        <row r="461">
          <cell r="E461">
            <v>480000000</v>
          </cell>
          <cell r="F461"/>
          <cell r="G461"/>
          <cell r="H461">
            <v>0.52600000000000002</v>
          </cell>
          <cell r="I461">
            <v>0.45</v>
          </cell>
          <cell r="J461">
            <v>6610</v>
          </cell>
          <cell r="K461"/>
          <cell r="L461"/>
          <cell r="M461"/>
          <cell r="N461">
            <v>0.63184079601990262</v>
          </cell>
          <cell r="O461">
            <v>0.51078456926886395</v>
          </cell>
          <cell r="P461">
            <v>6610</v>
          </cell>
          <cell r="Q461"/>
        </row>
        <row r="462">
          <cell r="E462">
            <v>481000000</v>
          </cell>
          <cell r="F462"/>
          <cell r="G462"/>
          <cell r="H462">
            <v>0.52600000000000002</v>
          </cell>
          <cell r="I462">
            <v>0.45</v>
          </cell>
          <cell r="J462">
            <v>6610</v>
          </cell>
          <cell r="K462"/>
          <cell r="L462"/>
          <cell r="M462"/>
          <cell r="N462">
            <v>0.63220675944334204</v>
          </cell>
          <cell r="O462">
            <v>0.51145947212244181</v>
          </cell>
          <cell r="P462">
            <v>6610</v>
          </cell>
          <cell r="Q462"/>
        </row>
        <row r="463">
          <cell r="E463">
            <v>482000000</v>
          </cell>
          <cell r="F463"/>
          <cell r="G463"/>
          <cell r="H463">
            <v>0.52600000000000002</v>
          </cell>
          <cell r="I463">
            <v>0.45</v>
          </cell>
          <cell r="J463">
            <v>6610</v>
          </cell>
          <cell r="K463"/>
          <cell r="L463"/>
          <cell r="M463"/>
          <cell r="N463">
            <v>0.63257199602780756</v>
          </cell>
          <cell r="O463">
            <v>0.51213251540121052</v>
          </cell>
          <cell r="P463">
            <v>6610</v>
          </cell>
          <cell r="Q463"/>
        </row>
        <row r="464">
          <cell r="E464">
            <v>483000000</v>
          </cell>
          <cell r="F464"/>
          <cell r="G464"/>
          <cell r="H464">
            <v>0.52600000000000002</v>
          </cell>
          <cell r="I464">
            <v>0.45</v>
          </cell>
          <cell r="J464">
            <v>6610</v>
          </cell>
          <cell r="K464"/>
          <cell r="L464"/>
          <cell r="M464"/>
          <cell r="N464">
            <v>0.63293650793651013</v>
          </cell>
          <cell r="O464">
            <v>0.51280370678018816</v>
          </cell>
          <cell r="P464">
            <v>6610</v>
          </cell>
          <cell r="Q464"/>
        </row>
        <row r="465">
          <cell r="E465">
            <v>484000000</v>
          </cell>
          <cell r="F465"/>
          <cell r="G465"/>
          <cell r="H465">
            <v>0.52600000000000002</v>
          </cell>
          <cell r="I465">
            <v>0.45</v>
          </cell>
          <cell r="J465">
            <v>6610</v>
          </cell>
          <cell r="K465"/>
          <cell r="L465"/>
          <cell r="M465"/>
          <cell r="N465">
            <v>0.63330029732408544</v>
          </cell>
          <cell r="O465">
            <v>0.51347305389221487</v>
          </cell>
          <cell r="P465">
            <v>6610</v>
          </cell>
          <cell r="Q465"/>
        </row>
        <row r="466">
          <cell r="E466">
            <v>485000000</v>
          </cell>
          <cell r="F466"/>
          <cell r="G466"/>
          <cell r="H466">
            <v>0.52600000000000002</v>
          </cell>
          <cell r="I466">
            <v>0.45</v>
          </cell>
          <cell r="J466">
            <v>6610</v>
          </cell>
          <cell r="K466"/>
          <cell r="L466"/>
          <cell r="M466"/>
          <cell r="N466">
            <v>0.63366336633663589</v>
          </cell>
          <cell r="O466">
            <v>0.51414056432824162</v>
          </cell>
          <cell r="P466">
            <v>6610</v>
          </cell>
          <cell r="Q466"/>
        </row>
        <row r="467">
          <cell r="E467">
            <v>486000000</v>
          </cell>
          <cell r="F467"/>
          <cell r="G467"/>
          <cell r="H467">
            <v>0.52600000000000002</v>
          </cell>
          <cell r="I467">
            <v>0.45</v>
          </cell>
          <cell r="J467">
            <v>6610</v>
          </cell>
          <cell r="K467"/>
          <cell r="L467"/>
          <cell r="M467"/>
          <cell r="N467">
            <v>0.6340257171117728</v>
          </cell>
          <cell r="O467">
            <v>0.5148062456376179</v>
          </cell>
          <cell r="P467">
            <v>6610</v>
          </cell>
          <cell r="Q467"/>
        </row>
        <row r="468">
          <cell r="E468">
            <v>487000000</v>
          </cell>
          <cell r="F468"/>
          <cell r="G468"/>
          <cell r="H468">
            <v>0.52600000000000002</v>
          </cell>
          <cell r="I468">
            <v>0.45</v>
          </cell>
          <cell r="J468">
            <v>6610</v>
          </cell>
          <cell r="K468"/>
          <cell r="L468"/>
          <cell r="M468"/>
          <cell r="N468">
            <v>0.63438735177865835</v>
          </cell>
          <cell r="O468">
            <v>0.51547010532837612</v>
          </cell>
          <cell r="P468">
            <v>6610</v>
          </cell>
          <cell r="Q468"/>
        </row>
        <row r="469">
          <cell r="E469">
            <v>488000000</v>
          </cell>
          <cell r="F469"/>
          <cell r="G469"/>
          <cell r="H469">
            <v>0.52600000000000002</v>
          </cell>
          <cell r="I469">
            <v>0.45</v>
          </cell>
          <cell r="J469">
            <v>6610</v>
          </cell>
          <cell r="K469"/>
          <cell r="L469"/>
          <cell r="M469"/>
          <cell r="N469">
            <v>0.63474827245804766</v>
          </cell>
          <cell r="O469">
            <v>0.51613215086751341</v>
          </cell>
          <cell r="P469">
            <v>6610</v>
          </cell>
          <cell r="Q469"/>
        </row>
        <row r="470">
          <cell r="E470">
            <v>489000000</v>
          </cell>
          <cell r="F470"/>
          <cell r="G470"/>
          <cell r="H470">
            <v>0.52600000000000002</v>
          </cell>
          <cell r="I470">
            <v>0.45</v>
          </cell>
          <cell r="J470">
            <v>6610</v>
          </cell>
          <cell r="K470"/>
          <cell r="L470"/>
          <cell r="M470"/>
          <cell r="N470">
            <v>0.63510848126232977</v>
          </cell>
          <cell r="O470">
            <v>0.51679238968127228</v>
          </cell>
          <cell r="P470">
            <v>6610</v>
          </cell>
          <cell r="Q470"/>
        </row>
        <row r="471">
          <cell r="E471">
            <v>490000000</v>
          </cell>
          <cell r="F471"/>
          <cell r="G471"/>
          <cell r="H471">
            <v>0.52600000000000002</v>
          </cell>
          <cell r="I471">
            <v>0.45</v>
          </cell>
          <cell r="J471">
            <v>6610</v>
          </cell>
          <cell r="K471"/>
          <cell r="L471"/>
          <cell r="M471"/>
          <cell r="N471">
            <v>0.63546798029556884</v>
          </cell>
          <cell r="O471">
            <v>0.51745082915541785</v>
          </cell>
          <cell r="P471">
            <v>6610</v>
          </cell>
          <cell r="Q471"/>
        </row>
        <row r="472">
          <cell r="E472">
            <v>491000000</v>
          </cell>
          <cell r="F472"/>
          <cell r="G472"/>
          <cell r="H472">
            <v>0.52600000000000002</v>
          </cell>
          <cell r="I472">
            <v>0.45</v>
          </cell>
          <cell r="J472">
            <v>6610</v>
          </cell>
          <cell r="K472"/>
          <cell r="L472"/>
          <cell r="M472"/>
          <cell r="N472">
            <v>0.63582677165354562</v>
          </cell>
          <cell r="O472">
            <v>0.51810747663551349</v>
          </cell>
          <cell r="P472">
            <v>6610</v>
          </cell>
          <cell r="Q472"/>
        </row>
        <row r="473">
          <cell r="E473">
            <v>492000000</v>
          </cell>
          <cell r="F473"/>
          <cell r="G473"/>
          <cell r="H473">
            <v>0.52600000000000002</v>
          </cell>
          <cell r="I473">
            <v>0.45</v>
          </cell>
          <cell r="J473">
            <v>6610</v>
          </cell>
          <cell r="K473"/>
          <cell r="L473"/>
          <cell r="M473"/>
          <cell r="N473">
            <v>0.63618485742379782</v>
          </cell>
          <cell r="O473">
            <v>0.51876233942719374</v>
          </cell>
          <cell r="P473">
            <v>6610</v>
          </cell>
          <cell r="Q473"/>
        </row>
        <row r="474">
          <cell r="E474">
            <v>493000000</v>
          </cell>
          <cell r="F474"/>
          <cell r="G474"/>
          <cell r="H474">
            <v>0.52600000000000002</v>
          </cell>
          <cell r="I474">
            <v>0.45</v>
          </cell>
          <cell r="J474">
            <v>6610</v>
          </cell>
          <cell r="K474"/>
          <cell r="L474"/>
          <cell r="M474"/>
          <cell r="N474">
            <v>0.63654223968566059</v>
          </cell>
          <cell r="O474">
            <v>0.51941542479643521</v>
          </cell>
          <cell r="P474">
            <v>6610</v>
          </cell>
          <cell r="Q474"/>
        </row>
        <row r="475">
          <cell r="E475">
            <v>494000000</v>
          </cell>
          <cell r="F475"/>
          <cell r="G475"/>
          <cell r="H475">
            <v>0.52600000000000002</v>
          </cell>
          <cell r="I475">
            <v>0.45</v>
          </cell>
          <cell r="J475">
            <v>6610</v>
          </cell>
          <cell r="K475"/>
          <cell r="L475"/>
          <cell r="M475"/>
          <cell r="N475">
            <v>0.63689892051030661</v>
          </cell>
          <cell r="O475">
            <v>0.520066739969826</v>
          </cell>
          <cell r="P475">
            <v>6610</v>
          </cell>
          <cell r="Q475"/>
        </row>
        <row r="476">
          <cell r="E476">
            <v>495000000</v>
          </cell>
          <cell r="F476"/>
          <cell r="G476"/>
          <cell r="H476">
            <v>0.52600000000000002</v>
          </cell>
          <cell r="I476">
            <v>0.45</v>
          </cell>
          <cell r="J476">
            <v>6610</v>
          </cell>
          <cell r="K476"/>
          <cell r="L476"/>
          <cell r="M476"/>
          <cell r="N476">
            <v>0.63725490196078671</v>
          </cell>
          <cell r="O476">
            <v>0.52071629213483106</v>
          </cell>
          <cell r="P476">
            <v>6610</v>
          </cell>
          <cell r="Q476"/>
        </row>
        <row r="477">
          <cell r="E477">
            <v>496000000</v>
          </cell>
          <cell r="F477"/>
          <cell r="G477"/>
          <cell r="H477">
            <v>0.52600000000000002</v>
          </cell>
          <cell r="I477">
            <v>0.45</v>
          </cell>
          <cell r="J477">
            <v>6610</v>
          </cell>
          <cell r="K477"/>
          <cell r="L477"/>
          <cell r="M477"/>
          <cell r="N477">
            <v>0.6376101860920691</v>
          </cell>
          <cell r="O477">
            <v>0.52136408844005777</v>
          </cell>
          <cell r="P477">
            <v>6610</v>
          </cell>
          <cell r="Q477"/>
        </row>
        <row r="478">
          <cell r="E478">
            <v>497000000</v>
          </cell>
          <cell r="F478"/>
          <cell r="G478"/>
          <cell r="H478">
            <v>0.52600000000000002</v>
          </cell>
          <cell r="I478">
            <v>0.45</v>
          </cell>
          <cell r="J478">
            <v>6610</v>
          </cell>
          <cell r="K478"/>
          <cell r="L478"/>
          <cell r="M478"/>
          <cell r="N478">
            <v>0.6376101860920691</v>
          </cell>
          <cell r="O478">
            <v>0.52136408844005777</v>
          </cell>
          <cell r="P478">
            <v>6610</v>
          </cell>
          <cell r="Q478"/>
        </row>
        <row r="479">
          <cell r="E479">
            <v>498000000</v>
          </cell>
          <cell r="F479"/>
          <cell r="G479"/>
          <cell r="H479">
            <v>0.52600000000000002</v>
          </cell>
          <cell r="I479">
            <v>0.45</v>
          </cell>
          <cell r="J479">
            <v>6610</v>
          </cell>
          <cell r="K479"/>
          <cell r="L479"/>
          <cell r="M479"/>
          <cell r="N479">
            <v>0.6376101860920691</v>
          </cell>
          <cell r="O479">
            <v>0.52136408844005777</v>
          </cell>
          <cell r="P479">
            <v>6610</v>
          </cell>
          <cell r="Q479"/>
        </row>
        <row r="480">
          <cell r="E480">
            <v>499000000</v>
          </cell>
          <cell r="F480"/>
          <cell r="G480"/>
          <cell r="H480">
            <v>0.52600000000000002</v>
          </cell>
          <cell r="I480">
            <v>0.45</v>
          </cell>
          <cell r="J480">
            <v>6610</v>
          </cell>
          <cell r="K480"/>
          <cell r="L480"/>
          <cell r="M480"/>
          <cell r="N480">
            <v>0.6376101860920691</v>
          </cell>
          <cell r="O480">
            <v>0.52136408844005777</v>
          </cell>
          <cell r="P480">
            <v>6610</v>
          </cell>
          <cell r="Q480"/>
        </row>
        <row r="481">
          <cell r="E481">
            <v>500000000</v>
          </cell>
          <cell r="F481"/>
          <cell r="G481"/>
          <cell r="H481">
            <v>0.52600000000000002</v>
          </cell>
          <cell r="I481">
            <v>0.45</v>
          </cell>
          <cell r="J481">
            <v>6610</v>
          </cell>
          <cell r="K481"/>
          <cell r="L481"/>
          <cell r="M481"/>
          <cell r="N481">
            <v>0.6376101860920691</v>
          </cell>
          <cell r="O481">
            <v>0.52136408844005777</v>
          </cell>
          <cell r="P481">
            <v>6610</v>
          </cell>
          <cell r="Q481"/>
        </row>
        <row r="482">
          <cell r="E482">
            <v>501000000</v>
          </cell>
          <cell r="F482"/>
          <cell r="G482"/>
          <cell r="H482">
            <v>0.54100000000000004</v>
          </cell>
          <cell r="I482"/>
          <cell r="J482"/>
          <cell r="K482"/>
          <cell r="L482"/>
          <cell r="M482"/>
          <cell r="N482"/>
          <cell r="O482"/>
          <cell r="P482"/>
          <cell r="Q482"/>
        </row>
        <row r="483">
          <cell r="E483">
            <v>502000000</v>
          </cell>
          <cell r="F483"/>
          <cell r="G483"/>
          <cell r="H483">
            <v>0.54100000000000004</v>
          </cell>
          <cell r="I483"/>
          <cell r="J483"/>
          <cell r="K483"/>
          <cell r="L483"/>
          <cell r="M483"/>
          <cell r="N483"/>
          <cell r="O483"/>
          <cell r="P483"/>
          <cell r="Q483"/>
        </row>
        <row r="484">
          <cell r="E484">
            <v>503000000</v>
          </cell>
          <cell r="F484"/>
          <cell r="G484"/>
          <cell r="H484">
            <v>0.54100000000000004</v>
          </cell>
          <cell r="I484"/>
          <cell r="J484"/>
          <cell r="K484"/>
          <cell r="L484"/>
          <cell r="M484"/>
          <cell r="N484"/>
          <cell r="O484"/>
          <cell r="P484"/>
          <cell r="Q484"/>
        </row>
        <row r="485">
          <cell r="E485">
            <v>504000000</v>
          </cell>
          <cell r="F485"/>
          <cell r="G485"/>
          <cell r="H485">
            <v>0.54100000000000004</v>
          </cell>
          <cell r="I485"/>
          <cell r="J485"/>
          <cell r="K485"/>
          <cell r="L485"/>
          <cell r="M485"/>
          <cell r="N485"/>
          <cell r="O485"/>
          <cell r="P485"/>
          <cell r="Q485"/>
        </row>
        <row r="486">
          <cell r="E486">
            <v>505000000</v>
          </cell>
          <cell r="F486"/>
          <cell r="G486"/>
          <cell r="H486">
            <v>0.54100000000000004</v>
          </cell>
          <cell r="I486"/>
          <cell r="J486"/>
          <cell r="K486"/>
          <cell r="L486"/>
          <cell r="M486"/>
          <cell r="N486"/>
          <cell r="O486"/>
          <cell r="P486"/>
          <cell r="Q486"/>
        </row>
        <row r="487">
          <cell r="E487">
            <v>506000000</v>
          </cell>
          <cell r="F487"/>
          <cell r="G487"/>
          <cell r="H487">
            <v>0.54100000000000004</v>
          </cell>
          <cell r="I487"/>
          <cell r="J487"/>
          <cell r="K487"/>
          <cell r="L487"/>
          <cell r="M487"/>
          <cell r="N487"/>
          <cell r="O487"/>
          <cell r="P487"/>
          <cell r="Q487"/>
        </row>
        <row r="488">
          <cell r="E488">
            <v>507000000</v>
          </cell>
          <cell r="F488"/>
          <cell r="G488"/>
          <cell r="H488">
            <v>0.54100000000000004</v>
          </cell>
          <cell r="I488"/>
          <cell r="J488"/>
          <cell r="K488"/>
          <cell r="L488"/>
          <cell r="M488"/>
          <cell r="N488"/>
          <cell r="O488"/>
          <cell r="P488"/>
          <cell r="Q488"/>
        </row>
        <row r="489">
          <cell r="E489">
            <v>508000000</v>
          </cell>
          <cell r="F489"/>
          <cell r="G489"/>
          <cell r="H489">
            <v>0.54100000000000004</v>
          </cell>
          <cell r="I489"/>
          <cell r="J489"/>
          <cell r="K489"/>
          <cell r="L489"/>
          <cell r="M489"/>
          <cell r="N489"/>
          <cell r="O489"/>
          <cell r="P489"/>
          <cell r="Q489"/>
        </row>
        <row r="490">
          <cell r="E490">
            <v>509000000</v>
          </cell>
          <cell r="F490"/>
          <cell r="G490"/>
          <cell r="H490">
            <v>0.54100000000000004</v>
          </cell>
          <cell r="I490"/>
          <cell r="J490"/>
          <cell r="K490"/>
          <cell r="L490"/>
          <cell r="M490"/>
          <cell r="N490"/>
          <cell r="O490"/>
          <cell r="P490"/>
          <cell r="Q490"/>
        </row>
        <row r="491">
          <cell r="E491">
            <v>510000000</v>
          </cell>
          <cell r="F491"/>
          <cell r="G491"/>
          <cell r="H491">
            <v>0.54100000000000004</v>
          </cell>
          <cell r="I491"/>
          <cell r="J491"/>
          <cell r="K491"/>
          <cell r="L491"/>
          <cell r="M491"/>
          <cell r="N491"/>
          <cell r="O491"/>
          <cell r="P491"/>
          <cell r="Q491"/>
        </row>
        <row r="492">
          <cell r="E492">
            <v>511000000</v>
          </cell>
          <cell r="F492"/>
          <cell r="G492"/>
          <cell r="H492">
            <v>0.54100000000000004</v>
          </cell>
          <cell r="I492"/>
          <cell r="J492"/>
          <cell r="K492"/>
          <cell r="L492"/>
          <cell r="M492"/>
          <cell r="N492"/>
          <cell r="O492"/>
          <cell r="P492"/>
          <cell r="Q492"/>
        </row>
        <row r="493">
          <cell r="E493">
            <v>512000000</v>
          </cell>
          <cell r="F493"/>
          <cell r="G493"/>
          <cell r="H493">
            <v>0.54100000000000004</v>
          </cell>
          <cell r="I493"/>
          <cell r="J493"/>
          <cell r="K493"/>
          <cell r="L493"/>
          <cell r="M493"/>
          <cell r="N493"/>
          <cell r="O493"/>
          <cell r="P493"/>
          <cell r="Q493"/>
        </row>
        <row r="494">
          <cell r="E494">
            <v>513000000</v>
          </cell>
          <cell r="F494"/>
          <cell r="G494"/>
          <cell r="H494">
            <v>0.54100000000000004</v>
          </cell>
          <cell r="I494"/>
          <cell r="J494"/>
          <cell r="K494"/>
          <cell r="L494"/>
          <cell r="M494"/>
          <cell r="N494"/>
          <cell r="O494"/>
          <cell r="P494"/>
          <cell r="Q494"/>
        </row>
        <row r="495">
          <cell r="E495">
            <v>514000000</v>
          </cell>
          <cell r="F495"/>
          <cell r="G495"/>
          <cell r="H495">
            <v>0.54100000000000004</v>
          </cell>
          <cell r="I495"/>
          <cell r="J495"/>
          <cell r="K495"/>
          <cell r="L495"/>
          <cell r="M495"/>
          <cell r="N495"/>
          <cell r="O495"/>
          <cell r="P495"/>
          <cell r="Q495"/>
        </row>
        <row r="496">
          <cell r="E496">
            <v>515000000</v>
          </cell>
          <cell r="F496"/>
          <cell r="G496"/>
          <cell r="H496">
            <v>0.54100000000000004</v>
          </cell>
          <cell r="I496"/>
          <cell r="J496"/>
          <cell r="K496"/>
          <cell r="L496"/>
          <cell r="M496"/>
          <cell r="N496"/>
          <cell r="O496"/>
          <cell r="P496"/>
          <cell r="Q496"/>
        </row>
        <row r="497">
          <cell r="E497">
            <v>516000000</v>
          </cell>
          <cell r="F497"/>
          <cell r="G497"/>
          <cell r="H497">
            <v>0.54100000000000004</v>
          </cell>
          <cell r="I497"/>
          <cell r="J497"/>
          <cell r="K497"/>
          <cell r="L497"/>
          <cell r="M497"/>
          <cell r="N497"/>
          <cell r="O497"/>
          <cell r="P497"/>
          <cell r="Q497"/>
        </row>
        <row r="498">
          <cell r="E498">
            <v>517000000</v>
          </cell>
          <cell r="F498"/>
          <cell r="G498"/>
          <cell r="H498">
            <v>0.54100000000000004</v>
          </cell>
          <cell r="I498"/>
          <cell r="J498"/>
          <cell r="K498"/>
          <cell r="L498"/>
          <cell r="M498"/>
          <cell r="N498"/>
          <cell r="O498"/>
          <cell r="P498"/>
          <cell r="Q498"/>
        </row>
        <row r="499">
          <cell r="E499">
            <v>518000000</v>
          </cell>
          <cell r="F499"/>
          <cell r="G499"/>
          <cell r="H499">
            <v>0.54100000000000004</v>
          </cell>
          <cell r="I499"/>
          <cell r="J499"/>
          <cell r="K499"/>
          <cell r="L499"/>
          <cell r="M499"/>
          <cell r="N499"/>
          <cell r="O499"/>
          <cell r="P499"/>
          <cell r="Q499"/>
        </row>
        <row r="500">
          <cell r="E500">
            <v>519000000</v>
          </cell>
          <cell r="F500"/>
          <cell r="G500"/>
          <cell r="H500">
            <v>0.54100000000000004</v>
          </cell>
          <cell r="I500"/>
          <cell r="J500"/>
          <cell r="K500"/>
          <cell r="L500"/>
          <cell r="M500"/>
          <cell r="N500"/>
          <cell r="O500"/>
          <cell r="P500"/>
          <cell r="Q500"/>
        </row>
        <row r="501">
          <cell r="E501">
            <v>520000000</v>
          </cell>
          <cell r="F501"/>
          <cell r="G501"/>
          <cell r="H501">
            <v>0.54100000000000004</v>
          </cell>
          <cell r="I501"/>
          <cell r="J501"/>
          <cell r="K501"/>
          <cell r="L501"/>
          <cell r="M501"/>
          <cell r="N501"/>
          <cell r="O501"/>
          <cell r="P501"/>
          <cell r="Q501"/>
        </row>
        <row r="502">
          <cell r="E502">
            <v>521000000</v>
          </cell>
          <cell r="F502"/>
          <cell r="G502"/>
          <cell r="H502">
            <v>0.54100000000000004</v>
          </cell>
          <cell r="I502"/>
          <cell r="J502"/>
          <cell r="K502"/>
          <cell r="L502"/>
          <cell r="M502"/>
          <cell r="N502"/>
          <cell r="O502"/>
          <cell r="P502"/>
          <cell r="Q502"/>
        </row>
        <row r="503">
          <cell r="E503">
            <v>522000000</v>
          </cell>
          <cell r="F503"/>
          <cell r="G503"/>
          <cell r="H503">
            <v>0.54100000000000004</v>
          </cell>
          <cell r="I503"/>
          <cell r="J503"/>
          <cell r="K503"/>
          <cell r="L503"/>
          <cell r="M503"/>
          <cell r="N503"/>
          <cell r="O503"/>
          <cell r="P503"/>
          <cell r="Q503"/>
        </row>
        <row r="504">
          <cell r="E504">
            <v>523000000</v>
          </cell>
          <cell r="F504"/>
          <cell r="G504"/>
          <cell r="H504">
            <v>0.54100000000000004</v>
          </cell>
          <cell r="I504"/>
          <cell r="J504"/>
          <cell r="K504"/>
          <cell r="L504"/>
          <cell r="M504"/>
          <cell r="N504"/>
          <cell r="O504"/>
          <cell r="P504"/>
          <cell r="Q504"/>
        </row>
        <row r="505">
          <cell r="E505">
            <v>524000000</v>
          </cell>
          <cell r="F505"/>
          <cell r="G505"/>
          <cell r="H505">
            <v>0.54100000000000004</v>
          </cell>
          <cell r="I505"/>
          <cell r="J505"/>
          <cell r="K505"/>
          <cell r="L505"/>
          <cell r="M505"/>
          <cell r="N505"/>
          <cell r="O505"/>
          <cell r="P505"/>
          <cell r="Q505"/>
        </row>
        <row r="506">
          <cell r="E506">
            <v>525000000</v>
          </cell>
          <cell r="F506"/>
          <cell r="G506"/>
          <cell r="H506">
            <v>0.54100000000000004</v>
          </cell>
          <cell r="I506"/>
          <cell r="J506"/>
          <cell r="K506"/>
          <cell r="L506"/>
          <cell r="M506"/>
          <cell r="N506"/>
          <cell r="O506"/>
          <cell r="P506"/>
          <cell r="Q506"/>
        </row>
        <row r="507">
          <cell r="E507">
            <v>526000000</v>
          </cell>
          <cell r="F507"/>
          <cell r="G507"/>
          <cell r="H507">
            <v>0.54100000000000004</v>
          </cell>
          <cell r="I507"/>
          <cell r="J507"/>
          <cell r="K507"/>
          <cell r="L507"/>
          <cell r="M507"/>
          <cell r="N507"/>
          <cell r="O507"/>
          <cell r="P507"/>
          <cell r="Q507"/>
        </row>
        <row r="508">
          <cell r="E508">
            <v>527000000</v>
          </cell>
          <cell r="F508"/>
          <cell r="G508"/>
          <cell r="H508">
            <v>0.54100000000000004</v>
          </cell>
          <cell r="I508"/>
          <cell r="J508"/>
          <cell r="K508"/>
          <cell r="L508"/>
          <cell r="M508"/>
          <cell r="N508"/>
          <cell r="O508"/>
          <cell r="P508"/>
          <cell r="Q508"/>
        </row>
        <row r="509">
          <cell r="E509">
            <v>528000000</v>
          </cell>
          <cell r="F509"/>
          <cell r="G509"/>
          <cell r="H509">
            <v>0.54100000000000004</v>
          </cell>
          <cell r="I509"/>
          <cell r="J509"/>
          <cell r="K509"/>
          <cell r="L509"/>
          <cell r="M509"/>
          <cell r="N509"/>
          <cell r="O509"/>
          <cell r="P509"/>
          <cell r="Q509"/>
        </row>
        <row r="510">
          <cell r="E510">
            <v>529000000</v>
          </cell>
          <cell r="F510"/>
          <cell r="G510"/>
          <cell r="H510">
            <v>0.54100000000000004</v>
          </cell>
          <cell r="I510"/>
          <cell r="J510"/>
          <cell r="K510"/>
          <cell r="L510"/>
          <cell r="M510"/>
          <cell r="N510"/>
          <cell r="O510"/>
          <cell r="P510"/>
          <cell r="Q510"/>
        </row>
        <row r="511">
          <cell r="E511">
            <v>530000000</v>
          </cell>
          <cell r="F511"/>
          <cell r="G511"/>
          <cell r="H511">
            <v>0.54100000000000004</v>
          </cell>
          <cell r="I511"/>
          <cell r="J511"/>
          <cell r="K511"/>
          <cell r="L511"/>
          <cell r="M511"/>
          <cell r="N511"/>
          <cell r="O511"/>
          <cell r="P511"/>
          <cell r="Q511"/>
        </row>
        <row r="512">
          <cell r="E512">
            <v>531000000</v>
          </cell>
          <cell r="F512"/>
          <cell r="G512"/>
          <cell r="H512">
            <v>0.54100000000000004</v>
          </cell>
          <cell r="I512"/>
          <cell r="J512"/>
          <cell r="K512"/>
          <cell r="L512"/>
          <cell r="M512"/>
          <cell r="N512"/>
          <cell r="O512"/>
          <cell r="P512"/>
          <cell r="Q512"/>
        </row>
        <row r="513">
          <cell r="E513">
            <v>532000000</v>
          </cell>
          <cell r="F513"/>
          <cell r="G513"/>
          <cell r="H513">
            <v>0.54100000000000004</v>
          </cell>
          <cell r="I513"/>
          <cell r="J513"/>
          <cell r="K513"/>
          <cell r="L513"/>
          <cell r="M513"/>
          <cell r="N513"/>
          <cell r="O513"/>
          <cell r="P513"/>
          <cell r="Q513"/>
        </row>
        <row r="514">
          <cell r="E514">
            <v>533000000</v>
          </cell>
          <cell r="F514"/>
          <cell r="G514"/>
          <cell r="H514">
            <v>0.54100000000000004</v>
          </cell>
          <cell r="I514"/>
          <cell r="J514"/>
          <cell r="K514"/>
          <cell r="L514"/>
          <cell r="M514"/>
          <cell r="N514"/>
          <cell r="O514"/>
          <cell r="P514"/>
          <cell r="Q514"/>
        </row>
        <row r="515">
          <cell r="E515">
            <v>534000000</v>
          </cell>
          <cell r="F515"/>
          <cell r="G515"/>
          <cell r="H515">
            <v>0.54100000000000004</v>
          </cell>
          <cell r="I515"/>
          <cell r="J515"/>
          <cell r="K515"/>
          <cell r="L515"/>
          <cell r="M515"/>
          <cell r="N515"/>
          <cell r="O515"/>
          <cell r="P515"/>
          <cell r="Q515"/>
        </row>
        <row r="516">
          <cell r="E516">
            <v>535000000</v>
          </cell>
          <cell r="F516"/>
          <cell r="G516"/>
          <cell r="H516">
            <v>0.54100000000000004</v>
          </cell>
          <cell r="I516"/>
          <cell r="J516"/>
          <cell r="K516"/>
          <cell r="L516"/>
          <cell r="M516"/>
          <cell r="N516"/>
          <cell r="O516"/>
          <cell r="P516"/>
          <cell r="Q516"/>
        </row>
        <row r="517">
          <cell r="E517">
            <v>536000000</v>
          </cell>
          <cell r="F517"/>
          <cell r="G517"/>
          <cell r="H517">
            <v>0.54100000000000004</v>
          </cell>
          <cell r="I517"/>
          <cell r="J517"/>
          <cell r="K517"/>
          <cell r="L517"/>
          <cell r="M517"/>
          <cell r="N517"/>
          <cell r="O517"/>
          <cell r="P517"/>
          <cell r="Q517"/>
        </row>
        <row r="518">
          <cell r="E518">
            <v>537000000</v>
          </cell>
          <cell r="F518"/>
          <cell r="G518"/>
          <cell r="H518">
            <v>0.54100000000000004</v>
          </cell>
          <cell r="I518"/>
          <cell r="J518"/>
          <cell r="K518"/>
          <cell r="L518"/>
          <cell r="M518"/>
          <cell r="N518"/>
          <cell r="O518"/>
          <cell r="P518"/>
          <cell r="Q518"/>
        </row>
        <row r="519">
          <cell r="E519">
            <v>538000000</v>
          </cell>
          <cell r="F519"/>
          <cell r="G519"/>
          <cell r="H519">
            <v>0.54100000000000004</v>
          </cell>
          <cell r="I519"/>
          <cell r="J519"/>
          <cell r="K519"/>
          <cell r="L519"/>
          <cell r="M519"/>
          <cell r="N519"/>
          <cell r="O519"/>
          <cell r="P519"/>
          <cell r="Q519"/>
        </row>
        <row r="520">
          <cell r="E520">
            <v>539000000</v>
          </cell>
          <cell r="F520"/>
          <cell r="G520"/>
          <cell r="H520">
            <v>0.54100000000000004</v>
          </cell>
          <cell r="I520"/>
          <cell r="J520"/>
          <cell r="K520"/>
          <cell r="L520"/>
          <cell r="M520"/>
          <cell r="N520"/>
          <cell r="O520"/>
          <cell r="P520"/>
          <cell r="Q520"/>
        </row>
        <row r="521">
          <cell r="E521">
            <v>540000000</v>
          </cell>
          <cell r="F521"/>
          <cell r="G521"/>
          <cell r="H521">
            <v>0.54100000000000004</v>
          </cell>
          <cell r="I521"/>
          <cell r="J521"/>
          <cell r="K521"/>
          <cell r="L521"/>
          <cell r="M521"/>
          <cell r="N521"/>
          <cell r="O521"/>
          <cell r="P521"/>
          <cell r="Q521"/>
        </row>
        <row r="522">
          <cell r="E522">
            <v>541000000</v>
          </cell>
          <cell r="F522"/>
          <cell r="G522"/>
          <cell r="H522">
            <v>0.54100000000000004</v>
          </cell>
          <cell r="I522"/>
          <cell r="J522"/>
          <cell r="K522"/>
          <cell r="L522"/>
          <cell r="M522"/>
          <cell r="N522"/>
          <cell r="O522"/>
          <cell r="P522"/>
          <cell r="Q522"/>
        </row>
        <row r="523">
          <cell r="E523">
            <v>542000000</v>
          </cell>
          <cell r="F523"/>
          <cell r="G523"/>
          <cell r="H523">
            <v>0.54100000000000004</v>
          </cell>
          <cell r="I523"/>
          <cell r="J523"/>
          <cell r="K523"/>
          <cell r="L523"/>
          <cell r="M523"/>
          <cell r="N523"/>
          <cell r="O523"/>
          <cell r="P523"/>
          <cell r="Q523"/>
        </row>
        <row r="524">
          <cell r="E524">
            <v>543000000</v>
          </cell>
          <cell r="F524"/>
          <cell r="G524"/>
          <cell r="H524">
            <v>0.54100000000000004</v>
          </cell>
          <cell r="I524"/>
          <cell r="J524"/>
          <cell r="K524"/>
          <cell r="L524"/>
          <cell r="M524"/>
          <cell r="N524"/>
          <cell r="O524"/>
          <cell r="P524"/>
          <cell r="Q524"/>
        </row>
        <row r="525">
          <cell r="E525">
            <v>544000000</v>
          </cell>
          <cell r="F525"/>
          <cell r="G525"/>
          <cell r="H525">
            <v>0.54100000000000004</v>
          </cell>
          <cell r="I525"/>
          <cell r="J525"/>
          <cell r="K525"/>
          <cell r="L525"/>
          <cell r="M525"/>
          <cell r="N525"/>
          <cell r="O525"/>
          <cell r="P525"/>
          <cell r="Q525"/>
        </row>
        <row r="526">
          <cell r="E526">
            <v>545000000</v>
          </cell>
          <cell r="F526"/>
          <cell r="G526"/>
          <cell r="H526">
            <v>0.54100000000000004</v>
          </cell>
          <cell r="I526"/>
          <cell r="J526"/>
          <cell r="K526"/>
          <cell r="L526"/>
          <cell r="M526"/>
          <cell r="N526"/>
          <cell r="O526"/>
          <cell r="P526"/>
          <cell r="Q526"/>
        </row>
        <row r="527">
          <cell r="E527">
            <v>546000000</v>
          </cell>
          <cell r="F527"/>
          <cell r="G527"/>
          <cell r="H527">
            <v>0.54100000000000004</v>
          </cell>
          <cell r="I527"/>
          <cell r="J527"/>
          <cell r="K527"/>
          <cell r="L527"/>
          <cell r="M527"/>
          <cell r="N527"/>
          <cell r="O527"/>
          <cell r="P527"/>
          <cell r="Q527"/>
        </row>
        <row r="528">
          <cell r="E528">
            <v>547000000</v>
          </cell>
          <cell r="F528"/>
          <cell r="G528"/>
          <cell r="H528">
            <v>0.54100000000000004</v>
          </cell>
          <cell r="I528"/>
          <cell r="J528"/>
          <cell r="K528"/>
          <cell r="L528"/>
          <cell r="M528"/>
          <cell r="N528"/>
          <cell r="O528"/>
          <cell r="P528"/>
          <cell r="Q528"/>
        </row>
        <row r="529">
          <cell r="E529">
            <v>548000000</v>
          </cell>
          <cell r="F529"/>
          <cell r="G529"/>
          <cell r="H529">
            <v>0.54100000000000004</v>
          </cell>
          <cell r="I529"/>
          <cell r="J529"/>
          <cell r="K529"/>
          <cell r="L529"/>
          <cell r="M529"/>
          <cell r="N529"/>
          <cell r="O529"/>
          <cell r="P529"/>
          <cell r="Q529"/>
        </row>
        <row r="530">
          <cell r="E530">
            <v>549000000</v>
          </cell>
          <cell r="F530"/>
          <cell r="G530"/>
          <cell r="H530">
            <v>0.54100000000000004</v>
          </cell>
          <cell r="I530"/>
          <cell r="J530"/>
          <cell r="K530"/>
          <cell r="L530"/>
          <cell r="M530"/>
          <cell r="N530"/>
          <cell r="O530"/>
          <cell r="P530"/>
          <cell r="Q530"/>
        </row>
        <row r="531">
          <cell r="E531">
            <v>550000000</v>
          </cell>
          <cell r="F531"/>
          <cell r="G531"/>
          <cell r="H531">
            <v>0.54100000000000004</v>
          </cell>
          <cell r="I531"/>
          <cell r="J531"/>
          <cell r="K531"/>
          <cell r="L531"/>
          <cell r="M531"/>
          <cell r="N531"/>
          <cell r="O531"/>
          <cell r="P531"/>
          <cell r="Q531"/>
        </row>
        <row r="532">
          <cell r="E532">
            <v>551000000</v>
          </cell>
          <cell r="F532"/>
          <cell r="G532"/>
          <cell r="H532">
            <v>0.55600000000000005</v>
          </cell>
          <cell r="I532"/>
          <cell r="J532"/>
          <cell r="K532"/>
          <cell r="L532"/>
          <cell r="M532"/>
          <cell r="N532"/>
          <cell r="O532"/>
          <cell r="P532"/>
          <cell r="Q532"/>
        </row>
        <row r="533">
          <cell r="E533">
            <v>552000000</v>
          </cell>
          <cell r="F533"/>
          <cell r="G533"/>
          <cell r="H533">
            <v>0.55600000000000005</v>
          </cell>
          <cell r="I533"/>
          <cell r="J533"/>
          <cell r="K533"/>
          <cell r="L533"/>
          <cell r="M533"/>
          <cell r="N533"/>
          <cell r="O533"/>
          <cell r="P533"/>
          <cell r="Q533"/>
        </row>
        <row r="534">
          <cell r="E534">
            <v>553000000</v>
          </cell>
          <cell r="F534"/>
          <cell r="G534"/>
          <cell r="H534">
            <v>0.55600000000000005</v>
          </cell>
          <cell r="I534"/>
          <cell r="J534"/>
          <cell r="K534"/>
          <cell r="L534"/>
          <cell r="M534"/>
          <cell r="N534"/>
          <cell r="O534"/>
          <cell r="P534"/>
          <cell r="Q534"/>
        </row>
        <row r="535">
          <cell r="E535">
            <v>554000000</v>
          </cell>
          <cell r="F535"/>
          <cell r="G535"/>
          <cell r="H535">
            <v>0.55600000000000005</v>
          </cell>
          <cell r="I535"/>
          <cell r="J535"/>
          <cell r="K535"/>
          <cell r="L535"/>
          <cell r="M535"/>
          <cell r="N535"/>
          <cell r="O535"/>
          <cell r="P535"/>
          <cell r="Q535"/>
        </row>
        <row r="536">
          <cell r="E536">
            <v>555000000</v>
          </cell>
          <cell r="F536"/>
          <cell r="G536"/>
          <cell r="H536">
            <v>0.55600000000000005</v>
          </cell>
          <cell r="I536"/>
          <cell r="J536"/>
          <cell r="K536"/>
          <cell r="L536"/>
          <cell r="M536"/>
          <cell r="N536"/>
          <cell r="O536"/>
          <cell r="P536"/>
          <cell r="Q536"/>
        </row>
        <row r="537">
          <cell r="E537">
            <v>556000000</v>
          </cell>
          <cell r="F537"/>
          <cell r="G537"/>
          <cell r="H537">
            <v>0.55600000000000005</v>
          </cell>
          <cell r="I537"/>
          <cell r="J537"/>
          <cell r="K537"/>
          <cell r="L537"/>
          <cell r="M537"/>
          <cell r="N537"/>
          <cell r="O537"/>
          <cell r="P537"/>
          <cell r="Q537"/>
        </row>
        <row r="538">
          <cell r="E538">
            <v>557000000</v>
          </cell>
          <cell r="F538"/>
          <cell r="G538"/>
          <cell r="H538">
            <v>0.55600000000000005</v>
          </cell>
          <cell r="I538"/>
          <cell r="J538"/>
          <cell r="K538"/>
          <cell r="L538"/>
          <cell r="M538"/>
          <cell r="N538"/>
          <cell r="O538"/>
          <cell r="P538"/>
          <cell r="Q538"/>
        </row>
        <row r="539">
          <cell r="E539">
            <v>558000000</v>
          </cell>
          <cell r="F539"/>
          <cell r="G539"/>
          <cell r="H539">
            <v>0.55600000000000005</v>
          </cell>
          <cell r="I539"/>
          <cell r="J539"/>
          <cell r="K539"/>
          <cell r="L539"/>
          <cell r="M539"/>
          <cell r="N539"/>
          <cell r="O539"/>
          <cell r="P539"/>
          <cell r="Q539"/>
        </row>
        <row r="540">
          <cell r="E540">
            <v>559000000</v>
          </cell>
          <cell r="F540"/>
          <cell r="G540"/>
          <cell r="H540">
            <v>0.55600000000000005</v>
          </cell>
          <cell r="I540"/>
          <cell r="J540"/>
          <cell r="K540"/>
          <cell r="L540"/>
          <cell r="M540"/>
          <cell r="N540"/>
          <cell r="O540"/>
          <cell r="P540"/>
          <cell r="Q540"/>
        </row>
        <row r="541">
          <cell r="E541">
            <v>560000000</v>
          </cell>
          <cell r="F541"/>
          <cell r="G541"/>
          <cell r="H541">
            <v>0.55600000000000005</v>
          </cell>
          <cell r="I541"/>
          <cell r="J541"/>
          <cell r="K541"/>
          <cell r="L541"/>
          <cell r="M541"/>
          <cell r="N541"/>
          <cell r="O541"/>
          <cell r="P541"/>
          <cell r="Q541"/>
        </row>
        <row r="542">
          <cell r="E542">
            <v>561000000</v>
          </cell>
          <cell r="F542"/>
          <cell r="G542"/>
          <cell r="H542">
            <v>0.55600000000000005</v>
          </cell>
          <cell r="I542"/>
          <cell r="J542"/>
          <cell r="K542"/>
          <cell r="L542"/>
          <cell r="M542"/>
          <cell r="N542"/>
          <cell r="O542"/>
          <cell r="P542"/>
          <cell r="Q542"/>
        </row>
        <row r="543">
          <cell r="E543">
            <v>562000000</v>
          </cell>
          <cell r="F543"/>
          <cell r="G543"/>
          <cell r="H543">
            <v>0.55600000000000005</v>
          </cell>
          <cell r="I543"/>
          <cell r="J543"/>
          <cell r="K543"/>
          <cell r="L543"/>
          <cell r="M543"/>
          <cell r="N543"/>
          <cell r="O543"/>
          <cell r="P543"/>
          <cell r="Q543"/>
        </row>
        <row r="544">
          <cell r="E544">
            <v>563000000</v>
          </cell>
          <cell r="F544"/>
          <cell r="G544"/>
          <cell r="H544">
            <v>0.55600000000000005</v>
          </cell>
          <cell r="I544"/>
          <cell r="J544"/>
          <cell r="K544"/>
          <cell r="L544"/>
          <cell r="M544"/>
          <cell r="N544"/>
          <cell r="O544"/>
          <cell r="P544"/>
          <cell r="Q544"/>
        </row>
        <row r="545">
          <cell r="E545">
            <v>564000000</v>
          </cell>
          <cell r="F545"/>
          <cell r="G545"/>
          <cell r="H545">
            <v>0.55600000000000005</v>
          </cell>
          <cell r="I545"/>
          <cell r="J545"/>
          <cell r="K545"/>
          <cell r="L545"/>
          <cell r="M545"/>
          <cell r="N545"/>
          <cell r="O545"/>
          <cell r="P545"/>
          <cell r="Q545"/>
        </row>
        <row r="546">
          <cell r="E546">
            <v>565000000</v>
          </cell>
          <cell r="F546"/>
          <cell r="G546"/>
          <cell r="H546">
            <v>0.55600000000000005</v>
          </cell>
          <cell r="I546"/>
          <cell r="J546"/>
          <cell r="K546"/>
          <cell r="L546"/>
          <cell r="M546"/>
          <cell r="N546"/>
          <cell r="O546"/>
          <cell r="P546"/>
          <cell r="Q546"/>
        </row>
        <row r="547">
          <cell r="E547">
            <v>566000000</v>
          </cell>
          <cell r="F547"/>
          <cell r="G547"/>
          <cell r="H547">
            <v>0.55600000000000005</v>
          </cell>
          <cell r="I547"/>
          <cell r="J547"/>
          <cell r="K547"/>
          <cell r="L547"/>
          <cell r="M547"/>
          <cell r="N547"/>
          <cell r="O547"/>
          <cell r="P547"/>
          <cell r="Q547"/>
        </row>
        <row r="548">
          <cell r="E548">
            <v>567000000</v>
          </cell>
          <cell r="F548"/>
          <cell r="G548"/>
          <cell r="H548">
            <v>0.55600000000000005</v>
          </cell>
          <cell r="I548"/>
          <cell r="J548"/>
          <cell r="K548"/>
          <cell r="L548"/>
          <cell r="M548"/>
          <cell r="N548"/>
          <cell r="O548"/>
          <cell r="P548"/>
          <cell r="Q548"/>
        </row>
        <row r="549">
          <cell r="E549">
            <v>568000000</v>
          </cell>
          <cell r="F549"/>
          <cell r="G549"/>
          <cell r="H549">
            <v>0.55600000000000005</v>
          </cell>
          <cell r="I549"/>
          <cell r="J549"/>
          <cell r="K549"/>
          <cell r="L549"/>
          <cell r="M549"/>
          <cell r="N549"/>
          <cell r="O549"/>
          <cell r="P549"/>
          <cell r="Q549"/>
        </row>
        <row r="550">
          <cell r="E550">
            <v>569000000</v>
          </cell>
          <cell r="F550"/>
          <cell r="G550"/>
          <cell r="H550">
            <v>0.55600000000000005</v>
          </cell>
          <cell r="I550"/>
          <cell r="J550"/>
          <cell r="K550"/>
          <cell r="L550"/>
          <cell r="M550"/>
          <cell r="N550"/>
          <cell r="O550"/>
          <cell r="P550"/>
          <cell r="Q550"/>
        </row>
        <row r="551">
          <cell r="E551">
            <v>570000000</v>
          </cell>
          <cell r="F551"/>
          <cell r="G551"/>
          <cell r="H551">
            <v>0.55600000000000005</v>
          </cell>
          <cell r="I551"/>
          <cell r="J551"/>
          <cell r="K551"/>
          <cell r="L551"/>
          <cell r="M551"/>
          <cell r="N551"/>
          <cell r="O551"/>
          <cell r="P551"/>
          <cell r="Q551"/>
        </row>
        <row r="552">
          <cell r="E552">
            <v>571000000</v>
          </cell>
          <cell r="F552"/>
          <cell r="G552"/>
          <cell r="H552">
            <v>0.55600000000000005</v>
          </cell>
          <cell r="I552"/>
          <cell r="J552"/>
          <cell r="K552"/>
          <cell r="L552"/>
          <cell r="M552"/>
          <cell r="N552"/>
          <cell r="O552"/>
          <cell r="P552"/>
          <cell r="Q552"/>
        </row>
        <row r="553">
          <cell r="E553">
            <v>572000000</v>
          </cell>
          <cell r="F553"/>
          <cell r="G553"/>
          <cell r="H553">
            <v>0.55600000000000005</v>
          </cell>
          <cell r="I553"/>
          <cell r="J553"/>
          <cell r="K553"/>
          <cell r="L553"/>
          <cell r="M553"/>
          <cell r="N553"/>
          <cell r="O553"/>
          <cell r="P553"/>
          <cell r="Q553"/>
        </row>
        <row r="554">
          <cell r="E554">
            <v>573000000</v>
          </cell>
          <cell r="F554"/>
          <cell r="G554"/>
          <cell r="H554">
            <v>0.55600000000000005</v>
          </cell>
          <cell r="I554"/>
          <cell r="J554"/>
          <cell r="K554"/>
          <cell r="L554"/>
          <cell r="M554"/>
          <cell r="N554"/>
          <cell r="O554"/>
          <cell r="P554"/>
          <cell r="Q554"/>
        </row>
        <row r="555">
          <cell r="E555">
            <v>574000000</v>
          </cell>
          <cell r="F555"/>
          <cell r="G555"/>
          <cell r="H555">
            <v>0.55600000000000005</v>
          </cell>
          <cell r="I555"/>
          <cell r="J555"/>
          <cell r="K555"/>
          <cell r="L555"/>
          <cell r="M555"/>
          <cell r="N555"/>
          <cell r="O555"/>
          <cell r="P555"/>
          <cell r="Q555"/>
        </row>
        <row r="556">
          <cell r="E556">
            <v>575000000</v>
          </cell>
          <cell r="F556"/>
          <cell r="G556"/>
          <cell r="H556">
            <v>0.55600000000000005</v>
          </cell>
          <cell r="I556"/>
          <cell r="J556"/>
          <cell r="K556"/>
          <cell r="L556"/>
          <cell r="M556"/>
          <cell r="N556"/>
          <cell r="O556"/>
          <cell r="P556"/>
          <cell r="Q556"/>
        </row>
        <row r="557">
          <cell r="E557">
            <v>576000000</v>
          </cell>
          <cell r="F557"/>
          <cell r="G557"/>
          <cell r="H557">
            <v>0.55600000000000005</v>
          </cell>
          <cell r="I557"/>
          <cell r="J557"/>
          <cell r="K557"/>
          <cell r="L557"/>
          <cell r="M557"/>
          <cell r="N557"/>
          <cell r="O557"/>
          <cell r="P557"/>
          <cell r="Q557"/>
        </row>
        <row r="558">
          <cell r="E558">
            <v>577000000</v>
          </cell>
          <cell r="F558"/>
          <cell r="G558"/>
          <cell r="H558">
            <v>0.55600000000000005</v>
          </cell>
          <cell r="I558"/>
          <cell r="J558"/>
          <cell r="K558"/>
          <cell r="L558"/>
          <cell r="M558"/>
          <cell r="N558"/>
          <cell r="O558"/>
          <cell r="P558"/>
          <cell r="Q558"/>
        </row>
        <row r="559">
          <cell r="E559">
            <v>578000000</v>
          </cell>
          <cell r="F559"/>
          <cell r="G559"/>
          <cell r="H559">
            <v>0.55600000000000005</v>
          </cell>
          <cell r="I559"/>
          <cell r="J559"/>
          <cell r="K559"/>
          <cell r="L559"/>
          <cell r="M559"/>
          <cell r="N559"/>
          <cell r="O559"/>
          <cell r="P559"/>
          <cell r="Q559"/>
        </row>
        <row r="560">
          <cell r="E560">
            <v>579000000</v>
          </cell>
          <cell r="F560"/>
          <cell r="G560"/>
          <cell r="H560">
            <v>0.55600000000000005</v>
          </cell>
          <cell r="I560"/>
          <cell r="J560"/>
          <cell r="K560"/>
          <cell r="L560"/>
          <cell r="M560"/>
          <cell r="N560"/>
          <cell r="O560"/>
          <cell r="P560"/>
          <cell r="Q560"/>
        </row>
        <row r="561">
          <cell r="E561">
            <v>580000000</v>
          </cell>
          <cell r="F561"/>
          <cell r="G561"/>
          <cell r="H561">
            <v>0.55600000000000005</v>
          </cell>
          <cell r="I561"/>
          <cell r="J561"/>
          <cell r="K561"/>
          <cell r="L561"/>
          <cell r="M561"/>
          <cell r="N561"/>
          <cell r="O561"/>
          <cell r="P561"/>
          <cell r="Q561"/>
        </row>
        <row r="562">
          <cell r="E562">
            <v>581000000</v>
          </cell>
          <cell r="F562"/>
          <cell r="G562"/>
          <cell r="H562">
            <v>0.55600000000000005</v>
          </cell>
          <cell r="I562"/>
          <cell r="J562"/>
          <cell r="K562"/>
          <cell r="L562"/>
          <cell r="M562"/>
          <cell r="N562"/>
          <cell r="O562"/>
          <cell r="P562"/>
          <cell r="Q562"/>
        </row>
        <row r="563">
          <cell r="E563">
            <v>582000000</v>
          </cell>
          <cell r="F563"/>
          <cell r="G563"/>
          <cell r="H563">
            <v>0.55600000000000005</v>
          </cell>
          <cell r="I563"/>
          <cell r="J563"/>
          <cell r="K563"/>
          <cell r="L563"/>
          <cell r="M563"/>
          <cell r="N563"/>
          <cell r="O563"/>
          <cell r="P563"/>
          <cell r="Q563"/>
        </row>
        <row r="564">
          <cell r="E564">
            <v>583000000</v>
          </cell>
          <cell r="F564"/>
          <cell r="G564"/>
          <cell r="H564">
            <v>0.55600000000000005</v>
          </cell>
          <cell r="I564"/>
          <cell r="J564"/>
          <cell r="K564"/>
          <cell r="L564"/>
          <cell r="M564"/>
          <cell r="N564"/>
          <cell r="O564"/>
          <cell r="P564"/>
          <cell r="Q564"/>
        </row>
        <row r="565">
          <cell r="E565">
            <v>584000000</v>
          </cell>
          <cell r="F565"/>
          <cell r="G565"/>
          <cell r="H565">
            <v>0.55600000000000005</v>
          </cell>
          <cell r="I565"/>
          <cell r="J565"/>
          <cell r="K565"/>
          <cell r="L565"/>
          <cell r="M565"/>
          <cell r="N565"/>
          <cell r="O565"/>
          <cell r="P565"/>
          <cell r="Q565"/>
        </row>
        <row r="566">
          <cell r="E566">
            <v>585000000</v>
          </cell>
          <cell r="F566"/>
          <cell r="G566"/>
          <cell r="H566">
            <v>0.55600000000000005</v>
          </cell>
          <cell r="I566"/>
          <cell r="J566"/>
          <cell r="K566"/>
          <cell r="L566"/>
          <cell r="M566"/>
          <cell r="N566"/>
          <cell r="O566"/>
          <cell r="P566"/>
          <cell r="Q566"/>
        </row>
        <row r="567">
          <cell r="E567">
            <v>586000000</v>
          </cell>
          <cell r="F567"/>
          <cell r="G567"/>
          <cell r="H567">
            <v>0.55600000000000005</v>
          </cell>
          <cell r="I567"/>
          <cell r="J567"/>
          <cell r="K567"/>
          <cell r="L567"/>
          <cell r="M567"/>
          <cell r="N567"/>
          <cell r="O567"/>
          <cell r="P567"/>
          <cell r="Q567"/>
        </row>
        <row r="568">
          <cell r="E568">
            <v>587000000</v>
          </cell>
          <cell r="F568"/>
          <cell r="G568"/>
          <cell r="H568">
            <v>0.55600000000000005</v>
          </cell>
          <cell r="I568"/>
          <cell r="J568"/>
          <cell r="K568"/>
          <cell r="L568"/>
          <cell r="M568"/>
          <cell r="N568"/>
          <cell r="O568"/>
          <cell r="P568"/>
          <cell r="Q568"/>
        </row>
        <row r="569">
          <cell r="E569">
            <v>588000000</v>
          </cell>
          <cell r="F569"/>
          <cell r="G569"/>
          <cell r="H569">
            <v>0.55600000000000005</v>
          </cell>
          <cell r="I569"/>
          <cell r="J569"/>
          <cell r="K569"/>
          <cell r="L569"/>
          <cell r="M569"/>
          <cell r="N569"/>
          <cell r="O569"/>
          <cell r="P569"/>
          <cell r="Q569"/>
        </row>
        <row r="570">
          <cell r="E570">
            <v>589000000</v>
          </cell>
          <cell r="F570"/>
          <cell r="G570"/>
          <cell r="H570">
            <v>0.55600000000000005</v>
          </cell>
          <cell r="I570"/>
          <cell r="J570"/>
          <cell r="K570"/>
          <cell r="L570"/>
          <cell r="M570"/>
          <cell r="N570"/>
          <cell r="O570"/>
          <cell r="P570"/>
          <cell r="Q570"/>
        </row>
        <row r="571">
          <cell r="E571">
            <v>590000000</v>
          </cell>
          <cell r="F571"/>
          <cell r="G571"/>
          <cell r="H571">
            <v>0.55600000000000005</v>
          </cell>
          <cell r="I571"/>
          <cell r="J571"/>
          <cell r="K571"/>
          <cell r="L571"/>
          <cell r="M571"/>
          <cell r="N571"/>
          <cell r="O571"/>
          <cell r="P571"/>
          <cell r="Q571"/>
        </row>
        <row r="572">
          <cell r="E572">
            <v>591000000</v>
          </cell>
          <cell r="F572"/>
          <cell r="G572"/>
          <cell r="H572">
            <v>0.55600000000000005</v>
          </cell>
          <cell r="I572"/>
          <cell r="J572"/>
          <cell r="K572"/>
          <cell r="L572"/>
          <cell r="M572"/>
          <cell r="N572"/>
          <cell r="O572"/>
          <cell r="P572"/>
          <cell r="Q572"/>
        </row>
        <row r="573">
          <cell r="E573">
            <v>592000000</v>
          </cell>
          <cell r="F573"/>
          <cell r="G573"/>
          <cell r="H573">
            <v>0.55600000000000005</v>
          </cell>
          <cell r="I573"/>
          <cell r="J573"/>
          <cell r="K573"/>
          <cell r="L573"/>
          <cell r="M573"/>
          <cell r="N573"/>
          <cell r="O573"/>
          <cell r="P573"/>
          <cell r="Q573"/>
        </row>
        <row r="574">
          <cell r="E574">
            <v>593000000</v>
          </cell>
          <cell r="F574"/>
          <cell r="G574"/>
          <cell r="H574">
            <v>0.55600000000000005</v>
          </cell>
          <cell r="I574"/>
          <cell r="J574"/>
          <cell r="K574"/>
          <cell r="L574"/>
          <cell r="M574"/>
          <cell r="N574"/>
          <cell r="O574"/>
          <cell r="P574"/>
          <cell r="Q574"/>
        </row>
        <row r="575">
          <cell r="E575">
            <v>594000000</v>
          </cell>
          <cell r="F575"/>
          <cell r="G575"/>
          <cell r="H575">
            <v>0.55600000000000005</v>
          </cell>
          <cell r="I575"/>
          <cell r="J575"/>
          <cell r="K575"/>
          <cell r="L575"/>
          <cell r="M575"/>
          <cell r="N575"/>
          <cell r="O575"/>
          <cell r="P575"/>
          <cell r="Q575"/>
        </row>
        <row r="576">
          <cell r="E576">
            <v>595000000</v>
          </cell>
          <cell r="F576"/>
          <cell r="G576"/>
          <cell r="H576">
            <v>0.55600000000000005</v>
          </cell>
          <cell r="I576"/>
          <cell r="J576"/>
          <cell r="K576"/>
          <cell r="L576"/>
          <cell r="M576"/>
          <cell r="N576"/>
          <cell r="O576"/>
          <cell r="P576"/>
          <cell r="Q576"/>
        </row>
        <row r="577">
          <cell r="E577">
            <v>596000000</v>
          </cell>
          <cell r="F577"/>
          <cell r="G577"/>
          <cell r="H577">
            <v>0.55600000000000005</v>
          </cell>
          <cell r="I577"/>
          <cell r="J577"/>
          <cell r="K577"/>
          <cell r="L577"/>
          <cell r="M577"/>
          <cell r="N577"/>
          <cell r="O577"/>
          <cell r="P577"/>
          <cell r="Q577"/>
        </row>
        <row r="578">
          <cell r="E578">
            <v>597000000</v>
          </cell>
          <cell r="F578"/>
          <cell r="G578"/>
          <cell r="H578">
            <v>0.55600000000000005</v>
          </cell>
          <cell r="I578"/>
          <cell r="J578"/>
          <cell r="K578"/>
          <cell r="L578"/>
          <cell r="M578"/>
          <cell r="N578"/>
          <cell r="O578"/>
          <cell r="P578"/>
          <cell r="Q578"/>
        </row>
        <row r="579">
          <cell r="E579">
            <v>598000000</v>
          </cell>
          <cell r="F579"/>
          <cell r="G579"/>
          <cell r="H579">
            <v>0.55600000000000005</v>
          </cell>
          <cell r="I579"/>
          <cell r="J579"/>
          <cell r="K579"/>
          <cell r="L579"/>
          <cell r="M579"/>
          <cell r="N579"/>
          <cell r="O579"/>
          <cell r="P579"/>
          <cell r="Q579"/>
        </row>
        <row r="580">
          <cell r="E580">
            <v>599000000</v>
          </cell>
          <cell r="F580"/>
          <cell r="G580"/>
          <cell r="H580">
            <v>0.55600000000000005</v>
          </cell>
          <cell r="I580"/>
          <cell r="J580"/>
          <cell r="K580"/>
          <cell r="L580"/>
          <cell r="M580"/>
          <cell r="N580"/>
          <cell r="O580"/>
          <cell r="P580"/>
          <cell r="Q580"/>
        </row>
        <row r="581">
          <cell r="E581">
            <v>600000000</v>
          </cell>
          <cell r="F581"/>
          <cell r="G581"/>
          <cell r="H581">
            <v>0.55600000000000005</v>
          </cell>
          <cell r="I581"/>
          <cell r="J581"/>
          <cell r="K581"/>
          <cell r="L581"/>
          <cell r="M581"/>
          <cell r="N581"/>
          <cell r="O581"/>
          <cell r="P581"/>
          <cell r="Q581"/>
        </row>
        <row r="582">
          <cell r="E582">
            <v>601000000</v>
          </cell>
          <cell r="F582"/>
          <cell r="G582"/>
          <cell r="H582">
            <v>0.56999999999999995</v>
          </cell>
          <cell r="I582"/>
          <cell r="J582"/>
          <cell r="K582"/>
          <cell r="L582"/>
          <cell r="M582"/>
          <cell r="N582"/>
          <cell r="O582"/>
          <cell r="P582"/>
          <cell r="Q582"/>
        </row>
        <row r="583">
          <cell r="E583">
            <v>602000000</v>
          </cell>
          <cell r="F583"/>
          <cell r="G583"/>
          <cell r="H583">
            <v>0.56999999999999995</v>
          </cell>
          <cell r="I583"/>
          <cell r="J583"/>
          <cell r="K583"/>
          <cell r="L583"/>
          <cell r="M583"/>
          <cell r="N583"/>
          <cell r="O583"/>
          <cell r="P583"/>
          <cell r="Q583"/>
        </row>
        <row r="584">
          <cell r="E584">
            <v>603000000</v>
          </cell>
          <cell r="F584"/>
          <cell r="G584"/>
          <cell r="H584">
            <v>0.56999999999999995</v>
          </cell>
          <cell r="I584"/>
          <cell r="J584"/>
          <cell r="K584"/>
          <cell r="L584"/>
          <cell r="M584"/>
          <cell r="N584"/>
          <cell r="O584"/>
          <cell r="P584"/>
          <cell r="Q584"/>
        </row>
        <row r="585">
          <cell r="E585">
            <v>604000000</v>
          </cell>
          <cell r="F585"/>
          <cell r="G585"/>
          <cell r="H585">
            <v>0.56999999999999995</v>
          </cell>
          <cell r="I585"/>
          <cell r="J585"/>
          <cell r="K585"/>
          <cell r="L585"/>
          <cell r="M585"/>
          <cell r="N585"/>
          <cell r="O585"/>
          <cell r="P585"/>
          <cell r="Q585"/>
        </row>
        <row r="586">
          <cell r="E586">
            <v>605000000</v>
          </cell>
          <cell r="F586"/>
          <cell r="G586"/>
          <cell r="H586">
            <v>0.56999999999999995</v>
          </cell>
          <cell r="I586"/>
          <cell r="J586"/>
          <cell r="K586"/>
          <cell r="L586"/>
          <cell r="M586"/>
          <cell r="N586"/>
          <cell r="O586"/>
          <cell r="P586"/>
          <cell r="Q586"/>
        </row>
        <row r="587">
          <cell r="E587">
            <v>606000000</v>
          </cell>
          <cell r="F587"/>
          <cell r="G587"/>
          <cell r="H587">
            <v>0.56999999999999995</v>
          </cell>
          <cell r="I587"/>
          <cell r="J587"/>
          <cell r="K587"/>
          <cell r="L587"/>
          <cell r="M587"/>
          <cell r="N587"/>
          <cell r="O587"/>
          <cell r="P587"/>
          <cell r="Q587"/>
        </row>
        <row r="588">
          <cell r="E588">
            <v>607000000</v>
          </cell>
          <cell r="F588"/>
          <cell r="G588"/>
          <cell r="H588">
            <v>0.56999999999999995</v>
          </cell>
          <cell r="I588"/>
          <cell r="J588"/>
          <cell r="K588"/>
          <cell r="L588"/>
          <cell r="M588"/>
          <cell r="N588"/>
          <cell r="O588"/>
          <cell r="P588"/>
          <cell r="Q588"/>
        </row>
        <row r="589">
          <cell r="E589">
            <v>608000000</v>
          </cell>
          <cell r="F589"/>
          <cell r="G589"/>
          <cell r="H589">
            <v>0.56999999999999995</v>
          </cell>
          <cell r="I589"/>
          <cell r="J589"/>
          <cell r="K589"/>
          <cell r="L589"/>
          <cell r="M589"/>
          <cell r="N589"/>
          <cell r="O589"/>
          <cell r="P589"/>
          <cell r="Q589"/>
        </row>
        <row r="590">
          <cell r="E590">
            <v>609000000</v>
          </cell>
          <cell r="F590"/>
          <cell r="G590"/>
          <cell r="H590">
            <v>0.56999999999999995</v>
          </cell>
          <cell r="I590"/>
          <cell r="J590"/>
          <cell r="K590"/>
          <cell r="L590"/>
          <cell r="M590"/>
          <cell r="N590"/>
          <cell r="O590"/>
          <cell r="P590"/>
          <cell r="Q590"/>
        </row>
        <row r="591">
          <cell r="E591">
            <v>610000000</v>
          </cell>
          <cell r="F591"/>
          <cell r="G591"/>
          <cell r="H591">
            <v>0.56999999999999995</v>
          </cell>
          <cell r="I591"/>
          <cell r="J591"/>
          <cell r="K591"/>
          <cell r="L591"/>
          <cell r="M591"/>
          <cell r="N591"/>
          <cell r="O591"/>
          <cell r="P591"/>
          <cell r="Q591"/>
        </row>
        <row r="592">
          <cell r="E592">
            <v>611000000</v>
          </cell>
          <cell r="F592"/>
          <cell r="G592"/>
          <cell r="H592">
            <v>0.56999999999999995</v>
          </cell>
          <cell r="I592"/>
          <cell r="J592"/>
          <cell r="K592"/>
          <cell r="L592"/>
          <cell r="M592"/>
          <cell r="N592"/>
          <cell r="O592"/>
          <cell r="P592"/>
          <cell r="Q592"/>
        </row>
        <row r="593">
          <cell r="E593">
            <v>612000000</v>
          </cell>
          <cell r="F593"/>
          <cell r="G593"/>
          <cell r="H593">
            <v>0.56999999999999995</v>
          </cell>
          <cell r="I593"/>
          <cell r="J593"/>
          <cell r="K593"/>
          <cell r="L593"/>
          <cell r="M593"/>
          <cell r="N593"/>
          <cell r="O593"/>
          <cell r="P593"/>
          <cell r="Q593"/>
        </row>
        <row r="594">
          <cell r="E594">
            <v>613000000</v>
          </cell>
          <cell r="F594"/>
          <cell r="G594"/>
          <cell r="H594">
            <v>0.56999999999999995</v>
          </cell>
          <cell r="I594"/>
          <cell r="J594"/>
          <cell r="K594"/>
          <cell r="L594"/>
          <cell r="M594"/>
          <cell r="N594"/>
          <cell r="O594"/>
          <cell r="P594"/>
          <cell r="Q594"/>
        </row>
        <row r="595">
          <cell r="E595">
            <v>614000000</v>
          </cell>
          <cell r="F595"/>
          <cell r="G595"/>
          <cell r="H595">
            <v>0.56999999999999995</v>
          </cell>
          <cell r="I595"/>
          <cell r="J595"/>
          <cell r="K595"/>
          <cell r="L595"/>
          <cell r="M595"/>
          <cell r="N595"/>
          <cell r="O595"/>
          <cell r="P595"/>
          <cell r="Q595"/>
        </row>
        <row r="596">
          <cell r="E596">
            <v>615000000</v>
          </cell>
          <cell r="F596"/>
          <cell r="G596"/>
          <cell r="H596">
            <v>0.56999999999999995</v>
          </cell>
          <cell r="I596"/>
          <cell r="J596"/>
          <cell r="K596"/>
          <cell r="L596"/>
          <cell r="M596"/>
          <cell r="N596"/>
          <cell r="O596"/>
          <cell r="P596"/>
          <cell r="Q596"/>
        </row>
        <row r="597">
          <cell r="E597">
            <v>616000000</v>
          </cell>
          <cell r="F597"/>
          <cell r="G597"/>
          <cell r="H597">
            <v>0.56999999999999995</v>
          </cell>
          <cell r="I597"/>
          <cell r="J597"/>
          <cell r="K597"/>
          <cell r="L597"/>
          <cell r="M597"/>
          <cell r="N597"/>
          <cell r="O597"/>
          <cell r="P597"/>
          <cell r="Q597"/>
        </row>
        <row r="598">
          <cell r="E598">
            <v>617000000</v>
          </cell>
          <cell r="F598"/>
          <cell r="G598"/>
          <cell r="H598">
            <v>0.56999999999999995</v>
          </cell>
          <cell r="I598"/>
          <cell r="J598"/>
          <cell r="K598"/>
          <cell r="L598"/>
          <cell r="M598"/>
          <cell r="N598"/>
          <cell r="O598"/>
          <cell r="P598"/>
          <cell r="Q598"/>
        </row>
        <row r="599">
          <cell r="E599">
            <v>618000000</v>
          </cell>
          <cell r="F599"/>
          <cell r="G599"/>
          <cell r="H599">
            <v>0.56999999999999995</v>
          </cell>
          <cell r="I599"/>
          <cell r="J599"/>
          <cell r="K599"/>
          <cell r="L599"/>
          <cell r="M599"/>
          <cell r="N599"/>
          <cell r="O599"/>
          <cell r="P599"/>
          <cell r="Q599"/>
        </row>
        <row r="600">
          <cell r="E600">
            <v>619000000</v>
          </cell>
          <cell r="F600"/>
          <cell r="G600"/>
          <cell r="H600">
            <v>0.56999999999999995</v>
          </cell>
          <cell r="I600"/>
          <cell r="J600"/>
          <cell r="K600"/>
          <cell r="L600"/>
          <cell r="M600"/>
          <cell r="N600"/>
          <cell r="O600"/>
          <cell r="P600"/>
          <cell r="Q600"/>
        </row>
        <row r="601">
          <cell r="E601">
            <v>620000000</v>
          </cell>
          <cell r="F601"/>
          <cell r="G601"/>
          <cell r="H601">
            <v>0.56999999999999995</v>
          </cell>
          <cell r="I601"/>
          <cell r="J601"/>
          <cell r="K601"/>
          <cell r="L601"/>
          <cell r="M601"/>
          <cell r="N601"/>
          <cell r="O601"/>
          <cell r="P601"/>
          <cell r="Q601"/>
        </row>
        <row r="602">
          <cell r="E602">
            <v>621000000</v>
          </cell>
          <cell r="F602"/>
          <cell r="G602"/>
          <cell r="H602">
            <v>0.56999999999999995</v>
          </cell>
          <cell r="I602"/>
          <cell r="J602"/>
          <cell r="K602"/>
          <cell r="L602"/>
          <cell r="M602"/>
          <cell r="N602"/>
          <cell r="O602"/>
          <cell r="P602"/>
          <cell r="Q602"/>
        </row>
        <row r="603">
          <cell r="E603">
            <v>622000000</v>
          </cell>
          <cell r="F603"/>
          <cell r="G603"/>
          <cell r="H603">
            <v>0.56999999999999995</v>
          </cell>
          <cell r="I603"/>
          <cell r="J603"/>
          <cell r="K603"/>
          <cell r="L603"/>
          <cell r="M603"/>
          <cell r="N603"/>
          <cell r="O603"/>
          <cell r="P603"/>
          <cell r="Q603"/>
        </row>
        <row r="604">
          <cell r="E604">
            <v>623000000</v>
          </cell>
          <cell r="F604"/>
          <cell r="G604"/>
          <cell r="H604">
            <v>0.56999999999999995</v>
          </cell>
          <cell r="I604"/>
          <cell r="J604"/>
          <cell r="K604"/>
          <cell r="L604"/>
          <cell r="M604"/>
          <cell r="N604"/>
          <cell r="O604"/>
          <cell r="P604"/>
          <cell r="Q604"/>
        </row>
        <row r="605">
          <cell r="E605">
            <v>624000000</v>
          </cell>
          <cell r="F605"/>
          <cell r="G605"/>
          <cell r="H605">
            <v>0.56999999999999995</v>
          </cell>
          <cell r="I605"/>
          <cell r="J605"/>
          <cell r="K605"/>
          <cell r="L605"/>
          <cell r="M605"/>
          <cell r="N605"/>
          <cell r="O605"/>
          <cell r="P605"/>
          <cell r="Q605"/>
        </row>
        <row r="606">
          <cell r="E606">
            <v>625000000</v>
          </cell>
          <cell r="F606"/>
          <cell r="G606"/>
          <cell r="H606">
            <v>0.56999999999999995</v>
          </cell>
          <cell r="I606"/>
          <cell r="J606"/>
          <cell r="K606"/>
          <cell r="L606"/>
          <cell r="M606"/>
          <cell r="N606"/>
          <cell r="O606"/>
          <cell r="P606"/>
          <cell r="Q606"/>
        </row>
        <row r="607">
          <cell r="E607">
            <v>626000000</v>
          </cell>
          <cell r="F607"/>
          <cell r="G607"/>
          <cell r="H607">
            <v>0.56999999999999995</v>
          </cell>
          <cell r="I607"/>
          <cell r="J607"/>
          <cell r="K607"/>
          <cell r="L607"/>
          <cell r="M607"/>
          <cell r="N607"/>
          <cell r="O607"/>
          <cell r="P607"/>
          <cell r="Q607"/>
        </row>
        <row r="608">
          <cell r="E608">
            <v>627000000</v>
          </cell>
          <cell r="F608"/>
          <cell r="G608"/>
          <cell r="H608">
            <v>0.56999999999999995</v>
          </cell>
          <cell r="I608"/>
          <cell r="J608"/>
          <cell r="K608"/>
          <cell r="L608"/>
          <cell r="M608"/>
          <cell r="N608"/>
          <cell r="O608"/>
          <cell r="P608"/>
          <cell r="Q608"/>
        </row>
        <row r="609">
          <cell r="E609">
            <v>628000000</v>
          </cell>
          <cell r="F609"/>
          <cell r="G609"/>
          <cell r="H609">
            <v>0.56999999999999995</v>
          </cell>
          <cell r="I609"/>
          <cell r="J609"/>
          <cell r="K609"/>
          <cell r="L609"/>
          <cell r="M609"/>
          <cell r="N609"/>
          <cell r="O609"/>
          <cell r="P609"/>
          <cell r="Q609"/>
        </row>
        <row r="610">
          <cell r="E610">
            <v>629000000</v>
          </cell>
          <cell r="F610"/>
          <cell r="G610"/>
          <cell r="H610">
            <v>0.56999999999999995</v>
          </cell>
          <cell r="I610"/>
          <cell r="J610"/>
          <cell r="K610"/>
          <cell r="L610"/>
          <cell r="M610"/>
          <cell r="N610"/>
          <cell r="O610"/>
          <cell r="P610"/>
          <cell r="Q610"/>
        </row>
        <row r="611">
          <cell r="E611">
            <v>630000000</v>
          </cell>
          <cell r="F611"/>
          <cell r="G611"/>
          <cell r="H611">
            <v>0.56999999999999995</v>
          </cell>
          <cell r="I611"/>
          <cell r="J611"/>
          <cell r="K611"/>
          <cell r="L611"/>
          <cell r="M611"/>
          <cell r="N611"/>
          <cell r="O611"/>
          <cell r="P611"/>
          <cell r="Q611"/>
        </row>
        <row r="612">
          <cell r="E612">
            <v>631000000</v>
          </cell>
          <cell r="F612"/>
          <cell r="G612"/>
          <cell r="H612">
            <v>0.56999999999999995</v>
          </cell>
          <cell r="I612"/>
          <cell r="J612"/>
          <cell r="K612"/>
          <cell r="L612"/>
          <cell r="M612"/>
          <cell r="N612"/>
          <cell r="O612"/>
          <cell r="P612"/>
          <cell r="Q612"/>
        </row>
        <row r="613">
          <cell r="E613">
            <v>632000000</v>
          </cell>
          <cell r="F613"/>
          <cell r="G613"/>
          <cell r="H613">
            <v>0.56999999999999995</v>
          </cell>
          <cell r="I613"/>
          <cell r="J613"/>
          <cell r="K613"/>
          <cell r="L613"/>
          <cell r="M613"/>
          <cell r="N613"/>
          <cell r="O613"/>
          <cell r="P613"/>
          <cell r="Q613"/>
        </row>
        <row r="614">
          <cell r="E614">
            <v>633000000</v>
          </cell>
          <cell r="F614"/>
          <cell r="G614"/>
          <cell r="H614">
            <v>0.56999999999999995</v>
          </cell>
          <cell r="I614"/>
          <cell r="J614"/>
          <cell r="K614"/>
          <cell r="L614"/>
          <cell r="M614"/>
          <cell r="N614"/>
          <cell r="O614"/>
          <cell r="P614"/>
          <cell r="Q614"/>
        </row>
        <row r="615">
          <cell r="E615">
            <v>634000000</v>
          </cell>
          <cell r="F615"/>
          <cell r="G615"/>
          <cell r="H615">
            <v>0.56999999999999995</v>
          </cell>
          <cell r="I615"/>
          <cell r="J615"/>
          <cell r="K615"/>
          <cell r="L615"/>
          <cell r="M615"/>
          <cell r="N615"/>
          <cell r="O615"/>
          <cell r="P615"/>
          <cell r="Q615"/>
        </row>
        <row r="616">
          <cell r="E616">
            <v>635000000</v>
          </cell>
          <cell r="F616"/>
          <cell r="G616"/>
          <cell r="H616">
            <v>0.56999999999999995</v>
          </cell>
          <cell r="I616"/>
          <cell r="J616"/>
          <cell r="K616"/>
          <cell r="L616"/>
          <cell r="M616"/>
          <cell r="N616"/>
          <cell r="O616"/>
          <cell r="P616"/>
          <cell r="Q616"/>
        </row>
        <row r="617">
          <cell r="E617">
            <v>636000000</v>
          </cell>
          <cell r="F617"/>
          <cell r="G617"/>
          <cell r="H617">
            <v>0.56999999999999995</v>
          </cell>
          <cell r="I617"/>
          <cell r="J617"/>
          <cell r="K617"/>
          <cell r="L617"/>
          <cell r="M617"/>
          <cell r="N617"/>
          <cell r="O617"/>
          <cell r="P617"/>
          <cell r="Q617"/>
        </row>
        <row r="618">
          <cell r="E618">
            <v>637000000</v>
          </cell>
          <cell r="F618"/>
          <cell r="G618"/>
          <cell r="H618">
            <v>0.56999999999999995</v>
          </cell>
          <cell r="I618"/>
          <cell r="J618"/>
          <cell r="K618"/>
          <cell r="L618"/>
          <cell r="M618"/>
          <cell r="N618"/>
          <cell r="O618"/>
          <cell r="P618"/>
          <cell r="Q618"/>
        </row>
        <row r="619">
          <cell r="E619">
            <v>638000000</v>
          </cell>
          <cell r="F619"/>
          <cell r="G619"/>
          <cell r="H619">
            <v>0.56999999999999995</v>
          </cell>
          <cell r="I619"/>
          <cell r="J619"/>
          <cell r="K619"/>
          <cell r="L619"/>
          <cell r="M619"/>
          <cell r="N619"/>
          <cell r="O619"/>
          <cell r="P619"/>
          <cell r="Q619"/>
        </row>
        <row r="620">
          <cell r="E620">
            <v>639000000</v>
          </cell>
          <cell r="F620"/>
          <cell r="G620"/>
          <cell r="H620">
            <v>0.56999999999999995</v>
          </cell>
          <cell r="I620"/>
          <cell r="J620"/>
          <cell r="K620"/>
          <cell r="L620"/>
          <cell r="M620"/>
          <cell r="N620"/>
          <cell r="O620"/>
          <cell r="P620"/>
          <cell r="Q620"/>
        </row>
        <row r="621">
          <cell r="E621">
            <v>640000000</v>
          </cell>
          <cell r="F621"/>
          <cell r="G621"/>
          <cell r="H621">
            <v>0.56999999999999995</v>
          </cell>
          <cell r="I621"/>
          <cell r="J621"/>
          <cell r="K621"/>
          <cell r="L621"/>
          <cell r="M621"/>
          <cell r="N621"/>
          <cell r="O621"/>
          <cell r="P621"/>
          <cell r="Q621"/>
        </row>
        <row r="622">
          <cell r="E622">
            <v>641000000</v>
          </cell>
          <cell r="F622"/>
          <cell r="G622"/>
          <cell r="H622">
            <v>0.56999999999999995</v>
          </cell>
          <cell r="I622"/>
          <cell r="J622"/>
          <cell r="K622"/>
          <cell r="L622"/>
          <cell r="M622"/>
          <cell r="N622"/>
          <cell r="O622"/>
          <cell r="P622"/>
          <cell r="Q622"/>
        </row>
        <row r="623">
          <cell r="E623">
            <v>642000000</v>
          </cell>
          <cell r="F623"/>
          <cell r="G623"/>
          <cell r="H623">
            <v>0.56999999999999995</v>
          </cell>
          <cell r="I623"/>
          <cell r="J623"/>
          <cell r="K623"/>
          <cell r="L623"/>
          <cell r="M623"/>
          <cell r="N623"/>
          <cell r="O623"/>
          <cell r="P623"/>
          <cell r="Q623"/>
        </row>
        <row r="624">
          <cell r="E624">
            <v>643000000</v>
          </cell>
          <cell r="F624"/>
          <cell r="G624"/>
          <cell r="H624">
            <v>0.56999999999999995</v>
          </cell>
          <cell r="I624"/>
          <cell r="J624"/>
          <cell r="K624"/>
          <cell r="L624"/>
          <cell r="M624"/>
          <cell r="N624"/>
          <cell r="O624"/>
          <cell r="P624"/>
          <cell r="Q624"/>
        </row>
        <row r="625">
          <cell r="E625">
            <v>644000000</v>
          </cell>
          <cell r="F625"/>
          <cell r="G625"/>
          <cell r="H625">
            <v>0.56999999999999995</v>
          </cell>
          <cell r="I625"/>
          <cell r="J625"/>
          <cell r="K625"/>
          <cell r="L625"/>
          <cell r="M625"/>
          <cell r="N625"/>
          <cell r="O625"/>
          <cell r="P625"/>
          <cell r="Q625"/>
        </row>
        <row r="626">
          <cell r="E626">
            <v>645000000</v>
          </cell>
          <cell r="F626"/>
          <cell r="G626"/>
          <cell r="H626">
            <v>0.56999999999999995</v>
          </cell>
          <cell r="I626"/>
          <cell r="J626"/>
          <cell r="K626"/>
          <cell r="L626"/>
          <cell r="M626"/>
          <cell r="N626"/>
          <cell r="O626"/>
          <cell r="P626"/>
          <cell r="Q626"/>
        </row>
        <row r="627">
          <cell r="E627">
            <v>646000000</v>
          </cell>
          <cell r="F627"/>
          <cell r="G627"/>
          <cell r="H627">
            <v>0.56999999999999995</v>
          </cell>
          <cell r="I627"/>
          <cell r="J627"/>
          <cell r="K627"/>
          <cell r="L627"/>
          <cell r="M627"/>
          <cell r="N627"/>
          <cell r="O627"/>
          <cell r="P627"/>
          <cell r="Q627"/>
        </row>
        <row r="628">
          <cell r="E628">
            <v>647000000</v>
          </cell>
          <cell r="F628"/>
          <cell r="G628"/>
          <cell r="H628">
            <v>0.56999999999999995</v>
          </cell>
          <cell r="I628"/>
          <cell r="J628"/>
          <cell r="K628"/>
          <cell r="L628"/>
          <cell r="M628"/>
          <cell r="N628"/>
          <cell r="O628"/>
          <cell r="P628"/>
          <cell r="Q628"/>
        </row>
        <row r="629">
          <cell r="E629">
            <v>648000000</v>
          </cell>
          <cell r="F629"/>
          <cell r="G629"/>
          <cell r="H629">
            <v>0.56999999999999995</v>
          </cell>
          <cell r="I629"/>
          <cell r="J629"/>
          <cell r="K629"/>
          <cell r="L629"/>
          <cell r="M629"/>
          <cell r="N629"/>
          <cell r="O629"/>
          <cell r="P629"/>
          <cell r="Q629"/>
        </row>
        <row r="630">
          <cell r="E630">
            <v>649000000</v>
          </cell>
          <cell r="F630"/>
          <cell r="G630"/>
          <cell r="H630">
            <v>0.56999999999999995</v>
          </cell>
          <cell r="I630"/>
          <cell r="J630"/>
          <cell r="K630"/>
          <cell r="L630"/>
          <cell r="M630"/>
          <cell r="N630"/>
          <cell r="O630"/>
          <cell r="P630"/>
          <cell r="Q630"/>
        </row>
        <row r="631">
          <cell r="E631">
            <v>650000000</v>
          </cell>
          <cell r="F631"/>
          <cell r="G631"/>
          <cell r="H631">
            <v>0.56999999999999995</v>
          </cell>
          <cell r="I631"/>
          <cell r="J631"/>
          <cell r="K631"/>
          <cell r="L631"/>
          <cell r="M631"/>
          <cell r="N631"/>
          <cell r="O631"/>
          <cell r="P631"/>
          <cell r="Q631"/>
        </row>
        <row r="632">
          <cell r="E632">
            <v>651000000</v>
          </cell>
          <cell r="F632"/>
          <cell r="G632"/>
          <cell r="H632">
            <v>0.58499999999999996</v>
          </cell>
          <cell r="I632"/>
          <cell r="J632"/>
          <cell r="K632"/>
          <cell r="L632"/>
          <cell r="M632"/>
          <cell r="N632"/>
          <cell r="O632"/>
          <cell r="P632"/>
          <cell r="Q632"/>
        </row>
        <row r="633">
          <cell r="E633">
            <v>652000000</v>
          </cell>
          <cell r="F633"/>
          <cell r="G633"/>
          <cell r="H633">
            <v>0.58499999999999996</v>
          </cell>
          <cell r="I633"/>
          <cell r="J633"/>
          <cell r="K633"/>
          <cell r="L633"/>
          <cell r="M633"/>
          <cell r="N633"/>
          <cell r="O633"/>
          <cell r="P633"/>
          <cell r="Q633"/>
        </row>
        <row r="634">
          <cell r="E634">
            <v>653000000</v>
          </cell>
          <cell r="F634"/>
          <cell r="G634"/>
          <cell r="H634">
            <v>0.58499999999999996</v>
          </cell>
          <cell r="I634"/>
          <cell r="J634"/>
          <cell r="K634"/>
          <cell r="L634"/>
          <cell r="M634"/>
          <cell r="N634"/>
          <cell r="O634"/>
          <cell r="P634"/>
          <cell r="Q634"/>
        </row>
        <row r="635">
          <cell r="E635">
            <v>654000000</v>
          </cell>
          <cell r="F635"/>
          <cell r="G635"/>
          <cell r="H635">
            <v>0.58499999999999996</v>
          </cell>
          <cell r="I635"/>
          <cell r="J635"/>
          <cell r="K635"/>
          <cell r="L635"/>
          <cell r="M635"/>
          <cell r="N635"/>
          <cell r="O635"/>
          <cell r="P635"/>
          <cell r="Q635"/>
        </row>
        <row r="636">
          <cell r="E636">
            <v>655000000</v>
          </cell>
          <cell r="F636"/>
          <cell r="G636"/>
          <cell r="H636">
            <v>0.58499999999999996</v>
          </cell>
          <cell r="I636"/>
          <cell r="J636"/>
          <cell r="K636"/>
          <cell r="L636"/>
          <cell r="M636"/>
          <cell r="N636"/>
          <cell r="O636"/>
          <cell r="P636"/>
          <cell r="Q636"/>
        </row>
        <row r="637">
          <cell r="E637">
            <v>656000000</v>
          </cell>
          <cell r="F637"/>
          <cell r="G637"/>
          <cell r="H637">
            <v>0.58499999999999996</v>
          </cell>
          <cell r="I637"/>
          <cell r="J637"/>
          <cell r="K637"/>
          <cell r="L637"/>
          <cell r="M637"/>
          <cell r="N637"/>
          <cell r="O637"/>
          <cell r="P637"/>
          <cell r="Q637"/>
        </row>
        <row r="638">
          <cell r="E638">
            <v>657000000</v>
          </cell>
          <cell r="F638"/>
          <cell r="G638"/>
          <cell r="H638">
            <v>0.58499999999999996</v>
          </cell>
          <cell r="I638"/>
          <cell r="J638"/>
          <cell r="K638"/>
          <cell r="L638"/>
          <cell r="M638"/>
          <cell r="N638"/>
          <cell r="O638"/>
          <cell r="P638"/>
          <cell r="Q638"/>
        </row>
        <row r="639">
          <cell r="E639">
            <v>658000000</v>
          </cell>
          <cell r="F639"/>
          <cell r="G639"/>
          <cell r="H639">
            <v>0.58499999999999996</v>
          </cell>
          <cell r="I639"/>
          <cell r="J639"/>
          <cell r="K639"/>
          <cell r="L639"/>
          <cell r="M639"/>
          <cell r="N639"/>
          <cell r="O639"/>
          <cell r="P639"/>
          <cell r="Q639"/>
        </row>
        <row r="640">
          <cell r="E640">
            <v>659000000</v>
          </cell>
          <cell r="F640"/>
          <cell r="G640"/>
          <cell r="H640">
            <v>0.58499999999999996</v>
          </cell>
          <cell r="I640"/>
          <cell r="J640"/>
          <cell r="K640"/>
          <cell r="L640"/>
          <cell r="M640"/>
          <cell r="N640"/>
          <cell r="O640"/>
          <cell r="P640"/>
          <cell r="Q640"/>
        </row>
        <row r="641">
          <cell r="E641">
            <v>660000000</v>
          </cell>
          <cell r="F641"/>
          <cell r="G641"/>
          <cell r="H641">
            <v>0.58499999999999996</v>
          </cell>
          <cell r="I641"/>
          <cell r="J641"/>
          <cell r="K641"/>
          <cell r="L641"/>
          <cell r="M641"/>
          <cell r="N641"/>
          <cell r="O641"/>
          <cell r="P641"/>
          <cell r="Q641"/>
        </row>
        <row r="642">
          <cell r="E642">
            <v>661000000</v>
          </cell>
          <cell r="F642"/>
          <cell r="G642"/>
          <cell r="H642">
            <v>0.58499999999999996</v>
          </cell>
          <cell r="I642"/>
          <cell r="J642"/>
          <cell r="K642"/>
          <cell r="L642"/>
          <cell r="M642"/>
          <cell r="N642"/>
          <cell r="O642"/>
          <cell r="P642"/>
          <cell r="Q642"/>
        </row>
        <row r="643">
          <cell r="E643">
            <v>662000000</v>
          </cell>
          <cell r="F643"/>
          <cell r="G643"/>
          <cell r="H643">
            <v>0.58499999999999996</v>
          </cell>
          <cell r="I643"/>
          <cell r="J643"/>
          <cell r="K643"/>
          <cell r="L643"/>
          <cell r="M643"/>
          <cell r="N643"/>
          <cell r="O643"/>
          <cell r="P643"/>
          <cell r="Q643"/>
        </row>
        <row r="644">
          <cell r="E644">
            <v>663000000</v>
          </cell>
          <cell r="F644"/>
          <cell r="G644"/>
          <cell r="H644">
            <v>0.58499999999999996</v>
          </cell>
          <cell r="I644"/>
          <cell r="J644"/>
          <cell r="K644"/>
          <cell r="L644"/>
          <cell r="M644"/>
          <cell r="N644"/>
          <cell r="O644"/>
          <cell r="P644"/>
          <cell r="Q644"/>
        </row>
        <row r="645">
          <cell r="E645">
            <v>664000000</v>
          </cell>
          <cell r="F645"/>
          <cell r="G645"/>
          <cell r="H645">
            <v>0.58499999999999996</v>
          </cell>
          <cell r="I645"/>
          <cell r="J645"/>
          <cell r="K645"/>
          <cell r="L645"/>
          <cell r="M645"/>
          <cell r="N645"/>
          <cell r="O645"/>
          <cell r="P645"/>
          <cell r="Q645"/>
        </row>
        <row r="646">
          <cell r="E646">
            <v>665000000</v>
          </cell>
          <cell r="F646"/>
          <cell r="G646"/>
          <cell r="H646">
            <v>0.58499999999999996</v>
          </cell>
          <cell r="I646"/>
          <cell r="J646"/>
          <cell r="K646"/>
          <cell r="L646"/>
          <cell r="M646"/>
          <cell r="N646"/>
          <cell r="O646"/>
          <cell r="P646"/>
          <cell r="Q646"/>
        </row>
        <row r="647">
          <cell r="E647">
            <v>666000000</v>
          </cell>
          <cell r="F647"/>
          <cell r="G647"/>
          <cell r="H647">
            <v>0.58499999999999996</v>
          </cell>
          <cell r="I647"/>
          <cell r="J647"/>
          <cell r="K647"/>
          <cell r="L647"/>
          <cell r="M647"/>
          <cell r="N647"/>
          <cell r="O647"/>
          <cell r="P647"/>
          <cell r="Q647"/>
        </row>
        <row r="648">
          <cell r="E648">
            <v>667000000</v>
          </cell>
          <cell r="F648"/>
          <cell r="G648"/>
          <cell r="H648">
            <v>0.58499999999999996</v>
          </cell>
          <cell r="I648"/>
          <cell r="J648"/>
          <cell r="K648"/>
          <cell r="L648"/>
          <cell r="M648"/>
          <cell r="N648"/>
          <cell r="O648"/>
          <cell r="P648"/>
          <cell r="Q648"/>
        </row>
        <row r="649">
          <cell r="E649">
            <v>668000000</v>
          </cell>
          <cell r="F649"/>
          <cell r="G649"/>
          <cell r="H649">
            <v>0.58499999999999996</v>
          </cell>
          <cell r="I649"/>
          <cell r="J649"/>
          <cell r="K649"/>
          <cell r="L649"/>
          <cell r="M649"/>
          <cell r="N649"/>
          <cell r="O649"/>
          <cell r="P649"/>
          <cell r="Q649"/>
        </row>
        <row r="650">
          <cell r="E650">
            <v>669000000</v>
          </cell>
          <cell r="F650"/>
          <cell r="G650"/>
          <cell r="H650">
            <v>0.58499999999999996</v>
          </cell>
          <cell r="I650"/>
          <cell r="J650"/>
          <cell r="K650"/>
          <cell r="L650"/>
          <cell r="M650"/>
          <cell r="N650"/>
          <cell r="O650"/>
          <cell r="P650"/>
          <cell r="Q650"/>
        </row>
        <row r="651">
          <cell r="E651">
            <v>670000000</v>
          </cell>
          <cell r="F651"/>
          <cell r="G651"/>
          <cell r="H651">
            <v>0.58499999999999996</v>
          </cell>
          <cell r="I651"/>
          <cell r="J651"/>
          <cell r="K651"/>
          <cell r="L651"/>
          <cell r="M651"/>
          <cell r="N651"/>
          <cell r="O651"/>
          <cell r="P651"/>
          <cell r="Q651"/>
        </row>
        <row r="652">
          <cell r="E652">
            <v>671000000</v>
          </cell>
          <cell r="F652"/>
          <cell r="G652"/>
          <cell r="H652">
            <v>0.58499999999999996</v>
          </cell>
          <cell r="I652"/>
          <cell r="J652"/>
          <cell r="K652"/>
          <cell r="L652"/>
          <cell r="M652"/>
          <cell r="N652"/>
          <cell r="O652"/>
          <cell r="P652"/>
          <cell r="Q652"/>
        </row>
        <row r="653">
          <cell r="E653">
            <v>672000000</v>
          </cell>
          <cell r="F653"/>
          <cell r="G653"/>
          <cell r="H653">
            <v>0.58499999999999996</v>
          </cell>
          <cell r="I653"/>
          <cell r="J653"/>
          <cell r="K653"/>
          <cell r="L653"/>
          <cell r="M653"/>
          <cell r="N653"/>
          <cell r="O653"/>
          <cell r="P653"/>
          <cell r="Q653"/>
        </row>
        <row r="654">
          <cell r="E654">
            <v>673000000</v>
          </cell>
          <cell r="F654"/>
          <cell r="G654"/>
          <cell r="H654">
            <v>0.58499999999999996</v>
          </cell>
          <cell r="I654"/>
          <cell r="J654"/>
          <cell r="K654"/>
          <cell r="L654"/>
          <cell r="M654"/>
          <cell r="N654"/>
          <cell r="O654"/>
          <cell r="P654"/>
          <cell r="Q654"/>
        </row>
        <row r="655">
          <cell r="E655">
            <v>674000000</v>
          </cell>
          <cell r="F655"/>
          <cell r="G655"/>
          <cell r="H655">
            <v>0.58499999999999996</v>
          </cell>
          <cell r="I655"/>
          <cell r="J655"/>
          <cell r="K655"/>
          <cell r="L655"/>
          <cell r="M655"/>
          <cell r="N655"/>
          <cell r="O655"/>
          <cell r="P655"/>
          <cell r="Q655"/>
        </row>
        <row r="656">
          <cell r="E656">
            <v>675000000</v>
          </cell>
          <cell r="F656"/>
          <cell r="G656"/>
          <cell r="H656">
            <v>0.58499999999999996</v>
          </cell>
          <cell r="I656"/>
          <cell r="J656"/>
          <cell r="K656"/>
          <cell r="L656"/>
          <cell r="M656"/>
          <cell r="N656"/>
          <cell r="O656"/>
          <cell r="P656"/>
          <cell r="Q656"/>
        </row>
        <row r="657">
          <cell r="E657">
            <v>676000000</v>
          </cell>
          <cell r="F657"/>
          <cell r="G657"/>
          <cell r="H657">
            <v>0.58499999999999996</v>
          </cell>
          <cell r="I657"/>
          <cell r="J657"/>
          <cell r="K657"/>
          <cell r="L657"/>
          <cell r="M657"/>
          <cell r="N657"/>
          <cell r="O657"/>
          <cell r="P657"/>
          <cell r="Q657"/>
        </row>
        <row r="658">
          <cell r="E658">
            <v>677000000</v>
          </cell>
          <cell r="F658"/>
          <cell r="G658"/>
          <cell r="H658">
            <v>0.58499999999999996</v>
          </cell>
          <cell r="I658"/>
          <cell r="J658"/>
          <cell r="K658"/>
          <cell r="L658"/>
          <cell r="M658"/>
          <cell r="N658"/>
          <cell r="O658"/>
          <cell r="P658"/>
          <cell r="Q658"/>
        </row>
        <row r="659">
          <cell r="E659">
            <v>678000000</v>
          </cell>
          <cell r="F659"/>
          <cell r="G659"/>
          <cell r="H659">
            <v>0.58499999999999996</v>
          </cell>
          <cell r="I659"/>
          <cell r="J659"/>
          <cell r="K659"/>
          <cell r="L659"/>
          <cell r="M659"/>
          <cell r="N659"/>
          <cell r="O659"/>
          <cell r="P659"/>
          <cell r="Q659"/>
        </row>
        <row r="660">
          <cell r="E660">
            <v>679000000</v>
          </cell>
          <cell r="F660"/>
          <cell r="G660"/>
          <cell r="H660">
            <v>0.58499999999999996</v>
          </cell>
          <cell r="I660"/>
          <cell r="J660"/>
          <cell r="K660"/>
          <cell r="L660"/>
          <cell r="M660"/>
          <cell r="N660"/>
          <cell r="O660"/>
          <cell r="P660"/>
          <cell r="Q660"/>
        </row>
        <row r="661">
          <cell r="E661">
            <v>680000000</v>
          </cell>
          <cell r="F661"/>
          <cell r="G661"/>
          <cell r="H661">
            <v>0.58499999999999996</v>
          </cell>
          <cell r="I661"/>
          <cell r="J661"/>
          <cell r="K661"/>
          <cell r="L661"/>
          <cell r="M661"/>
          <cell r="N661"/>
          <cell r="O661"/>
          <cell r="P661"/>
          <cell r="Q661"/>
        </row>
        <row r="662">
          <cell r="E662">
            <v>681000000</v>
          </cell>
          <cell r="F662"/>
          <cell r="G662"/>
          <cell r="H662">
            <v>0.58499999999999996</v>
          </cell>
          <cell r="I662"/>
          <cell r="J662"/>
          <cell r="K662"/>
          <cell r="L662"/>
          <cell r="M662"/>
          <cell r="N662"/>
          <cell r="O662"/>
          <cell r="P662"/>
          <cell r="Q662"/>
        </row>
        <row r="663">
          <cell r="E663">
            <v>682000000</v>
          </cell>
          <cell r="F663"/>
          <cell r="G663"/>
          <cell r="H663">
            <v>0.58499999999999996</v>
          </cell>
          <cell r="I663"/>
          <cell r="J663"/>
          <cell r="K663"/>
          <cell r="L663"/>
          <cell r="M663"/>
          <cell r="N663"/>
          <cell r="O663"/>
          <cell r="P663"/>
          <cell r="Q663"/>
        </row>
        <row r="664">
          <cell r="E664">
            <v>683000000</v>
          </cell>
          <cell r="F664"/>
          <cell r="G664"/>
          <cell r="H664">
            <v>0.58499999999999996</v>
          </cell>
          <cell r="I664"/>
          <cell r="J664"/>
          <cell r="K664"/>
          <cell r="L664"/>
          <cell r="M664"/>
          <cell r="N664"/>
          <cell r="O664"/>
          <cell r="P664"/>
          <cell r="Q664"/>
        </row>
        <row r="665">
          <cell r="E665">
            <v>684000000</v>
          </cell>
          <cell r="F665"/>
          <cell r="G665"/>
          <cell r="H665">
            <v>0.58499999999999996</v>
          </cell>
          <cell r="I665"/>
          <cell r="J665"/>
          <cell r="K665"/>
          <cell r="L665"/>
          <cell r="M665"/>
          <cell r="N665"/>
          <cell r="O665"/>
          <cell r="P665"/>
          <cell r="Q665"/>
        </row>
        <row r="666">
          <cell r="E666">
            <v>685000000</v>
          </cell>
          <cell r="F666"/>
          <cell r="G666"/>
          <cell r="H666">
            <v>0.58499999999999996</v>
          </cell>
          <cell r="I666"/>
          <cell r="J666"/>
          <cell r="K666"/>
          <cell r="L666"/>
          <cell r="M666"/>
          <cell r="N666"/>
          <cell r="O666"/>
          <cell r="P666"/>
          <cell r="Q666"/>
        </row>
        <row r="667">
          <cell r="E667">
            <v>686000000</v>
          </cell>
          <cell r="F667"/>
          <cell r="G667"/>
          <cell r="H667">
            <v>0.58499999999999996</v>
          </cell>
          <cell r="I667"/>
          <cell r="J667"/>
          <cell r="K667"/>
          <cell r="L667"/>
          <cell r="M667"/>
          <cell r="N667"/>
          <cell r="O667"/>
          <cell r="P667"/>
          <cell r="Q667"/>
        </row>
        <row r="668">
          <cell r="E668">
            <v>687000000</v>
          </cell>
          <cell r="F668"/>
          <cell r="G668"/>
          <cell r="H668">
            <v>0.58499999999999996</v>
          </cell>
          <cell r="I668"/>
          <cell r="J668"/>
          <cell r="K668"/>
          <cell r="L668"/>
          <cell r="M668"/>
          <cell r="N668"/>
          <cell r="O668"/>
          <cell r="P668"/>
          <cell r="Q668"/>
        </row>
        <row r="669">
          <cell r="E669">
            <v>688000000</v>
          </cell>
          <cell r="F669"/>
          <cell r="G669"/>
          <cell r="H669">
            <v>0.58499999999999996</v>
          </cell>
          <cell r="I669"/>
          <cell r="J669"/>
          <cell r="K669"/>
          <cell r="L669"/>
          <cell r="M669"/>
          <cell r="N669"/>
          <cell r="O669"/>
          <cell r="P669"/>
          <cell r="Q669"/>
        </row>
        <row r="670">
          <cell r="E670">
            <v>689000000</v>
          </cell>
          <cell r="F670"/>
          <cell r="G670"/>
          <cell r="H670">
            <v>0.58499999999999996</v>
          </cell>
          <cell r="I670"/>
          <cell r="J670"/>
          <cell r="K670"/>
          <cell r="L670"/>
          <cell r="M670"/>
          <cell r="N670"/>
          <cell r="O670"/>
          <cell r="P670"/>
          <cell r="Q670"/>
        </row>
        <row r="671">
          <cell r="E671">
            <v>690000000</v>
          </cell>
          <cell r="F671"/>
          <cell r="G671"/>
          <cell r="H671">
            <v>0.58499999999999996</v>
          </cell>
          <cell r="I671"/>
          <cell r="J671"/>
          <cell r="K671"/>
          <cell r="L671"/>
          <cell r="M671"/>
          <cell r="N671"/>
          <cell r="O671"/>
          <cell r="P671"/>
          <cell r="Q671"/>
        </row>
        <row r="672">
          <cell r="E672">
            <v>691000000</v>
          </cell>
          <cell r="F672"/>
          <cell r="G672"/>
          <cell r="H672">
            <v>0.58499999999999996</v>
          </cell>
          <cell r="I672"/>
          <cell r="J672"/>
          <cell r="K672"/>
          <cell r="L672"/>
          <cell r="M672"/>
          <cell r="N672"/>
          <cell r="O672"/>
          <cell r="P672"/>
          <cell r="Q672"/>
        </row>
        <row r="673">
          <cell r="E673">
            <v>692000000</v>
          </cell>
          <cell r="F673"/>
          <cell r="G673"/>
          <cell r="H673">
            <v>0.58499999999999996</v>
          </cell>
          <cell r="I673"/>
          <cell r="J673"/>
          <cell r="K673"/>
          <cell r="L673"/>
          <cell r="M673"/>
          <cell r="N673"/>
          <cell r="O673"/>
          <cell r="P673"/>
          <cell r="Q673"/>
        </row>
        <row r="674">
          <cell r="E674">
            <v>693000000</v>
          </cell>
          <cell r="F674"/>
          <cell r="G674"/>
          <cell r="H674">
            <v>0.58499999999999996</v>
          </cell>
          <cell r="I674"/>
          <cell r="J674"/>
          <cell r="K674"/>
          <cell r="L674"/>
          <cell r="M674"/>
          <cell r="N674"/>
          <cell r="O674"/>
          <cell r="P674"/>
          <cell r="Q674"/>
        </row>
        <row r="675">
          <cell r="E675">
            <v>694000000</v>
          </cell>
          <cell r="F675"/>
          <cell r="G675"/>
          <cell r="H675">
            <v>0.58499999999999996</v>
          </cell>
          <cell r="I675"/>
          <cell r="J675"/>
          <cell r="K675"/>
          <cell r="L675"/>
          <cell r="M675"/>
          <cell r="N675"/>
          <cell r="O675"/>
          <cell r="P675"/>
          <cell r="Q675"/>
        </row>
        <row r="676">
          <cell r="E676">
            <v>695000000</v>
          </cell>
          <cell r="F676"/>
          <cell r="G676"/>
          <cell r="H676">
            <v>0.58499999999999996</v>
          </cell>
          <cell r="I676"/>
          <cell r="J676"/>
          <cell r="K676"/>
          <cell r="L676"/>
          <cell r="M676"/>
          <cell r="N676"/>
          <cell r="O676"/>
          <cell r="P676"/>
          <cell r="Q676"/>
        </row>
        <row r="677">
          <cell r="E677">
            <v>696000000</v>
          </cell>
          <cell r="F677"/>
          <cell r="G677"/>
          <cell r="H677">
            <v>0.58499999999999996</v>
          </cell>
          <cell r="I677"/>
          <cell r="J677"/>
          <cell r="K677"/>
          <cell r="L677"/>
          <cell r="M677"/>
          <cell r="N677"/>
          <cell r="O677"/>
          <cell r="P677"/>
          <cell r="Q677"/>
        </row>
        <row r="678">
          <cell r="E678">
            <v>697000000</v>
          </cell>
          <cell r="F678"/>
          <cell r="G678"/>
          <cell r="H678">
            <v>0.58499999999999996</v>
          </cell>
          <cell r="I678"/>
          <cell r="J678"/>
          <cell r="K678"/>
          <cell r="L678"/>
          <cell r="M678"/>
          <cell r="N678"/>
          <cell r="O678"/>
          <cell r="P678"/>
          <cell r="Q678"/>
        </row>
        <row r="679">
          <cell r="E679">
            <v>698000000</v>
          </cell>
          <cell r="F679"/>
          <cell r="G679"/>
          <cell r="H679">
            <v>0.58499999999999996</v>
          </cell>
          <cell r="I679"/>
          <cell r="J679"/>
          <cell r="K679"/>
          <cell r="L679"/>
          <cell r="M679"/>
          <cell r="N679"/>
          <cell r="O679"/>
          <cell r="P679"/>
          <cell r="Q679"/>
        </row>
        <row r="680">
          <cell r="E680">
            <v>699000000</v>
          </cell>
          <cell r="F680"/>
          <cell r="G680"/>
          <cell r="H680">
            <v>0.58499999999999996</v>
          </cell>
          <cell r="I680"/>
          <cell r="J680"/>
          <cell r="K680"/>
          <cell r="L680"/>
          <cell r="M680"/>
          <cell r="N680"/>
          <cell r="O680"/>
          <cell r="P680"/>
          <cell r="Q680"/>
        </row>
        <row r="681">
          <cell r="E681">
            <v>700000000</v>
          </cell>
          <cell r="F681"/>
          <cell r="G681"/>
          <cell r="H681">
            <v>0.58499999999999996</v>
          </cell>
          <cell r="I681"/>
          <cell r="J681"/>
          <cell r="K681"/>
          <cell r="L681"/>
          <cell r="M681"/>
          <cell r="N681"/>
          <cell r="O681"/>
          <cell r="P681"/>
          <cell r="Q681"/>
        </row>
        <row r="682">
          <cell r="E682">
            <v>701000000</v>
          </cell>
          <cell r="F682"/>
          <cell r="G682"/>
          <cell r="H682">
            <v>0.6</v>
          </cell>
          <cell r="I682"/>
          <cell r="J682"/>
          <cell r="K682"/>
          <cell r="L682"/>
          <cell r="M682"/>
          <cell r="N682"/>
          <cell r="O682"/>
          <cell r="P682"/>
          <cell r="Q682"/>
        </row>
        <row r="683">
          <cell r="E683">
            <v>702000000</v>
          </cell>
          <cell r="F683"/>
          <cell r="G683"/>
          <cell r="H683">
            <v>0.6</v>
          </cell>
          <cell r="I683"/>
          <cell r="J683"/>
          <cell r="K683"/>
          <cell r="L683"/>
          <cell r="M683"/>
          <cell r="N683"/>
          <cell r="O683"/>
          <cell r="P683"/>
          <cell r="Q683"/>
        </row>
        <row r="684">
          <cell r="E684">
            <v>703000000</v>
          </cell>
          <cell r="F684"/>
          <cell r="G684"/>
          <cell r="H684">
            <v>0.6</v>
          </cell>
          <cell r="I684"/>
          <cell r="J684"/>
          <cell r="K684"/>
          <cell r="L684"/>
          <cell r="M684"/>
          <cell r="N684"/>
          <cell r="O684"/>
          <cell r="P684"/>
          <cell r="Q684"/>
        </row>
        <row r="685">
          <cell r="E685">
            <v>704000000</v>
          </cell>
          <cell r="F685"/>
          <cell r="G685"/>
          <cell r="H685">
            <v>0.6</v>
          </cell>
          <cell r="I685"/>
          <cell r="J685"/>
          <cell r="K685"/>
          <cell r="L685"/>
          <cell r="M685"/>
          <cell r="N685"/>
          <cell r="O685"/>
          <cell r="P685"/>
          <cell r="Q685"/>
        </row>
        <row r="686">
          <cell r="E686">
            <v>705000000</v>
          </cell>
          <cell r="F686"/>
          <cell r="G686"/>
          <cell r="H686">
            <v>0.6</v>
          </cell>
          <cell r="I686"/>
          <cell r="J686"/>
          <cell r="K686"/>
          <cell r="L686"/>
          <cell r="M686"/>
          <cell r="N686"/>
          <cell r="O686"/>
          <cell r="P686"/>
          <cell r="Q686"/>
        </row>
        <row r="687">
          <cell r="E687">
            <v>706000000</v>
          </cell>
          <cell r="F687"/>
          <cell r="G687"/>
          <cell r="H687">
            <v>0.6</v>
          </cell>
          <cell r="I687"/>
          <cell r="J687"/>
          <cell r="K687"/>
          <cell r="L687"/>
          <cell r="M687"/>
          <cell r="N687"/>
          <cell r="O687"/>
          <cell r="P687"/>
          <cell r="Q687"/>
        </row>
        <row r="688">
          <cell r="E688">
            <v>707000000</v>
          </cell>
          <cell r="F688"/>
          <cell r="G688"/>
          <cell r="H688">
            <v>0.6</v>
          </cell>
          <cell r="I688"/>
          <cell r="J688"/>
          <cell r="K688"/>
          <cell r="L688"/>
          <cell r="M688"/>
          <cell r="N688"/>
          <cell r="O688"/>
          <cell r="P688"/>
          <cell r="Q688"/>
        </row>
        <row r="689">
          <cell r="E689">
            <v>708000000</v>
          </cell>
          <cell r="F689"/>
          <cell r="G689"/>
          <cell r="H689">
            <v>0.6</v>
          </cell>
          <cell r="I689"/>
          <cell r="J689"/>
          <cell r="K689"/>
          <cell r="L689"/>
          <cell r="M689"/>
          <cell r="N689"/>
          <cell r="O689"/>
          <cell r="P689"/>
          <cell r="Q689"/>
        </row>
        <row r="690">
          <cell r="E690">
            <v>709000000</v>
          </cell>
          <cell r="F690"/>
          <cell r="G690"/>
          <cell r="H690">
            <v>0.6</v>
          </cell>
          <cell r="I690"/>
          <cell r="J690"/>
          <cell r="K690"/>
          <cell r="L690"/>
          <cell r="M690"/>
          <cell r="N690"/>
          <cell r="O690"/>
          <cell r="P690"/>
          <cell r="Q690"/>
        </row>
        <row r="691">
          <cell r="E691">
            <v>710000000</v>
          </cell>
          <cell r="F691"/>
          <cell r="G691"/>
          <cell r="H691">
            <v>0.6</v>
          </cell>
          <cell r="I691"/>
          <cell r="J691"/>
          <cell r="K691"/>
          <cell r="L691"/>
          <cell r="M691"/>
          <cell r="N691"/>
          <cell r="O691"/>
          <cell r="P691"/>
          <cell r="Q691"/>
        </row>
        <row r="692">
          <cell r="E692">
            <v>711000000</v>
          </cell>
          <cell r="F692"/>
          <cell r="G692"/>
          <cell r="H692">
            <v>0.6</v>
          </cell>
          <cell r="I692"/>
          <cell r="J692"/>
          <cell r="K692"/>
          <cell r="L692"/>
          <cell r="M692"/>
          <cell r="N692"/>
          <cell r="O692"/>
          <cell r="P692"/>
          <cell r="Q692"/>
        </row>
        <row r="693">
          <cell r="E693">
            <v>712000000</v>
          </cell>
          <cell r="F693"/>
          <cell r="G693"/>
          <cell r="H693">
            <v>0.6</v>
          </cell>
          <cell r="I693"/>
          <cell r="J693"/>
          <cell r="K693"/>
          <cell r="L693"/>
          <cell r="M693"/>
          <cell r="N693"/>
          <cell r="O693"/>
          <cell r="P693"/>
          <cell r="Q693"/>
        </row>
        <row r="694">
          <cell r="E694">
            <v>713000000</v>
          </cell>
          <cell r="F694"/>
          <cell r="G694"/>
          <cell r="H694">
            <v>0.6</v>
          </cell>
          <cell r="I694"/>
          <cell r="J694"/>
          <cell r="K694"/>
          <cell r="L694"/>
          <cell r="M694"/>
          <cell r="N694"/>
          <cell r="O694"/>
          <cell r="P694"/>
          <cell r="Q694"/>
        </row>
        <row r="695">
          <cell r="E695">
            <v>714000000</v>
          </cell>
          <cell r="F695"/>
          <cell r="G695"/>
          <cell r="H695">
            <v>0.6</v>
          </cell>
          <cell r="I695"/>
          <cell r="J695"/>
          <cell r="K695"/>
          <cell r="L695"/>
          <cell r="M695"/>
          <cell r="N695"/>
          <cell r="O695"/>
          <cell r="P695"/>
          <cell r="Q695"/>
        </row>
        <row r="696">
          <cell r="E696">
            <v>715000000</v>
          </cell>
          <cell r="F696"/>
          <cell r="G696"/>
          <cell r="H696">
            <v>0.6</v>
          </cell>
          <cell r="I696"/>
          <cell r="J696"/>
          <cell r="K696"/>
          <cell r="L696"/>
          <cell r="M696"/>
          <cell r="N696"/>
          <cell r="O696"/>
          <cell r="P696"/>
          <cell r="Q696"/>
        </row>
        <row r="697">
          <cell r="E697">
            <v>716000000</v>
          </cell>
          <cell r="F697"/>
          <cell r="G697"/>
          <cell r="H697">
            <v>0.6</v>
          </cell>
          <cell r="I697"/>
          <cell r="J697"/>
          <cell r="K697"/>
          <cell r="L697"/>
          <cell r="M697"/>
          <cell r="N697"/>
          <cell r="O697"/>
          <cell r="P697"/>
          <cell r="Q697"/>
        </row>
        <row r="698">
          <cell r="E698">
            <v>717000000</v>
          </cell>
          <cell r="F698"/>
          <cell r="G698"/>
          <cell r="H698">
            <v>0.6</v>
          </cell>
          <cell r="I698"/>
          <cell r="J698"/>
          <cell r="K698"/>
          <cell r="L698"/>
          <cell r="M698"/>
          <cell r="N698"/>
          <cell r="O698"/>
          <cell r="P698"/>
          <cell r="Q698"/>
        </row>
        <row r="699">
          <cell r="E699">
            <v>718000000</v>
          </cell>
          <cell r="F699"/>
          <cell r="G699"/>
          <cell r="H699">
            <v>0.6</v>
          </cell>
          <cell r="I699"/>
          <cell r="J699"/>
          <cell r="K699"/>
          <cell r="L699"/>
          <cell r="M699"/>
          <cell r="N699"/>
          <cell r="O699"/>
          <cell r="P699"/>
          <cell r="Q699"/>
        </row>
        <row r="700">
          <cell r="E700">
            <v>719000000</v>
          </cell>
          <cell r="F700"/>
          <cell r="G700"/>
          <cell r="H700">
            <v>0.6</v>
          </cell>
          <cell r="I700"/>
          <cell r="J700"/>
          <cell r="K700"/>
          <cell r="L700"/>
          <cell r="M700"/>
          <cell r="N700"/>
          <cell r="O700"/>
          <cell r="P700"/>
          <cell r="Q700"/>
        </row>
        <row r="701">
          <cell r="E701">
            <v>720000000</v>
          </cell>
          <cell r="F701"/>
          <cell r="G701"/>
          <cell r="H701">
            <v>0.6</v>
          </cell>
          <cell r="I701"/>
          <cell r="J701"/>
          <cell r="K701"/>
          <cell r="L701"/>
          <cell r="M701"/>
          <cell r="N701"/>
          <cell r="O701"/>
          <cell r="P701"/>
          <cell r="Q701"/>
        </row>
        <row r="702">
          <cell r="E702">
            <v>721000000</v>
          </cell>
          <cell r="F702"/>
          <cell r="G702"/>
          <cell r="H702">
            <v>0.6</v>
          </cell>
          <cell r="I702"/>
          <cell r="J702"/>
          <cell r="K702"/>
          <cell r="L702"/>
          <cell r="M702"/>
          <cell r="N702"/>
          <cell r="O702"/>
          <cell r="P702"/>
          <cell r="Q702"/>
        </row>
        <row r="703">
          <cell r="E703">
            <v>722000000</v>
          </cell>
          <cell r="F703"/>
          <cell r="G703"/>
          <cell r="H703">
            <v>0.6</v>
          </cell>
          <cell r="I703"/>
          <cell r="J703"/>
          <cell r="K703"/>
          <cell r="L703"/>
          <cell r="M703"/>
          <cell r="N703"/>
          <cell r="O703"/>
          <cell r="P703"/>
          <cell r="Q703"/>
        </row>
        <row r="704">
          <cell r="E704">
            <v>723000000</v>
          </cell>
          <cell r="F704"/>
          <cell r="G704"/>
          <cell r="H704">
            <v>0.6</v>
          </cell>
          <cell r="I704"/>
          <cell r="J704"/>
          <cell r="K704"/>
          <cell r="L704"/>
          <cell r="M704"/>
          <cell r="N704"/>
          <cell r="O704"/>
          <cell r="P704"/>
          <cell r="Q704"/>
        </row>
        <row r="705">
          <cell r="E705">
            <v>724000000</v>
          </cell>
          <cell r="F705"/>
          <cell r="G705"/>
          <cell r="H705">
            <v>0.6</v>
          </cell>
          <cell r="I705"/>
          <cell r="J705"/>
          <cell r="K705"/>
          <cell r="L705"/>
          <cell r="M705"/>
          <cell r="N705"/>
          <cell r="O705"/>
          <cell r="P705"/>
          <cell r="Q705"/>
        </row>
        <row r="706">
          <cell r="E706">
            <v>725000000</v>
          </cell>
          <cell r="F706"/>
          <cell r="G706"/>
          <cell r="H706">
            <v>0.6</v>
          </cell>
          <cell r="I706"/>
          <cell r="J706"/>
          <cell r="K706"/>
          <cell r="L706"/>
          <cell r="M706"/>
          <cell r="N706"/>
          <cell r="O706"/>
          <cell r="P706"/>
          <cell r="Q706"/>
        </row>
        <row r="707">
          <cell r="E707">
            <v>726000000</v>
          </cell>
          <cell r="F707"/>
          <cell r="G707"/>
          <cell r="H707">
            <v>0.6</v>
          </cell>
          <cell r="I707"/>
          <cell r="J707"/>
          <cell r="K707"/>
          <cell r="L707"/>
          <cell r="M707"/>
          <cell r="N707"/>
          <cell r="O707"/>
          <cell r="P707"/>
          <cell r="Q707"/>
        </row>
        <row r="708">
          <cell r="E708">
            <v>727000000</v>
          </cell>
          <cell r="F708"/>
          <cell r="G708"/>
          <cell r="H708">
            <v>0.6</v>
          </cell>
          <cell r="I708"/>
          <cell r="J708"/>
          <cell r="K708"/>
          <cell r="L708"/>
          <cell r="M708"/>
          <cell r="N708"/>
          <cell r="O708"/>
          <cell r="P708"/>
          <cell r="Q708"/>
        </row>
        <row r="709">
          <cell r="E709">
            <v>728000000</v>
          </cell>
          <cell r="F709"/>
          <cell r="G709"/>
          <cell r="H709">
            <v>0.6</v>
          </cell>
          <cell r="I709"/>
          <cell r="J709"/>
          <cell r="K709"/>
          <cell r="L709"/>
          <cell r="M709"/>
          <cell r="N709"/>
          <cell r="O709"/>
          <cell r="P709"/>
          <cell r="Q709"/>
        </row>
        <row r="710">
          <cell r="E710">
            <v>729000000</v>
          </cell>
          <cell r="F710"/>
          <cell r="G710"/>
          <cell r="H710">
            <v>0.6</v>
          </cell>
          <cell r="I710"/>
          <cell r="J710"/>
          <cell r="K710"/>
          <cell r="L710"/>
          <cell r="M710"/>
          <cell r="N710"/>
          <cell r="O710"/>
          <cell r="P710"/>
          <cell r="Q710"/>
        </row>
        <row r="711">
          <cell r="E711">
            <v>730000000</v>
          </cell>
          <cell r="F711"/>
          <cell r="G711"/>
          <cell r="H711">
            <v>0.6</v>
          </cell>
          <cell r="I711"/>
          <cell r="J711"/>
          <cell r="K711"/>
          <cell r="L711"/>
          <cell r="M711"/>
          <cell r="N711"/>
          <cell r="O711"/>
          <cell r="P711"/>
          <cell r="Q711"/>
        </row>
        <row r="712">
          <cell r="E712">
            <v>731000000</v>
          </cell>
          <cell r="F712"/>
          <cell r="G712"/>
          <cell r="H712">
            <v>0.6</v>
          </cell>
          <cell r="I712"/>
          <cell r="J712"/>
          <cell r="K712"/>
          <cell r="L712"/>
          <cell r="M712"/>
          <cell r="N712"/>
          <cell r="O712"/>
          <cell r="P712"/>
          <cell r="Q712"/>
        </row>
        <row r="713">
          <cell r="E713">
            <v>732000000</v>
          </cell>
          <cell r="F713"/>
          <cell r="G713"/>
          <cell r="H713">
            <v>0.6</v>
          </cell>
          <cell r="I713"/>
          <cell r="J713"/>
          <cell r="K713"/>
          <cell r="L713"/>
          <cell r="M713"/>
          <cell r="N713"/>
          <cell r="O713"/>
          <cell r="P713"/>
          <cell r="Q713"/>
        </row>
        <row r="714">
          <cell r="E714">
            <v>733000000</v>
          </cell>
          <cell r="F714"/>
          <cell r="G714"/>
          <cell r="H714">
            <v>0.6</v>
          </cell>
          <cell r="I714"/>
          <cell r="J714"/>
          <cell r="K714"/>
          <cell r="L714"/>
          <cell r="M714"/>
          <cell r="N714"/>
          <cell r="O714"/>
          <cell r="P714"/>
          <cell r="Q714"/>
        </row>
        <row r="715">
          <cell r="E715">
            <v>734000000</v>
          </cell>
          <cell r="F715"/>
          <cell r="G715"/>
          <cell r="H715">
            <v>0.6</v>
          </cell>
          <cell r="I715"/>
          <cell r="J715"/>
          <cell r="K715"/>
          <cell r="L715"/>
          <cell r="M715"/>
          <cell r="N715"/>
          <cell r="O715"/>
          <cell r="P715"/>
          <cell r="Q715"/>
        </row>
        <row r="716">
          <cell r="E716">
            <v>735000000</v>
          </cell>
          <cell r="F716"/>
          <cell r="G716"/>
          <cell r="H716">
            <v>0.6</v>
          </cell>
          <cell r="I716"/>
          <cell r="J716"/>
          <cell r="K716"/>
          <cell r="L716"/>
          <cell r="M716"/>
          <cell r="N716"/>
          <cell r="O716"/>
          <cell r="P716"/>
          <cell r="Q716"/>
        </row>
        <row r="717">
          <cell r="E717">
            <v>736000000</v>
          </cell>
          <cell r="F717"/>
          <cell r="G717"/>
          <cell r="H717">
            <v>0.6</v>
          </cell>
          <cell r="I717"/>
          <cell r="J717"/>
          <cell r="K717"/>
          <cell r="L717"/>
          <cell r="M717"/>
          <cell r="N717"/>
          <cell r="O717"/>
          <cell r="P717"/>
          <cell r="Q717"/>
        </row>
        <row r="718">
          <cell r="E718">
            <v>737000000</v>
          </cell>
          <cell r="F718"/>
          <cell r="G718"/>
          <cell r="H718">
            <v>0.6</v>
          </cell>
          <cell r="I718"/>
          <cell r="J718"/>
          <cell r="K718"/>
          <cell r="L718"/>
          <cell r="M718"/>
          <cell r="N718"/>
          <cell r="O718"/>
          <cell r="P718"/>
          <cell r="Q718"/>
        </row>
        <row r="719">
          <cell r="E719">
            <v>738000000</v>
          </cell>
          <cell r="F719"/>
          <cell r="G719"/>
          <cell r="H719">
            <v>0.6</v>
          </cell>
          <cell r="I719"/>
          <cell r="J719"/>
          <cell r="K719"/>
          <cell r="L719"/>
          <cell r="M719"/>
          <cell r="N719"/>
          <cell r="O719"/>
          <cell r="P719"/>
          <cell r="Q719"/>
        </row>
        <row r="720">
          <cell r="E720">
            <v>739000000</v>
          </cell>
          <cell r="F720"/>
          <cell r="G720"/>
          <cell r="H720">
            <v>0.6</v>
          </cell>
          <cell r="I720"/>
          <cell r="J720"/>
          <cell r="K720"/>
          <cell r="L720"/>
          <cell r="M720"/>
          <cell r="N720"/>
          <cell r="O720"/>
          <cell r="P720"/>
          <cell r="Q720"/>
        </row>
        <row r="721">
          <cell r="E721">
            <v>740000000</v>
          </cell>
          <cell r="F721"/>
          <cell r="G721"/>
          <cell r="H721">
            <v>0.6</v>
          </cell>
          <cell r="I721"/>
          <cell r="J721"/>
          <cell r="K721"/>
          <cell r="L721"/>
          <cell r="M721"/>
          <cell r="N721"/>
          <cell r="O721"/>
          <cell r="P721"/>
          <cell r="Q721"/>
        </row>
        <row r="722">
          <cell r="E722">
            <v>741000000</v>
          </cell>
          <cell r="F722"/>
          <cell r="G722"/>
          <cell r="H722">
            <v>0.6</v>
          </cell>
          <cell r="I722"/>
          <cell r="J722"/>
          <cell r="K722"/>
          <cell r="L722"/>
          <cell r="M722"/>
          <cell r="N722"/>
          <cell r="O722"/>
          <cell r="P722"/>
          <cell r="Q722"/>
        </row>
        <row r="723">
          <cell r="E723">
            <v>742000000</v>
          </cell>
          <cell r="F723"/>
          <cell r="G723"/>
          <cell r="H723">
            <v>0.6</v>
          </cell>
          <cell r="I723"/>
          <cell r="J723"/>
          <cell r="K723"/>
          <cell r="L723"/>
          <cell r="M723"/>
          <cell r="N723"/>
          <cell r="O723"/>
          <cell r="P723"/>
          <cell r="Q723"/>
        </row>
        <row r="724">
          <cell r="E724">
            <v>743000000</v>
          </cell>
          <cell r="F724"/>
          <cell r="G724"/>
          <cell r="H724">
            <v>0.6</v>
          </cell>
          <cell r="I724"/>
          <cell r="J724"/>
          <cell r="K724"/>
          <cell r="L724"/>
          <cell r="M724"/>
          <cell r="N724"/>
          <cell r="O724"/>
          <cell r="P724"/>
          <cell r="Q724"/>
        </row>
        <row r="725">
          <cell r="E725">
            <v>744000000</v>
          </cell>
          <cell r="F725"/>
          <cell r="G725"/>
          <cell r="H725">
            <v>0.6</v>
          </cell>
          <cell r="I725"/>
          <cell r="J725"/>
          <cell r="K725"/>
          <cell r="L725"/>
          <cell r="M725"/>
          <cell r="N725"/>
          <cell r="O725"/>
          <cell r="P725"/>
          <cell r="Q725"/>
        </row>
        <row r="726">
          <cell r="E726">
            <v>745000000</v>
          </cell>
          <cell r="F726"/>
          <cell r="G726"/>
          <cell r="H726">
            <v>0.6</v>
          </cell>
          <cell r="I726"/>
          <cell r="J726"/>
          <cell r="K726"/>
          <cell r="L726"/>
          <cell r="M726"/>
          <cell r="N726"/>
          <cell r="O726"/>
          <cell r="P726"/>
          <cell r="Q726"/>
        </row>
        <row r="727">
          <cell r="E727">
            <v>746000000</v>
          </cell>
          <cell r="F727"/>
          <cell r="G727"/>
          <cell r="H727">
            <v>0.6</v>
          </cell>
          <cell r="I727"/>
          <cell r="J727"/>
          <cell r="K727"/>
          <cell r="L727"/>
          <cell r="M727"/>
          <cell r="N727"/>
          <cell r="O727"/>
          <cell r="P727"/>
          <cell r="Q727"/>
        </row>
        <row r="728">
          <cell r="E728">
            <v>747000000</v>
          </cell>
          <cell r="F728"/>
          <cell r="G728"/>
          <cell r="H728">
            <v>0.6</v>
          </cell>
          <cell r="I728"/>
          <cell r="J728"/>
          <cell r="K728"/>
          <cell r="L728"/>
          <cell r="M728"/>
          <cell r="N728"/>
          <cell r="O728"/>
          <cell r="P728"/>
          <cell r="Q728"/>
        </row>
        <row r="729">
          <cell r="E729">
            <v>748000000</v>
          </cell>
          <cell r="F729"/>
          <cell r="G729"/>
          <cell r="H729">
            <v>0.6</v>
          </cell>
          <cell r="I729"/>
          <cell r="J729"/>
          <cell r="K729"/>
          <cell r="L729"/>
          <cell r="M729"/>
          <cell r="N729"/>
          <cell r="O729"/>
          <cell r="P729"/>
          <cell r="Q729"/>
        </row>
        <row r="730">
          <cell r="E730">
            <v>749000000</v>
          </cell>
          <cell r="F730"/>
          <cell r="G730"/>
          <cell r="H730">
            <v>0.6</v>
          </cell>
          <cell r="I730"/>
          <cell r="J730"/>
          <cell r="K730"/>
          <cell r="L730"/>
          <cell r="M730"/>
          <cell r="N730"/>
          <cell r="O730"/>
          <cell r="P730"/>
          <cell r="Q730"/>
        </row>
        <row r="731">
          <cell r="E731">
            <v>750000000</v>
          </cell>
          <cell r="F731"/>
          <cell r="G731"/>
          <cell r="H731">
            <v>0.6</v>
          </cell>
          <cell r="I731"/>
          <cell r="J731"/>
          <cell r="K731"/>
          <cell r="L731"/>
          <cell r="M731"/>
          <cell r="N731"/>
          <cell r="O731"/>
          <cell r="P731"/>
          <cell r="Q731"/>
        </row>
      </sheetData>
      <sheetData sheetId="5">
        <row r="5">
          <cell r="J5" t="str">
            <v>CV Starr Aviation - General Aviation US</v>
          </cell>
        </row>
        <row r="7">
          <cell r="J7" t="str">
            <v>Underwriting Year 2017 - February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Page de garde"/>
      <sheetName val="POL"/>
      <sheetName val="CAS"/>
      <sheetName val="ECA"/>
      <sheetName val="PFA-Simple"/>
      <sheetName val="PFA-Comm"/>
      <sheetName val="PFA-Indust"/>
      <sheetName val="PFA-Misc"/>
      <sheetName val="Total RC Entr"/>
      <sheetName val="Industrias"/>
      <sheetName val="Comercios"/>
      <sheetName val="Construction"/>
      <sheetName val="Talleres"/>
      <sheetName val="Hosteleria"/>
      <sheetName val="Servicios"/>
    </sheetNames>
    <sheetDataSet>
      <sheetData sheetId="0" refreshError="1">
        <row r="10">
          <cell r="B10" t="str">
            <v>AXA HONG KONG</v>
          </cell>
        </row>
      </sheetData>
      <sheetData sheetId="1">
        <row r="19">
          <cell r="J19" t="str">
            <v>PFA.Portfolio Profile - Net of Facultative Cessions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Page de garde"/>
      <sheetName val="POL"/>
      <sheetName val="CAS"/>
      <sheetName val="ECA"/>
      <sheetName val="PFR"/>
      <sheetName val="PFG_PNL"/>
      <sheetName val="PFG_PL"/>
      <sheetName val="PFG_Pdt"/>
      <sheetName val="PFG_EO"/>
      <sheetName val="LPG"/>
      <sheetName val="LPE"/>
      <sheetName val="Total RC Prof"/>
      <sheetName val="Tecnicas"/>
      <sheetName val="Sanidad"/>
      <sheetName val="Juridicas"/>
      <sheetName val="Servicios P"/>
    </sheetNames>
    <sheetDataSet>
      <sheetData sheetId="0" refreshError="1">
        <row r="10">
          <cell r="B10" t="str">
            <v>AXA HONG KONG</v>
          </cell>
        </row>
        <row r="13">
          <cell r="B13" t="str">
            <v>HKD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Page de garde"/>
      <sheetName val="POL"/>
      <sheetName val="CAS"/>
      <sheetName val="ECA"/>
      <sheetName val="PFT"/>
      <sheetName val="PFT_TA"/>
      <sheetName val="PFP"/>
      <sheetName val="Total RC Part"/>
      <sheetName val="Cabeza fam"/>
      <sheetName val="Ensenanza"/>
      <sheetName val="Vida Pvda"/>
      <sheetName val="RC Agr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Hull Portofolio France"/>
      <sheetName val="Feuil2"/>
      <sheetName val="Liability Portofolio France"/>
      <sheetName val="Feuil3"/>
      <sheetName val="War Portofolio France"/>
      <sheetName val="HWQS"/>
      <sheetName val="FAC 2"/>
      <sheetName val="GAQS"/>
      <sheetName val="Cours de 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Police Genius</v>
          </cell>
          <cell r="B2" t="str">
            <v>Assuré</v>
          </cell>
          <cell r="C2" t="str">
            <v>Reas traite</v>
          </cell>
        </row>
        <row r="3">
          <cell r="A3" t="str">
            <v>XFR0001313AV07A</v>
          </cell>
          <cell r="B3" t="str">
            <v>JOUVELOT MRA</v>
          </cell>
          <cell r="C3" t="str">
            <v>Oui</v>
          </cell>
        </row>
        <row r="4">
          <cell r="A4" t="str">
            <v>XFR0001416AV07A</v>
          </cell>
          <cell r="B4" t="str">
            <v>DEROCHE - MRA</v>
          </cell>
          <cell r="C4" t="str">
            <v>Oui</v>
          </cell>
        </row>
        <row r="5">
          <cell r="A5" t="str">
            <v>XFR0001531AV07A</v>
          </cell>
          <cell r="B5" t="str">
            <v>AC AIA - MRA</v>
          </cell>
          <cell r="C5" t="str">
            <v>Oui</v>
          </cell>
        </row>
        <row r="6">
          <cell r="A6" t="str">
            <v>XFR0002114AV07A</v>
          </cell>
          <cell r="B6" t="str">
            <v>assoc pilotes stampe - mra</v>
          </cell>
          <cell r="C6" t="str">
            <v>Oui</v>
          </cell>
        </row>
        <row r="7">
          <cell r="A7" t="str">
            <v>XFR0002385AV07A</v>
          </cell>
          <cell r="B7" t="str">
            <v>les ailes roannaises - MRA</v>
          </cell>
          <cell r="C7" t="str">
            <v>Oui</v>
          </cell>
        </row>
        <row r="8">
          <cell r="A8" t="str">
            <v>XFR0002600AV07A</v>
          </cell>
          <cell r="B8" t="str">
            <v>AVIATION SANS FRONTIERE MRA</v>
          </cell>
          <cell r="C8" t="str">
            <v>Oui</v>
          </cell>
        </row>
        <row r="9">
          <cell r="A9" t="str">
            <v>XFR0002687AV07A</v>
          </cell>
          <cell r="B9" t="str">
            <v>alain plaideau MRA</v>
          </cell>
          <cell r="C9" t="str">
            <v>Oui</v>
          </cell>
        </row>
        <row r="10">
          <cell r="A10" t="str">
            <v>XFR0002714AV07A</v>
          </cell>
          <cell r="B10" t="str">
            <v>LE MOULIN SC EX MENASSANCH</v>
          </cell>
          <cell r="C10" t="str">
            <v>Oui</v>
          </cell>
        </row>
        <row r="11">
          <cell r="A11" t="str">
            <v>XFR0002837AV07A</v>
          </cell>
          <cell r="B11" t="str">
            <v>CAPAM - MRA</v>
          </cell>
          <cell r="C11" t="str">
            <v>Oui</v>
          </cell>
        </row>
        <row r="12">
          <cell r="A12" t="str">
            <v>XFR0002855AV07A</v>
          </cell>
          <cell r="B12" t="str">
            <v>AC CLAUDE CHAUTEMPS</v>
          </cell>
          <cell r="C12" t="str">
            <v>Oui</v>
          </cell>
        </row>
        <row r="13">
          <cell r="A13" t="str">
            <v>XFR0003204AV07A</v>
          </cell>
          <cell r="B13" t="str">
            <v>MICHAUD JEAN FRANCOIS  MRA</v>
          </cell>
          <cell r="C13" t="str">
            <v>Oui</v>
          </cell>
        </row>
        <row r="14">
          <cell r="A14" t="str">
            <v>XFR0003206AV07A</v>
          </cell>
          <cell r="B14" t="str">
            <v>SAS OCEANIS DEVELOPPEMENT MRA</v>
          </cell>
          <cell r="C14" t="str">
            <v>Oui</v>
          </cell>
        </row>
        <row r="15">
          <cell r="A15" t="str">
            <v>XFR0003207AV07A</v>
          </cell>
          <cell r="B15" t="str">
            <v>ASS. TOP VOLTIGE MRA</v>
          </cell>
          <cell r="C15" t="str">
            <v>Oui</v>
          </cell>
        </row>
        <row r="16">
          <cell r="A16" t="str">
            <v>XFR0003209AV07A</v>
          </cell>
          <cell r="B16" t="str">
            <v>AC LES AILES MAHORAISES</v>
          </cell>
          <cell r="C16" t="str">
            <v>Oui</v>
          </cell>
        </row>
        <row r="17">
          <cell r="A17" t="str">
            <v>XFR0003210AV07A</v>
          </cell>
          <cell r="B17" t="str">
            <v>MAGRAS BRUNO</v>
          </cell>
          <cell r="C17" t="str">
            <v>Oui</v>
          </cell>
        </row>
        <row r="18">
          <cell r="A18" t="str">
            <v>XFR0003340AV07A</v>
          </cell>
          <cell r="B18" t="str">
            <v>TRASSARD MRA</v>
          </cell>
          <cell r="C18" t="str">
            <v>Oui</v>
          </cell>
        </row>
        <row r="19">
          <cell r="A19" t="str">
            <v>XFR0003342AV07A</v>
          </cell>
          <cell r="B19" t="str">
            <v>AC GRAVENCHON MRA</v>
          </cell>
          <cell r="C19" t="str">
            <v>Oui</v>
          </cell>
        </row>
        <row r="20">
          <cell r="A20" t="str">
            <v>XFR0003343AV07A</v>
          </cell>
          <cell r="B20" t="str">
            <v>ALLAFORT MRA</v>
          </cell>
          <cell r="C20" t="str">
            <v>Oui</v>
          </cell>
        </row>
        <row r="21">
          <cell r="A21" t="str">
            <v>XFR0003497AV07A</v>
          </cell>
          <cell r="B21" t="str">
            <v>STE E.M.C MRA</v>
          </cell>
          <cell r="C21" t="str">
            <v>Oui</v>
          </cell>
        </row>
        <row r="22">
          <cell r="A22" t="str">
            <v>XFR0003977AV07A</v>
          </cell>
          <cell r="B22" t="str">
            <v>GANDON LEGER- MRA</v>
          </cell>
          <cell r="C22" t="str">
            <v>Oui</v>
          </cell>
        </row>
        <row r="23">
          <cell r="A23" t="str">
            <v>XFR0003978AV07A</v>
          </cell>
          <cell r="B23" t="str">
            <v>CHAMPIAT - MRA</v>
          </cell>
          <cell r="C23" t="str">
            <v>Oui</v>
          </cell>
        </row>
        <row r="24">
          <cell r="A24" t="str">
            <v>XFR0003980AV07A</v>
          </cell>
          <cell r="B24" t="str">
            <v>ALLAIX - MRA</v>
          </cell>
          <cell r="C24" t="str">
            <v>Oui</v>
          </cell>
        </row>
        <row r="25">
          <cell r="A25" t="str">
            <v>XFR0003986AV07A</v>
          </cell>
          <cell r="B25" t="str">
            <v>MHP - MRA</v>
          </cell>
          <cell r="C25" t="str">
            <v>Oui</v>
          </cell>
        </row>
        <row r="26">
          <cell r="A26" t="str">
            <v>XFR0003989AV07A</v>
          </cell>
          <cell r="B26" t="str">
            <v>STE ACTIBAC  MRA</v>
          </cell>
          <cell r="C26" t="str">
            <v>Oui</v>
          </cell>
        </row>
        <row r="27">
          <cell r="A27" t="str">
            <v>XFR0003990AV07A</v>
          </cell>
          <cell r="B27" t="str">
            <v>AIR SUD FORMATION MRA</v>
          </cell>
          <cell r="C27" t="str">
            <v>Oui</v>
          </cell>
        </row>
        <row r="28">
          <cell r="A28" t="str">
            <v>XFR0003994AV07A</v>
          </cell>
          <cell r="B28" t="str">
            <v>AIRFOX</v>
          </cell>
          <cell r="C28" t="str">
            <v>Oui</v>
          </cell>
        </row>
        <row r="29">
          <cell r="A29" t="str">
            <v>XFR0003996AV07A</v>
          </cell>
          <cell r="B29" t="str">
            <v>PASTEJ - MRA</v>
          </cell>
          <cell r="C29" t="str">
            <v>Oui</v>
          </cell>
        </row>
        <row r="30">
          <cell r="A30" t="str">
            <v>XFR0004023AV07A</v>
          </cell>
          <cell r="B30" t="str">
            <v>VAN DER HORST MRA</v>
          </cell>
          <cell r="C30" t="str">
            <v>Oui</v>
          </cell>
        </row>
        <row r="31">
          <cell r="A31" t="str">
            <v>XFR0004024AV07A</v>
          </cell>
          <cell r="B31" t="str">
            <v>PLAZANET - MRA</v>
          </cell>
          <cell r="C31" t="str">
            <v>Oui</v>
          </cell>
        </row>
        <row r="32">
          <cell r="A32" t="str">
            <v>XFR0004026AV07A</v>
          </cell>
          <cell r="B32" t="str">
            <v>SEDEXAA</v>
          </cell>
          <cell r="C32" t="str">
            <v>Oui</v>
          </cell>
        </row>
        <row r="33">
          <cell r="A33" t="str">
            <v>XFR0004027AV07A</v>
          </cell>
          <cell r="B33" t="str">
            <v>SIAGE</v>
          </cell>
          <cell r="C33" t="str">
            <v>Oui</v>
          </cell>
        </row>
        <row r="34">
          <cell r="A34" t="str">
            <v>XFR0004030AV07A</v>
          </cell>
          <cell r="B34" t="str">
            <v>TANGO LIMA - MRA</v>
          </cell>
          <cell r="C34" t="str">
            <v>Oui</v>
          </cell>
        </row>
        <row r="35">
          <cell r="A35" t="str">
            <v>XFR0004040AV07A</v>
          </cell>
          <cell r="B35" t="str">
            <v>SOFEMA - MRA</v>
          </cell>
          <cell r="C35" t="str">
            <v>Oui</v>
          </cell>
        </row>
        <row r="36">
          <cell r="A36" t="str">
            <v>XFR0004079AV07A</v>
          </cell>
          <cell r="B36" t="str">
            <v>CINAIR MRA</v>
          </cell>
          <cell r="C36" t="str">
            <v>Oui</v>
          </cell>
        </row>
        <row r="37">
          <cell r="A37" t="str">
            <v>XFR0004083AV07A</v>
          </cell>
          <cell r="B37" t="str">
            <v>SOCIETE BOETOS</v>
          </cell>
          <cell r="C37" t="str">
            <v>Oui</v>
          </cell>
        </row>
        <row r="38">
          <cell r="A38" t="str">
            <v>XFR0004085AV07A</v>
          </cell>
          <cell r="B38" t="str">
            <v>SERLUX - MRA</v>
          </cell>
          <cell r="C38" t="str">
            <v>Oui</v>
          </cell>
        </row>
        <row r="39">
          <cell r="A39" t="str">
            <v>XFR0004091AV07A</v>
          </cell>
          <cell r="B39" t="str">
            <v>SCHWAB - MRA</v>
          </cell>
          <cell r="C39" t="str">
            <v>Oui</v>
          </cell>
        </row>
        <row r="40">
          <cell r="A40" t="str">
            <v>XFR0004146AV07A</v>
          </cell>
          <cell r="B40" t="str">
            <v>CATAN'AIR- MRA</v>
          </cell>
          <cell r="C40" t="str">
            <v>Oui</v>
          </cell>
        </row>
        <row r="41">
          <cell r="A41" t="str">
            <v>XFR0004155AV07A</v>
          </cell>
          <cell r="B41" t="str">
            <v>R DISSON - MRA</v>
          </cell>
          <cell r="C41" t="str">
            <v>Oui</v>
          </cell>
        </row>
        <row r="42">
          <cell r="A42" t="str">
            <v>XFR0004165AV07A</v>
          </cell>
          <cell r="B42" t="str">
            <v>AC CLAUDE CHAUTEMPS-MRA</v>
          </cell>
          <cell r="C42" t="str">
            <v>Oui</v>
          </cell>
        </row>
        <row r="43">
          <cell r="A43" t="str">
            <v>XFR0004207AV07A</v>
          </cell>
          <cell r="B43" t="str">
            <v>AC HISPANO SUIZA-MRA</v>
          </cell>
          <cell r="C43" t="str">
            <v>Oui</v>
          </cell>
        </row>
        <row r="44">
          <cell r="A44" t="str">
            <v>XFR0004215AV07A</v>
          </cell>
          <cell r="B44" t="str">
            <v>AC AIR FRANCE TLSE - MRA</v>
          </cell>
          <cell r="C44" t="str">
            <v>Oui</v>
          </cell>
        </row>
        <row r="45">
          <cell r="A45" t="str">
            <v>XFR0004221AV07A</v>
          </cell>
          <cell r="B45" t="str">
            <v>AC AIR FRANCE TLSE - RC PRES</v>
          </cell>
          <cell r="C45" t="str">
            <v>Oui</v>
          </cell>
        </row>
        <row r="46">
          <cell r="A46" t="str">
            <v>XFR0004232AV07A</v>
          </cell>
          <cell r="B46" t="str">
            <v>AC  FRONTIERE LORRAINE-MRA</v>
          </cell>
          <cell r="C46" t="str">
            <v>Oui</v>
          </cell>
        </row>
        <row r="47">
          <cell r="A47" t="str">
            <v>XFR0004239AV07A</v>
          </cell>
          <cell r="B47" t="str">
            <v>AERO-CLUB CLEMENT ADER-MRA</v>
          </cell>
          <cell r="C47" t="str">
            <v>Oui</v>
          </cell>
        </row>
        <row r="48">
          <cell r="A48" t="str">
            <v>XFR0004241AV07A</v>
          </cell>
          <cell r="B48" t="str">
            <v>AERO CLUB DU SOLEIL 83-MRA</v>
          </cell>
          <cell r="C48" t="str">
            <v>Oui</v>
          </cell>
        </row>
        <row r="49">
          <cell r="A49" t="str">
            <v>XFR0004246AV07A</v>
          </cell>
          <cell r="B49" t="str">
            <v>LORGERON DENIS-MRA</v>
          </cell>
          <cell r="C49" t="str">
            <v>Oui</v>
          </cell>
        </row>
        <row r="50">
          <cell r="A50" t="str">
            <v>XFR0004261AV07A</v>
          </cell>
          <cell r="B50" t="str">
            <v>AERO CLUB D'ESBLY-MRA</v>
          </cell>
          <cell r="C50" t="str">
            <v>Oui</v>
          </cell>
        </row>
        <row r="51">
          <cell r="A51" t="str">
            <v>XFR0004266AV07A</v>
          </cell>
          <cell r="B51" t="str">
            <v>AC UNIVERSITAIRE-MRA</v>
          </cell>
          <cell r="C51" t="str">
            <v>Oui</v>
          </cell>
        </row>
        <row r="52">
          <cell r="A52" t="str">
            <v>XFR0004290AV07A</v>
          </cell>
          <cell r="B52" t="str">
            <v>AC CLEMENT ADER-RC PRES</v>
          </cell>
          <cell r="C52" t="str">
            <v>Oui</v>
          </cell>
        </row>
        <row r="53">
          <cell r="A53" t="str">
            <v>XFR0004294AV07A</v>
          </cell>
          <cell r="B53" t="str">
            <v>HELI CLUB COPT AIR - MRA</v>
          </cell>
          <cell r="C53" t="str">
            <v>Oui</v>
          </cell>
        </row>
        <row r="54">
          <cell r="A54" t="str">
            <v>XFR0004338AV07A</v>
          </cell>
          <cell r="B54" t="str">
            <v>AC DE MONTPELLIER.H-RC PRES</v>
          </cell>
          <cell r="C54" t="str">
            <v>Oui</v>
          </cell>
        </row>
        <row r="55">
          <cell r="A55" t="str">
            <v>XFR0004339AV07A</v>
          </cell>
          <cell r="B55" t="str">
            <v>AC DE BOURG EN BRESSE-MRA</v>
          </cell>
          <cell r="C55" t="str">
            <v>Oui</v>
          </cell>
        </row>
        <row r="56">
          <cell r="A56" t="str">
            <v>XFR0004340AV07A</v>
          </cell>
          <cell r="B56" t="str">
            <v>AC BOURG EN BRESSE-RC PRES</v>
          </cell>
          <cell r="C56" t="str">
            <v>Oui</v>
          </cell>
        </row>
        <row r="57">
          <cell r="A57" t="str">
            <v>XFR0004341AV07A</v>
          </cell>
          <cell r="B57" t="str">
            <v>HOLDING BOIS EXOTIQUES - MRA</v>
          </cell>
          <cell r="C57" t="str">
            <v>Oui</v>
          </cell>
        </row>
        <row r="58">
          <cell r="A58" t="str">
            <v>XFR0004349AV07A</v>
          </cell>
          <cell r="B58" t="str">
            <v>PROVINCE SUD - MRA</v>
          </cell>
          <cell r="C58" t="str">
            <v>Oui</v>
          </cell>
        </row>
        <row r="59">
          <cell r="A59" t="str">
            <v>XFR0004358AV07A</v>
          </cell>
          <cell r="B59" t="str">
            <v>ANEGADA MRA</v>
          </cell>
          <cell r="C59" t="str">
            <v>Oui</v>
          </cell>
        </row>
        <row r="60">
          <cell r="A60" t="str">
            <v>XFR0004371AV07A</v>
          </cell>
          <cell r="B60" t="str">
            <v>AEROCLUB CE AQUITAINE-MRA</v>
          </cell>
          <cell r="C60" t="str">
            <v>Oui</v>
          </cell>
        </row>
        <row r="61">
          <cell r="A61" t="str">
            <v>XFR0004378AV07A</v>
          </cell>
          <cell r="B61" t="str">
            <v>AC ENAC</v>
          </cell>
          <cell r="C61" t="str">
            <v>Oui</v>
          </cell>
        </row>
        <row r="62">
          <cell r="A62" t="str">
            <v>XFR0004380AV07A</v>
          </cell>
          <cell r="B62" t="str">
            <v>AC ENAC - MRA</v>
          </cell>
          <cell r="C62" t="str">
            <v>Oui</v>
          </cell>
        </row>
        <row r="63">
          <cell r="A63" t="str">
            <v>XFR0004384AV07A</v>
          </cell>
          <cell r="B63" t="str">
            <v>MEILLOUR - MRA</v>
          </cell>
          <cell r="C63" t="str">
            <v>Oui</v>
          </cell>
        </row>
        <row r="64">
          <cell r="A64" t="str">
            <v>XFR0004387AV07A</v>
          </cell>
          <cell r="B64" t="str">
            <v>AC AUBENAS - MRA</v>
          </cell>
          <cell r="C64" t="str">
            <v>Oui</v>
          </cell>
        </row>
        <row r="65">
          <cell r="A65" t="str">
            <v>XFR0004388AV07A</v>
          </cell>
          <cell r="B65" t="str">
            <v>AC PARIS EST - MRA</v>
          </cell>
          <cell r="C65" t="str">
            <v>Oui</v>
          </cell>
        </row>
        <row r="66">
          <cell r="A66" t="str">
            <v>XFR0004390AV07A</v>
          </cell>
          <cell r="B66" t="str">
            <v>PACIFIC PERLES - RC AEROD</v>
          </cell>
          <cell r="C66" t="str">
            <v>Oui</v>
          </cell>
        </row>
        <row r="67">
          <cell r="A67" t="str">
            <v>XFR0004396AV07A</v>
          </cell>
          <cell r="B67" t="str">
            <v>AC FRANCOIS HUSSENOT -MRA</v>
          </cell>
          <cell r="C67" t="str">
            <v>Oui</v>
          </cell>
        </row>
        <row r="68">
          <cell r="A68" t="str">
            <v>XFR0004399AV07A</v>
          </cell>
          <cell r="B68" t="str">
            <v>MERCIER DAVID-MRA</v>
          </cell>
          <cell r="C68" t="str">
            <v>Oui</v>
          </cell>
        </row>
        <row r="69">
          <cell r="A69" t="str">
            <v>XFR0004400AV07A</v>
          </cell>
          <cell r="B69" t="str">
            <v>AERO-CLUB NANTES AEROSP-MRA</v>
          </cell>
          <cell r="C69" t="str">
            <v>Oui</v>
          </cell>
        </row>
        <row r="70">
          <cell r="A70" t="str">
            <v>XFR0004404AV07A</v>
          </cell>
          <cell r="B70" t="str">
            <v>AC DE VALENCE-MRA</v>
          </cell>
          <cell r="C70" t="str">
            <v>Oui</v>
          </cell>
        </row>
        <row r="71">
          <cell r="A71" t="str">
            <v>XFR0004405AV07A</v>
          </cell>
          <cell r="B71" t="str">
            <v>ANPI</v>
          </cell>
          <cell r="C71" t="str">
            <v>Oui</v>
          </cell>
        </row>
        <row r="72">
          <cell r="A72" t="str">
            <v>XFR0004426AV07A</v>
          </cell>
          <cell r="B72" t="str">
            <v>HELICOJYP-MRA</v>
          </cell>
          <cell r="C72" t="str">
            <v>Oui</v>
          </cell>
        </row>
        <row r="73">
          <cell r="A73" t="str">
            <v>XFR0004485AV07A</v>
          </cell>
          <cell r="B73" t="str">
            <v>AC PARIS EST - RC PRES</v>
          </cell>
          <cell r="C73" t="str">
            <v>Oui</v>
          </cell>
        </row>
        <row r="74">
          <cell r="A74" t="str">
            <v>XFR0004491AV07A</v>
          </cell>
          <cell r="B74" t="str">
            <v>OJB PARACHUTISME-MRA</v>
          </cell>
          <cell r="C74" t="str">
            <v>Oui</v>
          </cell>
        </row>
        <row r="75">
          <cell r="A75" t="str">
            <v>XFR0004497AV07A</v>
          </cell>
          <cell r="B75" t="str">
            <v>AC PORTES DE PROVENCE - MRA</v>
          </cell>
          <cell r="C75" t="str">
            <v>Oui</v>
          </cell>
        </row>
        <row r="76">
          <cell r="A76" t="str">
            <v>XFR0004504AV07A</v>
          </cell>
          <cell r="B76" t="str">
            <v>STE CIVILE F4U CORSAIR</v>
          </cell>
          <cell r="C76" t="str">
            <v>Oui</v>
          </cell>
        </row>
        <row r="77">
          <cell r="A77" t="str">
            <v>XFR0004525AV07A</v>
          </cell>
          <cell r="B77" t="str">
            <v>FARNER AIR SERVICES S.A.- MRA</v>
          </cell>
          <cell r="C77" t="str">
            <v>Oui</v>
          </cell>
        </row>
        <row r="78">
          <cell r="A78" t="str">
            <v>XFR0004529AV07A</v>
          </cell>
          <cell r="B78" t="str">
            <v>CREPET BRUNO-MRA</v>
          </cell>
          <cell r="C78" t="str">
            <v>Oui</v>
          </cell>
        </row>
        <row r="79">
          <cell r="A79" t="str">
            <v>XFR0004531AV07A</v>
          </cell>
          <cell r="B79" t="str">
            <v>AC PORTES DE PROVENCE - RC PRE</v>
          </cell>
          <cell r="C79" t="str">
            <v>Oui</v>
          </cell>
        </row>
        <row r="80">
          <cell r="A80" t="str">
            <v>XFR0004546AV07A</v>
          </cell>
          <cell r="B80" t="str">
            <v>AC LOUIS BONTE-RC PRESIDENT</v>
          </cell>
          <cell r="C80" t="str">
            <v>Oui</v>
          </cell>
        </row>
        <row r="81">
          <cell r="A81" t="str">
            <v>XFR0004561AV07A</v>
          </cell>
          <cell r="B81" t="str">
            <v>AC LOUIS BONTE-MRA</v>
          </cell>
          <cell r="C81" t="str">
            <v>Oui</v>
          </cell>
        </row>
        <row r="82">
          <cell r="A82" t="str">
            <v>XFR0004562AV07A</v>
          </cell>
          <cell r="B82" t="str">
            <v>MONT BLANC HELICOPTERES - RC M</v>
          </cell>
          <cell r="C82" t="str">
            <v>Oui</v>
          </cell>
        </row>
        <row r="83">
          <cell r="A83" t="str">
            <v>XFR0004573AV07A</v>
          </cell>
          <cell r="B83" t="str">
            <v>AMBB-MRA</v>
          </cell>
          <cell r="C83" t="str">
            <v>Oui</v>
          </cell>
        </row>
        <row r="84">
          <cell r="A84" t="str">
            <v>XFR0004575AV07A</v>
          </cell>
          <cell r="B84" t="str">
            <v>MEMOIRE DU CIEL - MRA</v>
          </cell>
          <cell r="C84" t="str">
            <v>Oui</v>
          </cell>
        </row>
        <row r="85">
          <cell r="A85" t="str">
            <v>XFR0004578AV07A</v>
          </cell>
          <cell r="B85" t="str">
            <v>LABO ASL - MRA</v>
          </cell>
          <cell r="C85" t="str">
            <v>Oui</v>
          </cell>
        </row>
        <row r="86">
          <cell r="A86" t="str">
            <v>XFR0004588AV07A</v>
          </cell>
          <cell r="B86" t="str">
            <v>ETAT GABONAIS 07 IND EQUIP N°1</v>
          </cell>
          <cell r="C86" t="str">
            <v>Oui</v>
          </cell>
        </row>
        <row r="87">
          <cell r="A87" t="str">
            <v>XFR0004591AV07A</v>
          </cell>
          <cell r="B87" t="str">
            <v>STE MINIERE MONTAGNAT - MRA</v>
          </cell>
          <cell r="C87" t="str">
            <v>Oui</v>
          </cell>
        </row>
        <row r="88">
          <cell r="A88" t="str">
            <v>XFR0004600AV07A</v>
          </cell>
          <cell r="B88" t="str">
            <v>heli tourisme rc manifs ann</v>
          </cell>
          <cell r="C88" t="str">
            <v>Oui</v>
          </cell>
        </row>
        <row r="89">
          <cell r="A89" t="str">
            <v>XFR0004606AV07A</v>
          </cell>
          <cell r="B89" t="str">
            <v>LOC STAR-MRA</v>
          </cell>
          <cell r="C89" t="str">
            <v>Oui</v>
          </cell>
        </row>
        <row r="90">
          <cell r="A90" t="str">
            <v>XFR0004625AV07A</v>
          </cell>
          <cell r="B90" t="str">
            <v>MINISTERE DEFENSE NIGER C130</v>
          </cell>
          <cell r="C90" t="str">
            <v>Oui</v>
          </cell>
        </row>
        <row r="91">
          <cell r="A91" t="str">
            <v>XFR0004627AV07A</v>
          </cell>
          <cell r="B91" t="str">
            <v>DEUTSCHE BANK - MRA</v>
          </cell>
          <cell r="C91" t="str">
            <v>Oui</v>
          </cell>
        </row>
        <row r="92">
          <cell r="A92" t="str">
            <v>XFR0004629AV07A</v>
          </cell>
          <cell r="B92" t="str">
            <v>HELI SUD - MRA</v>
          </cell>
          <cell r="C92" t="str">
            <v>Oui</v>
          </cell>
        </row>
        <row r="93">
          <cell r="A93" t="str">
            <v>XFR0004636AV07A</v>
          </cell>
          <cell r="B93" t="str">
            <v>STE HELIDAN-MRA</v>
          </cell>
          <cell r="C93" t="str">
            <v>Oui</v>
          </cell>
        </row>
        <row r="94">
          <cell r="A94" t="str">
            <v>XFR0004647AV07A</v>
          </cell>
          <cell r="B94" t="str">
            <v>AERO TAXI SERVICE   MRA</v>
          </cell>
          <cell r="C94" t="str">
            <v>Oui</v>
          </cell>
        </row>
        <row r="95">
          <cell r="A95" t="str">
            <v>XFR0004649AV07A</v>
          </cell>
          <cell r="B95" t="str">
            <v>ZEYEN ROLAND-MRA</v>
          </cell>
          <cell r="C95" t="str">
            <v>Oui</v>
          </cell>
        </row>
        <row r="96">
          <cell r="A96" t="str">
            <v>XFR0004660AV07A</v>
          </cell>
          <cell r="B96" t="str">
            <v>AC DE LAPALISSE-MRA</v>
          </cell>
          <cell r="C96" t="str">
            <v>Oui</v>
          </cell>
        </row>
        <row r="97">
          <cell r="A97" t="str">
            <v>XFR0004662AV07A</v>
          </cell>
          <cell r="B97" t="str">
            <v>BOUYGUES MRA 2007</v>
          </cell>
          <cell r="C97" t="str">
            <v>Oui</v>
          </cell>
        </row>
        <row r="98">
          <cell r="A98" t="str">
            <v>XFR0004666AV07A</v>
          </cell>
          <cell r="B98" t="str">
            <v>AC VALLEE DU MORIN-MRA</v>
          </cell>
          <cell r="C98" t="str">
            <v>Oui</v>
          </cell>
        </row>
        <row r="99">
          <cell r="A99" t="str">
            <v>XFR0004668AV07A</v>
          </cell>
          <cell r="B99" t="str">
            <v>MAURICE GOUET/AIR LOISIR-MRA</v>
          </cell>
          <cell r="C99" t="str">
            <v>Oui</v>
          </cell>
        </row>
        <row r="100">
          <cell r="A100" t="str">
            <v>XFR0004681AV07A</v>
          </cell>
          <cell r="B100" t="str">
            <v>JET INVEST-MRA</v>
          </cell>
          <cell r="C100" t="str">
            <v>Oui</v>
          </cell>
        </row>
        <row r="101">
          <cell r="A101" t="str">
            <v>XFR0004682AV07A</v>
          </cell>
          <cell r="B101" t="str">
            <v>ALLAIN LONG</v>
          </cell>
          <cell r="C101" t="str">
            <v>Oui</v>
          </cell>
        </row>
        <row r="102">
          <cell r="A102" t="str">
            <v>XFR0004707AV07A</v>
          </cell>
          <cell r="B102" t="str">
            <v>U.B.G LOCATION - MRA</v>
          </cell>
          <cell r="C102" t="str">
            <v>Oui</v>
          </cell>
        </row>
        <row r="103">
          <cell r="A103" t="str">
            <v>XFR0004717AV07A</v>
          </cell>
          <cell r="B103" t="str">
            <v>KARLIX - MRA</v>
          </cell>
          <cell r="C103" t="str">
            <v>Oui</v>
          </cell>
        </row>
        <row r="104">
          <cell r="A104" t="str">
            <v>XFR0004740AV07A</v>
          </cell>
          <cell r="B104" t="str">
            <v>DUPUY JEAN-CLAUDE - MRA</v>
          </cell>
          <cell r="C104" t="str">
            <v>Oui</v>
          </cell>
        </row>
        <row r="105">
          <cell r="A105" t="str">
            <v>XFR0004753AV07A</v>
          </cell>
          <cell r="B105" t="str">
            <v>SARL PAPA VICTOR MRA</v>
          </cell>
          <cell r="C105" t="str">
            <v>Oui</v>
          </cell>
        </row>
        <row r="106">
          <cell r="A106" t="str">
            <v>XFR0004756AV07A</v>
          </cell>
          <cell r="B106" t="str">
            <v>BTNB - MRA</v>
          </cell>
          <cell r="C106" t="str">
            <v>Oui</v>
          </cell>
        </row>
        <row r="107">
          <cell r="A107" t="str">
            <v>XFR0004757AV07A</v>
          </cell>
          <cell r="B107" t="str">
            <v>ADM-RC AEROD</v>
          </cell>
          <cell r="C107" t="str">
            <v>Oui</v>
          </cell>
        </row>
        <row r="108">
          <cell r="A108" t="str">
            <v>XFR0004763AV07A</v>
          </cell>
          <cell r="B108" t="str">
            <v>ASSOCIATION TOURISME.L-MRA</v>
          </cell>
          <cell r="C108" t="str">
            <v>Oui</v>
          </cell>
        </row>
        <row r="109">
          <cell r="A109" t="str">
            <v>XFR0004768AV07A</v>
          </cell>
          <cell r="B109" t="str">
            <v>De ROTHSCHILD MRA</v>
          </cell>
          <cell r="C109" t="str">
            <v>Oui</v>
          </cell>
        </row>
        <row r="110">
          <cell r="A110" t="str">
            <v>XFR0004769AV07A</v>
          </cell>
          <cell r="B110" t="str">
            <v>NOSTALGAIR  MRA</v>
          </cell>
          <cell r="C110" t="str">
            <v>Oui</v>
          </cell>
        </row>
        <row r="111">
          <cell r="A111" t="str">
            <v>XFR0004770AV07A</v>
          </cell>
          <cell r="B111" t="str">
            <v>BICIA-INDIVIDUELLE 24/24</v>
          </cell>
          <cell r="C111" t="str">
            <v>Oui</v>
          </cell>
        </row>
        <row r="112">
          <cell r="A112" t="str">
            <v>XFR0004781AV07A</v>
          </cell>
          <cell r="B112" t="str">
            <v>AC DE MONTPELLIER MRA</v>
          </cell>
          <cell r="C112" t="str">
            <v>Oui</v>
          </cell>
        </row>
        <row r="113">
          <cell r="A113" t="str">
            <v>XFR0004782AV07A</v>
          </cell>
          <cell r="B113" t="str">
            <v>MIDI PYRENEEE VOLTIGE  MRA</v>
          </cell>
          <cell r="C113" t="str">
            <v>Oui</v>
          </cell>
        </row>
        <row r="114">
          <cell r="A114" t="str">
            <v>XFR0004813AV07A</v>
          </cell>
          <cell r="B114" t="str">
            <v>AC DU MACONNAIS-MRA</v>
          </cell>
          <cell r="C114" t="str">
            <v>Oui</v>
          </cell>
        </row>
        <row r="115">
          <cell r="A115" t="str">
            <v>XFR0004818AV07A</v>
          </cell>
          <cell r="B115" t="str">
            <v>AC MORESTEL</v>
          </cell>
          <cell r="C115" t="str">
            <v>Oui</v>
          </cell>
        </row>
        <row r="116">
          <cell r="A116" t="str">
            <v>XFR0004825AV07A</v>
          </cell>
          <cell r="B116" t="str">
            <v>HELI SUD - MRA</v>
          </cell>
          <cell r="C116" t="str">
            <v>Oui</v>
          </cell>
        </row>
        <row r="117">
          <cell r="A117" t="str">
            <v>XFR0004838AV07A</v>
          </cell>
          <cell r="B117" t="str">
            <v>heli training academy mra</v>
          </cell>
          <cell r="C117" t="str">
            <v>Oui</v>
          </cell>
        </row>
        <row r="118">
          <cell r="A118" t="str">
            <v>XFR0004849AV07A</v>
          </cell>
          <cell r="B118" t="str">
            <v>TURISVOL - MRA</v>
          </cell>
          <cell r="C118" t="str">
            <v>Oui</v>
          </cell>
        </row>
        <row r="119">
          <cell r="A119" t="str">
            <v>XFR0004863AV07A</v>
          </cell>
          <cell r="B119" t="str">
            <v>EURL CONSEIL LOGISTIQUE.P-MRA</v>
          </cell>
          <cell r="C119" t="str">
            <v>Oui</v>
          </cell>
        </row>
        <row r="120">
          <cell r="A120" t="str">
            <v>XFR0004867AV07A</v>
          </cell>
          <cell r="B120" t="str">
            <v>ASCAB - MRA</v>
          </cell>
          <cell r="C120" t="str">
            <v>Oui</v>
          </cell>
        </row>
        <row r="121">
          <cell r="A121" t="str">
            <v>XFR0004869AV07A</v>
          </cell>
          <cell r="B121" t="str">
            <v>HELISTAR-RC MANIF</v>
          </cell>
          <cell r="C121" t="str">
            <v>Oui</v>
          </cell>
        </row>
        <row r="122">
          <cell r="A122" t="str">
            <v>XFR0004875AV07A</v>
          </cell>
          <cell r="B122" t="str">
            <v>CAT AIR-MRA</v>
          </cell>
          <cell r="C122" t="str">
            <v>Oui</v>
          </cell>
        </row>
        <row r="123">
          <cell r="A123" t="str">
            <v>XFR0004876AV07A</v>
          </cell>
          <cell r="B123" t="str">
            <v>ASCAB - RC PRES</v>
          </cell>
          <cell r="C123" t="str">
            <v>Oui</v>
          </cell>
        </row>
        <row r="124">
          <cell r="A124" t="str">
            <v>XFR0004898AV07A</v>
          </cell>
          <cell r="B124" t="str">
            <v>CROIZAIR-MRA</v>
          </cell>
          <cell r="C124" t="str">
            <v>Oui</v>
          </cell>
        </row>
        <row r="125">
          <cell r="A125" t="str">
            <v>XFR0004910AV07A</v>
          </cell>
          <cell r="B125" t="str">
            <v>CONSEIL GAL C.M-MRA</v>
          </cell>
          <cell r="C125" t="str">
            <v>Oui</v>
          </cell>
        </row>
        <row r="126">
          <cell r="A126" t="str">
            <v>XFR0004918AV07A</v>
          </cell>
          <cell r="B126" t="str">
            <v>DURAN JACQUES - MRA</v>
          </cell>
          <cell r="C126" t="str">
            <v>Oui</v>
          </cell>
        </row>
        <row r="127">
          <cell r="A127" t="str">
            <v>XFR0004920AV07A</v>
          </cell>
          <cell r="B127" t="str">
            <v>CGCM-RC MANIF</v>
          </cell>
          <cell r="C127" t="str">
            <v>Oui</v>
          </cell>
        </row>
        <row r="128">
          <cell r="A128" t="str">
            <v>XFR0004930AV07A</v>
          </cell>
          <cell r="B128" t="str">
            <v>AMERIDAIR - MRA</v>
          </cell>
          <cell r="C128" t="str">
            <v>Oui</v>
          </cell>
        </row>
        <row r="129">
          <cell r="A129" t="str">
            <v>XFR0004935AV07A</v>
          </cell>
          <cell r="B129" t="str">
            <v>Mme MARRY - Ind</v>
          </cell>
          <cell r="C129" t="str">
            <v>Oui</v>
          </cell>
        </row>
        <row r="130">
          <cell r="A130" t="str">
            <v>XFR0004937AV07A</v>
          </cell>
          <cell r="B130" t="str">
            <v>SARL REC - RCA</v>
          </cell>
          <cell r="C130" t="str">
            <v>Oui</v>
          </cell>
        </row>
        <row r="131">
          <cell r="A131" t="str">
            <v>XFR0004960AV07A</v>
          </cell>
          <cell r="B131" t="str">
            <v>HELICOPTERES DE L'ARN- MRA</v>
          </cell>
          <cell r="C131" t="str">
            <v>Oui</v>
          </cell>
        </row>
        <row r="132">
          <cell r="A132" t="str">
            <v>XFR0004983AV07A</v>
          </cell>
          <cell r="B132" t="str">
            <v>SOCAS-MRA</v>
          </cell>
          <cell r="C132" t="str">
            <v>Oui</v>
          </cell>
        </row>
        <row r="133">
          <cell r="A133" t="str">
            <v>XFR0004985AV07A</v>
          </cell>
          <cell r="B133" t="str">
            <v>AC DE FALAISE - MRA</v>
          </cell>
          <cell r="C133" t="str">
            <v>Oui</v>
          </cell>
        </row>
        <row r="134">
          <cell r="A134" t="str">
            <v>XFR0005013AV07A</v>
          </cell>
          <cell r="B134" t="str">
            <v>ONERA-MRA</v>
          </cell>
          <cell r="C134" t="str">
            <v>Oui</v>
          </cell>
        </row>
        <row r="135">
          <cell r="A135" t="str">
            <v>XFR0005023AV07A</v>
          </cell>
          <cell r="B135" t="str">
            <v>FAASA AVIACION - MRA</v>
          </cell>
          <cell r="C135" t="str">
            <v>Oui</v>
          </cell>
        </row>
        <row r="136">
          <cell r="A136" t="str">
            <v>XFR0005039AV07A</v>
          </cell>
          <cell r="B136" t="str">
            <v>ac du medoc  mra</v>
          </cell>
          <cell r="C136" t="str">
            <v>Oui</v>
          </cell>
        </row>
        <row r="137">
          <cell r="A137" t="str">
            <v>XFR0005044AV07A</v>
          </cell>
          <cell r="B137" t="str">
            <v>AC EURE ET LOIR - MRA</v>
          </cell>
          <cell r="C137" t="str">
            <v>Oui</v>
          </cell>
        </row>
        <row r="138">
          <cell r="A138" t="str">
            <v>XFR0005046AV07A</v>
          </cell>
          <cell r="B138" t="str">
            <v>ARAA-MRA</v>
          </cell>
          <cell r="C138" t="str">
            <v>Oui</v>
          </cell>
        </row>
        <row r="139">
          <cell r="A139" t="str">
            <v>XFR0005052AV07A</v>
          </cell>
          <cell r="B139" t="str">
            <v>AC EURE ET LOIR - RC PRESIDENT</v>
          </cell>
          <cell r="C139" t="str">
            <v>Oui</v>
          </cell>
        </row>
        <row r="140">
          <cell r="A140" t="str">
            <v>XFR0005065AV07A</v>
          </cell>
          <cell r="B140" t="str">
            <v>AC DE MONTELIMAR - BCA</v>
          </cell>
          <cell r="C140" t="str">
            <v>Oui</v>
          </cell>
        </row>
        <row r="141">
          <cell r="A141" t="str">
            <v>XFR0005066AV07A</v>
          </cell>
          <cell r="B141" t="str">
            <v>TUR PATRICK-MRA</v>
          </cell>
          <cell r="C141" t="str">
            <v>Oui</v>
          </cell>
        </row>
        <row r="142">
          <cell r="A142" t="str">
            <v>XFR0005067AV07A</v>
          </cell>
          <cell r="B142" t="str">
            <v>STE AERO LOC - MRA</v>
          </cell>
          <cell r="C142" t="str">
            <v>Oui</v>
          </cell>
        </row>
        <row r="143">
          <cell r="A143" t="str">
            <v>XFR0005072AV07A</v>
          </cell>
          <cell r="B143" t="str">
            <v>ATP - MRA</v>
          </cell>
          <cell r="C143" t="str">
            <v>Oui</v>
          </cell>
        </row>
        <row r="144">
          <cell r="A144" t="str">
            <v>XFR0005080AV07A</v>
          </cell>
          <cell r="B144" t="str">
            <v>TANGO BRAVO - MRA</v>
          </cell>
          <cell r="C144" t="str">
            <v>Oui</v>
          </cell>
        </row>
        <row r="145">
          <cell r="A145" t="str">
            <v>XFR0005084AV07A</v>
          </cell>
          <cell r="B145" t="str">
            <v>HELIPASS  MRA</v>
          </cell>
          <cell r="C145" t="str">
            <v>Oui</v>
          </cell>
        </row>
        <row r="146">
          <cell r="A146" t="str">
            <v>XFR0005092AV07A</v>
          </cell>
          <cell r="B146" t="str">
            <v>MALET JET TEAM-MRA</v>
          </cell>
          <cell r="C146" t="str">
            <v>Oui</v>
          </cell>
        </row>
        <row r="147">
          <cell r="A147" t="str">
            <v>XFR0005093AV07A</v>
          </cell>
          <cell r="B147" t="str">
            <v>GOLFO  CORPS RO RG 2007</v>
          </cell>
          <cell r="C147" t="str">
            <v>Oui</v>
          </cell>
        </row>
        <row r="148">
          <cell r="A148" t="str">
            <v>XFR0005095AV07A</v>
          </cell>
          <cell r="B148" t="str">
            <v>SOCIETE FCL - MRA</v>
          </cell>
          <cell r="C148" t="str">
            <v>Oui</v>
          </cell>
        </row>
        <row r="149">
          <cell r="A149" t="str">
            <v>XFR0005098AV07A</v>
          </cell>
          <cell r="B149" t="str">
            <v>COMPAGNIE MINIERE OGOOUE-RC AE</v>
          </cell>
          <cell r="C149" t="str">
            <v>Oui</v>
          </cell>
        </row>
        <row r="150">
          <cell r="A150" t="str">
            <v>XFR0005104AV07A</v>
          </cell>
          <cell r="B150" t="str">
            <v>SARL HORIZON - MRA</v>
          </cell>
          <cell r="C150" t="str">
            <v>Oui</v>
          </cell>
        </row>
        <row r="151">
          <cell r="A151" t="str">
            <v>XFR0005105AV07A</v>
          </cell>
          <cell r="B151" t="str">
            <v>GOLFO RC 2007</v>
          </cell>
          <cell r="C151" t="str">
            <v>Oui</v>
          </cell>
        </row>
        <row r="152">
          <cell r="A152" t="str">
            <v>XFR0005107AV07A</v>
          </cell>
          <cell r="B152" t="str">
            <v>GOLFO RACHAT DE FRANCHISE 2007</v>
          </cell>
          <cell r="C152" t="str">
            <v>Oui</v>
          </cell>
        </row>
        <row r="153">
          <cell r="A153" t="str">
            <v>XFR0005112AV07A</v>
          </cell>
          <cell r="B153" t="str">
            <v>PACIFIC PERLES - MRA</v>
          </cell>
          <cell r="C153" t="str">
            <v>Oui</v>
          </cell>
        </row>
        <row r="154">
          <cell r="A154" t="str">
            <v>XFR0005114AV07A</v>
          </cell>
          <cell r="B154" t="str">
            <v>S.C.A.P AEROSPORT-MRA</v>
          </cell>
          <cell r="C154" t="str">
            <v>Oui</v>
          </cell>
        </row>
        <row r="155">
          <cell r="A155" t="str">
            <v>XFR0005121AV07A</v>
          </cell>
          <cell r="B155" t="str">
            <v>STE HELI SUD RC MANF ANNUELLE</v>
          </cell>
          <cell r="C155" t="str">
            <v>Oui</v>
          </cell>
        </row>
        <row r="156">
          <cell r="A156" t="str">
            <v>XFR0005130AV07A</v>
          </cell>
          <cell r="B156" t="str">
            <v>SUCHET  MRA</v>
          </cell>
          <cell r="C156" t="str">
            <v>Oui</v>
          </cell>
        </row>
        <row r="157">
          <cell r="A157" t="str">
            <v>XFR0005141AV07A</v>
          </cell>
          <cell r="B157" t="str">
            <v>CERCLE AERONAUTIQUE FOYEN  MRA</v>
          </cell>
          <cell r="C157" t="str">
            <v>Oui</v>
          </cell>
        </row>
        <row r="158">
          <cell r="A158" t="str">
            <v>XFR0005150AV07A</v>
          </cell>
          <cell r="B158" t="str">
            <v>CHANDELLE PHILIPPE - MRA</v>
          </cell>
          <cell r="C158" t="str">
            <v>Oui</v>
          </cell>
        </row>
        <row r="159">
          <cell r="A159" t="str">
            <v>XFR0005151AV07A</v>
          </cell>
          <cell r="B159" t="str">
            <v>AGORA CONSEIL - MRA</v>
          </cell>
          <cell r="C159" t="str">
            <v>Oui</v>
          </cell>
        </row>
        <row r="160">
          <cell r="A160" t="str">
            <v>XFR0005190AV07A</v>
          </cell>
          <cell r="B160" t="str">
            <v>CAUJOLLE -MRA</v>
          </cell>
          <cell r="C160" t="str">
            <v>Oui</v>
          </cell>
        </row>
        <row r="161">
          <cell r="A161" t="str">
            <v>XFR0005221AV07A</v>
          </cell>
          <cell r="B161" t="str">
            <v>STE HCD  MRA</v>
          </cell>
          <cell r="C161" t="str">
            <v>Oui</v>
          </cell>
        </row>
        <row r="162">
          <cell r="A162" t="str">
            <v>XFR0005232AV07A</v>
          </cell>
          <cell r="B162" t="str">
            <v>SUNRISE AVIATION - MRA</v>
          </cell>
          <cell r="C162" t="str">
            <v>Oui</v>
          </cell>
        </row>
        <row r="163">
          <cell r="A163" t="str">
            <v>XFR0005266AV07A</v>
          </cell>
          <cell r="B163" t="str">
            <v>AUTO GUADELOUPE DEVELOP.</v>
          </cell>
          <cell r="C163" t="str">
            <v>Oui</v>
          </cell>
        </row>
        <row r="164">
          <cell r="A164" t="str">
            <v>XFR0005268AV07A</v>
          </cell>
          <cell r="B164" t="str">
            <v>AUTO GUADELOUPE INVESTISSEMENT</v>
          </cell>
          <cell r="C164" t="str">
            <v>Oui</v>
          </cell>
        </row>
        <row r="165">
          <cell r="A165" t="str">
            <v>XFR0005269AV07A</v>
          </cell>
          <cell r="B165" t="str">
            <v>ASSOC AVIONS HISTORIQUES (MRA)</v>
          </cell>
          <cell r="C165" t="str">
            <v>Oui</v>
          </cell>
        </row>
        <row r="166">
          <cell r="A166" t="str">
            <v>XFR0005275AV07A</v>
          </cell>
          <cell r="B166" t="str">
            <v>AEROTOURISME - MRA</v>
          </cell>
          <cell r="C166" t="str">
            <v>Oui</v>
          </cell>
        </row>
        <row r="167">
          <cell r="A167" t="str">
            <v>XFR0005276AV07A</v>
          </cell>
          <cell r="B167" t="str">
            <v>TARADE - MRA</v>
          </cell>
          <cell r="C167" t="str">
            <v>Oui</v>
          </cell>
        </row>
        <row r="168">
          <cell r="A168" t="str">
            <v>XFR0005283AV07A</v>
          </cell>
          <cell r="B168" t="str">
            <v>SODINFO INDIV 24/24</v>
          </cell>
          <cell r="C168" t="str">
            <v>Oui</v>
          </cell>
        </row>
        <row r="169">
          <cell r="A169" t="str">
            <v>XFR0005288AV07A</v>
          </cell>
          <cell r="B169" t="str">
            <v>SOFUNAG ENVIRONNEMENT INDIV 24</v>
          </cell>
          <cell r="C169" t="str">
            <v>Oui</v>
          </cell>
        </row>
        <row r="170">
          <cell r="A170" t="str">
            <v>XFR0005292AV07A</v>
          </cell>
          <cell r="B170" t="str">
            <v>BDAF INDIVIDUELLE 24/24</v>
          </cell>
          <cell r="C170" t="str">
            <v>Oui</v>
          </cell>
        </row>
        <row r="171">
          <cell r="A171" t="str">
            <v>XFR0005300AV07A</v>
          </cell>
          <cell r="B171" t="str">
            <v>ROUSSEL MRA</v>
          </cell>
          <cell r="C171" t="str">
            <v>Oui</v>
          </cell>
        </row>
        <row r="172">
          <cell r="A172" t="str">
            <v>XFR0005303AV07A</v>
          </cell>
          <cell r="B172" t="str">
            <v>MAFATE HELICOPTERE  MRA</v>
          </cell>
          <cell r="C172" t="str">
            <v>Oui</v>
          </cell>
        </row>
        <row r="173">
          <cell r="A173" t="str">
            <v>XFR0005304AV07A</v>
          </cell>
          <cell r="B173" t="str">
            <v>MR ET MME LUCIEN LORET</v>
          </cell>
          <cell r="C173" t="str">
            <v>Oui</v>
          </cell>
        </row>
        <row r="174">
          <cell r="A174" t="str">
            <v>XFR0005305AV07A</v>
          </cell>
          <cell r="B174" t="str">
            <v>DUBUGET - MRA</v>
          </cell>
          <cell r="C174" t="str">
            <v>Oui</v>
          </cell>
        </row>
        <row r="175">
          <cell r="A175" t="str">
            <v>XFR0005307AV07A</v>
          </cell>
          <cell r="B175" t="str">
            <v>SARL AEROSPEED  MRA</v>
          </cell>
          <cell r="C175" t="str">
            <v>Oui</v>
          </cell>
        </row>
        <row r="176">
          <cell r="A176" t="str">
            <v>XFR0005309AV07A</v>
          </cell>
          <cell r="B176" t="str">
            <v>F.F.A- RC MANIF</v>
          </cell>
          <cell r="C176" t="str">
            <v>Oui</v>
          </cell>
        </row>
        <row r="177">
          <cell r="A177" t="str">
            <v>XFR0005313AV07A</v>
          </cell>
          <cell r="B177" t="str">
            <v>CAMINADE  MRA</v>
          </cell>
          <cell r="C177" t="str">
            <v>Oui</v>
          </cell>
        </row>
        <row r="178">
          <cell r="A178" t="str">
            <v>XFR0005323AV07A</v>
          </cell>
          <cell r="B178" t="str">
            <v>AC NIAMEY - MRA</v>
          </cell>
          <cell r="C178" t="str">
            <v>Oui</v>
          </cell>
        </row>
        <row r="179">
          <cell r="A179" t="str">
            <v>XFR0005324AV07A</v>
          </cell>
          <cell r="B179" t="str">
            <v>PAN EUROPEENNE AIR SERVICE</v>
          </cell>
          <cell r="C179" t="str">
            <v>Oui</v>
          </cell>
        </row>
        <row r="180">
          <cell r="A180" t="str">
            <v>XFR0005326AV07A</v>
          </cell>
          <cell r="B180" t="str">
            <v>SNC SAINTAIR MRA ex ALPHA AVIA</v>
          </cell>
          <cell r="C180" t="str">
            <v>Oui</v>
          </cell>
        </row>
        <row r="181">
          <cell r="A181" t="str">
            <v>XFR0005344AV07A</v>
          </cell>
          <cell r="B181" t="str">
            <v>AVI HELICOPTERES - MRA</v>
          </cell>
          <cell r="C181" t="str">
            <v>Oui</v>
          </cell>
        </row>
        <row r="182">
          <cell r="A182" t="str">
            <v>XFR0005347AV07A</v>
          </cell>
          <cell r="B182" t="str">
            <v>DIR PARCS NAT DU SENEGAL MRA</v>
          </cell>
          <cell r="C182" t="str">
            <v>Oui</v>
          </cell>
        </row>
        <row r="183">
          <cell r="A183" t="str">
            <v>XFR0005367AV07A</v>
          </cell>
          <cell r="B183" t="str">
            <v>AC MONTALBANAIS - MRA</v>
          </cell>
          <cell r="C183" t="str">
            <v>Oui</v>
          </cell>
        </row>
        <row r="184">
          <cell r="A184" t="str">
            <v>XFR0005368AV07A</v>
          </cell>
          <cell r="B184" t="str">
            <v>ACPS DE CASTELNAUDARY - MRA</v>
          </cell>
          <cell r="C184" t="str">
            <v>Oui</v>
          </cell>
        </row>
        <row r="185">
          <cell r="A185" t="str">
            <v>XFR0005371AV07A</v>
          </cell>
          <cell r="B185" t="str">
            <v>SAKREF MRA</v>
          </cell>
          <cell r="C185" t="str">
            <v>Oui</v>
          </cell>
        </row>
        <row r="186">
          <cell r="A186" t="str">
            <v>XFR0005372AV07A</v>
          </cell>
          <cell r="B186" t="str">
            <v>AVIALEC - MRA</v>
          </cell>
          <cell r="C186" t="str">
            <v>Oui</v>
          </cell>
        </row>
        <row r="187">
          <cell r="A187" t="str">
            <v>XFR0005374AV07A</v>
          </cell>
          <cell r="B187" t="str">
            <v>BORIES MRA</v>
          </cell>
          <cell r="C187" t="str">
            <v>Oui</v>
          </cell>
        </row>
        <row r="188">
          <cell r="A188" t="str">
            <v>XFR0005383AV07A</v>
          </cell>
          <cell r="B188" t="str">
            <v>PONTOISE AERO FORMATION - MRA</v>
          </cell>
          <cell r="C188" t="str">
            <v>Oui</v>
          </cell>
        </row>
        <row r="189">
          <cell r="A189" t="str">
            <v>XFR0005386AV07A</v>
          </cell>
          <cell r="B189" t="str">
            <v>CARBONNET MRA</v>
          </cell>
          <cell r="C189" t="str">
            <v>Oui</v>
          </cell>
        </row>
        <row r="190">
          <cell r="A190" t="str">
            <v>XFR0005390AV07A</v>
          </cell>
          <cell r="B190" t="str">
            <v>HELI INVEST-MRA</v>
          </cell>
          <cell r="C190" t="str">
            <v>Oui</v>
          </cell>
        </row>
        <row r="191">
          <cell r="A191" t="str">
            <v>XFR0005391AV07A</v>
          </cell>
          <cell r="B191" t="str">
            <v>AC BOULOGNE BILLANCOURT - MRA</v>
          </cell>
          <cell r="C191" t="str">
            <v>Oui</v>
          </cell>
        </row>
        <row r="192">
          <cell r="A192" t="str">
            <v>XFR0005393AV07A</v>
          </cell>
          <cell r="B192" t="str">
            <v>LEMONNIER (MRA)</v>
          </cell>
          <cell r="C192" t="str">
            <v>Oui</v>
          </cell>
        </row>
        <row r="193">
          <cell r="A193" t="str">
            <v>XFR0005394AV07A</v>
          </cell>
          <cell r="B193" t="str">
            <v>AC CHALLES LES EAUX MRA</v>
          </cell>
          <cell r="C193" t="str">
            <v>Oui</v>
          </cell>
        </row>
        <row r="194">
          <cell r="A194" t="str">
            <v>XFR0005400AV07A</v>
          </cell>
          <cell r="B194" t="str">
            <v>DESBARD MICHEL - MRA</v>
          </cell>
          <cell r="C194" t="str">
            <v>Oui</v>
          </cell>
        </row>
        <row r="195">
          <cell r="A195" t="str">
            <v>XFR0005401AV07A</v>
          </cell>
          <cell r="B195" t="str">
            <v>AIR SERVICE  2007 MRA</v>
          </cell>
          <cell r="C195" t="str">
            <v>Oui</v>
          </cell>
        </row>
        <row r="196">
          <cell r="A196" t="str">
            <v>XFR0005403AV07A</v>
          </cell>
          <cell r="B196" t="str">
            <v>ECOLE DE PARACHUTISME-MRA</v>
          </cell>
          <cell r="C196" t="str">
            <v>Oui</v>
          </cell>
        </row>
        <row r="197">
          <cell r="A197" t="str">
            <v>XFR0005404AV07A</v>
          </cell>
          <cell r="B197" t="str">
            <v>MUSEE EUROPEEN AVIATION - MRA</v>
          </cell>
          <cell r="C197" t="str">
            <v>Oui</v>
          </cell>
        </row>
        <row r="198">
          <cell r="A198" t="str">
            <v>XFR0005405AV07A</v>
          </cell>
          <cell r="B198" t="str">
            <v>SCHWACH (MRA)</v>
          </cell>
          <cell r="C198" t="str">
            <v>Oui</v>
          </cell>
        </row>
        <row r="199">
          <cell r="A199" t="str">
            <v>XFR0005407AV07A</v>
          </cell>
          <cell r="B199" t="str">
            <v>global air invest</v>
          </cell>
          <cell r="C199" t="str">
            <v>Oui</v>
          </cell>
        </row>
        <row r="200">
          <cell r="A200" t="str">
            <v>XFR0005416AV07A</v>
          </cell>
          <cell r="B200" t="str">
            <v>AC DE LA BRIE</v>
          </cell>
          <cell r="C200" t="str">
            <v>Oui</v>
          </cell>
        </row>
        <row r="201">
          <cell r="A201" t="str">
            <v>XFR0005421AV07A</v>
          </cell>
          <cell r="B201" t="str">
            <v>GATL 2007 INDIVIDUELLE</v>
          </cell>
          <cell r="C201" t="str">
            <v>Oui</v>
          </cell>
        </row>
        <row r="202">
          <cell r="A202" t="str">
            <v>XFR0005422AV07A</v>
          </cell>
          <cell r="B202" t="str">
            <v>MESSAC (MRA)</v>
          </cell>
          <cell r="C202" t="str">
            <v>Oui</v>
          </cell>
        </row>
        <row r="203">
          <cell r="A203" t="str">
            <v>XFR0005423AV07A</v>
          </cell>
          <cell r="B203" t="str">
            <v>BERTRAND HOLDING MRA</v>
          </cell>
          <cell r="C203" t="str">
            <v>Oui</v>
          </cell>
        </row>
        <row r="204">
          <cell r="A204" t="str">
            <v>XFR0005424AV07A</v>
          </cell>
          <cell r="B204" t="str">
            <v>LOC HELI - MRA</v>
          </cell>
          <cell r="C204" t="str">
            <v>Oui</v>
          </cell>
        </row>
        <row r="205">
          <cell r="A205" t="str">
            <v>XFR0005430AV07A</v>
          </cell>
          <cell r="B205" t="str">
            <v>FFVL</v>
          </cell>
          <cell r="C205" t="str">
            <v>Oui</v>
          </cell>
        </row>
        <row r="206">
          <cell r="A206" t="str">
            <v>XFR0005433AV07A</v>
          </cell>
          <cell r="B206" t="str">
            <v>ACTION COMMUNICATION - MRA</v>
          </cell>
          <cell r="C206" t="str">
            <v>Oui</v>
          </cell>
        </row>
        <row r="207">
          <cell r="A207" t="str">
            <v>XFR0005441AV07A</v>
          </cell>
          <cell r="B207" t="str">
            <v>C.G TERRITOIRE BELFORT-RC AERO</v>
          </cell>
          <cell r="C207" t="str">
            <v>Oui</v>
          </cell>
        </row>
        <row r="208">
          <cell r="A208" t="str">
            <v>XFR0005443AV07A</v>
          </cell>
          <cell r="B208" t="str">
            <v>BRITTANY FERRIES-MRA</v>
          </cell>
          <cell r="C208" t="str">
            <v>Oui</v>
          </cell>
        </row>
        <row r="209">
          <cell r="A209" t="str">
            <v>XFR0005450AV07A</v>
          </cell>
          <cell r="B209" t="str">
            <v>CVV MAYENNE - MRA</v>
          </cell>
          <cell r="C209" t="str">
            <v>Oui</v>
          </cell>
        </row>
        <row r="210">
          <cell r="A210" t="str">
            <v>XFR0005451AV07A</v>
          </cell>
          <cell r="B210" t="str">
            <v>MONT BLANC HELICOPTERES - MBH</v>
          </cell>
          <cell r="C210" t="str">
            <v>Oui</v>
          </cell>
        </row>
        <row r="211">
          <cell r="A211" t="str">
            <v>XFR0005453AV07A</v>
          </cell>
          <cell r="B211" t="str">
            <v>MONT BLANC HELICOPTERES -  MRA</v>
          </cell>
          <cell r="C211" t="str">
            <v>Oui</v>
          </cell>
        </row>
        <row r="212">
          <cell r="A212" t="str">
            <v>XFR0005455AV07A</v>
          </cell>
          <cell r="B212" t="str">
            <v>ASS. CASTEL-MAUBOUSSIN - MRA</v>
          </cell>
          <cell r="C212" t="str">
            <v>Oui</v>
          </cell>
        </row>
        <row r="213">
          <cell r="A213" t="str">
            <v>XFR0005456AV07A</v>
          </cell>
          <cell r="B213" t="str">
            <v>BLUGEON HELICO MRA 2007</v>
          </cell>
          <cell r="C213" t="str">
            <v>Oui</v>
          </cell>
        </row>
        <row r="214">
          <cell r="A214" t="str">
            <v>XFR0005458AV07A</v>
          </cell>
          <cell r="B214" t="str">
            <v>HTA - MRA</v>
          </cell>
          <cell r="C214" t="str">
            <v>Oui</v>
          </cell>
        </row>
        <row r="215">
          <cell r="A215" t="str">
            <v>XFR0005461AV07A</v>
          </cell>
          <cell r="B215" t="str">
            <v>AC DE MONTALIVET</v>
          </cell>
          <cell r="C215" t="str">
            <v>Oui</v>
          </cell>
        </row>
        <row r="216">
          <cell r="A216" t="str">
            <v>XFR0005480AV07A</v>
          </cell>
          <cell r="B216" t="str">
            <v>HELI SECURITE - MRA</v>
          </cell>
          <cell r="C216" t="str">
            <v>Oui</v>
          </cell>
        </row>
        <row r="217">
          <cell r="A217" t="str">
            <v>XFR0005483AV07A</v>
          </cell>
          <cell r="B217" t="str">
            <v>ATELIER FORMATION AERO - MRA</v>
          </cell>
          <cell r="C217" t="str">
            <v>Oui</v>
          </cell>
        </row>
        <row r="218">
          <cell r="A218" t="str">
            <v>XFR0005486AV07A</v>
          </cell>
          <cell r="B218" t="str">
            <v>GIRARD JEAN-JACQUES-MRA</v>
          </cell>
          <cell r="C218" t="str">
            <v>Oui</v>
          </cell>
        </row>
        <row r="219">
          <cell r="A219" t="str">
            <v>XFR0005495AV07A</v>
          </cell>
          <cell r="B219" t="str">
            <v>ANDRE YVONET-MRA</v>
          </cell>
          <cell r="C219" t="str">
            <v>Oui</v>
          </cell>
        </row>
        <row r="220">
          <cell r="A220" t="str">
            <v>XFR0005496AV07A</v>
          </cell>
          <cell r="B220" t="str">
            <v>AC MELUN VILLAROCHE-MRA</v>
          </cell>
          <cell r="C220" t="str">
            <v>Oui</v>
          </cell>
        </row>
        <row r="221">
          <cell r="A221" t="str">
            <v>XFR0005498AV07A</v>
          </cell>
          <cell r="B221" t="str">
            <v>BRETONNIER GUY - MRA</v>
          </cell>
          <cell r="C221" t="str">
            <v>Oui</v>
          </cell>
        </row>
        <row r="222">
          <cell r="A222" t="str">
            <v>XFR0005510AV07A</v>
          </cell>
          <cell r="B222" t="str">
            <v>ESMA-MRA</v>
          </cell>
          <cell r="C222" t="str">
            <v>Oui</v>
          </cell>
        </row>
        <row r="223">
          <cell r="A223" t="str">
            <v>XFR0005520AV07A</v>
          </cell>
          <cell r="B223" t="str">
            <v>VERTICAL PASSION - MRA</v>
          </cell>
          <cell r="C223" t="str">
            <v>Oui</v>
          </cell>
        </row>
        <row r="224">
          <cell r="A224" t="str">
            <v>XFR0005524AV07A</v>
          </cell>
          <cell r="B224" t="str">
            <v>PRESIDENCE NIGER 2007 RG/IND</v>
          </cell>
          <cell r="C224" t="str">
            <v>Oui</v>
          </cell>
        </row>
        <row r="225">
          <cell r="A225" t="str">
            <v>XFR0005540AV07A</v>
          </cell>
          <cell r="B225" t="str">
            <v>PAUTASSO (MRA)</v>
          </cell>
          <cell r="C225" t="str">
            <v>Oui</v>
          </cell>
        </row>
        <row r="226">
          <cell r="A226" t="str">
            <v>XFR0005546AV07A</v>
          </cell>
          <cell r="B226" t="str">
            <v>SCI SUMA -MRA</v>
          </cell>
          <cell r="C226" t="str">
            <v>Oui</v>
          </cell>
        </row>
        <row r="227">
          <cell r="A227" t="str">
            <v>XFR0005549AV07A</v>
          </cell>
          <cell r="B227" t="str">
            <v>AIR TAHITI-AIR MOOREA-AIR ARCH</v>
          </cell>
          <cell r="C227" t="str">
            <v>Oui</v>
          </cell>
        </row>
        <row r="228">
          <cell r="A228" t="str">
            <v>XFR0005561AV07A</v>
          </cell>
          <cell r="B228" t="str">
            <v>HELI-CLUB DU BLAYAIS - MRA</v>
          </cell>
          <cell r="C228" t="str">
            <v>Oui</v>
          </cell>
        </row>
        <row r="229">
          <cell r="A229" t="str">
            <v>XFR0005584AV07A</v>
          </cell>
          <cell r="B229" t="str">
            <v>AEROPARIS SARL - MRA</v>
          </cell>
          <cell r="C229" t="str">
            <v>Oui</v>
          </cell>
        </row>
        <row r="230">
          <cell r="A230" t="str">
            <v>XFR0005585AV07A</v>
          </cell>
          <cell r="B230" t="str">
            <v>AIR TAHITI RF 07 - PETITS AVIO</v>
          </cell>
          <cell r="C230" t="str">
            <v>Oui</v>
          </cell>
        </row>
        <row r="231">
          <cell r="A231" t="str">
            <v>XFR0005592AV07A</v>
          </cell>
          <cell r="B231" t="str">
            <v>SOCIETE PROMOD - MRA</v>
          </cell>
          <cell r="C231" t="str">
            <v>Oui</v>
          </cell>
        </row>
        <row r="232">
          <cell r="A232" t="str">
            <v>XFR0005596AV07A</v>
          </cell>
          <cell r="B232" t="str">
            <v>COLI ET COMPAGNIE - MRA</v>
          </cell>
          <cell r="C232" t="str">
            <v>Oui</v>
          </cell>
        </row>
        <row r="233">
          <cell r="A233" t="str">
            <v>XFR0005597AV07A</v>
          </cell>
          <cell r="B233" t="str">
            <v>BEGUE - MRA</v>
          </cell>
          <cell r="C233" t="str">
            <v>Oui</v>
          </cell>
        </row>
        <row r="234">
          <cell r="A234" t="str">
            <v>XFR0005600AV07A</v>
          </cell>
          <cell r="B234" t="str">
            <v>HELICOPTERES DE FRANCE - MRA</v>
          </cell>
          <cell r="C234" t="str">
            <v>Oui</v>
          </cell>
        </row>
        <row r="235">
          <cell r="A235" t="str">
            <v>XFR0005647AV07A</v>
          </cell>
          <cell r="B235" t="str">
            <v>MANES MRA</v>
          </cell>
          <cell r="C235" t="str">
            <v>Oui</v>
          </cell>
        </row>
        <row r="236">
          <cell r="A236" t="str">
            <v>XFR0005654AV07A</v>
          </cell>
          <cell r="B236" t="str">
            <v>LVMH - MRA</v>
          </cell>
          <cell r="C236" t="str">
            <v>Oui</v>
          </cell>
        </row>
        <row r="237">
          <cell r="A237" t="str">
            <v>XFR0005655AV07A</v>
          </cell>
          <cell r="B237" t="str">
            <v>CAP 10 MARTINIQUE - MRA</v>
          </cell>
          <cell r="C237" t="str">
            <v>Oui</v>
          </cell>
        </row>
        <row r="238">
          <cell r="A238" t="str">
            <v>XFR0005656AV07A</v>
          </cell>
          <cell r="B238" t="str">
            <v>AERO CLUB VOSGIEN ATL RC MANIF</v>
          </cell>
          <cell r="C238" t="str">
            <v>Oui</v>
          </cell>
        </row>
        <row r="239">
          <cell r="A239" t="str">
            <v>XFR0005660AV07A</v>
          </cell>
          <cell r="B239" t="str">
            <v>SENEGALAIR-MRA</v>
          </cell>
          <cell r="C239" t="str">
            <v>Oui</v>
          </cell>
        </row>
        <row r="240">
          <cell r="A240" t="str">
            <v>XFR0005663AV07A</v>
          </cell>
          <cell r="B240" t="str">
            <v>MARTIN,LAFARGUE,LOPEZ,ROUGET -</v>
          </cell>
          <cell r="C240" t="str">
            <v>Oui</v>
          </cell>
        </row>
        <row r="241">
          <cell r="A241" t="str">
            <v>XFR0005664AV07A</v>
          </cell>
          <cell r="B241" t="str">
            <v>ECOLE PARA.NORD F.C-MRA</v>
          </cell>
          <cell r="C241" t="str">
            <v>Oui</v>
          </cell>
        </row>
        <row r="242">
          <cell r="A242" t="str">
            <v>XFR0005667AV07A</v>
          </cell>
          <cell r="B242" t="str">
            <v>LEGOUX ADRIEN-MRA</v>
          </cell>
          <cell r="C242" t="str">
            <v>Oui</v>
          </cell>
        </row>
        <row r="243">
          <cell r="A243" t="str">
            <v>XFR0005673AV07A</v>
          </cell>
          <cell r="B243" t="str">
            <v>AEROPILOT  MRA</v>
          </cell>
          <cell r="C243" t="str">
            <v>Oui</v>
          </cell>
        </row>
        <row r="244">
          <cell r="A244" t="str">
            <v>XFR0005685AV07A</v>
          </cell>
          <cell r="B244" t="str">
            <v>BEITZ ET GUITTARD AVIATION-MRA</v>
          </cell>
          <cell r="C244" t="str">
            <v>Oui</v>
          </cell>
        </row>
        <row r="245">
          <cell r="A245" t="str">
            <v>XFR0005691AV07A</v>
          </cell>
          <cell r="B245" t="str">
            <v>BROSSE - MRA</v>
          </cell>
          <cell r="C245" t="str">
            <v>Oui</v>
          </cell>
        </row>
        <row r="246">
          <cell r="A246" t="str">
            <v>XFR0005693AV07A</v>
          </cell>
          <cell r="B246" t="str">
            <v>STE CULTURE BANANIER - MRA</v>
          </cell>
          <cell r="C246" t="str">
            <v>Oui</v>
          </cell>
        </row>
        <row r="247">
          <cell r="A247" t="str">
            <v>XFR0005701AV07A</v>
          </cell>
          <cell r="B247" t="str">
            <v>PLANTATIONS HAUT PENJA - MRA</v>
          </cell>
          <cell r="C247" t="str">
            <v>Oui</v>
          </cell>
        </row>
        <row r="248">
          <cell r="A248" t="str">
            <v>XFR0005702AV07A</v>
          </cell>
          <cell r="B248" t="str">
            <v>UNION BANANIERE SCB - MRA</v>
          </cell>
          <cell r="C248" t="str">
            <v>Oui</v>
          </cell>
        </row>
        <row r="249">
          <cell r="A249" t="str">
            <v>XFR0005703AV07A</v>
          </cell>
          <cell r="B249" t="str">
            <v>AIR FRANCE -  IND ABONNES RG</v>
          </cell>
          <cell r="C249" t="str">
            <v>Oui</v>
          </cell>
        </row>
        <row r="250">
          <cell r="A250" t="str">
            <v>XFR0005709AV07A</v>
          </cell>
          <cell r="B250" t="str">
            <v>BIZAIR MRA</v>
          </cell>
          <cell r="C250" t="str">
            <v>Oui</v>
          </cell>
        </row>
        <row r="251">
          <cell r="A251" t="str">
            <v>XFR0005710AV07A</v>
          </cell>
          <cell r="B251" t="str">
            <v>STE TECHMAINE-MRA</v>
          </cell>
          <cell r="C251" t="str">
            <v>Oui</v>
          </cell>
        </row>
        <row r="252">
          <cell r="A252" t="str">
            <v>XFR0005711AV07A</v>
          </cell>
          <cell r="B252" t="str">
            <v>GIRAGRI 17-MRA</v>
          </cell>
          <cell r="C252" t="str">
            <v>Oui</v>
          </cell>
        </row>
        <row r="253">
          <cell r="A253" t="str">
            <v>XFR0005716AV07A</v>
          </cell>
          <cell r="B253" t="str">
            <v>HTI SA</v>
          </cell>
          <cell r="C253" t="str">
            <v>Oui</v>
          </cell>
        </row>
        <row r="254">
          <cell r="A254" t="str">
            <v>XFR0005721AV07A</v>
          </cell>
          <cell r="B254" t="str">
            <v>UBG LOCATION MRA</v>
          </cell>
          <cell r="C254" t="str">
            <v>Oui</v>
          </cell>
        </row>
        <row r="255">
          <cell r="A255" t="str">
            <v>XFR0005723AV07A</v>
          </cell>
          <cell r="B255" t="str">
            <v>AC DASSAULT BREGUET BIARRITZ</v>
          </cell>
          <cell r="C255" t="str">
            <v>Oui</v>
          </cell>
        </row>
        <row r="256">
          <cell r="A256" t="str">
            <v>XFR0005725AV07A</v>
          </cell>
          <cell r="B256" t="str">
            <v>ASS.ECOLE PARACHUTISME MRA</v>
          </cell>
          <cell r="C256" t="str">
            <v>Oui</v>
          </cell>
        </row>
        <row r="257">
          <cell r="A257" t="str">
            <v>XFR0005728AV07A</v>
          </cell>
          <cell r="B257" t="str">
            <v>AFRIJET BUSINESS SERVICE-MRA</v>
          </cell>
          <cell r="C257" t="str">
            <v>Oui</v>
          </cell>
        </row>
        <row r="258">
          <cell r="A258" t="str">
            <v>XFR0005735AV07A</v>
          </cell>
          <cell r="B258" t="str">
            <v>NIELSEN - MRA</v>
          </cell>
          <cell r="C258" t="str">
            <v>Oui</v>
          </cell>
        </row>
        <row r="259">
          <cell r="A259" t="str">
            <v>XFR0005739AV07A</v>
          </cell>
          <cell r="B259" t="str">
            <v>BAUER Daniel - MRA</v>
          </cell>
          <cell r="C259" t="str">
            <v>Oui</v>
          </cell>
        </row>
        <row r="260">
          <cell r="A260" t="str">
            <v>XFR0005740AV07A</v>
          </cell>
          <cell r="B260" t="str">
            <v>AC D'ANDAINE - MRA</v>
          </cell>
          <cell r="C260" t="str">
            <v>Oui</v>
          </cell>
        </row>
        <row r="261">
          <cell r="A261" t="str">
            <v>XFR0005745AV07A</v>
          </cell>
          <cell r="B261" t="str">
            <v>STE LOC AERO</v>
          </cell>
          <cell r="C261" t="str">
            <v>Oui</v>
          </cell>
        </row>
        <row r="262">
          <cell r="A262" t="str">
            <v>XFR0005746AV07A</v>
          </cell>
          <cell r="B262" t="str">
            <v>SARL AKOFA -  MRA</v>
          </cell>
          <cell r="C262" t="str">
            <v>Oui</v>
          </cell>
        </row>
        <row r="263">
          <cell r="A263" t="str">
            <v>XFR0005755AV07A</v>
          </cell>
          <cell r="B263" t="str">
            <v>MAYENNE AIR LOISIRS-MRA</v>
          </cell>
          <cell r="C263" t="str">
            <v>Oui</v>
          </cell>
        </row>
        <row r="264">
          <cell r="A264" t="str">
            <v>XFR0005757AV07A</v>
          </cell>
          <cell r="B264" t="str">
            <v>TRANSP. AERIENS INTER CARAIBES</v>
          </cell>
          <cell r="C264" t="str">
            <v>Oui</v>
          </cell>
        </row>
        <row r="265">
          <cell r="A265" t="str">
            <v>XFR0005758AV07A</v>
          </cell>
          <cell r="B265" t="str">
            <v>AIR CALIN  INDIVIDUELLE 2007</v>
          </cell>
          <cell r="C265" t="str">
            <v>Oui</v>
          </cell>
        </row>
        <row r="266">
          <cell r="A266" t="str">
            <v>XFR0005759AV07A</v>
          </cell>
          <cell r="B266" t="str">
            <v>BERGER DIDIER-MRA</v>
          </cell>
          <cell r="C266" t="str">
            <v>Oui</v>
          </cell>
        </row>
        <row r="267">
          <cell r="A267" t="str">
            <v>XFR0005761AV07A</v>
          </cell>
          <cell r="B267" t="str">
            <v>AIR CALEDONIE INDIVID 2007</v>
          </cell>
          <cell r="C267" t="str">
            <v>Oui</v>
          </cell>
        </row>
        <row r="268">
          <cell r="A268" t="str">
            <v>XFR0005762AV07A</v>
          </cell>
          <cell r="B268" t="str">
            <v>SNC HELI BP/HELIJET/PARCIM-MRA</v>
          </cell>
          <cell r="C268" t="str">
            <v>Oui</v>
          </cell>
        </row>
        <row r="269">
          <cell r="A269" t="str">
            <v>XFR0005766AV07A</v>
          </cell>
          <cell r="B269" t="str">
            <v>LE GALLAIS - MRA</v>
          </cell>
          <cell r="C269" t="str">
            <v>Oui</v>
          </cell>
        </row>
        <row r="270">
          <cell r="A270" t="str">
            <v>XFR0005767AV07A</v>
          </cell>
          <cell r="B270" t="str">
            <v>AERO SERVICE CONGO-MRA</v>
          </cell>
          <cell r="C270" t="str">
            <v>Oui</v>
          </cell>
        </row>
        <row r="271">
          <cell r="A271" t="str">
            <v>XFR0005768AV07A</v>
          </cell>
          <cell r="B271" t="str">
            <v>LAIGNEAU ERIC - MRA</v>
          </cell>
          <cell r="C271" t="str">
            <v>Oui</v>
          </cell>
        </row>
        <row r="272">
          <cell r="A272" t="str">
            <v>XFR0005769AV07A</v>
          </cell>
          <cell r="B272" t="str">
            <v>JETAIR SA - MRA</v>
          </cell>
          <cell r="C272" t="str">
            <v>Oui</v>
          </cell>
        </row>
        <row r="273">
          <cell r="A273" t="str">
            <v>XFR0005773AV07A</v>
          </cell>
          <cell r="B273" t="str">
            <v>AIR MGX - MRA</v>
          </cell>
          <cell r="C273" t="str">
            <v>Oui</v>
          </cell>
        </row>
        <row r="274">
          <cell r="A274" t="str">
            <v>XFR0005775AV07A</v>
          </cell>
          <cell r="B274" t="str">
            <v>AIRAILES MRA</v>
          </cell>
          <cell r="C274" t="str">
            <v>Oui</v>
          </cell>
        </row>
        <row r="275">
          <cell r="A275" t="str">
            <v>XFR0005779AV07A</v>
          </cell>
          <cell r="B275" t="str">
            <v>GVT REPUBLIQUE CONGO-MRA</v>
          </cell>
          <cell r="C275" t="str">
            <v>Oui</v>
          </cell>
        </row>
        <row r="276">
          <cell r="A276" t="str">
            <v>XFR0005783AV07A</v>
          </cell>
          <cell r="B276" t="str">
            <v>BORDELIER - MRA</v>
          </cell>
          <cell r="C276" t="str">
            <v>Oui</v>
          </cell>
        </row>
        <row r="277">
          <cell r="A277" t="str">
            <v>XFR0005786AV07A</v>
          </cell>
          <cell r="B277" t="str">
            <v>NHV 2008  MRA</v>
          </cell>
          <cell r="C277" t="str">
            <v>Oui</v>
          </cell>
        </row>
        <row r="278">
          <cell r="A278" t="str">
            <v>XFR0005789AV07A</v>
          </cell>
          <cell r="B278" t="str">
            <v>BADAT MRA</v>
          </cell>
          <cell r="C278" t="str">
            <v>Oui</v>
          </cell>
        </row>
        <row r="279">
          <cell r="A279" t="str">
            <v>XFR0005798AV07A</v>
          </cell>
          <cell r="B279" t="str">
            <v>AMG - SCTA  AIR ACTION MRA</v>
          </cell>
          <cell r="C279" t="str">
            <v>Oui</v>
          </cell>
        </row>
        <row r="280">
          <cell r="A280" t="str">
            <v>XFR0005800AV07A</v>
          </cell>
          <cell r="B280" t="str">
            <v>AC PERSONNEL SEFA - MRA</v>
          </cell>
          <cell r="C280" t="str">
            <v>Oui</v>
          </cell>
        </row>
        <row r="281">
          <cell r="A281" t="str">
            <v>XFR0005801AV07A</v>
          </cell>
          <cell r="B281" t="str">
            <v>AIR OCCITANIE - MRA</v>
          </cell>
          <cell r="C281" t="str">
            <v>Oui</v>
          </cell>
        </row>
        <row r="282">
          <cell r="A282" t="str">
            <v>XFR0005802AV07A</v>
          </cell>
          <cell r="B282" t="str">
            <v>aerocolor  mra</v>
          </cell>
          <cell r="C282" t="str">
            <v>Oui</v>
          </cell>
        </row>
        <row r="283">
          <cell r="A283" t="str">
            <v>XFR0005807AV07A</v>
          </cell>
          <cell r="B283" t="str">
            <v>DELIMBEUF - MRA</v>
          </cell>
          <cell r="C283" t="str">
            <v>Oui</v>
          </cell>
        </row>
        <row r="284">
          <cell r="A284" t="str">
            <v>XFR0005808AV07A</v>
          </cell>
          <cell r="B284" t="str">
            <v>LECOQ JEAN-MRA</v>
          </cell>
          <cell r="C284" t="str">
            <v>Oui</v>
          </cell>
        </row>
        <row r="285">
          <cell r="A285" t="str">
            <v>XFR0005810AV07A</v>
          </cell>
          <cell r="B285" t="str">
            <v>air burundi mra</v>
          </cell>
          <cell r="C285" t="str">
            <v>Oui</v>
          </cell>
        </row>
        <row r="286">
          <cell r="A286" t="str">
            <v>XFR0005813AV07A</v>
          </cell>
          <cell r="B286" t="str">
            <v>HELICOPTERES DE FRANCE SA - MR</v>
          </cell>
          <cell r="C286" t="str">
            <v>Oui</v>
          </cell>
        </row>
        <row r="287">
          <cell r="A287" t="str">
            <v>XFR0005825AV07A</v>
          </cell>
          <cell r="B287" t="str">
            <v>THS MRA</v>
          </cell>
          <cell r="C287" t="str">
            <v>Oui</v>
          </cell>
        </row>
        <row r="288">
          <cell r="A288" t="str">
            <v>XFR0005826AV07A</v>
          </cell>
          <cell r="B288" t="str">
            <v>DE ROUBIN JEAN</v>
          </cell>
          <cell r="C288" t="str">
            <v>Oui</v>
          </cell>
        </row>
        <row r="289">
          <cell r="A289" t="str">
            <v>XFR0005829AV07A</v>
          </cell>
          <cell r="B289" t="str">
            <v>AC DE LA LYS MRA</v>
          </cell>
          <cell r="C289" t="str">
            <v>Oui</v>
          </cell>
        </row>
        <row r="290">
          <cell r="A290" t="str">
            <v>XFR0005835AV07A</v>
          </cell>
          <cell r="B290" t="str">
            <v>INT LEASE FRANCE-MRA</v>
          </cell>
          <cell r="C290" t="str">
            <v>Oui</v>
          </cell>
        </row>
        <row r="291">
          <cell r="A291" t="str">
            <v>XFR0005836AV07A</v>
          </cell>
          <cell r="B291" t="str">
            <v>PILOTAGE DE DUNKERQUE-MRA</v>
          </cell>
          <cell r="C291" t="str">
            <v>Oui</v>
          </cell>
        </row>
        <row r="292">
          <cell r="A292" t="str">
            <v>XFR0005846AV07A</v>
          </cell>
          <cell r="B292" t="str">
            <v>regi/puig caillard/caillard</v>
          </cell>
          <cell r="C292" t="str">
            <v>Oui</v>
          </cell>
        </row>
        <row r="293">
          <cell r="A293" t="str">
            <v>XFR0005847AV07A</v>
          </cell>
          <cell r="B293" t="str">
            <v>PINEAU - MRA</v>
          </cell>
          <cell r="C293" t="str">
            <v>Oui</v>
          </cell>
        </row>
        <row r="294">
          <cell r="A294" t="str">
            <v>XFR0005848AV07A</v>
          </cell>
          <cell r="B294" t="str">
            <v>SARL G.F.R. - MRA</v>
          </cell>
          <cell r="C294" t="str">
            <v>Oui</v>
          </cell>
        </row>
        <row r="295">
          <cell r="A295" t="str">
            <v>XFR0005850AV07A</v>
          </cell>
          <cell r="B295" t="str">
            <v>air est mra</v>
          </cell>
          <cell r="C295" t="str">
            <v>Oui</v>
          </cell>
        </row>
        <row r="296">
          <cell r="A296" t="str">
            <v>XFR0005854AV07A</v>
          </cell>
          <cell r="B296" t="str">
            <v>HAUT COMMISS. POLYNESIE - MRA</v>
          </cell>
          <cell r="C296" t="str">
            <v>Oui</v>
          </cell>
        </row>
        <row r="297">
          <cell r="A297" t="str">
            <v>XFR0005856AV07A</v>
          </cell>
          <cell r="B297" t="str">
            <v>ETUDE PERRINE INDIV 24/24</v>
          </cell>
          <cell r="C297" t="str">
            <v>Oui</v>
          </cell>
        </row>
        <row r="298">
          <cell r="A298" t="str">
            <v>XFR0005873AV07A</v>
          </cell>
          <cell r="B298" t="str">
            <v>fly copter mra</v>
          </cell>
          <cell r="C298" t="str">
            <v>Oui</v>
          </cell>
        </row>
        <row r="299">
          <cell r="A299" t="str">
            <v>XFR0005876AV07A</v>
          </cell>
          <cell r="B299" t="str">
            <v>ACCOR</v>
          </cell>
          <cell r="C299" t="str">
            <v>Oui</v>
          </cell>
        </row>
        <row r="300">
          <cell r="A300" t="str">
            <v>XFR0005877AV07A</v>
          </cell>
          <cell r="B300" t="str">
            <v>SECURITE CIVILE-IND PASSAGER</v>
          </cell>
          <cell r="C300" t="str">
            <v>Oui</v>
          </cell>
        </row>
        <row r="301">
          <cell r="A301" t="str">
            <v>XFR0005882AV07A</v>
          </cell>
          <cell r="B301" t="str">
            <v>AIR CALIN  2007 TWIN OTTER</v>
          </cell>
          <cell r="C301" t="str">
            <v>Oui</v>
          </cell>
        </row>
        <row r="302">
          <cell r="A302" t="str">
            <v>XFR0005883AV07A</v>
          </cell>
          <cell r="B302" t="str">
            <v>PELISSIER Pierre</v>
          </cell>
          <cell r="C302" t="str">
            <v>Oui</v>
          </cell>
        </row>
        <row r="303">
          <cell r="A303" t="str">
            <v>XFR0005884AV07A</v>
          </cell>
          <cell r="B303" t="str">
            <v>AIR CALEDONIE 2007 DO228</v>
          </cell>
          <cell r="C303" t="str">
            <v>Oui</v>
          </cell>
        </row>
        <row r="304">
          <cell r="A304" t="str">
            <v>XFR0005885AV07A</v>
          </cell>
          <cell r="B304" t="str">
            <v>ac kourou mra</v>
          </cell>
          <cell r="C304" t="str">
            <v>Oui</v>
          </cell>
        </row>
        <row r="305">
          <cell r="A305" t="str">
            <v>XFR0005887AV07A</v>
          </cell>
          <cell r="B305" t="str">
            <v>AIR TAHITI -2007 INDIVIDUELLE</v>
          </cell>
          <cell r="C305" t="str">
            <v>Oui</v>
          </cell>
        </row>
        <row r="306">
          <cell r="A306" t="str">
            <v>XFR0005888AV07A</v>
          </cell>
          <cell r="B306" t="str">
            <v>solid'air mra</v>
          </cell>
          <cell r="C306" t="str">
            <v>Oui</v>
          </cell>
        </row>
        <row r="307">
          <cell r="A307" t="str">
            <v>XFR0005893AV07A</v>
          </cell>
          <cell r="B307" t="str">
            <v>AERO VISION MRA</v>
          </cell>
          <cell r="C307" t="str">
            <v>Oui</v>
          </cell>
        </row>
        <row r="308">
          <cell r="A308" t="str">
            <v>XFR0005894AV07A</v>
          </cell>
          <cell r="B308" t="str">
            <v>AIR CARAIBES INDUSTRIE  2007 I</v>
          </cell>
          <cell r="C308" t="str">
            <v>Oui</v>
          </cell>
        </row>
        <row r="309">
          <cell r="A309" t="str">
            <v>XFR0005897AV07A</v>
          </cell>
          <cell r="B309" t="str">
            <v>EP MIDI PYRENEES MRA</v>
          </cell>
          <cell r="C309" t="str">
            <v>Oui</v>
          </cell>
        </row>
        <row r="310">
          <cell r="A310" t="str">
            <v>XFR0005905AV07A</v>
          </cell>
          <cell r="B310" t="str">
            <v>SAINT BARTH COMMUTER - MRA</v>
          </cell>
          <cell r="C310" t="str">
            <v>Oui</v>
          </cell>
        </row>
        <row r="311">
          <cell r="A311" t="str">
            <v>XFR0005908AV07A</v>
          </cell>
          <cell r="B311" t="str">
            <v>eurl limabeech - mra</v>
          </cell>
          <cell r="C311" t="str">
            <v>Oui</v>
          </cell>
        </row>
        <row r="312">
          <cell r="A312" t="str">
            <v>XFR0005911AV07A</v>
          </cell>
          <cell r="B312" t="str">
            <v>HELIMAR</v>
          </cell>
          <cell r="C312" t="str">
            <v>Oui</v>
          </cell>
        </row>
        <row r="313">
          <cell r="A313" t="str">
            <v>XFR0005914AV07A</v>
          </cell>
          <cell r="B313" t="str">
            <v>AC FRANCHE COMTE - MRA</v>
          </cell>
          <cell r="C313" t="str">
            <v>Oui</v>
          </cell>
        </row>
        <row r="314">
          <cell r="A314" t="str">
            <v>XFR0005930AV07A</v>
          </cell>
          <cell r="B314" t="str">
            <v>HAIZE COPTER</v>
          </cell>
          <cell r="C314" t="str">
            <v>Oui</v>
          </cell>
        </row>
        <row r="315">
          <cell r="A315" t="str">
            <v>XFR0005932AV07A</v>
          </cell>
          <cell r="B315" t="str">
            <v>hor air - mra</v>
          </cell>
          <cell r="C315" t="str">
            <v>Oui</v>
          </cell>
        </row>
        <row r="316">
          <cell r="A316" t="str">
            <v>XFR0005937AV07A</v>
          </cell>
          <cell r="B316" t="str">
            <v>AERO CLUB CPR - MRA</v>
          </cell>
          <cell r="C316" t="str">
            <v>Oui</v>
          </cell>
        </row>
        <row r="317">
          <cell r="A317" t="str">
            <v>XFR0005940AV07A</v>
          </cell>
          <cell r="B317" t="str">
            <v>COMTBOUL - MRA</v>
          </cell>
          <cell r="C317" t="str">
            <v>Oui</v>
          </cell>
        </row>
        <row r="318">
          <cell r="A318" t="str">
            <v>XFR0005941AV07A</v>
          </cell>
          <cell r="B318" t="str">
            <v>AERO DUKE - MRA</v>
          </cell>
          <cell r="C318" t="str">
            <v>Oui</v>
          </cell>
        </row>
        <row r="319">
          <cell r="A319" t="str">
            <v>XFR0005947AV07A</v>
          </cell>
          <cell r="B319" t="str">
            <v>PAGE JEAN LOUIS - MRA</v>
          </cell>
          <cell r="C319" t="str">
            <v>Oui</v>
          </cell>
        </row>
        <row r="320">
          <cell r="A320" t="str">
            <v>XFR0005958AV07A</v>
          </cell>
          <cell r="B320" t="str">
            <v>FINISTAIR MRA</v>
          </cell>
          <cell r="C320" t="str">
            <v>Oui</v>
          </cell>
        </row>
        <row r="321">
          <cell r="A321" t="str">
            <v>XFR0005960AV07A</v>
          </cell>
          <cell r="B321" t="str">
            <v>GALION-MRA</v>
          </cell>
          <cell r="C321" t="str">
            <v>Oui</v>
          </cell>
        </row>
        <row r="322">
          <cell r="A322" t="str">
            <v>XFR0005980AV07A</v>
          </cell>
          <cell r="B322" t="str">
            <v>atlantel</v>
          </cell>
          <cell r="C322" t="str">
            <v>Oui</v>
          </cell>
        </row>
        <row r="323">
          <cell r="A323" t="str">
            <v>XFR0005983AV07A</v>
          </cell>
          <cell r="B323" t="str">
            <v>ALPHI STE MRA</v>
          </cell>
          <cell r="C323" t="str">
            <v>Oui</v>
          </cell>
        </row>
        <row r="324">
          <cell r="A324" t="str">
            <v>XFR0005989AV07A</v>
          </cell>
          <cell r="B324" t="str">
            <v>CORSEUS HELICOPTERES-MRA</v>
          </cell>
          <cell r="C324" t="str">
            <v>Oui</v>
          </cell>
        </row>
        <row r="325">
          <cell r="A325" t="str">
            <v>XFR0005993AV07A</v>
          </cell>
          <cell r="B325" t="str">
            <v>PERONNET ALAIN-MRA</v>
          </cell>
          <cell r="C325" t="str">
            <v>Oui</v>
          </cell>
        </row>
        <row r="326">
          <cell r="A326" t="str">
            <v>XFR0005994AV07A</v>
          </cell>
          <cell r="B326" t="str">
            <v>AC DU CHATILLONNAIS-MRA</v>
          </cell>
          <cell r="C326" t="str">
            <v>Oui</v>
          </cell>
        </row>
        <row r="327">
          <cell r="A327" t="str">
            <v>XFR0006003AV07A</v>
          </cell>
          <cell r="B327" t="str">
            <v>SOMAIR-RC AERO</v>
          </cell>
          <cell r="C327" t="str">
            <v>Oui</v>
          </cell>
        </row>
        <row r="328">
          <cell r="A328" t="str">
            <v>XFR0006005AV07A</v>
          </cell>
          <cell r="B328" t="str">
            <v>bertozzi mra</v>
          </cell>
          <cell r="C328" t="str">
            <v>Oui</v>
          </cell>
        </row>
        <row r="329">
          <cell r="A329" t="str">
            <v>XFR0006006AV07A</v>
          </cell>
          <cell r="B329" t="str">
            <v>CORNUT DIDIER-MRA</v>
          </cell>
          <cell r="C329" t="str">
            <v>Oui</v>
          </cell>
        </row>
        <row r="330">
          <cell r="A330" t="str">
            <v>XFR0006007AV07A</v>
          </cell>
          <cell r="B330" t="str">
            <v>HELI CLUB DU PERIGORD-RC AERO</v>
          </cell>
          <cell r="C330" t="str">
            <v>Oui</v>
          </cell>
        </row>
        <row r="331">
          <cell r="A331" t="str">
            <v>XFR0006008AV07A</v>
          </cell>
          <cell r="B331" t="str">
            <v>snc barbier mra</v>
          </cell>
          <cell r="C331" t="str">
            <v>Oui</v>
          </cell>
        </row>
        <row r="332">
          <cell r="A332" t="str">
            <v>XFR0006011AV07A</v>
          </cell>
          <cell r="B332" t="str">
            <v>AC CLEMENT ADER-RC AERO</v>
          </cell>
          <cell r="C332" t="str">
            <v>Oui</v>
          </cell>
        </row>
        <row r="333">
          <cell r="A333" t="str">
            <v>XFR0006012AV07A</v>
          </cell>
          <cell r="B333" t="str">
            <v>SEMAP-RC AERO</v>
          </cell>
          <cell r="C333" t="str">
            <v>Oui</v>
          </cell>
        </row>
        <row r="334">
          <cell r="A334" t="str">
            <v>XFR0006017AV07A</v>
          </cell>
          <cell r="B334" t="str">
            <v>AC JACQUOT MICHEL-MRA</v>
          </cell>
          <cell r="C334" t="str">
            <v>Oui</v>
          </cell>
        </row>
        <row r="335">
          <cell r="A335" t="str">
            <v>XFR0006020AV07A</v>
          </cell>
          <cell r="B335" t="str">
            <v>AC D'UZES-MRA</v>
          </cell>
          <cell r="C335" t="str">
            <v>Oui</v>
          </cell>
        </row>
        <row r="336">
          <cell r="A336" t="str">
            <v>XFR0006041AV07A</v>
          </cell>
          <cell r="B336" t="str">
            <v>SNC HELI BLUE  MRA</v>
          </cell>
          <cell r="C336" t="str">
            <v>Oui</v>
          </cell>
        </row>
        <row r="337">
          <cell r="A337" t="str">
            <v>XFR0006042AV07A</v>
          </cell>
          <cell r="B337" t="str">
            <v>SKY HELICOPEROS - MRA</v>
          </cell>
          <cell r="C337" t="str">
            <v>Oui</v>
          </cell>
        </row>
        <row r="338">
          <cell r="A338" t="str">
            <v>XFR0006046AV07A</v>
          </cell>
          <cell r="B338" t="str">
            <v>AQUALMA-RC AERO</v>
          </cell>
          <cell r="C338" t="str">
            <v>Oui</v>
          </cell>
        </row>
        <row r="339">
          <cell r="A339" t="str">
            <v>XFR0006049AV07A</v>
          </cell>
          <cell r="B339" t="str">
            <v>LAB CENTRAL-MRA</v>
          </cell>
          <cell r="C339" t="str">
            <v>Oui</v>
          </cell>
        </row>
        <row r="340">
          <cell r="A340" t="str">
            <v>XFR0006056AV07A</v>
          </cell>
          <cell r="B340" t="str">
            <v>GUILLEMOT - MRA</v>
          </cell>
          <cell r="C340" t="str">
            <v>Oui</v>
          </cell>
        </row>
        <row r="341">
          <cell r="A341" t="str">
            <v>XFR0006057AV07A</v>
          </cell>
          <cell r="B341" t="str">
            <v>HELI SECOURS-MRA</v>
          </cell>
          <cell r="C341" t="str">
            <v>Oui</v>
          </cell>
        </row>
        <row r="342">
          <cell r="A342" t="str">
            <v>XFR0006059AV07A</v>
          </cell>
          <cell r="B342" t="str">
            <v>RECTIMO-IND</v>
          </cell>
          <cell r="C342" t="str">
            <v>Oui</v>
          </cell>
        </row>
        <row r="343">
          <cell r="A343" t="str">
            <v>XFR0006061AV07A</v>
          </cell>
          <cell r="B343" t="str">
            <v>RECTIMO-MRA</v>
          </cell>
          <cell r="C343" t="str">
            <v>Oui</v>
          </cell>
        </row>
        <row r="344">
          <cell r="A344" t="str">
            <v>XFR0006069AV07A</v>
          </cell>
          <cell r="B344" t="str">
            <v>LE NORATLAS DE PROVENCE</v>
          </cell>
          <cell r="C344" t="str">
            <v>Oui</v>
          </cell>
        </row>
        <row r="345">
          <cell r="A345" t="str">
            <v>XFR0006077AV07A</v>
          </cell>
          <cell r="B345" t="str">
            <v>opsia mra</v>
          </cell>
          <cell r="C345" t="str">
            <v>Oui</v>
          </cell>
        </row>
        <row r="346">
          <cell r="A346" t="str">
            <v>XFR0006078AV07A</v>
          </cell>
          <cell r="B346" t="str">
            <v>STE IRION DMB - MRA</v>
          </cell>
          <cell r="C346" t="str">
            <v>Oui</v>
          </cell>
        </row>
        <row r="347">
          <cell r="A347" t="str">
            <v>XFR0006082AV07A</v>
          </cell>
          <cell r="B347" t="str">
            <v>SFID - MRA</v>
          </cell>
          <cell r="C347" t="str">
            <v>Oui</v>
          </cell>
        </row>
        <row r="348">
          <cell r="A348" t="str">
            <v>XFR0006084AV07A</v>
          </cell>
          <cell r="B348" t="str">
            <v>MINISTERE DE LA DEFENSE DU NIG</v>
          </cell>
          <cell r="C348" t="str">
            <v>Oui</v>
          </cell>
        </row>
        <row r="349">
          <cell r="A349" t="str">
            <v>XFR0006087AV07A</v>
          </cell>
          <cell r="B349" t="str">
            <v>IGN-MRA</v>
          </cell>
          <cell r="C349" t="str">
            <v>Oui</v>
          </cell>
        </row>
        <row r="350">
          <cell r="A350" t="str">
            <v>XFR0006091AV07A</v>
          </cell>
          <cell r="B350" t="str">
            <v>LOISEAU DANIEL - MRA</v>
          </cell>
          <cell r="C350" t="str">
            <v>Oui</v>
          </cell>
        </row>
        <row r="351">
          <cell r="A351" t="str">
            <v>XFR0006094AV07A</v>
          </cell>
          <cell r="B351" t="str">
            <v>ARJO WIGGINS CANSON MRA</v>
          </cell>
          <cell r="C351" t="str">
            <v>Oui</v>
          </cell>
        </row>
        <row r="352">
          <cell r="A352" t="str">
            <v>XFR0006098AV07A</v>
          </cell>
          <cell r="B352" t="str">
            <v>PELLETIER THOMAS MRA</v>
          </cell>
          <cell r="C352" t="str">
            <v>Oui</v>
          </cell>
        </row>
        <row r="353">
          <cell r="A353" t="str">
            <v>XFR0006113AV07A</v>
          </cell>
          <cell r="B353" t="str">
            <v>CORAIL HELICOPTERE MRA</v>
          </cell>
          <cell r="C353" t="str">
            <v>Oui</v>
          </cell>
        </row>
        <row r="354">
          <cell r="A354" t="str">
            <v>XFR0006128AV07A</v>
          </cell>
          <cell r="B354" t="str">
            <v>SERVICIOS AEREOS ESPANOLES SA</v>
          </cell>
          <cell r="C354" t="str">
            <v>Oui</v>
          </cell>
        </row>
        <row r="355">
          <cell r="A355" t="str">
            <v>XFR0006130AV07A</v>
          </cell>
          <cell r="B355" t="str">
            <v>DECELLE Claude</v>
          </cell>
          <cell r="C355" t="str">
            <v>Oui</v>
          </cell>
        </row>
        <row r="356">
          <cell r="A356" t="str">
            <v>XFR0006131AV07A</v>
          </cell>
          <cell r="B356" t="str">
            <v>ALLUNI - MRA</v>
          </cell>
          <cell r="C356" t="str">
            <v>Oui</v>
          </cell>
        </row>
        <row r="357">
          <cell r="A357" t="str">
            <v>XFR0006133AV07A</v>
          </cell>
          <cell r="B357" t="str">
            <v>AVDEF MRA</v>
          </cell>
          <cell r="C357" t="str">
            <v>Oui</v>
          </cell>
        </row>
        <row r="358">
          <cell r="A358" t="str">
            <v>XFR0006134AV07A</v>
          </cell>
          <cell r="B358" t="str">
            <v>AERO CLUB DE L AISNE  MRA</v>
          </cell>
          <cell r="C358" t="str">
            <v>Oui</v>
          </cell>
        </row>
        <row r="359">
          <cell r="A359" t="str">
            <v>XFR0006137AV07A</v>
          </cell>
          <cell r="B359" t="str">
            <v>ELECTRONIQUE MAINTENANCE INDIV</v>
          </cell>
          <cell r="C359" t="str">
            <v>Oui</v>
          </cell>
        </row>
        <row r="360">
          <cell r="A360" t="str">
            <v>XFR0006144AV07A</v>
          </cell>
          <cell r="B360" t="str">
            <v>OUSTEAU - MRA</v>
          </cell>
          <cell r="C360" t="str">
            <v>Oui</v>
          </cell>
        </row>
        <row r="361">
          <cell r="A361" t="str">
            <v>XFR0006152AV07A</v>
          </cell>
          <cell r="B361" t="str">
            <v>HELI SUD - MRA</v>
          </cell>
          <cell r="C361" t="str">
            <v>Oui</v>
          </cell>
        </row>
        <row r="362">
          <cell r="A362" t="str">
            <v>XFR0006164AV07A</v>
          </cell>
          <cell r="B362" t="str">
            <v>AERO VISION MRA</v>
          </cell>
          <cell r="C362" t="str">
            <v>Oui</v>
          </cell>
        </row>
        <row r="363">
          <cell r="A363" t="str">
            <v>XFR0006175AV07A</v>
          </cell>
          <cell r="B363" t="str">
            <v>RUN HELICOPTERE - MRA</v>
          </cell>
          <cell r="C363" t="str">
            <v>Oui</v>
          </cell>
        </row>
        <row r="364">
          <cell r="A364" t="str">
            <v>XFR0006181AV07A</v>
          </cell>
          <cell r="B364" t="str">
            <v>ROSSET CHRISTIAN - MRA</v>
          </cell>
          <cell r="C364" t="str">
            <v>Oui</v>
          </cell>
        </row>
        <row r="365">
          <cell r="A365" t="str">
            <v>XFR0006208AV07A</v>
          </cell>
          <cell r="B365" t="str">
            <v>RUGGERI MICHEL</v>
          </cell>
          <cell r="C365" t="str">
            <v>Oui</v>
          </cell>
        </row>
        <row r="366">
          <cell r="A366" t="str">
            <v>XFR0006215AV07A</v>
          </cell>
          <cell r="B366" t="str">
            <v>ASS. AERIENNE VOLTAIR</v>
          </cell>
          <cell r="C366" t="str">
            <v>Oui</v>
          </cell>
        </row>
        <row r="367">
          <cell r="A367" t="str">
            <v>XFR0006220AV07A</v>
          </cell>
          <cell r="B367" t="str">
            <v>EDS SARL MRA</v>
          </cell>
          <cell r="C367" t="str">
            <v>Oui</v>
          </cell>
        </row>
        <row r="368">
          <cell r="A368" t="str">
            <v>XFR0006224AV07A</v>
          </cell>
          <cell r="B368" t="str">
            <v>AC TURBOMECA - MRA</v>
          </cell>
          <cell r="C368" t="str">
            <v>Oui</v>
          </cell>
        </row>
        <row r="369">
          <cell r="A369" t="str">
            <v>XFR0006228AV07A</v>
          </cell>
          <cell r="B369" t="str">
            <v>saris vilgrain mra</v>
          </cell>
          <cell r="C369" t="str">
            <v>Oui</v>
          </cell>
        </row>
        <row r="370">
          <cell r="A370" t="str">
            <v>XFR0006229AV07A</v>
          </cell>
          <cell r="B370" t="str">
            <v>JAR VENTURE-MRA</v>
          </cell>
          <cell r="C370" t="str">
            <v>Oui</v>
          </cell>
        </row>
        <row r="371">
          <cell r="A371" t="str">
            <v>XFR0006233AV07A</v>
          </cell>
          <cell r="B371" t="str">
            <v>ginestet mra</v>
          </cell>
          <cell r="C371" t="str">
            <v>Oui</v>
          </cell>
        </row>
        <row r="372">
          <cell r="A372" t="str">
            <v>XFR0006235AV07A</v>
          </cell>
          <cell r="B372" t="str">
            <v>ramon josa mra</v>
          </cell>
          <cell r="C372" t="str">
            <v>Oui</v>
          </cell>
        </row>
        <row r="373">
          <cell r="A373" t="str">
            <v>XFR0006236AV07A</v>
          </cell>
          <cell r="B373" t="str">
            <v>FRENCH CLUB 2007 REPOSSESSION</v>
          </cell>
          <cell r="C373" t="str">
            <v>Oui</v>
          </cell>
        </row>
        <row r="374">
          <cell r="A374" t="str">
            <v>XFR0006237AV07A</v>
          </cell>
          <cell r="B374" t="str">
            <v>nina mra</v>
          </cell>
          <cell r="C374" t="str">
            <v>Oui</v>
          </cell>
        </row>
        <row r="375">
          <cell r="A375" t="str">
            <v>XFR0006241AV07A</v>
          </cell>
          <cell r="B375" t="str">
            <v>RAGNINI JEAN CLAUDE - MRA</v>
          </cell>
          <cell r="C375" t="str">
            <v>Oui</v>
          </cell>
        </row>
        <row r="376">
          <cell r="A376" t="str">
            <v>XFR0006242AV07A</v>
          </cell>
          <cell r="B376" t="str">
            <v>PAUL MAES/ P.MULLER-MRA</v>
          </cell>
          <cell r="C376" t="str">
            <v>Oui</v>
          </cell>
        </row>
        <row r="377">
          <cell r="A377" t="str">
            <v>XFR0006244AV07A</v>
          </cell>
          <cell r="B377" t="str">
            <v>staff air service - mra</v>
          </cell>
          <cell r="C377" t="str">
            <v>Oui</v>
          </cell>
        </row>
        <row r="378">
          <cell r="A378" t="str">
            <v>XFR0006250AV07A</v>
          </cell>
          <cell r="B378" t="str">
            <v>ac du golfe de st tropez</v>
          </cell>
          <cell r="C378" t="str">
            <v>Oui</v>
          </cell>
        </row>
        <row r="379">
          <cell r="A379" t="str">
            <v>XFR0006260AV07A</v>
          </cell>
          <cell r="B379" t="str">
            <v>IGN-MRA</v>
          </cell>
          <cell r="C379" t="str">
            <v>Oui</v>
          </cell>
        </row>
        <row r="380">
          <cell r="A380" t="str">
            <v>XFR0006261AV07A</v>
          </cell>
          <cell r="B380" t="str">
            <v>UBG LOCATION-MRA</v>
          </cell>
          <cell r="C380" t="str">
            <v>Oui</v>
          </cell>
        </row>
        <row r="381">
          <cell r="A381" t="str">
            <v>XFR0006262AV07A</v>
          </cell>
          <cell r="B381" t="str">
            <v>STE DIAT FAT - MRA</v>
          </cell>
          <cell r="C381" t="str">
            <v>Oui</v>
          </cell>
        </row>
        <row r="382">
          <cell r="A382" t="str">
            <v>XFR0006263AV07A</v>
          </cell>
          <cell r="B382" t="str">
            <v>EQUAFLIGHT (BEECH/EMB120) 2007</v>
          </cell>
          <cell r="C382" t="str">
            <v>Oui</v>
          </cell>
        </row>
        <row r="383">
          <cell r="A383" t="str">
            <v>XFR0006264AV07A</v>
          </cell>
          <cell r="B383" t="str">
            <v>AIR ET CIE-MRA</v>
          </cell>
          <cell r="C383" t="str">
            <v>Oui</v>
          </cell>
        </row>
        <row r="384">
          <cell r="A384" t="str">
            <v>XFR0006268AV07A</v>
          </cell>
          <cell r="B384" t="str">
            <v>SYND.DES PILOTES GIRONDE-MRA</v>
          </cell>
          <cell r="C384" t="str">
            <v>Oui</v>
          </cell>
        </row>
        <row r="385">
          <cell r="A385" t="str">
            <v>XFR0006270AV07A</v>
          </cell>
          <cell r="B385" t="str">
            <v>ECOLE PARACHUTISME D'AGEN</v>
          </cell>
          <cell r="C385" t="str">
            <v>Oui</v>
          </cell>
        </row>
        <row r="386">
          <cell r="A386" t="str">
            <v>XFR0006271AV07A</v>
          </cell>
          <cell r="B386" t="str">
            <v>GROUPE L'HOTEL  CORPS - IND</v>
          </cell>
          <cell r="C386" t="str">
            <v>Oui</v>
          </cell>
        </row>
        <row r="387">
          <cell r="A387" t="str">
            <v>XFR0006272AV07A</v>
          </cell>
          <cell r="B387" t="str">
            <v>GROUPE L'HOTEL  RC</v>
          </cell>
          <cell r="C387" t="str">
            <v>Oui</v>
          </cell>
        </row>
        <row r="388">
          <cell r="A388" t="str">
            <v>XFR0006294AV07A</v>
          </cell>
          <cell r="B388" t="str">
            <v>CHAUTEMPS</v>
          </cell>
          <cell r="C388" t="str">
            <v>Oui</v>
          </cell>
        </row>
        <row r="389">
          <cell r="A389" t="str">
            <v>XFR0006299AV07A</v>
          </cell>
          <cell r="B389" t="str">
            <v>ecole para midi pyrenees</v>
          </cell>
          <cell r="C389" t="str">
            <v>Oui</v>
          </cell>
        </row>
        <row r="390">
          <cell r="A390" t="str">
            <v>XFR0006300AV07A</v>
          </cell>
          <cell r="B390" t="str">
            <v>MUSEE AERO CORSE - MRA</v>
          </cell>
          <cell r="C390" t="str">
            <v>Oui</v>
          </cell>
        </row>
        <row r="391">
          <cell r="A391" t="str">
            <v>XFR0006314AV07A</v>
          </cell>
          <cell r="B391" t="str">
            <v>HELICOPTEROS INSULARES SL-MRA</v>
          </cell>
          <cell r="C391" t="str">
            <v>Oui</v>
          </cell>
        </row>
        <row r="392">
          <cell r="A392" t="str">
            <v>XFR0006324AV07A</v>
          </cell>
          <cell r="B392" t="str">
            <v>HELI TOURISME-MRA</v>
          </cell>
          <cell r="C392" t="str">
            <v>Oui</v>
          </cell>
        </row>
        <row r="393">
          <cell r="A393" t="str">
            <v>XFR0006327AV07A</v>
          </cell>
          <cell r="B393" t="str">
            <v>TRIBLE</v>
          </cell>
          <cell r="C393" t="str">
            <v>Oui</v>
          </cell>
        </row>
        <row r="394">
          <cell r="A394" t="str">
            <v>XFR0006345AV07A</v>
          </cell>
          <cell r="B394" t="str">
            <v>SPORTEC - MRA</v>
          </cell>
          <cell r="C394" t="str">
            <v>Oui</v>
          </cell>
        </row>
        <row r="395">
          <cell r="A395" t="str">
            <v>XFR0006354AV07A</v>
          </cell>
          <cell r="B395" t="str">
            <v>ATL 74 SARL - MRA</v>
          </cell>
          <cell r="C395" t="str">
            <v>Oui</v>
          </cell>
        </row>
        <row r="396">
          <cell r="A396" t="str">
            <v>XFR0006355AV07A</v>
          </cell>
          <cell r="B396" t="str">
            <v>FLYING ROBOT RC MANIF.</v>
          </cell>
          <cell r="C396" t="str">
            <v>Oui</v>
          </cell>
        </row>
        <row r="397">
          <cell r="A397" t="str">
            <v>XFR0006358AV07A</v>
          </cell>
          <cell r="B397" t="str">
            <v>AEROVAL - MRA</v>
          </cell>
          <cell r="C397" t="str">
            <v>Oui</v>
          </cell>
        </row>
        <row r="398">
          <cell r="A398" t="str">
            <v>XFR0006374AV07A</v>
          </cell>
          <cell r="B398" t="str">
            <v>AA DU VAL DE DURANCE - MRA</v>
          </cell>
          <cell r="C398" t="str">
            <v>Oui</v>
          </cell>
        </row>
        <row r="399">
          <cell r="A399" t="str">
            <v>XFR0006378AV07A</v>
          </cell>
          <cell r="B399" t="str">
            <v>ASS AERO VAL  DURANCE -RC PRES</v>
          </cell>
          <cell r="C399" t="str">
            <v>Oui</v>
          </cell>
        </row>
        <row r="400">
          <cell r="A400" t="str">
            <v>XFR0006380AV07A</v>
          </cell>
          <cell r="B400" t="str">
            <v>PLANTATIONS HAUT PENJA - MRA</v>
          </cell>
          <cell r="C400" t="str">
            <v>Oui</v>
          </cell>
        </row>
        <row r="401">
          <cell r="A401" t="str">
            <v>XFR0006381AV07A</v>
          </cell>
          <cell r="B401" t="str">
            <v>HELI PLUM  MRA</v>
          </cell>
          <cell r="C401" t="str">
            <v>Oui</v>
          </cell>
        </row>
        <row r="402">
          <cell r="A402" t="str">
            <v>XFR0006383AV07A</v>
          </cell>
          <cell r="B402" t="str">
            <v>FRANCART - IND 24/24 ANNEE VOY</v>
          </cell>
          <cell r="C402" t="str">
            <v>Oui</v>
          </cell>
        </row>
        <row r="403">
          <cell r="A403" t="str">
            <v>XFR0006384AV07A</v>
          </cell>
          <cell r="B403" t="str">
            <v>AC DE L'ESTUAIRE DE LA SEINE</v>
          </cell>
          <cell r="C403" t="str">
            <v>Oui</v>
          </cell>
        </row>
        <row r="404">
          <cell r="A404" t="str">
            <v>XFR0006387AV07A</v>
          </cell>
          <cell r="B404" t="str">
            <v>FLYING ROBOT</v>
          </cell>
          <cell r="C404" t="str">
            <v>Oui</v>
          </cell>
        </row>
        <row r="405">
          <cell r="A405" t="str">
            <v>XFR0006392AV07A</v>
          </cell>
          <cell r="B405" t="str">
            <v>THS AVIONS MRA</v>
          </cell>
          <cell r="C405" t="str">
            <v>Oui</v>
          </cell>
        </row>
        <row r="406">
          <cell r="A406" t="str">
            <v>XFR0006394AV07A</v>
          </cell>
          <cell r="B406" t="str">
            <v>PETTINELLI FRANCOIS - MRA</v>
          </cell>
          <cell r="C406" t="str">
            <v>Oui</v>
          </cell>
        </row>
        <row r="407">
          <cell r="A407" t="str">
            <v>XFR0006404AV07A</v>
          </cell>
          <cell r="B407" t="str">
            <v>AC DU PUY - MRA</v>
          </cell>
          <cell r="C407" t="str">
            <v>Oui</v>
          </cell>
        </row>
        <row r="408">
          <cell r="A408" t="str">
            <v>XFR0006413AV07A</v>
          </cell>
          <cell r="B408" t="str">
            <v>AC PROVENCE AVIATION - MRA</v>
          </cell>
          <cell r="C408" t="str">
            <v>Oui</v>
          </cell>
        </row>
        <row r="409">
          <cell r="A409" t="str">
            <v>XFR0006415AV07A</v>
          </cell>
          <cell r="B409" t="str">
            <v>SNC EURO BALLOON -MRA</v>
          </cell>
          <cell r="C409" t="str">
            <v>Oui</v>
          </cell>
        </row>
        <row r="410">
          <cell r="A410" t="str">
            <v>XFR0006417AV07A</v>
          </cell>
          <cell r="B410" t="str">
            <v>EDF - RC HELICO MRA 2007</v>
          </cell>
          <cell r="C410" t="str">
            <v>Oui</v>
          </cell>
        </row>
        <row r="411">
          <cell r="A411" t="str">
            <v>XFR0006418AV07A</v>
          </cell>
          <cell r="B411" t="str">
            <v>TRANSP. EXCAV. T. BIGAS GR-MRA</v>
          </cell>
          <cell r="C411" t="str">
            <v>Oui</v>
          </cell>
        </row>
        <row r="412">
          <cell r="A412" t="str">
            <v>XFR0006422AV07A</v>
          </cell>
          <cell r="B412" t="str">
            <v>BKS AIR / RIVAFLECHA - MRA</v>
          </cell>
          <cell r="C412" t="str">
            <v>Oui</v>
          </cell>
        </row>
        <row r="413">
          <cell r="A413" t="str">
            <v>XFR0006423AV07A</v>
          </cell>
          <cell r="B413" t="str">
            <v>ZATARA FREDERIC - MRA</v>
          </cell>
          <cell r="C413" t="str">
            <v>Oui</v>
          </cell>
        </row>
        <row r="414">
          <cell r="A414" t="str">
            <v>XFR0006429AV07A</v>
          </cell>
          <cell r="B414" t="str">
            <v>FAGAN DONALD - MRA</v>
          </cell>
          <cell r="C414" t="str">
            <v>Oui</v>
          </cell>
        </row>
        <row r="415">
          <cell r="A415" t="str">
            <v>XFR0006431AV07A</v>
          </cell>
          <cell r="B415" t="str">
            <v>HELI PROTECTION MRA 2007</v>
          </cell>
          <cell r="C415" t="str">
            <v>Oui</v>
          </cell>
        </row>
        <row r="416">
          <cell r="A416" t="str">
            <v>XFR0006445AV07A</v>
          </cell>
          <cell r="B416" t="str">
            <v>PROCOPTERE MRA</v>
          </cell>
          <cell r="C416" t="str">
            <v>Oui</v>
          </cell>
        </row>
        <row r="417">
          <cell r="A417" t="str">
            <v>XFR0006456AV07A</v>
          </cell>
          <cell r="B417" t="str">
            <v>CEP DE CAHORS - MRA</v>
          </cell>
          <cell r="C417" t="str">
            <v>Oui</v>
          </cell>
        </row>
        <row r="418">
          <cell r="A418" t="str">
            <v>XFR0006463AV07A</v>
          </cell>
          <cell r="B418" t="str">
            <v>AVANGARD - LS AELIA</v>
          </cell>
          <cell r="C418" t="str">
            <v>Oui</v>
          </cell>
        </row>
        <row r="419">
          <cell r="A419" t="str">
            <v>XFR0006470AV07A</v>
          </cell>
          <cell r="B419" t="str">
            <v>PIXSCENE - MRA</v>
          </cell>
          <cell r="C419" t="str">
            <v>Oui</v>
          </cell>
        </row>
        <row r="420">
          <cell r="A420" t="str">
            <v>XFR0006472AV07A</v>
          </cell>
          <cell r="B420" t="str">
            <v>TAXI CARAIBES AIR - MRA</v>
          </cell>
          <cell r="C420" t="str">
            <v>Oui</v>
          </cell>
        </row>
        <row r="421">
          <cell r="A421" t="str">
            <v>XFR0006473AV07A</v>
          </cell>
          <cell r="B421" t="str">
            <v>HELI TRANS PYRINEES</v>
          </cell>
          <cell r="C421" t="str">
            <v>Oui</v>
          </cell>
        </row>
        <row r="422">
          <cell r="A422" t="str">
            <v>XFR0006479AV07A</v>
          </cell>
          <cell r="B422" t="str">
            <v>MONACAIR-MRA</v>
          </cell>
          <cell r="C422" t="str">
            <v>Oui</v>
          </cell>
        </row>
        <row r="423">
          <cell r="A423" t="str">
            <v>XFR0006480AV07A</v>
          </cell>
          <cell r="B423" t="str">
            <v>westcopter-mra</v>
          </cell>
          <cell r="C423" t="str">
            <v>Oui</v>
          </cell>
        </row>
        <row r="424">
          <cell r="A424" t="str">
            <v>XFR0006490AV07A</v>
          </cell>
          <cell r="B424" t="str">
            <v>BESCOS ET FILS-MRA</v>
          </cell>
          <cell r="C424" t="str">
            <v>Oui</v>
          </cell>
        </row>
        <row r="425">
          <cell r="A425" t="str">
            <v>XFR0006500AV07A</v>
          </cell>
          <cell r="B425" t="str">
            <v>SDIS AUDE - Ind Pass</v>
          </cell>
          <cell r="C425" t="str">
            <v>Oui</v>
          </cell>
        </row>
        <row r="426">
          <cell r="A426" t="str">
            <v>XFR0006507AV07A</v>
          </cell>
          <cell r="B426" t="str">
            <v>SERVICIOS AEREOS ESPANOLES AVI</v>
          </cell>
          <cell r="C426" t="str">
            <v>Oui</v>
          </cell>
        </row>
        <row r="427">
          <cell r="A427" t="str">
            <v>XFR0006508AV07A</v>
          </cell>
          <cell r="B427" t="str">
            <v>SOLERINE MRA</v>
          </cell>
          <cell r="C427" t="str">
            <v>Oui</v>
          </cell>
        </row>
        <row r="428">
          <cell r="A428" t="str">
            <v>XFR0006514AV07A</v>
          </cell>
          <cell r="B428" t="str">
            <v>PROCOPTERE AVIATION</v>
          </cell>
          <cell r="C428" t="str">
            <v>Oui</v>
          </cell>
        </row>
        <row r="429">
          <cell r="A429" t="str">
            <v>XFR0006541AV07A</v>
          </cell>
          <cell r="B429" t="str">
            <v>scp heli service - mra</v>
          </cell>
          <cell r="C429" t="str">
            <v>Oui</v>
          </cell>
        </row>
        <row r="430">
          <cell r="A430" t="str">
            <v>XFR0006562AV07A</v>
          </cell>
          <cell r="B430" t="str">
            <v>STE INTERDZ</v>
          </cell>
          <cell r="C430" t="str">
            <v>Oui</v>
          </cell>
        </row>
        <row r="431">
          <cell r="A431" t="str">
            <v>XFR0006576AV07A</v>
          </cell>
          <cell r="B431" t="str">
            <v>CNES RC</v>
          </cell>
          <cell r="C431" t="str">
            <v>Oui</v>
          </cell>
        </row>
        <row r="432">
          <cell r="A432" t="str">
            <v>XFR0006577AV07A</v>
          </cell>
          <cell r="B432" t="str">
            <v>REGOURD POLICE OUVERTE 07</v>
          </cell>
          <cell r="C432" t="str">
            <v>Oui</v>
          </cell>
        </row>
        <row r="433">
          <cell r="A433" t="str">
            <v>XFR0006585AV07A</v>
          </cell>
          <cell r="B433" t="str">
            <v>AVIATION PROMOTION SERVICES SA</v>
          </cell>
          <cell r="C433" t="str">
            <v>Oui</v>
          </cell>
        </row>
        <row r="434">
          <cell r="A434" t="str">
            <v>XFR0006588AV07A</v>
          </cell>
          <cell r="B434" t="str">
            <v>I.R.A.M. INDIVIDUELLE</v>
          </cell>
          <cell r="C434" t="str">
            <v>Oui</v>
          </cell>
        </row>
        <row r="435">
          <cell r="A435" t="str">
            <v>XFR0006589AV07A</v>
          </cell>
          <cell r="B435" t="str">
            <v>CNRS INSU - MRA</v>
          </cell>
          <cell r="C435" t="str">
            <v>Oui</v>
          </cell>
        </row>
        <row r="436">
          <cell r="A436" t="str">
            <v>XFR0006595AV07A</v>
          </cell>
          <cell r="B436" t="str">
            <v>CLUB SPORTIF CASTRES RC MANIF</v>
          </cell>
          <cell r="C436" t="str">
            <v>Oui</v>
          </cell>
        </row>
        <row r="437">
          <cell r="A437" t="str">
            <v>XFR0006618AV07A</v>
          </cell>
          <cell r="B437" t="str">
            <v>DARTA MRA</v>
          </cell>
          <cell r="C437" t="str">
            <v>Oui</v>
          </cell>
        </row>
        <row r="438">
          <cell r="A438" t="str">
            <v>XFR0006625AV07A</v>
          </cell>
          <cell r="B438" t="str">
            <v>HSA MRA</v>
          </cell>
          <cell r="C438" t="str">
            <v>Oui</v>
          </cell>
        </row>
        <row r="439">
          <cell r="A439" t="str">
            <v>XFR0006627AV07A</v>
          </cell>
          <cell r="B439" t="str">
            <v>HELI SECURITE  RC MANIF A L'AN</v>
          </cell>
          <cell r="C439" t="str">
            <v>Oui</v>
          </cell>
        </row>
        <row r="440">
          <cell r="A440" t="str">
            <v>XFR0006649AV07A</v>
          </cell>
          <cell r="B440" t="str">
            <v>LA POSTE - MRA</v>
          </cell>
          <cell r="C440" t="str">
            <v>Oui</v>
          </cell>
        </row>
        <row r="441">
          <cell r="A441" t="str">
            <v>XFR0006653AV07A</v>
          </cell>
          <cell r="B441" t="str">
            <v>GROUPE GINESTET</v>
          </cell>
          <cell r="C441" t="str">
            <v>Oui</v>
          </cell>
        </row>
        <row r="442">
          <cell r="A442" t="str">
            <v>XFR0006654AV07A</v>
          </cell>
          <cell r="B442" t="str">
            <v>ECOLE REG. PARA GRANVILLE -MRA</v>
          </cell>
          <cell r="C442" t="str">
            <v>Oui</v>
          </cell>
        </row>
        <row r="443">
          <cell r="A443" t="str">
            <v>XFR0006661AV07A</v>
          </cell>
          <cell r="B443" t="str">
            <v>ASECNA-MRA</v>
          </cell>
          <cell r="C443" t="str">
            <v>Oui</v>
          </cell>
        </row>
        <row r="444">
          <cell r="A444" t="str">
            <v>XFR0006663AV07A</v>
          </cell>
          <cell r="B444" t="str">
            <v>EAGLE JET IA</v>
          </cell>
          <cell r="C444" t="str">
            <v>Oui</v>
          </cell>
        </row>
        <row r="445">
          <cell r="A445" t="str">
            <v>XFR0006677AV07A</v>
          </cell>
          <cell r="B445" t="str">
            <v>HELITTORAL - MRA</v>
          </cell>
          <cell r="C445" t="str">
            <v>Oui</v>
          </cell>
        </row>
        <row r="446">
          <cell r="A446" t="str">
            <v>XFR0006682AV07A</v>
          </cell>
          <cell r="B446" t="str">
            <v>REGOURD 2007 EC135 F-HBMA  MRA</v>
          </cell>
          <cell r="C446" t="str">
            <v>Oui</v>
          </cell>
        </row>
        <row r="447">
          <cell r="A447" t="str">
            <v>XFR0006684AV07A</v>
          </cell>
          <cell r="B447" t="str">
            <v>LE ROBUSTE SARL  MRA 2007</v>
          </cell>
          <cell r="C447" t="str">
            <v>Oui</v>
          </cell>
        </row>
        <row r="448">
          <cell r="A448" t="str">
            <v>XFR0006686AV07A</v>
          </cell>
          <cell r="B448" t="str">
            <v>CEP DE LA REUNION / PARA CLUB</v>
          </cell>
          <cell r="C448" t="str">
            <v>Oui</v>
          </cell>
        </row>
        <row r="449">
          <cell r="A449" t="str">
            <v>XFR0006687AV07A</v>
          </cell>
          <cell r="B449" t="str">
            <v>Michel LASSABLIERE et Marcel G</v>
          </cell>
          <cell r="C449" t="str">
            <v>Oui</v>
          </cell>
        </row>
        <row r="450">
          <cell r="A450" t="str">
            <v>XFR0006689AV07A</v>
          </cell>
          <cell r="B450" t="str">
            <v>SARL CAP SUD TAHITI - MRA</v>
          </cell>
          <cell r="C450" t="str">
            <v>Oui</v>
          </cell>
        </row>
        <row r="451">
          <cell r="A451" t="str">
            <v>XFR0006690AV07A</v>
          </cell>
          <cell r="B451" t="str">
            <v>JEAN-PIERRE REGACHE - MRA</v>
          </cell>
          <cell r="C451" t="str">
            <v>Oui</v>
          </cell>
        </row>
        <row r="452">
          <cell r="A452" t="str">
            <v>XFR0006691AV07A</v>
          </cell>
          <cell r="B452" t="str">
            <v>VOYAG'AIR-MRA</v>
          </cell>
          <cell r="C452" t="str">
            <v>Oui</v>
          </cell>
        </row>
        <row r="453">
          <cell r="A453" t="str">
            <v>XFR0006693AV07A</v>
          </cell>
          <cell r="B453" t="str">
            <v>STE HOLDING DE BOIS EXOTIQUES</v>
          </cell>
          <cell r="C453" t="str">
            <v>Oui</v>
          </cell>
        </row>
        <row r="454">
          <cell r="A454" t="str">
            <v>XFR0006695AV07A</v>
          </cell>
          <cell r="B454" t="str">
            <v>JM HADJADJ / Alain ZYCH - MRA</v>
          </cell>
          <cell r="C454" t="str">
            <v>Oui</v>
          </cell>
        </row>
        <row r="455">
          <cell r="A455" t="str">
            <v>XFR0006697AV07A</v>
          </cell>
          <cell r="B455" t="str">
            <v>SAF - PIECES DETACHEES 2007</v>
          </cell>
          <cell r="C455" t="str">
            <v>Oui</v>
          </cell>
        </row>
        <row r="456">
          <cell r="A456" t="str">
            <v>XFR0006698AV07A</v>
          </cell>
          <cell r="B456" t="str">
            <v>SAF - RC MANIFESTATION AERIENN</v>
          </cell>
          <cell r="C456" t="str">
            <v>Oui</v>
          </cell>
        </row>
        <row r="457">
          <cell r="A457" t="str">
            <v>XFR0006703AV07A</v>
          </cell>
          <cell r="B457" t="str">
            <v>SAF MRA  - (GROS HELICOS - SAM</v>
          </cell>
          <cell r="C457" t="str">
            <v>Oui</v>
          </cell>
        </row>
        <row r="458">
          <cell r="A458" t="str">
            <v>XFR0006706AV07A</v>
          </cell>
          <cell r="B458" t="str">
            <v>SAF MRA - (PETITS HELICOS - SE</v>
          </cell>
          <cell r="C458" t="str">
            <v>Oui</v>
          </cell>
        </row>
        <row r="459">
          <cell r="A459" t="str">
            <v>XFR0006707AV07A</v>
          </cell>
          <cell r="B459" t="str">
            <v>IXAIR - HELIFRANCE - MRA</v>
          </cell>
          <cell r="C459" t="str">
            <v>Oui</v>
          </cell>
        </row>
        <row r="460">
          <cell r="A460" t="str">
            <v>XFR0006712AV07A</v>
          </cell>
          <cell r="B460" t="str">
            <v>POLYNESIE PERLES - MRA</v>
          </cell>
          <cell r="C460" t="str">
            <v>Oui</v>
          </cell>
        </row>
        <row r="461">
          <cell r="A461" t="str">
            <v>XFR0006713AV07A</v>
          </cell>
          <cell r="B461" t="str">
            <v>AERO JET CORPORATE</v>
          </cell>
          <cell r="C461" t="str">
            <v>Oui</v>
          </cell>
        </row>
        <row r="462">
          <cell r="A462" t="str">
            <v>XFR0006714AV07A</v>
          </cell>
          <cell r="B462" t="str">
            <v>INFOTRON</v>
          </cell>
          <cell r="C462" t="str">
            <v>Oui</v>
          </cell>
        </row>
        <row r="463">
          <cell r="A463" t="str">
            <v>XFR0006727AV07A</v>
          </cell>
          <cell r="B463" t="str">
            <v>MIALLIER THIERRY-MRA</v>
          </cell>
          <cell r="C463" t="str">
            <v>Oui</v>
          </cell>
        </row>
        <row r="464">
          <cell r="A464" t="str">
            <v>XFR0006728AV07A</v>
          </cell>
          <cell r="B464" t="str">
            <v>VINCENT  Christian</v>
          </cell>
          <cell r="C464" t="str">
            <v>Oui</v>
          </cell>
        </row>
        <row r="465">
          <cell r="A465" t="str">
            <v>XFR0006729AV07A</v>
          </cell>
          <cell r="B465" t="str">
            <v>ABRI AERO ET MAYENNE AIR</v>
          </cell>
          <cell r="C465" t="str">
            <v>Oui</v>
          </cell>
        </row>
        <row r="466">
          <cell r="A466" t="str">
            <v>XFR0006730AV07A</v>
          </cell>
          <cell r="B466" t="str">
            <v>ATLANTIQUE AIR ASSISTANCE - MR</v>
          </cell>
          <cell r="C466" t="str">
            <v>Oui</v>
          </cell>
        </row>
        <row r="467">
          <cell r="A467" t="str">
            <v>XFR0006731AV07A</v>
          </cell>
          <cell r="B467" t="str">
            <v>ATLANTIQUE AIR LINES - MRA</v>
          </cell>
          <cell r="C467" t="str">
            <v>Oui</v>
          </cell>
        </row>
        <row r="468">
          <cell r="A468" t="str">
            <v>XFR0006733AV07A</v>
          </cell>
          <cell r="B468" t="str">
            <v>ATLANTIQUE AIR ASSISTANCE ET A</v>
          </cell>
          <cell r="C468" t="str">
            <v>Oui</v>
          </cell>
        </row>
        <row r="469">
          <cell r="A469" t="str">
            <v>XFR0006738AV07A</v>
          </cell>
          <cell r="B469" t="str">
            <v>Michel PERICHON - MRA</v>
          </cell>
          <cell r="C469" t="str">
            <v>Oui</v>
          </cell>
        </row>
        <row r="470">
          <cell r="A470" t="str">
            <v>XFR0006740AV07A</v>
          </cell>
          <cell r="B470" t="str">
            <v>ARAVIS HELICOPTERES - MRA</v>
          </cell>
          <cell r="C470" t="str">
            <v>Oui</v>
          </cell>
        </row>
        <row r="471">
          <cell r="A471" t="str">
            <v>XFR0006745AV07A</v>
          </cell>
          <cell r="B471" t="str">
            <v>YENTOUMI NITJA-MRA</v>
          </cell>
          <cell r="C471" t="str">
            <v>Oui</v>
          </cell>
        </row>
        <row r="472">
          <cell r="A472" t="str">
            <v>XFR0006756AV07A</v>
          </cell>
          <cell r="B472" t="str">
            <v>AERO CLUB DE SAVOIE - MRA</v>
          </cell>
          <cell r="C472" t="str">
            <v>Oui</v>
          </cell>
        </row>
        <row r="473">
          <cell r="A473" t="str">
            <v>XFR0006761AV07A</v>
          </cell>
          <cell r="B473" t="str">
            <v>YANKEE LIMA MRA</v>
          </cell>
          <cell r="C473" t="str">
            <v>Oui</v>
          </cell>
        </row>
        <row r="474">
          <cell r="A474" t="str">
            <v>XFR0006764AV07A</v>
          </cell>
          <cell r="B474" t="str">
            <v>JET MANAGEMENT TWIN OTTER CORP</v>
          </cell>
          <cell r="C474" t="str">
            <v>Oui</v>
          </cell>
        </row>
        <row r="475">
          <cell r="A475" t="str">
            <v>XFR0006780AV07A</v>
          </cell>
          <cell r="B475" t="str">
            <v>JET MANAGEMENT TWIN OTTER RC</v>
          </cell>
          <cell r="C475" t="str">
            <v>Oui</v>
          </cell>
        </row>
        <row r="476">
          <cell r="A476" t="str">
            <v>XFR0006790AV07A</v>
          </cell>
          <cell r="B476" t="str">
            <v>CHALLENGE MRA</v>
          </cell>
          <cell r="C476" t="str">
            <v>Oui</v>
          </cell>
        </row>
        <row r="477">
          <cell r="A477" t="str">
            <v>XFR0006795AV07A</v>
          </cell>
          <cell r="B477" t="str">
            <v>JET MANAGEMENT BEECH 1900 RORG</v>
          </cell>
          <cell r="C477" t="str">
            <v>Oui</v>
          </cell>
        </row>
        <row r="478">
          <cell r="A478" t="str">
            <v>XFR0006796AV07A</v>
          </cell>
          <cell r="B478" t="str">
            <v>JET MANAGEMENT BEECH 1900 RC</v>
          </cell>
          <cell r="C478" t="str">
            <v>Oui</v>
          </cell>
        </row>
        <row r="479">
          <cell r="A479" t="str">
            <v>XFR0006812AV07A</v>
          </cell>
          <cell r="B479" t="str">
            <v>SITTERLIN - MRA</v>
          </cell>
          <cell r="C479" t="str">
            <v>Oui</v>
          </cell>
        </row>
        <row r="480">
          <cell r="A480" t="str">
            <v>XFR0006814AV07A</v>
          </cell>
          <cell r="B480" t="str">
            <v>MICHELIN AIR SERVICES-MRA</v>
          </cell>
          <cell r="C480" t="str">
            <v>Oui</v>
          </cell>
        </row>
        <row r="481">
          <cell r="A481" t="str">
            <v>XFR0006821AV07A</v>
          </cell>
          <cell r="B481" t="str">
            <v>DAMIETTE J-C-MRA</v>
          </cell>
          <cell r="C481" t="str">
            <v>Oui</v>
          </cell>
        </row>
        <row r="482">
          <cell r="A482" t="str">
            <v>XFR0006826AV07A</v>
          </cell>
          <cell r="B482" t="str">
            <v>HELI BEARN - RC MANIFESTATION</v>
          </cell>
          <cell r="C482" t="str">
            <v>Oui</v>
          </cell>
        </row>
        <row r="483">
          <cell r="A483" t="str">
            <v>XFR0006827AV07A</v>
          </cell>
          <cell r="B483" t="str">
            <v>CPAC - CERGY PONTOISE AIR CLUB</v>
          </cell>
          <cell r="C483" t="str">
            <v>Oui</v>
          </cell>
        </row>
        <row r="484">
          <cell r="A484" t="str">
            <v>XFR0006828AV07A</v>
          </cell>
          <cell r="B484" t="str">
            <v>HELI BEARN - MRA</v>
          </cell>
          <cell r="C484" t="str">
            <v>Oui</v>
          </cell>
        </row>
        <row r="485">
          <cell r="A485" t="str">
            <v>XFR0006829AV07A</v>
          </cell>
          <cell r="B485" t="str">
            <v>AERO CLUB ROGER JANIN - MRA</v>
          </cell>
          <cell r="C485" t="str">
            <v>Oui</v>
          </cell>
        </row>
        <row r="486">
          <cell r="A486" t="str">
            <v>XFR0006830AV07A</v>
          </cell>
          <cell r="B486" t="str">
            <v>AERO CLUB DE BOURGOGNE - MRA</v>
          </cell>
          <cell r="C486" t="str">
            <v>Oui</v>
          </cell>
        </row>
        <row r="487">
          <cell r="A487" t="str">
            <v>XFR0006854AV07A</v>
          </cell>
          <cell r="B487" t="str">
            <v>LES AILES DU FENUA - AC DE TAH</v>
          </cell>
          <cell r="C487" t="str">
            <v>Oui</v>
          </cell>
        </row>
        <row r="488">
          <cell r="A488" t="str">
            <v>XFR0006863AV07A</v>
          </cell>
          <cell r="B488" t="str">
            <v>JSHS RC MANIF</v>
          </cell>
          <cell r="C488" t="str">
            <v>Oui</v>
          </cell>
        </row>
        <row r="489">
          <cell r="A489" t="str">
            <v>XFR0006872AV07A</v>
          </cell>
          <cell r="B489" t="str">
            <v>JSHS MRA</v>
          </cell>
          <cell r="C489" t="str">
            <v>Oui</v>
          </cell>
        </row>
        <row r="490">
          <cell r="A490" t="str">
            <v>XFR0006887AV07A</v>
          </cell>
          <cell r="B490" t="str">
            <v>heli 22 - MRA</v>
          </cell>
          <cell r="C490" t="str">
            <v>Oui</v>
          </cell>
        </row>
        <row r="491">
          <cell r="A491" t="str">
            <v>XFR0006890AV07A</v>
          </cell>
          <cell r="B491" t="str">
            <v>HELI EUROPE SA   PIPER PA23</v>
          </cell>
          <cell r="C491" t="str">
            <v>Oui</v>
          </cell>
        </row>
        <row r="492">
          <cell r="A492" t="str">
            <v>XFR0006903AV07A</v>
          </cell>
          <cell r="B492" t="str">
            <v>PHILIP YANNICK - MRA</v>
          </cell>
          <cell r="C492" t="str">
            <v>Oui</v>
          </cell>
        </row>
        <row r="493">
          <cell r="A493" t="str">
            <v>XFR0006935AV07A</v>
          </cell>
          <cell r="B493" t="str">
            <v>IXAIR/HELIFRANCE</v>
          </cell>
          <cell r="C493" t="str">
            <v>Oui</v>
          </cell>
        </row>
        <row r="494">
          <cell r="A494" t="str">
            <v>XFR0006941AV07A</v>
          </cell>
          <cell r="B494" t="str">
            <v>APEX AIRCRAFT - MRA</v>
          </cell>
          <cell r="C494" t="str">
            <v>Oui</v>
          </cell>
        </row>
        <row r="495">
          <cell r="A495" t="str">
            <v>XFR0006958AV07A</v>
          </cell>
          <cell r="B495" t="str">
            <v>MAT AVIATION - MRA</v>
          </cell>
          <cell r="C495" t="str">
            <v>Oui</v>
          </cell>
        </row>
        <row r="496">
          <cell r="A496" t="str">
            <v>XFR0006963AV07A</v>
          </cell>
          <cell r="B496" t="str">
            <v>AIR VENDEE INVESTISSEMENT - MR</v>
          </cell>
          <cell r="C496" t="str">
            <v>Oui</v>
          </cell>
        </row>
        <row r="497">
          <cell r="A497" t="str">
            <v>XFR0006964AV07A</v>
          </cell>
          <cell r="B497" t="str">
            <v>AERO CLUB D'ANDERNOS - MRA</v>
          </cell>
          <cell r="C497" t="str">
            <v>Oui</v>
          </cell>
        </row>
        <row r="498">
          <cell r="A498" t="str">
            <v>XFR0006966AV07A</v>
          </cell>
          <cell r="B498" t="str">
            <v>AERO CLUB DASSAULT ILE DE FRAN</v>
          </cell>
          <cell r="C498" t="str">
            <v>Oui</v>
          </cell>
        </row>
        <row r="499">
          <cell r="A499" t="str">
            <v>XFR0006967AV07A</v>
          </cell>
          <cell r="B499" t="str">
            <v>MONIN SERVICES AERIENS - MRA</v>
          </cell>
          <cell r="C499" t="str">
            <v>Oui</v>
          </cell>
        </row>
        <row r="500">
          <cell r="A500" t="str">
            <v>XFR0006970AV07A</v>
          </cell>
          <cell r="B500" t="str">
            <v>AERO CLUB DE BORDEAUX - MRA</v>
          </cell>
          <cell r="C500" t="str">
            <v>Oui</v>
          </cell>
        </row>
        <row r="501">
          <cell r="A501" t="str">
            <v>XFR0006971AV07A</v>
          </cell>
          <cell r="B501" t="str">
            <v>AERO CLUB DASSAULT AQUITAINE -</v>
          </cell>
          <cell r="C501" t="str">
            <v>Oui</v>
          </cell>
        </row>
        <row r="502">
          <cell r="A502" t="str">
            <v>XFR0006972AV07A</v>
          </cell>
          <cell r="B502" t="str">
            <v>AERO CLUB DASSAULT VOLTIGE - M</v>
          </cell>
          <cell r="C502" t="str">
            <v>Oui</v>
          </cell>
        </row>
        <row r="503">
          <cell r="A503" t="str">
            <v>XFR0006973AV07A</v>
          </cell>
          <cell r="B503" t="str">
            <v>AERO CLUB DASSAULT TOULOUSE -</v>
          </cell>
          <cell r="C503" t="str">
            <v>Oui</v>
          </cell>
        </row>
        <row r="504">
          <cell r="A504" t="str">
            <v>XFR0006975AV07A</v>
          </cell>
          <cell r="B504" t="str">
            <v>ASCEA ST GRENOBLE - MRA</v>
          </cell>
          <cell r="C504" t="str">
            <v>Oui</v>
          </cell>
        </row>
        <row r="505">
          <cell r="A505" t="str">
            <v>XFR0006979AV07A</v>
          </cell>
          <cell r="B505" t="str">
            <v>CTPL - MRA</v>
          </cell>
          <cell r="C505" t="str">
            <v>Oui</v>
          </cell>
        </row>
        <row r="506">
          <cell r="A506" t="str">
            <v>XFR0006981AV07A</v>
          </cell>
          <cell r="B506" t="str">
            <v>AIME FABREGAT - MRA</v>
          </cell>
          <cell r="C506" t="str">
            <v>Oui</v>
          </cell>
        </row>
        <row r="507">
          <cell r="A507" t="str">
            <v>XFR0006983AV07A</v>
          </cell>
          <cell r="B507" t="str">
            <v>Thierry GARBY - MRA</v>
          </cell>
          <cell r="C507" t="str">
            <v>Oui</v>
          </cell>
        </row>
        <row r="508">
          <cell r="A508" t="str">
            <v>XFR0006989AV07A</v>
          </cell>
          <cell r="B508" t="str">
            <v>DR. OETKER - MRA</v>
          </cell>
          <cell r="C508" t="str">
            <v>Oui</v>
          </cell>
        </row>
        <row r="509">
          <cell r="A509" t="str">
            <v>XFR0006994AV07A</v>
          </cell>
          <cell r="B509" t="str">
            <v>SERGE LONDERO - MRA</v>
          </cell>
          <cell r="C509" t="str">
            <v>Oui</v>
          </cell>
        </row>
        <row r="510">
          <cell r="A510" t="str">
            <v>XFR0006996AV07A</v>
          </cell>
          <cell r="B510" t="str">
            <v>Marc GRAPPOTTE - MRA</v>
          </cell>
          <cell r="C510" t="str">
            <v>Oui</v>
          </cell>
        </row>
        <row r="511">
          <cell r="A511" t="str">
            <v>XFR0007000AV07A</v>
          </cell>
          <cell r="B511" t="str">
            <v>ANEPVV - MRA</v>
          </cell>
          <cell r="C511" t="str">
            <v>Oui</v>
          </cell>
        </row>
        <row r="512">
          <cell r="A512" t="str">
            <v>XFR0007004AV07A</v>
          </cell>
          <cell r="B512" t="str">
            <v>JORDY - MRA</v>
          </cell>
          <cell r="C512" t="str">
            <v>Oui</v>
          </cell>
        </row>
        <row r="513">
          <cell r="A513" t="str">
            <v>XFR0007008AV07A</v>
          </cell>
          <cell r="B513" t="str">
            <v>HELI OXYGEN - P COSICH - DACOM</v>
          </cell>
          <cell r="C513" t="str">
            <v>Oui</v>
          </cell>
        </row>
        <row r="514">
          <cell r="A514" t="str">
            <v>XFR0007010AV07A</v>
          </cell>
          <cell r="B514" t="str">
            <v>SARL SPV SKY SERVICES - MRA</v>
          </cell>
          <cell r="C514" t="str">
            <v>Oui</v>
          </cell>
        </row>
        <row r="515">
          <cell r="A515" t="str">
            <v>XFR0007013AV07A</v>
          </cell>
          <cell r="B515" t="str">
            <v>PILOTAGE DU HAVRE-MRA</v>
          </cell>
          <cell r="C515" t="str">
            <v>Oui</v>
          </cell>
        </row>
        <row r="516">
          <cell r="A516" t="str">
            <v>XFR0007014AV07A</v>
          </cell>
          <cell r="B516" t="str">
            <v>BOISSONADE PIERRE - MRA</v>
          </cell>
          <cell r="C516" t="str">
            <v>Oui</v>
          </cell>
        </row>
        <row r="517">
          <cell r="A517" t="str">
            <v>XFR0007015AV07A</v>
          </cell>
          <cell r="B517" t="str">
            <v>AERO CLUB HORIZONCAL - MRA</v>
          </cell>
          <cell r="C517" t="str">
            <v>Oui</v>
          </cell>
        </row>
        <row r="518">
          <cell r="A518" t="str">
            <v>XFR0007026AV07A</v>
          </cell>
          <cell r="B518" t="str">
            <v>STE MINIERE MONTAGNAT-RC AERO</v>
          </cell>
          <cell r="C518" t="str">
            <v>Oui</v>
          </cell>
        </row>
        <row r="519">
          <cell r="A519" t="str">
            <v>XFR0007029AV07A</v>
          </cell>
          <cell r="B519" t="str">
            <v>ASS. AIR CLUB DU FOREZ</v>
          </cell>
          <cell r="C519" t="str">
            <v>Oui</v>
          </cell>
        </row>
        <row r="520">
          <cell r="A520" t="str">
            <v>XFR0007030AV07A</v>
          </cell>
          <cell r="B520" t="str">
            <v>SFIL-MRA</v>
          </cell>
          <cell r="C520" t="str">
            <v>Oui</v>
          </cell>
        </row>
        <row r="521">
          <cell r="A521" t="str">
            <v>XFR0007033AV07A</v>
          </cell>
          <cell r="B521" t="str">
            <v>MR WERMUTH - MRA</v>
          </cell>
          <cell r="C521" t="str">
            <v>Oui</v>
          </cell>
        </row>
        <row r="522">
          <cell r="A522" t="str">
            <v>XFR0007034AV07A</v>
          </cell>
          <cell r="B522" t="str">
            <v>Didier GUERRE - MRA</v>
          </cell>
          <cell r="C522" t="str">
            <v>Oui</v>
          </cell>
        </row>
        <row r="523">
          <cell r="A523" t="str">
            <v>XFR0007035AV07A</v>
          </cell>
          <cell r="B523" t="str">
            <v>REGOURD FALCON 50 - FALCON 100</v>
          </cell>
          <cell r="C523" t="str">
            <v>Oui</v>
          </cell>
        </row>
        <row r="524">
          <cell r="A524" t="str">
            <v>XFR0007039AV07A</v>
          </cell>
          <cell r="B524" t="str">
            <v>CEP CAHORS</v>
          </cell>
          <cell r="C524" t="str">
            <v>Oui</v>
          </cell>
        </row>
        <row r="525">
          <cell r="A525" t="str">
            <v>XFR0007041AV07A</v>
          </cell>
          <cell r="B525" t="str">
            <v>HELICO LOCATION - MRA</v>
          </cell>
          <cell r="C525" t="str">
            <v>Oui</v>
          </cell>
        </row>
        <row r="526">
          <cell r="A526" t="str">
            <v>XFR0007050AV07A</v>
          </cell>
          <cell r="B526" t="str">
            <v>RENT INVEST SARL - MRA</v>
          </cell>
          <cell r="C526" t="str">
            <v>Oui</v>
          </cell>
        </row>
        <row r="527">
          <cell r="A527" t="str">
            <v>XFR0007054AV07A</v>
          </cell>
          <cell r="B527" t="str">
            <v>AERO CLUB DE DEAUVILLE - MRA</v>
          </cell>
          <cell r="C527" t="str">
            <v>Oui</v>
          </cell>
        </row>
        <row r="528">
          <cell r="A528" t="str">
            <v>XFR0007056AV07A</v>
          </cell>
          <cell r="B528" t="str">
            <v>SNC GPR / ULM SERVICE INTERNAT</v>
          </cell>
          <cell r="C528" t="str">
            <v>Oui</v>
          </cell>
        </row>
        <row r="529">
          <cell r="A529" t="str">
            <v>XFR0007061AV07A</v>
          </cell>
          <cell r="B529" t="str">
            <v>HELIPASS durée ferme</v>
          </cell>
          <cell r="C529" t="str">
            <v>Oui</v>
          </cell>
        </row>
        <row r="530">
          <cell r="A530" t="str">
            <v>XFR0007077AV07A</v>
          </cell>
          <cell r="B530" t="str">
            <v>TIKO ATR 42  MRA 2007</v>
          </cell>
          <cell r="C530" t="str">
            <v>Oui</v>
          </cell>
        </row>
        <row r="531">
          <cell r="A531" t="str">
            <v>XFR0007082AV07A</v>
          </cell>
          <cell r="B531" t="str">
            <v>HEXAIR</v>
          </cell>
          <cell r="C531" t="str">
            <v>Oui</v>
          </cell>
        </row>
        <row r="532">
          <cell r="A532" t="str">
            <v>XFR0007088AV07A</v>
          </cell>
          <cell r="B532" t="str">
            <v>Jean-Marc d'HULST - MRA</v>
          </cell>
          <cell r="C532" t="str">
            <v>Oui</v>
          </cell>
        </row>
        <row r="533">
          <cell r="A533" t="str">
            <v>XFR0007091AV07A</v>
          </cell>
          <cell r="B533" t="str">
            <v>ATE (MRA)</v>
          </cell>
          <cell r="C533" t="str">
            <v>Oui</v>
          </cell>
        </row>
        <row r="534">
          <cell r="A534" t="str">
            <v>XFR0007094AV07A</v>
          </cell>
          <cell r="B534" t="str">
            <v>ASS. AIR CLUB DU FOREZ</v>
          </cell>
          <cell r="C534" t="str">
            <v>Oui</v>
          </cell>
        </row>
        <row r="535">
          <cell r="A535" t="str">
            <v>XFR0007096AV07A</v>
          </cell>
          <cell r="B535" t="str">
            <v>Agglomération de la Région de</v>
          </cell>
          <cell r="C535" t="str">
            <v>Oui</v>
          </cell>
        </row>
        <row r="536">
          <cell r="A536" t="str">
            <v>XFR0007105AV07A</v>
          </cell>
          <cell r="B536" t="str">
            <v>DOUJA PROMOTION MRA</v>
          </cell>
          <cell r="C536" t="str">
            <v>Oui</v>
          </cell>
        </row>
        <row r="537">
          <cell r="A537" t="str">
            <v>XFR0007106AV07A</v>
          </cell>
          <cell r="B537" t="str">
            <v>CAALB - Cercle Aeronautique l'</v>
          </cell>
          <cell r="C537" t="str">
            <v>Oui</v>
          </cell>
        </row>
        <row r="538">
          <cell r="A538" t="str">
            <v>XFR0007107AV07A</v>
          </cell>
          <cell r="B538" t="str">
            <v>AC DU GOLFE - MRA ACCEPTATION</v>
          </cell>
          <cell r="C538" t="str">
            <v>Oui</v>
          </cell>
        </row>
        <row r="539">
          <cell r="A539" t="str">
            <v>XFR0007111AV07A</v>
          </cell>
          <cell r="B539" t="str">
            <v>PETITEAU (MRA)</v>
          </cell>
          <cell r="C539" t="str">
            <v>Oui</v>
          </cell>
        </row>
        <row r="540">
          <cell r="A540" t="str">
            <v>XFR0007113AV07A</v>
          </cell>
          <cell r="B540" t="str">
            <v>ADEQUATE - LS AELIA</v>
          </cell>
          <cell r="C540" t="str">
            <v>Oui</v>
          </cell>
        </row>
        <row r="541">
          <cell r="A541" t="str">
            <v>XFR0007114AV07A</v>
          </cell>
          <cell r="B541" t="str">
            <v>CAP SUD TAHITI - MRA</v>
          </cell>
          <cell r="C541" t="str">
            <v>Oui</v>
          </cell>
        </row>
        <row r="542">
          <cell r="A542" t="str">
            <v>XFR0007133AV07A</v>
          </cell>
          <cell r="B542" t="str">
            <v>JET NOVA - LS AELIA</v>
          </cell>
          <cell r="C542" t="str">
            <v>Oui</v>
          </cell>
        </row>
        <row r="543">
          <cell r="A543" t="str">
            <v>XFR0007134AV07A</v>
          </cell>
          <cell r="B543" t="str">
            <v>ASSOCIATION  GOGO - MRA</v>
          </cell>
          <cell r="C543" t="str">
            <v>Oui</v>
          </cell>
        </row>
        <row r="544">
          <cell r="A544" t="str">
            <v>XFR0007135AV07A</v>
          </cell>
          <cell r="B544" t="str">
            <v>SERVICIOS AEREOS AVILES - MRA</v>
          </cell>
          <cell r="C544" t="str">
            <v>Oui</v>
          </cell>
        </row>
        <row r="545">
          <cell r="A545" t="str">
            <v>XFR0007136AV07A</v>
          </cell>
          <cell r="B545" t="str">
            <v>AIR EXACUTIVE  - LS AELIA</v>
          </cell>
          <cell r="C545" t="str">
            <v>Oui</v>
          </cell>
        </row>
        <row r="546">
          <cell r="A546" t="str">
            <v>XFR0007138AV07A</v>
          </cell>
          <cell r="B546" t="str">
            <v>Jean FRONTY - MRA</v>
          </cell>
          <cell r="C546" t="str">
            <v>Oui</v>
          </cell>
        </row>
        <row r="547">
          <cell r="A547" t="str">
            <v>XFR0007140AV07A</v>
          </cell>
          <cell r="B547" t="str">
            <v>AIR SEYCHELLES PETITS AVIONS07</v>
          </cell>
          <cell r="C547" t="str">
            <v>Oui</v>
          </cell>
        </row>
        <row r="548">
          <cell r="A548" t="str">
            <v>XFR0007143AV07A</v>
          </cell>
          <cell r="B548" t="str">
            <v>JET MANAGEMENT   - LS AELIA</v>
          </cell>
          <cell r="C548" t="str">
            <v>Oui</v>
          </cell>
        </row>
        <row r="549">
          <cell r="A549" t="str">
            <v>XFR0007144AV07A</v>
          </cell>
          <cell r="B549" t="str">
            <v>HELI CLUB BOURBON - MRA</v>
          </cell>
          <cell r="C549" t="str">
            <v>Oui</v>
          </cell>
        </row>
        <row r="550">
          <cell r="A550" t="str">
            <v>XFR0007145AV07A</v>
          </cell>
          <cell r="B550" t="str">
            <v>AEROMOBILE - MRA</v>
          </cell>
          <cell r="C550" t="str">
            <v>Oui</v>
          </cell>
        </row>
        <row r="551">
          <cell r="A551" t="str">
            <v>XFR0007150AV07A</v>
          </cell>
          <cell r="B551" t="str">
            <v>VIRCOP   - LS AELIA</v>
          </cell>
          <cell r="C551" t="str">
            <v>Oui</v>
          </cell>
        </row>
        <row r="552">
          <cell r="A552" t="str">
            <v>XFR0007151AV07A</v>
          </cell>
          <cell r="B552" t="str">
            <v>CORPORATE JETS - LS AELIA</v>
          </cell>
          <cell r="C552" t="str">
            <v>Oui</v>
          </cell>
        </row>
        <row r="553">
          <cell r="A553" t="str">
            <v>XFR0007152AV07A</v>
          </cell>
          <cell r="B553" t="str">
            <v>SAF - INDIVIDUELLE PASSAGERS 2</v>
          </cell>
          <cell r="C553" t="str">
            <v>Oui</v>
          </cell>
        </row>
        <row r="554">
          <cell r="A554" t="str">
            <v>XFR0007157AV07A</v>
          </cell>
          <cell r="B554" t="str">
            <v>EAGLE  CESSNA  182 - 2007</v>
          </cell>
          <cell r="C554" t="str">
            <v>Oui</v>
          </cell>
        </row>
        <row r="555">
          <cell r="A555" t="str">
            <v>XFR0007181AV07A</v>
          </cell>
          <cell r="B555" t="str">
            <v>FFP-MRA</v>
          </cell>
          <cell r="C555" t="str">
            <v>Oui</v>
          </cell>
        </row>
        <row r="556">
          <cell r="A556" t="str">
            <v>XFR0007188AV07A</v>
          </cell>
          <cell r="B556" t="str">
            <v>ASSOCIATION RAID INTERNATIONAL</v>
          </cell>
          <cell r="C556" t="str">
            <v>Oui</v>
          </cell>
        </row>
        <row r="557">
          <cell r="A557" t="str">
            <v>XFR0007191AV07A</v>
          </cell>
          <cell r="B557" t="str">
            <v>ANSART / RANZ - MRA</v>
          </cell>
          <cell r="C557" t="str">
            <v>Oui</v>
          </cell>
        </row>
        <row r="558">
          <cell r="A558" t="str">
            <v>XFR0007192AV07A</v>
          </cell>
          <cell r="B558" t="str">
            <v>AERO CLUB DE NIMES COURBESAC -</v>
          </cell>
          <cell r="C558" t="str">
            <v>Oui</v>
          </cell>
        </row>
        <row r="559">
          <cell r="A559" t="str">
            <v>XFR0007193AV07A</v>
          </cell>
          <cell r="B559" t="str">
            <v>CORPORATE JET  - BERLYS-MRA</v>
          </cell>
          <cell r="C559" t="str">
            <v>Oui</v>
          </cell>
        </row>
        <row r="560">
          <cell r="A560" t="str">
            <v>XFR0007202AV07A</v>
          </cell>
          <cell r="B560" t="str">
            <v>EURL BOOGIE PERFORMANCE - MRA</v>
          </cell>
          <cell r="C560" t="str">
            <v>Oui</v>
          </cell>
        </row>
        <row r="561">
          <cell r="A561" t="str">
            <v>XFR0007205AV07A</v>
          </cell>
          <cell r="B561" t="str">
            <v>Christophe MARTIN - MRA</v>
          </cell>
          <cell r="C561" t="str">
            <v>Oui</v>
          </cell>
        </row>
        <row r="562">
          <cell r="A562" t="str">
            <v>XFR0007207AV07A</v>
          </cell>
          <cell r="B562" t="str">
            <v>DARMON CONSEIL-MRA</v>
          </cell>
          <cell r="C562" t="str">
            <v>Oui</v>
          </cell>
        </row>
        <row r="563">
          <cell r="A563" t="str">
            <v>XFR0007221AV07A</v>
          </cell>
          <cell r="B563" t="str">
            <v>SAESA - EC-EVK - MRA</v>
          </cell>
          <cell r="C563" t="str">
            <v>Oui</v>
          </cell>
        </row>
        <row r="564">
          <cell r="A564" t="str">
            <v>XFR0007222AV07A</v>
          </cell>
          <cell r="B564" t="str">
            <v>TRG LP (CHRIS RYCROFT)</v>
          </cell>
          <cell r="C564" t="str">
            <v>Oui</v>
          </cell>
        </row>
        <row r="565">
          <cell r="A565" t="str">
            <v>XFR0007223AV07A</v>
          </cell>
          <cell r="B565" t="str">
            <v>HELISF AIR - MRA</v>
          </cell>
          <cell r="C565" t="str">
            <v>Oui</v>
          </cell>
        </row>
        <row r="566">
          <cell r="A566" t="str">
            <v>XFR0007228AV07A</v>
          </cell>
          <cell r="B566" t="str">
            <v>Jean RECULLET - MRA</v>
          </cell>
          <cell r="C566" t="str">
            <v>Oui</v>
          </cell>
        </row>
        <row r="567">
          <cell r="A567" t="str">
            <v>XFR0007231AV07A</v>
          </cell>
          <cell r="B567" t="str">
            <v>Jean-Pierre DIDEY - MRA</v>
          </cell>
          <cell r="C567" t="str">
            <v>Oui</v>
          </cell>
        </row>
        <row r="568">
          <cell r="A568" t="str">
            <v>XFR0007232AV07A</v>
          </cell>
          <cell r="B568" t="str">
            <v>Patrick VILLEGENTE - MRA</v>
          </cell>
          <cell r="C568" t="str">
            <v>Oui</v>
          </cell>
        </row>
        <row r="569">
          <cell r="A569" t="str">
            <v>XFR0007241AV07A</v>
          </cell>
          <cell r="B569" t="str">
            <v>JALALIDDIN DIRA - MRA</v>
          </cell>
          <cell r="C569" t="str">
            <v>Oui</v>
          </cell>
        </row>
        <row r="570">
          <cell r="A570" t="str">
            <v>XFR0007248AV07A</v>
          </cell>
          <cell r="B570" t="str">
            <v>SARL L'OBSERVER - MRA</v>
          </cell>
          <cell r="C570" t="str">
            <v>Oui</v>
          </cell>
        </row>
        <row r="571">
          <cell r="A571" t="str">
            <v>XFR0007249AV07A</v>
          </cell>
          <cell r="B571" t="str">
            <v>HELI SPY - MRA</v>
          </cell>
          <cell r="C571" t="str">
            <v>Oui</v>
          </cell>
        </row>
        <row r="572">
          <cell r="A572" t="str">
            <v>XFR0007250AV07A</v>
          </cell>
          <cell r="B572" t="str">
            <v>Serge BILLIOT - MRA</v>
          </cell>
          <cell r="C572" t="str">
            <v>Oui</v>
          </cell>
        </row>
        <row r="573">
          <cell r="A573" t="str">
            <v>XFR0007254AV07A</v>
          </cell>
          <cell r="B573" t="str">
            <v>Christian DOGUET-MRA</v>
          </cell>
          <cell r="C573" t="str">
            <v>Oui</v>
          </cell>
        </row>
        <row r="574">
          <cell r="A574" t="str">
            <v>XFR0007258AV07A</v>
          </cell>
          <cell r="B574" t="str">
            <v>SOCIETE INTERDZ - MRA</v>
          </cell>
          <cell r="C574" t="str">
            <v>Oui</v>
          </cell>
        </row>
        <row r="575">
          <cell r="A575" t="str">
            <v>XFR0007266AV07A</v>
          </cell>
          <cell r="B575" t="str">
            <v>AEROTIME - MRA</v>
          </cell>
          <cell r="C575" t="str">
            <v>Oui</v>
          </cell>
        </row>
        <row r="576">
          <cell r="A576" t="str">
            <v>XFR0007302AV07A</v>
          </cell>
          <cell r="B576" t="str">
            <v>AERONORTE - LS AELIA</v>
          </cell>
          <cell r="C576" t="str">
            <v>Oui</v>
          </cell>
        </row>
        <row r="577">
          <cell r="A577" t="str">
            <v>XFR0007305AV07A</v>
          </cell>
          <cell r="B577" t="str">
            <v>AC DE L'OUEST LYONNAIS</v>
          </cell>
          <cell r="C577" t="str">
            <v>Oui</v>
          </cell>
        </row>
        <row r="578">
          <cell r="A578" t="str">
            <v>XFR0007331AV07B</v>
          </cell>
          <cell r="B578" t="str">
            <v>AMAURY SPORT ORGANISATION-MRA</v>
          </cell>
          <cell r="C578" t="str">
            <v>Oui</v>
          </cell>
        </row>
        <row r="579">
          <cell r="A579" t="str">
            <v>XFR0007333AV07A</v>
          </cell>
          <cell r="B579" t="str">
            <v>SOCIETE C3P - MRA</v>
          </cell>
          <cell r="C579" t="str">
            <v>Oui</v>
          </cell>
        </row>
        <row r="580">
          <cell r="A580" t="str">
            <v>XFR0007334AV07A</v>
          </cell>
          <cell r="B580" t="str">
            <v>GREAT ALLIANCE WORLD TRADE LTD</v>
          </cell>
          <cell r="C580" t="str">
            <v>Oui</v>
          </cell>
        </row>
        <row r="581">
          <cell r="A581" t="str">
            <v>XFR0007335AV07A</v>
          </cell>
          <cell r="B581" t="str">
            <v>Jean-Pierre EVRA - MRA</v>
          </cell>
          <cell r="C581" t="str">
            <v>Oui</v>
          </cell>
        </row>
        <row r="582">
          <cell r="A582" t="str">
            <v>XFR0007336AV07A</v>
          </cell>
          <cell r="B582" t="str">
            <v>Thierry DENOYELLE - MRA</v>
          </cell>
          <cell r="C582" t="str">
            <v>Oui</v>
          </cell>
        </row>
        <row r="583">
          <cell r="A583" t="str">
            <v>XFR0007338AV07A</v>
          </cell>
          <cell r="B583" t="str">
            <v>FAASA Flying School - MRA</v>
          </cell>
          <cell r="C583" t="str">
            <v>Oui</v>
          </cell>
        </row>
        <row r="584">
          <cell r="A584" t="str">
            <v>XFR0007339AV07A</v>
          </cell>
          <cell r="B584" t="str">
            <v>STE MINIERE YAOU DORLIN  RC AE</v>
          </cell>
          <cell r="C584" t="str">
            <v>Oui</v>
          </cell>
        </row>
        <row r="585">
          <cell r="A585" t="str">
            <v>XFR0007340AV07A</v>
          </cell>
          <cell r="B585" t="str">
            <v>SOTRAPMAG RC AERODROME</v>
          </cell>
          <cell r="C585" t="str">
            <v>Oui</v>
          </cell>
        </row>
        <row r="586">
          <cell r="A586" t="str">
            <v>XFR0007341AV07A</v>
          </cell>
          <cell r="B586" t="str">
            <v>GREAT ALLIANCE WORLD TRADE</v>
          </cell>
          <cell r="C586" t="str">
            <v>Oui</v>
          </cell>
        </row>
        <row r="587">
          <cell r="A587" t="str">
            <v>XFR0007342AV07A</v>
          </cell>
          <cell r="B587" t="str">
            <v>Gérard PIOT - MRA</v>
          </cell>
          <cell r="C587" t="str">
            <v>Oui</v>
          </cell>
        </row>
        <row r="588">
          <cell r="A588" t="str">
            <v>XFR0007343AV07A</v>
          </cell>
          <cell r="B588" t="str">
            <v>ASSOCIATION C.E.P. LAVAL PARAC</v>
          </cell>
          <cell r="C588" t="str">
            <v>Oui</v>
          </cell>
        </row>
        <row r="589">
          <cell r="A589" t="str">
            <v>XFR0007359AV07A</v>
          </cell>
          <cell r="B589" t="str">
            <v>i JET - MRA</v>
          </cell>
          <cell r="C589" t="str">
            <v>Oui</v>
          </cell>
        </row>
        <row r="590">
          <cell r="A590" t="str">
            <v>XFR0007360AV07A</v>
          </cell>
          <cell r="B590" t="str">
            <v>2EME REGIMENT GENIE</v>
          </cell>
          <cell r="C590" t="str">
            <v>Oui</v>
          </cell>
        </row>
        <row r="591">
          <cell r="A591" t="str">
            <v>XFR0007367AV07A</v>
          </cell>
          <cell r="B591" t="str">
            <v>AC DE MONTAIGU MRA</v>
          </cell>
          <cell r="C591" t="str">
            <v>Oui</v>
          </cell>
        </row>
        <row r="592">
          <cell r="A592" t="str">
            <v>XFR0007368AV07A</v>
          </cell>
          <cell r="B592" t="str">
            <v>FLYLINK EXPRESS - LS AELIA</v>
          </cell>
          <cell r="C592" t="str">
            <v>Oui</v>
          </cell>
        </row>
        <row r="593">
          <cell r="A593" t="str">
            <v>XFR0007372AV07A</v>
          </cell>
          <cell r="B593" t="str">
            <v>Danish Crown - MRA</v>
          </cell>
          <cell r="C593" t="str">
            <v>Oui</v>
          </cell>
        </row>
        <row r="594">
          <cell r="A594" t="str">
            <v>XFR0007377AV07A</v>
          </cell>
          <cell r="B594" t="str">
            <v>JCLT / Groupe SOS / Sebastian</v>
          </cell>
          <cell r="C594" t="str">
            <v>Oui</v>
          </cell>
        </row>
        <row r="595">
          <cell r="A595" t="str">
            <v>XFR0007382AV07A</v>
          </cell>
          <cell r="B595" t="str">
            <v>Philippe COLANCON - MRA</v>
          </cell>
          <cell r="C595" t="str">
            <v>Oui</v>
          </cell>
        </row>
        <row r="596">
          <cell r="A596" t="str">
            <v>XFR0007386AV07A</v>
          </cell>
          <cell r="B596" t="str">
            <v>FFVL Individuelle Complémentai</v>
          </cell>
          <cell r="C596" t="str">
            <v>Oui</v>
          </cell>
        </row>
        <row r="597">
          <cell r="A597" t="str">
            <v>XFR0007389AV07A</v>
          </cell>
          <cell r="B597" t="str">
            <v>EXCEL AVIATION - MRA</v>
          </cell>
          <cell r="C597" t="str">
            <v>Oui</v>
          </cell>
        </row>
        <row r="598">
          <cell r="A598" t="str">
            <v>XFR0007392AV07A</v>
          </cell>
          <cell r="B598" t="str">
            <v>AVANGARD - MRA</v>
          </cell>
          <cell r="C598" t="str">
            <v>Oui</v>
          </cell>
        </row>
        <row r="599">
          <cell r="A599" t="str">
            <v>XFR0007393AV07A</v>
          </cell>
          <cell r="B599" t="str">
            <v>AERONORTE - MRA</v>
          </cell>
          <cell r="C599" t="str">
            <v>Oui</v>
          </cell>
        </row>
        <row r="600">
          <cell r="A600" t="str">
            <v>XFR0007396AV07A</v>
          </cell>
          <cell r="B600" t="str">
            <v>FAASA CHILE - MRA</v>
          </cell>
          <cell r="C600" t="str">
            <v>Oui</v>
          </cell>
        </row>
        <row r="601">
          <cell r="A601" t="str">
            <v>XFR0007397AV07A</v>
          </cell>
          <cell r="B601" t="str">
            <v>SPORTO MRA 2007</v>
          </cell>
          <cell r="C601" t="str">
            <v>Oui</v>
          </cell>
        </row>
        <row r="602">
          <cell r="A602" t="str">
            <v>XFR0007398AV07A</v>
          </cell>
          <cell r="B602" t="str">
            <v>CERCLE MESS CAMP DE CANJUERS 3</v>
          </cell>
          <cell r="C602" t="str">
            <v>Oui</v>
          </cell>
        </row>
        <row r="603">
          <cell r="A603" t="str">
            <v>XFR0007399AV07A</v>
          </cell>
          <cell r="B603" t="str">
            <v>Amicale des pilotes du VAL DE</v>
          </cell>
          <cell r="C603" t="str">
            <v>Oui</v>
          </cell>
        </row>
        <row r="604">
          <cell r="A604" t="str">
            <v>XFR0007400AV07A</v>
          </cell>
          <cell r="B604" t="str">
            <v>GRAPHING CONSULT 2007 MRA</v>
          </cell>
          <cell r="C604" t="str">
            <v>Oui</v>
          </cell>
        </row>
        <row r="605">
          <cell r="A605" t="str">
            <v>XFR0007402AV07A</v>
          </cell>
          <cell r="B605" t="str">
            <v>SKM LIMITED MRA 2007</v>
          </cell>
          <cell r="C605" t="str">
            <v>Oui</v>
          </cell>
        </row>
        <row r="606">
          <cell r="A606" t="str">
            <v>XFR0007404AV07A</v>
          </cell>
          <cell r="B606" t="str">
            <v>J.P. HELICOPTER SA - MRA</v>
          </cell>
          <cell r="C606" t="str">
            <v>Oui</v>
          </cell>
        </row>
        <row r="607">
          <cell r="A607" t="str">
            <v>XFR0007405AV07A</v>
          </cell>
          <cell r="B607" t="str">
            <v>CORA MRA 2007</v>
          </cell>
          <cell r="C607" t="str">
            <v>Oui</v>
          </cell>
        </row>
        <row r="608">
          <cell r="A608" t="str">
            <v>XFR0007412AV07A</v>
          </cell>
          <cell r="B608" t="str">
            <v>POLO CLUB DE ST TRPOPEZ - RC A</v>
          </cell>
          <cell r="C608" t="str">
            <v>Oui</v>
          </cell>
        </row>
        <row r="609">
          <cell r="A609" t="str">
            <v>XFR0007415AV07A</v>
          </cell>
          <cell r="B609" t="str">
            <v>CAP EVOLUTION - MRA</v>
          </cell>
          <cell r="C609" t="str">
            <v>Oui</v>
          </cell>
        </row>
        <row r="610">
          <cell r="A610" t="str">
            <v>XFR0007418AV07A</v>
          </cell>
          <cell r="B610" t="str">
            <v>EVASAIR - MRA</v>
          </cell>
          <cell r="C610" t="str">
            <v>Oui</v>
          </cell>
        </row>
        <row r="611">
          <cell r="A611" t="str">
            <v>XFR0007424AV07A</v>
          </cell>
          <cell r="B611" t="str">
            <v>AEROMARINE</v>
          </cell>
          <cell r="C611" t="str">
            <v>Oui</v>
          </cell>
        </row>
        <row r="612">
          <cell r="A612" t="str">
            <v>XFR0007426AV07A</v>
          </cell>
          <cell r="B612" t="str">
            <v>AIR INTERFLY - MRA</v>
          </cell>
          <cell r="C612" t="str">
            <v>Oui</v>
          </cell>
        </row>
        <row r="613">
          <cell r="A613" t="str">
            <v>XFR0007427AV07A</v>
          </cell>
          <cell r="B613" t="str">
            <v>SOCIETE CLASS AVIATION - MRA</v>
          </cell>
          <cell r="C613" t="str">
            <v>Oui</v>
          </cell>
        </row>
        <row r="614">
          <cell r="A614" t="str">
            <v>XFR0007428AV07A</v>
          </cell>
          <cell r="B614" t="str">
            <v>HELIDUERO - MRA</v>
          </cell>
          <cell r="C614" t="str">
            <v>Oui</v>
          </cell>
        </row>
        <row r="615">
          <cell r="A615" t="str">
            <v>XFR0007429AV07A</v>
          </cell>
          <cell r="B615" t="str">
            <v>HELIDUERO - MRA</v>
          </cell>
          <cell r="C615" t="str">
            <v>Oui</v>
          </cell>
        </row>
        <row r="616">
          <cell r="A616" t="str">
            <v>XFR0007431AV07A</v>
          </cell>
          <cell r="B616" t="str">
            <v>LINKAIR - LS AELIA</v>
          </cell>
          <cell r="C616" t="str">
            <v>Oui</v>
          </cell>
        </row>
        <row r="617">
          <cell r="A617" t="str">
            <v>XFR0007432AV07A</v>
          </cell>
          <cell r="B617" t="str">
            <v>SAS REV'AILES - CHAPUIS/NIVET/</v>
          </cell>
          <cell r="C617" t="str">
            <v>Oui</v>
          </cell>
        </row>
        <row r="618">
          <cell r="A618" t="str">
            <v>XFR0007434AV07A</v>
          </cell>
          <cell r="B618" t="str">
            <v>Georges PLATEL - MRA</v>
          </cell>
          <cell r="C618" t="str">
            <v>Oui</v>
          </cell>
        </row>
        <row r="619">
          <cell r="A619" t="str">
            <v>XFR0007435AV07A</v>
          </cell>
          <cell r="B619" t="str">
            <v>GROUPE L'HOTEL  RC</v>
          </cell>
          <cell r="C619" t="str">
            <v>Oui</v>
          </cell>
        </row>
        <row r="620">
          <cell r="A620" t="str">
            <v>XFR0007436AV07A</v>
          </cell>
          <cell r="B620" t="str">
            <v>STE FLYPOLE - M. TREVISIOL</v>
          </cell>
          <cell r="C620" t="str">
            <v>Oui</v>
          </cell>
        </row>
        <row r="621">
          <cell r="A621" t="str">
            <v>XFR0007448AV07A</v>
          </cell>
          <cell r="B621" t="str">
            <v>GLOBAL CARIBBEAN NETWORK - IND</v>
          </cell>
          <cell r="C621" t="str">
            <v>Oui</v>
          </cell>
        </row>
        <row r="622">
          <cell r="A622" t="str">
            <v>XFR0007456AV07A</v>
          </cell>
          <cell r="B622" t="str">
            <v>GLOBAL CARIBBEAN NETWORK - IND</v>
          </cell>
          <cell r="C622" t="str">
            <v>Oui</v>
          </cell>
        </row>
        <row r="623">
          <cell r="A623" t="str">
            <v>XFR0007460AV07A</v>
          </cell>
          <cell r="B623" t="str">
            <v>Michel VIDAL / Corinne et Mick</v>
          </cell>
          <cell r="C623" t="str">
            <v>Oui</v>
          </cell>
        </row>
        <row r="624">
          <cell r="A624" t="str">
            <v>XFR0007480AV07A</v>
          </cell>
          <cell r="B624" t="str">
            <v>CATEX - MRA</v>
          </cell>
          <cell r="C624" t="str">
            <v>Oui</v>
          </cell>
        </row>
        <row r="625">
          <cell r="A625" t="str">
            <v>XFR0007481AV07A</v>
          </cell>
          <cell r="B625" t="str">
            <v>AERO CLUB DE SAULIEU LIERNAIS-</v>
          </cell>
          <cell r="C625" t="str">
            <v>Oui</v>
          </cell>
        </row>
        <row r="626">
          <cell r="A626" t="str">
            <v>XFR0007483AV07A</v>
          </cell>
          <cell r="B626" t="str">
            <v>martel mra</v>
          </cell>
          <cell r="C626" t="str">
            <v>Oui</v>
          </cell>
        </row>
        <row r="627">
          <cell r="A627" t="str">
            <v>XFR0007490AV07A</v>
          </cell>
          <cell r="B627" t="str">
            <v>ABRI AERO ET MAYENNE AIR LOISI</v>
          </cell>
          <cell r="C627" t="str">
            <v>Oui</v>
          </cell>
        </row>
        <row r="628">
          <cell r="A628" t="str">
            <v>XFR0007491AV07A</v>
          </cell>
          <cell r="B628" t="str">
            <v>AC DE LA LYS</v>
          </cell>
          <cell r="C628" t="str">
            <v>Oui</v>
          </cell>
        </row>
        <row r="629">
          <cell r="A629" t="str">
            <v>XFR0007492AV07A</v>
          </cell>
          <cell r="B629" t="str">
            <v>CONSEIL GENERAL DE L'ORNE</v>
          </cell>
          <cell r="C629" t="str">
            <v>Oui</v>
          </cell>
        </row>
        <row r="630">
          <cell r="A630" t="str">
            <v>XFR0007493AV07A</v>
          </cell>
          <cell r="B630" t="str">
            <v>ASSOCIATION RAID INTERNATIONAL</v>
          </cell>
          <cell r="C630" t="str">
            <v>Oui</v>
          </cell>
        </row>
        <row r="631">
          <cell r="A631" t="str">
            <v>XFR0007494AV07A</v>
          </cell>
          <cell r="B631" t="str">
            <v>Renato MARCHESI - MRA</v>
          </cell>
          <cell r="C631" t="str">
            <v>Oui</v>
          </cell>
        </row>
        <row r="632">
          <cell r="A632" t="str">
            <v>XFR0007495AV07A</v>
          </cell>
          <cell r="B632" t="str">
            <v>F.F.A</v>
          </cell>
          <cell r="C632" t="str">
            <v>Oui</v>
          </cell>
        </row>
        <row r="633">
          <cell r="A633" t="str">
            <v>XFR0007500AV07A</v>
          </cell>
          <cell r="B633" t="str">
            <v>IX AIR HELIFRANCE</v>
          </cell>
          <cell r="C633" t="str">
            <v>Oui</v>
          </cell>
        </row>
        <row r="634">
          <cell r="A634" t="str">
            <v>XFR0007511AV07A</v>
          </cell>
          <cell r="B634" t="str">
            <v>APEX AIRCRAFT MRA</v>
          </cell>
          <cell r="C634" t="str">
            <v>Oui</v>
          </cell>
        </row>
        <row r="635">
          <cell r="A635" t="str">
            <v>XFR0007512AV07A</v>
          </cell>
          <cell r="B635" t="str">
            <v>HELI CLUB BOURBON NORD - MRA</v>
          </cell>
          <cell r="C635" t="str">
            <v>Oui</v>
          </cell>
        </row>
        <row r="636">
          <cell r="A636" t="str">
            <v>XFR0007514AV07A</v>
          </cell>
          <cell r="B636" t="str">
            <v>MONTBLANC HELICOPTERES - MRA R</v>
          </cell>
          <cell r="C636" t="str">
            <v>Oui</v>
          </cell>
        </row>
        <row r="637">
          <cell r="A637" t="str">
            <v>XFR0007516AV07A</v>
          </cell>
          <cell r="B637" t="str">
            <v>SIAT</v>
          </cell>
          <cell r="C637" t="str">
            <v>Oui</v>
          </cell>
        </row>
        <row r="638">
          <cell r="A638" t="str">
            <v>XFR0007523AV07A</v>
          </cell>
          <cell r="B638" t="str">
            <v>AIRJETSUL - AELIA LS</v>
          </cell>
          <cell r="C638" t="str">
            <v>Oui</v>
          </cell>
        </row>
        <row r="639">
          <cell r="A639" t="str">
            <v>XFR0007524AV07A</v>
          </cell>
          <cell r="B639" t="str">
            <v>LANDSHIP - LS AELIA</v>
          </cell>
          <cell r="C639" t="str">
            <v>Oui</v>
          </cell>
        </row>
        <row r="640">
          <cell r="A640" t="str">
            <v>XFR0007525AV07A</v>
          </cell>
          <cell r="B640" t="str">
            <v>EEJS - LS AELIA</v>
          </cell>
          <cell r="C640" t="str">
            <v>Oui</v>
          </cell>
        </row>
        <row r="641">
          <cell r="A641" t="str">
            <v>XFR0007527AV07A</v>
          </cell>
          <cell r="B641" t="str">
            <v>Bernard COLLIN - Clément PAIN</v>
          </cell>
          <cell r="C641" t="str">
            <v>Oui</v>
          </cell>
        </row>
        <row r="642">
          <cell r="A642" t="str">
            <v>XFR0007529AV07A</v>
          </cell>
          <cell r="B642" t="str">
            <v>VERNET ERIC</v>
          </cell>
          <cell r="C642" t="str">
            <v>Oui</v>
          </cell>
        </row>
        <row r="643">
          <cell r="A643" t="str">
            <v>XFR0007530AV07A</v>
          </cell>
          <cell r="B643" t="str">
            <v>SOCIETE ALTIMA</v>
          </cell>
          <cell r="C643" t="str">
            <v>Oui</v>
          </cell>
        </row>
        <row r="644">
          <cell r="A644" t="str">
            <v>XFR0007531AV07A</v>
          </cell>
          <cell r="B644" t="str">
            <v>Dominique CORNIER</v>
          </cell>
          <cell r="C644" t="str">
            <v>Oui</v>
          </cell>
        </row>
        <row r="645">
          <cell r="A645" t="str">
            <v>XFR0007534AV07A</v>
          </cell>
          <cell r="B645" t="str">
            <v>SERVICE FORMATION AERONAUTIQUE</v>
          </cell>
          <cell r="C645" t="str">
            <v>Oui</v>
          </cell>
        </row>
        <row r="646">
          <cell r="A646" t="str">
            <v>XFR0007540AV07A</v>
          </cell>
          <cell r="B646" t="str">
            <v>bertrand holding - mra</v>
          </cell>
          <cell r="C646" t="str">
            <v>Oui</v>
          </cell>
        </row>
        <row r="647">
          <cell r="A647" t="str">
            <v>XFR0007542AV07A</v>
          </cell>
          <cell r="B647" t="str">
            <v>UNIJET MRA</v>
          </cell>
          <cell r="C647" t="str">
            <v>Oui</v>
          </cell>
        </row>
        <row r="648">
          <cell r="A648" t="str">
            <v>XFR0007544AV07A</v>
          </cell>
          <cell r="B648" t="str">
            <v>IDM - Ind</v>
          </cell>
          <cell r="C648" t="str">
            <v>Oui</v>
          </cell>
        </row>
        <row r="649">
          <cell r="A649" t="str">
            <v>XFR0007545AV07A</v>
          </cell>
          <cell r="B649" t="str">
            <v>CIPRES VIE - Ind</v>
          </cell>
          <cell r="C649" t="str">
            <v>Oui</v>
          </cell>
        </row>
        <row r="650">
          <cell r="A650" t="str">
            <v>XFR0007546AV07A</v>
          </cell>
          <cell r="B650" t="str">
            <v>John HEIMENDINGER</v>
          </cell>
          <cell r="C650" t="str">
            <v>Oui</v>
          </cell>
        </row>
        <row r="651">
          <cell r="A651" t="str">
            <v>XFR0007564AV07A</v>
          </cell>
          <cell r="B651" t="str">
            <v>SCAR - MRA</v>
          </cell>
          <cell r="C651" t="str">
            <v>Oui</v>
          </cell>
        </row>
        <row r="652">
          <cell r="A652" t="str">
            <v>XFR0007569AV07A</v>
          </cell>
          <cell r="B652" t="str">
            <v>AIR LIBRE PARACHUTISME</v>
          </cell>
          <cell r="C652" t="str">
            <v>Oui</v>
          </cell>
        </row>
        <row r="653">
          <cell r="A653" t="str">
            <v>XFR0007603AV07A</v>
          </cell>
          <cell r="B653" t="str">
            <v>HERACLES PARAPRO</v>
          </cell>
          <cell r="C653" t="str">
            <v>Oui</v>
          </cell>
        </row>
        <row r="654">
          <cell r="A654" t="str">
            <v>XFR0007605AV07A</v>
          </cell>
          <cell r="B654" t="str">
            <v>SARL ESPER</v>
          </cell>
          <cell r="C654" t="str">
            <v>Oui</v>
          </cell>
        </row>
        <row r="655">
          <cell r="A655" t="str">
            <v>XFR0007606AV07A</v>
          </cell>
          <cell r="B655" t="str">
            <v>HERACLES PARAPRO</v>
          </cell>
          <cell r="C655" t="str">
            <v>Oui</v>
          </cell>
        </row>
        <row r="656">
          <cell r="A656" t="str">
            <v>XFR0007617AV07A</v>
          </cell>
          <cell r="B656" t="str">
            <v>MRS LABAT et PERDU</v>
          </cell>
          <cell r="C656" t="str">
            <v>Oui</v>
          </cell>
        </row>
        <row r="657">
          <cell r="A657" t="str">
            <v>XFR0007618AV07A</v>
          </cell>
          <cell r="B657" t="str">
            <v>SCD AVIATION-MRA</v>
          </cell>
          <cell r="C657" t="str">
            <v>Oui</v>
          </cell>
        </row>
        <row r="658">
          <cell r="A658" t="str">
            <v>XFR0007620AV07A</v>
          </cell>
          <cell r="B658" t="str">
            <v>AERO PHOTO PYRENEES - MRA</v>
          </cell>
          <cell r="C658" t="str">
            <v>Oui</v>
          </cell>
        </row>
        <row r="659">
          <cell r="A659" t="str">
            <v>XFR0007623AV07A</v>
          </cell>
          <cell r="B659" t="str">
            <v>EURL BOOGIE PERFORMANCE</v>
          </cell>
          <cell r="C659" t="str">
            <v>Oui</v>
          </cell>
        </row>
        <row r="660">
          <cell r="A660" t="str">
            <v>XFR0007624AV07A</v>
          </cell>
          <cell r="B660" t="str">
            <v>EURL BOOGIE PERFORMANCE</v>
          </cell>
          <cell r="C660" t="str">
            <v>Oui</v>
          </cell>
        </row>
        <row r="661">
          <cell r="A661" t="str">
            <v>XFR0007625AV07A</v>
          </cell>
          <cell r="B661" t="str">
            <v>AVIARENT SARL</v>
          </cell>
          <cell r="C661" t="str">
            <v>Oui</v>
          </cell>
        </row>
        <row r="662">
          <cell r="A662" t="str">
            <v>XFR0007642AV07A</v>
          </cell>
          <cell r="B662" t="str">
            <v>Alistair MOON</v>
          </cell>
          <cell r="C662" t="str">
            <v>Oui</v>
          </cell>
        </row>
        <row r="663">
          <cell r="A663" t="str">
            <v>XFR0007652AV07A</v>
          </cell>
          <cell r="B663" t="str">
            <v>SARL POLYNESIE AEROCARTO / PAC</v>
          </cell>
          <cell r="C663" t="str">
            <v>Oui</v>
          </cell>
        </row>
        <row r="664">
          <cell r="A664" t="str">
            <v>XFR0007653AV07A</v>
          </cell>
          <cell r="B664" t="str">
            <v>MAZIA INVESTMENT LTD / JPh BAG</v>
          </cell>
          <cell r="C664" t="str">
            <v>Oui</v>
          </cell>
        </row>
        <row r="665">
          <cell r="A665" t="str">
            <v>XFR0007654AV07A</v>
          </cell>
          <cell r="B665" t="str">
            <v>CERPS DE L'YONNE</v>
          </cell>
          <cell r="C665" t="str">
            <v>Oui</v>
          </cell>
        </row>
        <row r="666">
          <cell r="A666" t="str">
            <v>XFR0007655AV07A</v>
          </cell>
          <cell r="B666" t="str">
            <v>ACLV</v>
          </cell>
          <cell r="C666" t="str">
            <v>Oui</v>
          </cell>
        </row>
        <row r="667">
          <cell r="A667" t="str">
            <v>XFR0007656AV07A</v>
          </cell>
          <cell r="B667" t="str">
            <v>AVIARENT SARL</v>
          </cell>
          <cell r="C667" t="str">
            <v>Oui</v>
          </cell>
        </row>
        <row r="668">
          <cell r="A668" t="str">
            <v>XFR0007658AV07A</v>
          </cell>
          <cell r="B668" t="str">
            <v>DUMAS VALERIE  MRA</v>
          </cell>
          <cell r="C668" t="str">
            <v>Oui</v>
          </cell>
        </row>
        <row r="669">
          <cell r="A669" t="str">
            <v>XFR0007664AV07A</v>
          </cell>
          <cell r="B669" t="str">
            <v>AIR 86 - Christian FORT</v>
          </cell>
          <cell r="C669" t="str">
            <v>Oui</v>
          </cell>
        </row>
        <row r="670">
          <cell r="A670" t="str">
            <v>XFR0007668AV07A</v>
          </cell>
          <cell r="B670" t="str">
            <v>M BUGNARD - MRA</v>
          </cell>
          <cell r="C670" t="str">
            <v>Oui</v>
          </cell>
        </row>
        <row r="671">
          <cell r="A671" t="str">
            <v>XFR0007671AV07A</v>
          </cell>
          <cell r="B671" t="str">
            <v>ETAT MAJOR DE MARSEILLE</v>
          </cell>
          <cell r="C671" t="str">
            <v>Oui</v>
          </cell>
        </row>
        <row r="672">
          <cell r="A672" t="str">
            <v>XFR0007677AV07A</v>
          </cell>
          <cell r="B672" t="str">
            <v>RENTALIA - LS AELIA</v>
          </cell>
          <cell r="C672" t="str">
            <v>Oui</v>
          </cell>
        </row>
        <row r="673">
          <cell r="A673" t="str">
            <v>XFR0007682AV07A</v>
          </cell>
          <cell r="B673" t="str">
            <v>AMALRIC</v>
          </cell>
          <cell r="C673" t="str">
            <v>Oui</v>
          </cell>
        </row>
        <row r="674">
          <cell r="A674" t="str">
            <v>XFR0007694AV07A</v>
          </cell>
          <cell r="B674" t="str">
            <v>HELI AIR MONACO- EC155 3A-MPG</v>
          </cell>
          <cell r="C674" t="str">
            <v>Oui</v>
          </cell>
        </row>
        <row r="675">
          <cell r="A675" t="str">
            <v>XFR0007703AV07A</v>
          </cell>
          <cell r="B675" t="str">
            <v>MICHAUD JEAN FRANCOIS  MRA</v>
          </cell>
          <cell r="C675" t="str">
            <v>Oui</v>
          </cell>
        </row>
        <row r="676">
          <cell r="A676" t="str">
            <v>XFR0007738AV07A</v>
          </cell>
          <cell r="B676" t="str">
            <v>Louis PENA</v>
          </cell>
          <cell r="C676" t="str">
            <v>Oui</v>
          </cell>
        </row>
        <row r="677">
          <cell r="A677" t="str">
            <v>XFR0007740AV07A</v>
          </cell>
          <cell r="B677" t="str">
            <v>TROYES AUBE SPORTS NATURE - Yv</v>
          </cell>
          <cell r="C677" t="str">
            <v>Oui</v>
          </cell>
        </row>
        <row r="678">
          <cell r="A678" t="str">
            <v>XFR0007744AV07A</v>
          </cell>
          <cell r="B678" t="str">
            <v>STORM AVIATION - ELITE AIR</v>
          </cell>
          <cell r="C678" t="str">
            <v>Oui</v>
          </cell>
        </row>
        <row r="679">
          <cell r="A679" t="str">
            <v>XFR0007747AV07A</v>
          </cell>
          <cell r="B679" t="str">
            <v>SARL PRIV'AIR</v>
          </cell>
          <cell r="C679" t="str">
            <v>Oui</v>
          </cell>
        </row>
        <row r="680">
          <cell r="A680" t="str">
            <v>XFR0007764AV07A</v>
          </cell>
          <cell r="B680" t="str">
            <v>SWIFTCOPTERS S.A. -  MRA</v>
          </cell>
          <cell r="C680" t="str">
            <v>Oui</v>
          </cell>
        </row>
        <row r="681">
          <cell r="A681" t="str">
            <v>XFR0007766AV07A</v>
          </cell>
          <cell r="B681" t="str">
            <v>AERO CLUB DU PAYS ROCHEFORTAIS</v>
          </cell>
          <cell r="C681" t="str">
            <v>Oui</v>
          </cell>
        </row>
        <row r="682">
          <cell r="A682" t="str">
            <v>XFR0007781AV07A</v>
          </cell>
          <cell r="B682" t="str">
            <v>LG International /Chang Woon A</v>
          </cell>
          <cell r="C682" t="str">
            <v>Oui</v>
          </cell>
        </row>
        <row r="683">
          <cell r="A683" t="str">
            <v>XFR0007805AV07A</v>
          </cell>
          <cell r="B683" t="str">
            <v>Guillaume DAWANS</v>
          </cell>
          <cell r="C683" t="str">
            <v>Oui</v>
          </cell>
        </row>
        <row r="684">
          <cell r="A684" t="str">
            <v>XFR0007808AV07A</v>
          </cell>
          <cell r="B684" t="str">
            <v>AERO CLUB DE PEZENAS - MRA</v>
          </cell>
          <cell r="C684" t="str">
            <v>Oui</v>
          </cell>
        </row>
        <row r="685">
          <cell r="A685" t="str">
            <v>XFR0007841AV07A</v>
          </cell>
          <cell r="B685" t="str">
            <v>SOCIETE RENAUDIN</v>
          </cell>
          <cell r="C685" t="str">
            <v>Oui</v>
          </cell>
        </row>
        <row r="686">
          <cell r="A686" t="str">
            <v>XFR0007854AV07A</v>
          </cell>
          <cell r="B686" t="str">
            <v>douja promotion</v>
          </cell>
          <cell r="C686" t="str">
            <v>Oui</v>
          </cell>
        </row>
        <row r="687">
          <cell r="A687" t="str">
            <v>XFR0007875AV07A</v>
          </cell>
          <cell r="B687" t="str">
            <v>FESTIVAL DU VENT</v>
          </cell>
          <cell r="C687" t="str">
            <v>Oui</v>
          </cell>
        </row>
        <row r="688">
          <cell r="A688" t="str">
            <v>XFR0007891AV07A</v>
          </cell>
          <cell r="B688" t="str">
            <v>AC PAUL TISSANDIER - MRA</v>
          </cell>
          <cell r="C688" t="str">
            <v>Oui</v>
          </cell>
        </row>
        <row r="689">
          <cell r="A689" t="str">
            <v>XFR0007897AV07A</v>
          </cell>
          <cell r="B689" t="str">
            <v>boudin jean</v>
          </cell>
          <cell r="C689" t="str">
            <v>Oui</v>
          </cell>
        </row>
        <row r="690">
          <cell r="A690" t="str">
            <v>XFR0007899AV07A</v>
          </cell>
          <cell r="B690" t="str">
            <v>VAN DEN BOSCH - MRA</v>
          </cell>
          <cell r="C690" t="str">
            <v>Oui</v>
          </cell>
        </row>
        <row r="691">
          <cell r="A691" t="str">
            <v>XFR0007915AV07A</v>
          </cell>
          <cell r="B691" t="str">
            <v>LOCAPI MRA</v>
          </cell>
          <cell r="C691" t="str">
            <v>Oui</v>
          </cell>
        </row>
        <row r="692">
          <cell r="A692" t="str">
            <v>XFR0007958AV07A</v>
          </cell>
          <cell r="B692" t="str">
            <v>SITTERLIN-MRA</v>
          </cell>
          <cell r="C692" t="str">
            <v>Oui</v>
          </cell>
        </row>
        <row r="693">
          <cell r="A693" t="str">
            <v>XFR0007968AV07A</v>
          </cell>
          <cell r="B693" t="str">
            <v>SC CHE AIR- MRA</v>
          </cell>
          <cell r="C693" t="str">
            <v>Oui</v>
          </cell>
        </row>
        <row r="694">
          <cell r="A694" t="str">
            <v>XFR0007972AV07A</v>
          </cell>
          <cell r="B694" t="str">
            <v>SABLE AIR</v>
          </cell>
          <cell r="C694" t="str">
            <v>Oui</v>
          </cell>
        </row>
        <row r="695">
          <cell r="A695" t="str">
            <v>XFR0007979AV07A</v>
          </cell>
          <cell r="B695" t="str">
            <v>EURL CELLIER DE BOURGOGNE - Br</v>
          </cell>
          <cell r="C695" t="str">
            <v>Oui</v>
          </cell>
        </row>
        <row r="696">
          <cell r="A696" t="str">
            <v>XFR0007981AV07A</v>
          </cell>
          <cell r="B696" t="str">
            <v>GOMES RESENDE - MRA</v>
          </cell>
          <cell r="C696" t="str">
            <v>Oui</v>
          </cell>
        </row>
        <row r="697">
          <cell r="A697" t="str">
            <v>XFR0008013AV07A</v>
          </cell>
          <cell r="B697" t="str">
            <v>AIR TOURAINE RC MANIFESTATIONS</v>
          </cell>
          <cell r="C697" t="str">
            <v>Oui</v>
          </cell>
        </row>
        <row r="698">
          <cell r="A698" t="str">
            <v>XFR0008051AV07A</v>
          </cell>
          <cell r="B698" t="str">
            <v>Gilles BERNSTEIN / Charles NEY</v>
          </cell>
          <cell r="C698" t="str">
            <v>Oui</v>
          </cell>
        </row>
        <row r="699">
          <cell r="A699" t="str">
            <v>XFR0008053AV07A</v>
          </cell>
          <cell r="B699" t="str">
            <v>Luc JACQUELIN</v>
          </cell>
          <cell r="C699" t="str">
            <v>Oui</v>
          </cell>
        </row>
        <row r="700">
          <cell r="A700" t="str">
            <v>XFR0008057AV07A</v>
          </cell>
          <cell r="B700" t="str">
            <v>SWISS GLOBAL JET MANAGEMENT</v>
          </cell>
          <cell r="C700" t="str">
            <v>Oui</v>
          </cell>
        </row>
        <row r="701">
          <cell r="A701" t="str">
            <v>XFR0008079AV07A</v>
          </cell>
          <cell r="B701" t="str">
            <v>BESTFLY - LS AELIA</v>
          </cell>
          <cell r="C701" t="str">
            <v>Oui</v>
          </cell>
        </row>
        <row r="702">
          <cell r="A702" t="str">
            <v>XFR0008090AV07A</v>
          </cell>
          <cell r="B702" t="str">
            <v>nina</v>
          </cell>
          <cell r="C702" t="str">
            <v>Oui</v>
          </cell>
        </row>
        <row r="703">
          <cell r="A703" t="str">
            <v>XFR0008139AV07A</v>
          </cell>
          <cell r="B703" t="str">
            <v>Yves JUBAULT (Frédéric BERNA -</v>
          </cell>
          <cell r="C703" t="str">
            <v>Oui</v>
          </cell>
        </row>
        <row r="704">
          <cell r="A704" t="str">
            <v>XFR0008152AV07A</v>
          </cell>
          <cell r="B704" t="str">
            <v>SARL HELISUD / Robert POILLOT</v>
          </cell>
          <cell r="C704" t="str">
            <v>Oui</v>
          </cell>
        </row>
        <row r="705">
          <cell r="A705" t="str">
            <v>XFR0008171AV07A</v>
          </cell>
          <cell r="B705" t="str">
            <v>EMA - RC</v>
          </cell>
          <cell r="C705" t="str">
            <v>Oui</v>
          </cell>
        </row>
        <row r="706">
          <cell r="A706" t="str">
            <v>XFR0008173AV07A</v>
          </cell>
          <cell r="B706" t="str">
            <v>ASSOCIATION AERONEF</v>
          </cell>
          <cell r="C706" t="str">
            <v>Oui</v>
          </cell>
        </row>
        <row r="707">
          <cell r="A707" t="str">
            <v>XFR0008178AV07A</v>
          </cell>
          <cell r="B707" t="str">
            <v>HELI SUD - MURET</v>
          </cell>
          <cell r="C707" t="str">
            <v>Oui</v>
          </cell>
        </row>
        <row r="708">
          <cell r="A708" t="str">
            <v>XFR0008188AV07A</v>
          </cell>
          <cell r="B708" t="str">
            <v>MM. GAUDIBERT ET DESVAL</v>
          </cell>
          <cell r="C708" t="str">
            <v>Oui</v>
          </cell>
        </row>
        <row r="709">
          <cell r="A709" t="str">
            <v>XFR0008190AV07A</v>
          </cell>
          <cell r="B709" t="str">
            <v>GIO DOO - LS AELIA</v>
          </cell>
          <cell r="C709" t="str">
            <v>Oui</v>
          </cell>
        </row>
        <row r="710">
          <cell r="A710" t="str">
            <v>XFR0008205AV07A</v>
          </cell>
          <cell r="B710" t="str">
            <v>AERO STOCK - MRA</v>
          </cell>
          <cell r="C710" t="str">
            <v>Oui</v>
          </cell>
        </row>
        <row r="711">
          <cell r="A711" t="str">
            <v>XFR0008213AV07A</v>
          </cell>
          <cell r="B711" t="str">
            <v>UNION DEPT SP DU VAR</v>
          </cell>
          <cell r="C711" t="str">
            <v>Oui</v>
          </cell>
        </row>
        <row r="712">
          <cell r="A712" t="str">
            <v>XFR0008215AV07A</v>
          </cell>
          <cell r="B712" t="str">
            <v>STE IMCI</v>
          </cell>
          <cell r="C712" t="str">
            <v>Oui</v>
          </cell>
        </row>
        <row r="713">
          <cell r="A713" t="str">
            <v>XFR0008218AV07A</v>
          </cell>
          <cell r="B713" t="str">
            <v>SONNIG SA</v>
          </cell>
          <cell r="C713" t="str">
            <v>Oui</v>
          </cell>
        </row>
        <row r="714">
          <cell r="A714" t="str">
            <v>XFR0008237AV07A</v>
          </cell>
          <cell r="B714" t="str">
            <v>WESJET - LS AELIA</v>
          </cell>
          <cell r="C714" t="str">
            <v>Oui</v>
          </cell>
        </row>
        <row r="715">
          <cell r="A715" t="str">
            <v>XFR0008265AV07A</v>
          </cell>
          <cell r="B715" t="str">
            <v>NAVAJO / Jean-Pierre BARJON</v>
          </cell>
          <cell r="C715" t="str">
            <v>Oui</v>
          </cell>
        </row>
        <row r="716">
          <cell r="A716" t="str">
            <v>XFR0008282AV07A</v>
          </cell>
          <cell r="B716" t="str">
            <v>Port Sivil Havacilik A.S.</v>
          </cell>
          <cell r="C716" t="str">
            <v>Oui</v>
          </cell>
        </row>
        <row r="717">
          <cell r="A717" t="str">
            <v>XFR0008294AV07A</v>
          </cell>
          <cell r="B717" t="str">
            <v>GIE YANIS AIR</v>
          </cell>
          <cell r="C717" t="str">
            <v>Oui</v>
          </cell>
        </row>
        <row r="718">
          <cell r="A718" t="str">
            <v>XFR0008299AV07A</v>
          </cell>
          <cell r="B718" t="str">
            <v>CGG VERITAS</v>
          </cell>
          <cell r="C718" t="str">
            <v>Oui</v>
          </cell>
        </row>
        <row r="719">
          <cell r="A719" t="str">
            <v>XFR0008356AV07A</v>
          </cell>
          <cell r="B719" t="str">
            <v>HELI MOUNTAINS</v>
          </cell>
          <cell r="C719" t="str">
            <v>Oui</v>
          </cell>
        </row>
        <row r="720">
          <cell r="A720" t="str">
            <v>XFR0008382AV07A</v>
          </cell>
          <cell r="B720" t="str">
            <v>ELIT AVIA -AELIA LINE SLIP</v>
          </cell>
          <cell r="C720" t="str">
            <v>Oui</v>
          </cell>
        </row>
        <row r="721">
          <cell r="A721" t="str">
            <v>XFR0008385AV07A</v>
          </cell>
          <cell r="B721" t="str">
            <v>OPERA AS - MRS</v>
          </cell>
          <cell r="C721" t="str">
            <v>Oui</v>
          </cell>
        </row>
        <row r="722">
          <cell r="A722" t="str">
            <v>XFR0008462AV07A</v>
          </cell>
          <cell r="B722" t="str">
            <v>SEPTIEME CONTINENT - Jean-Loui</v>
          </cell>
          <cell r="C722" t="str">
            <v>Oui</v>
          </cell>
        </row>
        <row r="723">
          <cell r="A723" t="str">
            <v>XFR0008484AV07A</v>
          </cell>
          <cell r="B723" t="str">
            <v>Heliswiss Iberica - MRA</v>
          </cell>
          <cell r="C723" t="str">
            <v>Oui</v>
          </cell>
        </row>
        <row r="724">
          <cell r="A724" t="str">
            <v>XFR0008501AV07A</v>
          </cell>
          <cell r="B724" t="str">
            <v>ANEG - RC MANIF</v>
          </cell>
          <cell r="C724" t="str">
            <v>Oui</v>
          </cell>
        </row>
        <row r="725">
          <cell r="A725" t="str">
            <v>XFR0008534AV07A</v>
          </cell>
          <cell r="B725" t="str">
            <v>ETAT GABONAIS 07 IND EQUIP n°2</v>
          </cell>
          <cell r="C725" t="str">
            <v>Oui</v>
          </cell>
        </row>
        <row r="726">
          <cell r="A726" t="str">
            <v>XFR0008535AV07A</v>
          </cell>
          <cell r="B726" t="str">
            <v>PRESIDENCE GABON 07 IND EQUIP</v>
          </cell>
          <cell r="C726" t="str">
            <v>Oui</v>
          </cell>
        </row>
        <row r="727">
          <cell r="A727" t="str">
            <v>XFR0008572AV07A</v>
          </cell>
          <cell r="B727" t="str">
            <v>EMA - MRA</v>
          </cell>
          <cell r="C727" t="str">
            <v>Oui</v>
          </cell>
        </row>
        <row r="728">
          <cell r="A728" t="str">
            <v>XFR0008573AV07A</v>
          </cell>
          <cell r="B728" t="str">
            <v>EEJS - LS AELIA</v>
          </cell>
          <cell r="C728" t="str">
            <v>Oui</v>
          </cell>
        </row>
        <row r="729">
          <cell r="A729" t="str">
            <v>XFR0008696AV07A</v>
          </cell>
          <cell r="B729" t="str">
            <v>AERO CLUB DE LOIRE ATLANTIQUE</v>
          </cell>
          <cell r="C729" t="str">
            <v>Oui</v>
          </cell>
        </row>
        <row r="730">
          <cell r="A730" t="str">
            <v>XFR0008860AV07A</v>
          </cell>
          <cell r="B730" t="str">
            <v>GROSSMANN JET - LS AELIA</v>
          </cell>
          <cell r="C730" t="str">
            <v>Oui</v>
          </cell>
        </row>
        <row r="731">
          <cell r="A731" t="str">
            <v>XFR0008864AV07A</v>
          </cell>
          <cell r="B731" t="str">
            <v>FUEGGIA - LS AELIA</v>
          </cell>
          <cell r="C731" t="str">
            <v>Oui</v>
          </cell>
        </row>
        <row r="732">
          <cell r="A732" t="str">
            <v>XFR0008908AV07A</v>
          </cell>
          <cell r="B732" t="str">
            <v>HTA - MRA</v>
          </cell>
          <cell r="C732" t="str">
            <v>Oui</v>
          </cell>
        </row>
        <row r="733">
          <cell r="A733" t="str">
            <v>XFR0009000AV07A</v>
          </cell>
          <cell r="B733" t="str">
            <v>SKYJET</v>
          </cell>
          <cell r="C733" t="str">
            <v>Oui</v>
          </cell>
        </row>
        <row r="734">
          <cell r="A734" t="str">
            <v>XFR0009054AV07A</v>
          </cell>
          <cell r="B734" t="str">
            <v>SKYJET</v>
          </cell>
          <cell r="C734" t="str">
            <v>Oui</v>
          </cell>
        </row>
        <row r="735">
          <cell r="A735" t="str">
            <v>XFR0009323AV07A</v>
          </cell>
          <cell r="B735" t="str">
            <v>REGA - JET CRO / RC</v>
          </cell>
          <cell r="C735" t="str">
            <v>Oui</v>
          </cell>
        </row>
        <row r="736">
          <cell r="A736" t="str">
            <v>XFR0009403AV07A</v>
          </cell>
          <cell r="B736" t="str">
            <v>AUBERY</v>
          </cell>
          <cell r="C736" t="str">
            <v>Oui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Page"/>
      <sheetName val="EPI"/>
      <sheetName val="EPI breakdown"/>
      <sheetName val="Triangle AXA CS Airlines NET"/>
      <sheetName val="Triangle AXA CS Aerospace NET"/>
      <sheetName val="Triangle AXA CS GA NET"/>
      <sheetName val="Triangles combined AXA CS Net"/>
      <sheetName val="XLC Airline NET Format"/>
      <sheetName val="XLC P&amp;A NET Format"/>
      <sheetName val="XLC GA NET Format"/>
      <sheetName val="XLC Combined NET Format"/>
      <sheetName val="AXA XL Airline NET combined"/>
      <sheetName val="AXA XL P&amp;A NET combined"/>
      <sheetName val="AXA XL GA NET combined"/>
      <sheetName val="AXA XL Combined NET combined"/>
      <sheetName val="XLC Sch G"/>
      <sheetName val="AXA Sched G"/>
      <sheetName val="AXA XL Sched G"/>
      <sheetName val="Sched A"/>
      <sheetName val="Sched B"/>
      <sheetName val="Sched C"/>
      <sheetName val="Supplementary Insureds"/>
      <sheetName val="Hull"/>
      <sheetName val="Liabs"/>
      <sheetName val="Hull &amp; Liabs Combined"/>
      <sheetName val="Non-Aircraft"/>
      <sheetName val="Confidential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AXA XL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Parameters"/>
      <sheetName val="Tracking"/>
      <sheetName val="SummaryforDzung"/>
      <sheetName val="BoB"/>
      <sheetName val="PortOp"/>
      <sheetName val="Summary"/>
      <sheetName val="Summary2"/>
      <sheetName val="ModelFeed"/>
      <sheetName val="Sim_Output_Link"/>
      <sheetName val="2018_Actual"/>
      <sheetName val="2018_Probs"/>
    </sheetNames>
    <sheetDataSet>
      <sheetData sheetId="0"/>
      <sheetData sheetId="1">
        <row r="7">
          <cell r="A7" t="str">
            <v>Not seen</v>
          </cell>
        </row>
        <row r="8">
          <cell r="A8" t="str">
            <v>Quoted</v>
          </cell>
        </row>
        <row r="9">
          <cell r="A9" t="str">
            <v>Bound - Prior to Process</v>
          </cell>
        </row>
        <row r="10">
          <cell r="A10" t="str">
            <v>Bound - Post Process</v>
          </cell>
        </row>
        <row r="11">
          <cell r="A11" t="str">
            <v>Declined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Profiles - Hull"/>
      <sheetName val="Risk Profiles - Liab"/>
      <sheetName val="Risk Profiles - Combined"/>
      <sheetName val="Combined 2018"/>
      <sheetName val="Combined 2017"/>
      <sheetName val="Canada Removed"/>
      <sheetName val="2018"/>
      <sheetName val="2017"/>
      <sheetName val="Canada"/>
      <sheetName val="2018 (Original)"/>
      <sheetName val="Lookups"/>
      <sheetName val="Consolidated_Step2_Aerospace"/>
      <sheetName val="Consolidated_Step2_GA"/>
      <sheetName val="Consolidated_Step2_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A8" t="str">
            <v xml:space="preserve">AIRE  Airport Exc ATC   </v>
          </cell>
          <cell r="B8" t="str">
            <v>Products</v>
          </cell>
        </row>
        <row r="9">
          <cell r="A9" t="str">
            <v xml:space="preserve">AIRS  Airline Small </v>
          </cell>
          <cell r="B9" t="str">
            <v>Industrial Aid</v>
          </cell>
        </row>
        <row r="10">
          <cell r="A10" t="str">
            <v xml:space="preserve">AIRS  Airline Small  </v>
          </cell>
          <cell r="B10" t="str">
            <v>Industrial Aid</v>
          </cell>
        </row>
        <row r="11">
          <cell r="A11" t="str">
            <v>AIRS Airline Small</v>
          </cell>
          <cell r="B11" t="str">
            <v>Industrial Aid</v>
          </cell>
        </row>
        <row r="12">
          <cell r="A12" t="str">
            <v xml:space="preserve">AIRS Airline Small
</v>
          </cell>
          <cell r="B12" t="str">
            <v>Industrial Aid</v>
          </cell>
        </row>
        <row r="13">
          <cell r="A13" t="str">
            <v xml:space="preserve">AVIC Aviation Cargo
</v>
          </cell>
          <cell r="B13" t="str">
            <v>Cargo</v>
          </cell>
        </row>
        <row r="14">
          <cell r="A14" t="str">
            <v>CHAR  Charter</v>
          </cell>
          <cell r="B14" t="str">
            <v>Charter</v>
          </cell>
        </row>
        <row r="15">
          <cell r="A15" t="str">
            <v xml:space="preserve">CHAR  Charter  </v>
          </cell>
          <cell r="B15" t="str">
            <v>Charter</v>
          </cell>
        </row>
        <row r="16">
          <cell r="A16" t="str">
            <v xml:space="preserve">CHAR Charter </v>
          </cell>
          <cell r="B16" t="str">
            <v>Charter</v>
          </cell>
        </row>
        <row r="17">
          <cell r="A17" t="str">
            <v xml:space="preserve">CONT  Contingent  </v>
          </cell>
          <cell r="B17" t="str">
            <v>Contingent</v>
          </cell>
        </row>
        <row r="18">
          <cell r="A18" t="str">
            <v>CONT Contingent</v>
          </cell>
          <cell r="B18" t="str">
            <v>Contingent</v>
          </cell>
        </row>
        <row r="19">
          <cell r="A19" t="str">
            <v xml:space="preserve">FWAG  Fixed Wing AG/Firefighting </v>
          </cell>
          <cell r="B19" t="str">
            <v>Commercial</v>
          </cell>
        </row>
        <row r="20">
          <cell r="A20" t="str">
            <v xml:space="preserve">FWAG  Fixed Wing AG/Firefighting  </v>
          </cell>
          <cell r="B20" t="str">
            <v>Commercial</v>
          </cell>
        </row>
        <row r="21">
          <cell r="A21" t="str">
            <v xml:space="preserve">FWCL  Fixed Wing Club  </v>
          </cell>
          <cell r="B21" t="str">
            <v>Pleasure and Business Incl Ab Initio Training</v>
          </cell>
        </row>
        <row r="22">
          <cell r="A22" t="str">
            <v>FWCO  Fixed Wing Corporate</v>
          </cell>
          <cell r="B22" t="str">
            <v>Corporate</v>
          </cell>
        </row>
        <row r="23">
          <cell r="A23" t="str">
            <v>FWCO Fixed Wing Corporate</v>
          </cell>
          <cell r="B23" t="str">
            <v>Corporate</v>
          </cell>
        </row>
        <row r="24">
          <cell r="A24" t="str">
            <v>FWLC  Fixed Wing Limited Commercial</v>
          </cell>
          <cell r="B24" t="str">
            <v>Commercial</v>
          </cell>
        </row>
        <row r="25">
          <cell r="A25" t="str">
            <v xml:space="preserve">FWLC  Fixed Wing Limited Commercial </v>
          </cell>
          <cell r="B25" t="str">
            <v>Commercial</v>
          </cell>
        </row>
        <row r="26">
          <cell r="A26" t="str">
            <v xml:space="preserve">FWLC  Fixed Wing Limited Commercial  </v>
          </cell>
          <cell r="B26" t="str">
            <v>Commercial</v>
          </cell>
        </row>
        <row r="27">
          <cell r="A27" t="str">
            <v xml:space="preserve">FWMI  Fixed Wing Military  </v>
          </cell>
          <cell r="B27" t="str">
            <v>Military</v>
          </cell>
        </row>
        <row r="28">
          <cell r="A28" t="str">
            <v>FWPB  Fixed Wing PB&amp;P</v>
          </cell>
          <cell r="B28" t="str">
            <v>Pleasure and Business Incl Ab Initio Training</v>
          </cell>
        </row>
        <row r="29">
          <cell r="A29" t="str">
            <v xml:space="preserve">FWPB  Fixed Wing PB&amp;P </v>
          </cell>
          <cell r="B29" t="str">
            <v>Pleasure and Business Incl Ab Initio Training</v>
          </cell>
        </row>
        <row r="30">
          <cell r="A30" t="str">
            <v xml:space="preserve">FWPB  Fixed Wing PB&amp;P  </v>
          </cell>
          <cell r="B30" t="str">
            <v>Pleasure and Business Incl Ab Initio Training</v>
          </cell>
        </row>
        <row r="31">
          <cell r="A31" t="str">
            <v>FWPB Fixed Wing PB&amp;P</v>
          </cell>
          <cell r="B31" t="str">
            <v>Pleasure and Business Incl Ab Initio Training</v>
          </cell>
        </row>
        <row r="32">
          <cell r="A32" t="str">
            <v xml:space="preserve">FWSO  Fixed Wing Scheduled Ops  </v>
          </cell>
          <cell r="B32" t="str">
            <v>Commercial</v>
          </cell>
        </row>
        <row r="33">
          <cell r="A33" t="str">
            <v>ius</v>
          </cell>
          <cell r="B33" t="str">
            <v>Commercial</v>
          </cell>
        </row>
        <row r="34">
          <cell r="A34" t="str">
            <v xml:space="preserve">PRON  Products noncritical  </v>
          </cell>
          <cell r="B34" t="str">
            <v>Products</v>
          </cell>
        </row>
        <row r="35">
          <cell r="A35" t="str">
            <v xml:space="preserve">RWAG  Rotor Wing AG/Firefighting/Slu  </v>
          </cell>
          <cell r="B35" t="str">
            <v>Commercial</v>
          </cell>
        </row>
        <row r="36">
          <cell r="A36" t="str">
            <v xml:space="preserve">RWCO  Rotor Wing Corporate  </v>
          </cell>
          <cell r="B36" t="str">
            <v>Corporate</v>
          </cell>
        </row>
        <row r="37">
          <cell r="A37" t="str">
            <v>RWLC  Rotor Wing limited commercial</v>
          </cell>
          <cell r="B37" t="str">
            <v>Commercial</v>
          </cell>
        </row>
        <row r="38">
          <cell r="A38" t="str">
            <v xml:space="preserve">RWLC  Rotor Wing limited commercial </v>
          </cell>
          <cell r="B38" t="str">
            <v>Commercial</v>
          </cell>
        </row>
        <row r="39">
          <cell r="A39" t="str">
            <v xml:space="preserve">RWLC  Rotor Wing limited commercial  </v>
          </cell>
          <cell r="B39" t="str">
            <v>Commercial</v>
          </cell>
        </row>
        <row r="40">
          <cell r="A40" t="str">
            <v>RWLC Rotor Wing limited commercial</v>
          </cell>
          <cell r="B40" t="str">
            <v>Commercial</v>
          </cell>
        </row>
        <row r="41">
          <cell r="A41" t="str">
            <v>RWPB  Rotor Wing PB&amp;P</v>
          </cell>
          <cell r="B41" t="str">
            <v>Pleasure and Business Incl Ab Initio Training</v>
          </cell>
        </row>
        <row r="42">
          <cell r="A42" t="str">
            <v xml:space="preserve">RWPB  Rotor Wing PB&amp;P </v>
          </cell>
          <cell r="B42" t="str">
            <v>Pleasure and Business Incl Ab Initio Training</v>
          </cell>
        </row>
        <row r="43">
          <cell r="A43" t="str">
            <v xml:space="preserve">RWPB  Rotor Wing PB&amp;P  </v>
          </cell>
          <cell r="B43" t="str">
            <v>Pleasure and Business Incl Ab Initio Training</v>
          </cell>
        </row>
        <row r="44">
          <cell r="A44" t="str">
            <v xml:space="preserve">RWPO  Rotor Wing Police/EMS  </v>
          </cell>
          <cell r="B44" t="str">
            <v>Instruction and Rental</v>
          </cell>
        </row>
        <row r="45">
          <cell r="A45" t="str">
            <v>UAV Unmanned Arial Vehicle</v>
          </cell>
          <cell r="B45" t="str">
            <v>UAV</v>
          </cell>
        </row>
        <row r="46">
          <cell r="A46" t="str">
            <v xml:space="preserve">UAV Unmanned Arial Vehicle </v>
          </cell>
          <cell r="B46" t="str">
            <v>UAV</v>
          </cell>
        </row>
      </sheetData>
      <sheetData sheetId="11">
        <row r="3">
          <cell r="AD3">
            <v>2018</v>
          </cell>
        </row>
      </sheetData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2"/>
      <sheetName val="Schedules A,B,C"/>
      <sheetName val="Schedules A,B,C Audit Notes"/>
      <sheetName val="Secondary Schedule"/>
      <sheetName val="Secondary Schedule Audit Notes"/>
      <sheetName val="sched 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eme1">
  <a:themeElements>
    <a:clrScheme name="GC Cool Color Palette">
      <a:dk1>
        <a:srgbClr val="202020"/>
      </a:dk1>
      <a:lt1>
        <a:srgbClr val="FFFFFF"/>
      </a:lt1>
      <a:dk2>
        <a:srgbClr val="002C77"/>
      </a:dk2>
      <a:lt2>
        <a:srgbClr val="F0F0F0"/>
      </a:lt2>
      <a:accent1>
        <a:srgbClr val="002C77"/>
      </a:accent1>
      <a:accent2>
        <a:srgbClr val="009DE0"/>
      </a:accent2>
      <a:accent3>
        <a:srgbClr val="00AC41"/>
      </a:accent3>
      <a:accent4>
        <a:srgbClr val="76D3FF"/>
      </a:accent4>
      <a:accent5>
        <a:srgbClr val="949494"/>
      </a:accent5>
      <a:accent6>
        <a:srgbClr val="8096B2"/>
      </a:accent6>
      <a:hlink>
        <a:srgbClr val="2C6EF2"/>
      </a:hlink>
      <a:folHlink>
        <a:srgbClr val="009DE0"/>
      </a:folHlink>
    </a:clrScheme>
    <a:fontScheme name="MMCo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chemeClr val="accent6"/>
          </a:solidFill>
        </a:ln>
      </a:spPr>
      <a:bodyPr rot="0" spcFirstLastPara="0" vertOverflow="overflow" horzOverflow="overflow" vert="horz" wrap="square" lIns="72000" tIns="72000" rIns="72000" bIns="7200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accent6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72000" tIns="72000" rIns="72000" bIns="72000" rtlCol="0">
        <a:spAutoFit/>
      </a:bodyPr>
      <a:lstStyle>
        <a:defPPr>
          <a:defRPr sz="1600" dirty="0" err="1" smtClean="0"/>
        </a:defPPr>
      </a:lstStyle>
    </a:txDef>
  </a:objectDefaults>
  <a:extraClrSchemeLst/>
  <a:custClrLst>
    <a:custClr name="Bright Emerald">
      <a:srgbClr val="72BE44"/>
    </a:custClr>
    <a:custClr name="Light Emerald">
      <a:srgbClr val="BDDDA3"/>
    </a:custClr>
    <a:custClr name="Bright Iolite">
      <a:srgbClr val="6F83C1"/>
    </a:custClr>
    <a:custClr name="Light Iolite">
      <a:srgbClr val="C4CAE6"/>
    </a:custClr>
    <a:custClr name="Bright Topaz">
      <a:srgbClr val="FBAE17"/>
    </a:custClr>
    <a:custClr name="Light Topaz">
      <a:srgbClr val="FFDDAC"/>
    </a:custClr>
    <a:custClr name="Bright Turquoise">
      <a:srgbClr val="0FB694"/>
    </a:custClr>
    <a:custClr name="Light Turquoise">
      <a:srgbClr val="A7D9C8"/>
    </a:custClr>
    <a:custClr name="Bright Citrine">
      <a:srgbClr val="F48132"/>
    </a:custClr>
    <a:custClr name="Light Citrine">
      <a:srgbClr val="FCCFAB"/>
    </a:custClr>
  </a:custClrLst>
  <a:extLst>
    <a:ext uri="{05A4C25C-085E-4340-85A3-A5531E510DB2}">
      <thm15:themeFamily xmlns:thm15="http://schemas.microsoft.com/office/thememl/2012/main" name="mmc" id="{25505483-7F0D-4F2A-8586-CDCA08CA7CAC}" vid="{6FB6C8DE-ECB2-4235-A4C7-639EC9A5966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E76"/>
  <sheetViews>
    <sheetView showGridLines="0" showOutlineSymbols="0" zoomScale="80" zoomScaleNormal="50" workbookViewId="0">
      <selection activeCell="D5" sqref="D5"/>
    </sheetView>
  </sheetViews>
  <sheetFormatPr defaultColWidth="12.33203125" defaultRowHeight="20.399999999999999"/>
  <cols>
    <col min="1" max="1" width="3.1328125" customWidth="1"/>
    <col min="2" max="2" width="44.33203125" customWidth="1"/>
    <col min="3" max="5" width="10.6640625" customWidth="1"/>
  </cols>
  <sheetData>
    <row r="1" spans="1:5" ht="39.9" customHeight="1"/>
    <row r="2" spans="1:5" ht="36" customHeight="1">
      <c r="A2" s="83" t="s">
        <v>7</v>
      </c>
      <c r="B2" s="84"/>
      <c r="C2" s="84"/>
      <c r="D2" s="84"/>
      <c r="E2" s="85"/>
    </row>
    <row r="3" spans="1:5" ht="12.9" customHeight="1">
      <c r="A3" s="3"/>
      <c r="B3" s="4"/>
      <c r="C3" s="4"/>
      <c r="D3" s="4"/>
      <c r="E3" s="4"/>
    </row>
    <row r="4" spans="1:5" ht="21">
      <c r="A4" s="5"/>
      <c r="B4" s="6" t="s">
        <v>8</v>
      </c>
      <c r="C4" s="7">
        <v>2019</v>
      </c>
      <c r="D4" s="101">
        <v>2020</v>
      </c>
      <c r="E4" s="103" t="s">
        <v>294</v>
      </c>
    </row>
    <row r="5" spans="1:5" ht="21">
      <c r="A5" s="8"/>
      <c r="B5" s="9"/>
      <c r="C5" s="10" t="s">
        <v>9</v>
      </c>
      <c r="D5" s="102" t="s">
        <v>9</v>
      </c>
      <c r="E5" s="104" t="s">
        <v>9</v>
      </c>
    </row>
    <row r="6" spans="1:5" ht="26.1" customHeight="1">
      <c r="A6" s="8"/>
      <c r="B6" s="11" t="s">
        <v>10</v>
      </c>
      <c r="C6" s="4"/>
      <c r="D6" s="4"/>
      <c r="E6" s="4"/>
    </row>
    <row r="7" spans="1:5" ht="24" customHeight="1">
      <c r="A7" s="97" t="s">
        <v>11</v>
      </c>
      <c r="B7" s="98" t="s">
        <v>12</v>
      </c>
      <c r="C7" s="107"/>
      <c r="D7" s="105"/>
      <c r="E7" s="106"/>
    </row>
    <row r="8" spans="1:5" ht="18" customHeight="1">
      <c r="A8" s="99"/>
      <c r="B8" s="100"/>
      <c r="C8" s="108"/>
      <c r="D8" s="109"/>
      <c r="E8" s="109"/>
    </row>
    <row r="9" spans="1:5" ht="24" customHeight="1">
      <c r="A9" s="97" t="s">
        <v>13</v>
      </c>
      <c r="B9" s="98" t="s">
        <v>14</v>
      </c>
      <c r="C9" s="107"/>
      <c r="D9" s="105"/>
      <c r="E9" s="106"/>
    </row>
    <row r="10" spans="1:5" ht="18" customHeight="1">
      <c r="A10" s="100"/>
      <c r="B10" s="100"/>
      <c r="C10" s="110"/>
      <c r="D10" s="111"/>
      <c r="E10" s="111"/>
    </row>
    <row r="11" spans="1:5" ht="24" customHeight="1">
      <c r="A11" s="97" t="s">
        <v>15</v>
      </c>
      <c r="B11" s="98" t="s">
        <v>16</v>
      </c>
      <c r="C11" s="107"/>
      <c r="D11" s="105"/>
      <c r="E11" s="106"/>
    </row>
    <row r="12" spans="1:5" ht="18" customHeight="1">
      <c r="A12" s="100"/>
      <c r="B12" s="98"/>
      <c r="C12" s="112"/>
      <c r="D12" s="112"/>
      <c r="E12" s="112"/>
    </row>
    <row r="13" spans="1:5" ht="24" customHeight="1">
      <c r="A13" s="97" t="s">
        <v>17</v>
      </c>
      <c r="B13" s="98" t="s">
        <v>18</v>
      </c>
      <c r="C13" s="107"/>
      <c r="D13" s="105"/>
      <c r="E13" s="106"/>
    </row>
    <row r="14" spans="1:5" ht="18" customHeight="1">
      <c r="A14" s="100"/>
      <c r="B14" s="100"/>
      <c r="C14" s="110"/>
      <c r="D14" s="111"/>
      <c r="E14" s="111"/>
    </row>
    <row r="15" spans="1:5" ht="24" customHeight="1">
      <c r="A15" s="97" t="s">
        <v>19</v>
      </c>
      <c r="B15" s="98" t="s">
        <v>20</v>
      </c>
      <c r="C15" s="107"/>
      <c r="D15" s="105"/>
      <c r="E15" s="106"/>
    </row>
    <row r="16" spans="1:5" ht="18" customHeight="1">
      <c r="A16" s="15"/>
      <c r="B16" s="15"/>
      <c r="C16" s="37"/>
      <c r="D16" s="37"/>
      <c r="E16" s="37"/>
    </row>
    <row r="17" spans="1:5" ht="18" customHeight="1">
      <c r="A17" s="15"/>
      <c r="B17" s="15"/>
      <c r="C17" s="37"/>
      <c r="D17" s="37"/>
      <c r="E17" s="37"/>
    </row>
    <row r="18" spans="1:5" ht="26.1" customHeight="1">
      <c r="A18" s="8"/>
      <c r="B18" s="11" t="s">
        <v>21</v>
      </c>
      <c r="C18" s="37"/>
      <c r="D18" s="37"/>
      <c r="E18" s="37"/>
    </row>
    <row r="19" spans="1:5" ht="24" customHeight="1">
      <c r="A19" s="97" t="s">
        <v>11</v>
      </c>
      <c r="B19" s="98" t="s">
        <v>22</v>
      </c>
      <c r="C19" s="107"/>
      <c r="D19" s="105"/>
      <c r="E19" s="106"/>
    </row>
    <row r="20" spans="1:5" ht="18" customHeight="1">
      <c r="A20" s="99"/>
      <c r="B20" s="100"/>
      <c r="C20" s="110"/>
      <c r="D20" s="111"/>
      <c r="E20" s="111"/>
    </row>
    <row r="21" spans="1:5" ht="24" customHeight="1">
      <c r="A21" s="97" t="s">
        <v>13</v>
      </c>
      <c r="B21" s="98" t="s">
        <v>16</v>
      </c>
      <c r="C21" s="107"/>
      <c r="D21" s="105"/>
      <c r="E21" s="106"/>
    </row>
    <row r="22" spans="1:5" ht="18" customHeight="1">
      <c r="A22" s="100"/>
      <c r="B22" s="100"/>
      <c r="C22" s="110"/>
      <c r="D22" s="111"/>
      <c r="E22" s="111"/>
    </row>
    <row r="23" spans="1:5" ht="24" customHeight="1">
      <c r="A23" s="97" t="s">
        <v>15</v>
      </c>
      <c r="B23" s="98" t="s">
        <v>18</v>
      </c>
      <c r="C23" s="107"/>
      <c r="D23" s="105"/>
      <c r="E23" s="106"/>
    </row>
    <row r="24" spans="1:5" ht="18" customHeight="1">
      <c r="A24" s="100"/>
      <c r="B24" s="98"/>
      <c r="C24" s="112"/>
      <c r="D24" s="112"/>
      <c r="E24" s="112"/>
    </row>
    <row r="25" spans="1:5" ht="24" customHeight="1">
      <c r="A25" s="97" t="s">
        <v>17</v>
      </c>
      <c r="B25" s="98" t="s">
        <v>20</v>
      </c>
      <c r="C25" s="107"/>
      <c r="D25" s="105"/>
      <c r="E25" s="106"/>
    </row>
    <row r="26" spans="1:5" ht="18" customHeight="1">
      <c r="A26" s="15"/>
      <c r="B26" s="15"/>
      <c r="C26" s="37"/>
      <c r="D26" s="37"/>
      <c r="E26" s="37"/>
    </row>
    <row r="27" spans="1:5" ht="18" customHeight="1">
      <c r="A27" s="15"/>
      <c r="B27" s="15"/>
      <c r="C27" s="37"/>
      <c r="D27" s="37"/>
      <c r="E27" s="37"/>
    </row>
    <row r="28" spans="1:5" ht="26.1" customHeight="1">
      <c r="A28" s="15"/>
      <c r="B28" s="11" t="s">
        <v>23</v>
      </c>
      <c r="C28" s="37"/>
      <c r="D28" s="37"/>
      <c r="E28" s="37"/>
    </row>
    <row r="29" spans="1:5" ht="24" customHeight="1">
      <c r="A29" s="97" t="s">
        <v>11</v>
      </c>
      <c r="B29" s="98" t="s">
        <v>24</v>
      </c>
      <c r="C29" s="107"/>
      <c r="D29" s="105"/>
      <c r="E29" s="106"/>
    </row>
    <row r="30" spans="1:5" ht="18" customHeight="1">
      <c r="A30" s="99"/>
      <c r="B30" s="100"/>
      <c r="C30" s="110"/>
      <c r="D30" s="111"/>
      <c r="E30" s="111"/>
    </row>
    <row r="31" spans="1:5" ht="24" customHeight="1">
      <c r="A31" s="97" t="s">
        <v>13</v>
      </c>
      <c r="B31" s="98" t="s">
        <v>25</v>
      </c>
      <c r="C31" s="107"/>
      <c r="D31" s="105"/>
      <c r="E31" s="106"/>
    </row>
    <row r="32" spans="1:5" ht="24" customHeight="1">
      <c r="A32" s="12"/>
      <c r="B32" s="13"/>
      <c r="C32" s="37"/>
      <c r="D32" s="37"/>
      <c r="E32" s="37"/>
    </row>
    <row r="33" spans="1:5" ht="26.1" customHeight="1">
      <c r="A33" s="15"/>
      <c r="B33" s="11" t="s">
        <v>26</v>
      </c>
      <c r="C33" s="107"/>
      <c r="D33" s="105"/>
      <c r="E33" s="106"/>
    </row>
    <row r="34" spans="1:5" ht="26.1" customHeight="1">
      <c r="A34" s="15"/>
      <c r="B34" s="14"/>
      <c r="C34" s="109"/>
      <c r="D34" s="111"/>
      <c r="E34" s="111"/>
    </row>
    <row r="35" spans="1:5" ht="26.1" customHeight="1">
      <c r="A35" s="15"/>
      <c r="B35" s="11" t="s">
        <v>27</v>
      </c>
      <c r="C35" s="107"/>
      <c r="D35" s="105"/>
      <c r="E35" s="106"/>
    </row>
    <row r="36" spans="1:5" ht="26.1" customHeight="1">
      <c r="A36" s="15"/>
      <c r="B36" s="8"/>
      <c r="C36" s="109"/>
      <c r="D36" s="111"/>
      <c r="E36" s="111"/>
    </row>
    <row r="37" spans="1:5" ht="26.1" customHeight="1">
      <c r="A37" s="15"/>
      <c r="B37" s="11" t="s">
        <v>28</v>
      </c>
      <c r="C37" s="107"/>
      <c r="D37" s="105"/>
      <c r="E37" s="106"/>
    </row>
    <row r="38" spans="1:5" ht="26.1" customHeight="1">
      <c r="A38" s="15"/>
      <c r="B38" s="8"/>
      <c r="C38" s="109"/>
      <c r="D38" s="111"/>
      <c r="E38" s="111"/>
    </row>
    <row r="39" spans="1:5" ht="26.1" customHeight="1">
      <c r="A39" s="15"/>
      <c r="B39" s="11" t="s">
        <v>29</v>
      </c>
      <c r="C39" s="107"/>
      <c r="D39" s="105"/>
      <c r="E39" s="106"/>
    </row>
    <row r="40" spans="1:5" ht="26.1" customHeight="1">
      <c r="A40" s="15"/>
      <c r="B40" s="8"/>
      <c r="C40" s="109"/>
      <c r="D40" s="111"/>
      <c r="E40" s="111"/>
    </row>
    <row r="41" spans="1:5" ht="26.1" customHeight="1">
      <c r="A41" s="15"/>
      <c r="B41" s="11" t="s">
        <v>30</v>
      </c>
      <c r="C41" s="107"/>
      <c r="D41" s="105"/>
      <c r="E41" s="106"/>
    </row>
    <row r="42" spans="1:5" ht="26.1" customHeight="1">
      <c r="A42" s="15"/>
      <c r="B42" s="8"/>
      <c r="C42" s="109"/>
      <c r="D42" s="111"/>
      <c r="E42" s="111"/>
    </row>
    <row r="43" spans="1:5" ht="26.1" customHeight="1">
      <c r="A43" s="15"/>
      <c r="B43" s="11" t="s">
        <v>31</v>
      </c>
      <c r="C43" s="107"/>
      <c r="D43" s="105"/>
      <c r="E43" s="106"/>
    </row>
    <row r="44" spans="1:5" ht="26.1" customHeight="1">
      <c r="A44" s="15"/>
      <c r="B44" s="8"/>
      <c r="C44" s="109"/>
      <c r="D44" s="111"/>
      <c r="E44" s="111"/>
    </row>
    <row r="45" spans="1:5" ht="26.1" customHeight="1">
      <c r="A45" s="15"/>
      <c r="B45" s="11" t="s">
        <v>32</v>
      </c>
      <c r="C45" s="107"/>
      <c r="D45" s="105"/>
      <c r="E45" s="106"/>
    </row>
    <row r="46" spans="1:5" ht="26.1" customHeight="1">
      <c r="A46" s="15"/>
      <c r="B46" s="8"/>
      <c r="C46" s="109"/>
      <c r="D46" s="111"/>
      <c r="E46" s="111"/>
    </row>
    <row r="47" spans="1:5" ht="26.1" customHeight="1">
      <c r="A47" s="15"/>
      <c r="B47" s="11" t="s">
        <v>33</v>
      </c>
      <c r="C47" s="107"/>
      <c r="D47" s="105"/>
      <c r="E47" s="106"/>
    </row>
    <row r="48" spans="1:5" ht="18" customHeight="1">
      <c r="A48" s="16"/>
      <c r="B48" s="16"/>
      <c r="C48" s="16"/>
      <c r="D48" s="16"/>
      <c r="E48" s="16"/>
    </row>
    <row r="49" spans="1:5" ht="18" customHeight="1">
      <c r="A49" s="16"/>
      <c r="B49" s="4"/>
      <c r="C49" s="16"/>
      <c r="D49" s="16"/>
      <c r="E49" s="16"/>
    </row>
    <row r="50" spans="1:5" ht="6" customHeight="1">
      <c r="A50" s="16"/>
      <c r="B50" s="16"/>
      <c r="C50" s="17"/>
      <c r="D50" s="17"/>
      <c r="E50" s="17"/>
    </row>
    <row r="51" spans="1:5" ht="18" customHeight="1">
      <c r="A51" s="16"/>
      <c r="B51" s="18"/>
      <c r="C51" s="17"/>
      <c r="D51" s="17"/>
      <c r="E51" s="17"/>
    </row>
    <row r="52" spans="1:5" ht="6" customHeight="1">
      <c r="A52" s="16"/>
      <c r="B52" s="16"/>
      <c r="C52" s="17"/>
      <c r="D52" s="17"/>
      <c r="E52" s="17"/>
    </row>
    <row r="53" spans="1:5" ht="18" customHeight="1">
      <c r="A53" s="16"/>
      <c r="B53" s="18"/>
      <c r="C53" s="17"/>
      <c r="D53" s="17"/>
      <c r="E53" s="17"/>
    </row>
    <row r="54" spans="1:5" ht="18" customHeight="1">
      <c r="A54" s="16"/>
      <c r="B54" s="16"/>
      <c r="C54" s="17"/>
      <c r="D54" s="17"/>
      <c r="E54" s="17"/>
    </row>
    <row r="55" spans="1:5" ht="18" customHeight="1">
      <c r="A55" s="16"/>
      <c r="B55" s="4"/>
      <c r="C55" s="17"/>
      <c r="D55" s="17"/>
      <c r="E55" s="17"/>
    </row>
    <row r="56" spans="1:5" ht="18" customHeight="1">
      <c r="A56" s="16"/>
      <c r="B56" s="16"/>
      <c r="C56" s="17"/>
      <c r="D56" s="17"/>
      <c r="E56" s="17"/>
    </row>
    <row r="57" spans="1:5" ht="18" customHeight="1">
      <c r="A57" s="16"/>
      <c r="B57" s="4"/>
      <c r="C57" s="17"/>
      <c r="D57" s="17"/>
      <c r="E57" s="17"/>
    </row>
    <row r="58" spans="1:5" ht="18" customHeight="1">
      <c r="A58" s="16"/>
      <c r="B58" s="16"/>
      <c r="C58" s="17"/>
      <c r="D58" s="17"/>
      <c r="E58" s="17"/>
    </row>
    <row r="59" spans="1:5" ht="18" customHeight="1">
      <c r="A59" s="16"/>
      <c r="B59" s="4"/>
      <c r="C59" s="17"/>
      <c r="D59" s="17"/>
      <c r="E59" s="17"/>
    </row>
    <row r="60" spans="1:5" ht="18" customHeight="1">
      <c r="A60" s="16"/>
      <c r="B60" s="16"/>
      <c r="C60" s="17"/>
      <c r="D60" s="17"/>
      <c r="E60" s="17"/>
    </row>
    <row r="61" spans="1:5" ht="18" customHeight="1">
      <c r="A61" s="16"/>
      <c r="B61" s="4"/>
      <c r="C61" s="17"/>
      <c r="D61" s="17"/>
      <c r="E61" s="17"/>
    </row>
    <row r="62" spans="1:5" ht="6" customHeight="1">
      <c r="A62" s="16"/>
      <c r="B62" s="16"/>
      <c r="C62" s="17"/>
      <c r="D62" s="17"/>
      <c r="E62" s="17"/>
    </row>
    <row r="63" spans="1:5" ht="18" customHeight="1">
      <c r="A63" s="16"/>
      <c r="B63" s="16"/>
      <c r="C63" s="17"/>
      <c r="D63" s="17"/>
      <c r="E63" s="17"/>
    </row>
    <row r="64" spans="1:5" ht="6" customHeight="1">
      <c r="A64" s="16"/>
      <c r="B64" s="16"/>
    </row>
    <row r="65" spans="1:2" ht="18" customHeight="1">
      <c r="A65" s="16"/>
      <c r="B65" s="16"/>
    </row>
    <row r="66" spans="1:2" ht="18" customHeight="1">
      <c r="A66" s="16"/>
      <c r="B66" s="16"/>
    </row>
    <row r="67" spans="1:2" ht="18" customHeight="1">
      <c r="A67" s="16"/>
      <c r="B67" s="4"/>
    </row>
    <row r="68" spans="1:2" ht="18" customHeight="1">
      <c r="A68" s="16"/>
      <c r="B68" s="17"/>
    </row>
    <row r="69" spans="1:2" ht="18" customHeight="1">
      <c r="A69" s="17"/>
      <c r="B69" s="19"/>
    </row>
    <row r="70" spans="1:2" ht="15.9" customHeight="1">
      <c r="A70" s="17"/>
      <c r="B70" s="19"/>
    </row>
    <row r="71" spans="1:2" ht="15.9" customHeight="1">
      <c r="A71" s="17"/>
      <c r="B71" s="19"/>
    </row>
    <row r="72" spans="1:2" ht="15.9" customHeight="1">
      <c r="A72" s="17"/>
      <c r="B72" s="17"/>
    </row>
    <row r="73" spans="1:2" ht="24" customHeight="1">
      <c r="A73" s="17"/>
      <c r="B73" s="17"/>
    </row>
    <row r="74" spans="1:2" ht="9" customHeight="1">
      <c r="A74" s="20"/>
      <c r="B74" s="17"/>
    </row>
    <row r="75" spans="1:2" ht="42" customHeight="1">
      <c r="A75" s="17"/>
      <c r="B75" s="17"/>
    </row>
    <row r="76" spans="1:2">
      <c r="A76" s="17"/>
      <c r="B76" s="17"/>
    </row>
  </sheetData>
  <phoneticPr fontId="0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1" orientation="portrait" r:id="rId1"/>
  <headerFooter alignWithMargins="0">
    <oddFooter>&amp;C&amp;10Page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47"/>
  <sheetViews>
    <sheetView showGridLines="0" tabSelected="1" topLeftCell="A319" zoomScale="80" zoomScaleNormal="80" workbookViewId="0">
      <selection activeCell="C347" sqref="C347"/>
    </sheetView>
  </sheetViews>
  <sheetFormatPr defaultRowHeight="13.2"/>
  <cols>
    <col min="1" max="1" width="2.1328125" style="38" customWidth="1"/>
    <col min="2" max="2" width="21.46484375" style="39" customWidth="1"/>
    <col min="3" max="3" width="6.59765625" style="56" bestFit="1" customWidth="1"/>
    <col min="4" max="4" width="6.6640625" style="56" bestFit="1" customWidth="1"/>
    <col min="5" max="5" width="8.06640625" style="56" customWidth="1"/>
    <col min="6" max="6" width="3.46484375" style="38" bestFit="1" customWidth="1"/>
    <col min="7" max="7" width="8.59765625" style="38" customWidth="1"/>
    <col min="8" max="8" width="8.06640625" style="38" customWidth="1"/>
    <col min="9" max="9" width="5.46484375" style="38" customWidth="1"/>
    <col min="10" max="10" width="3.33203125" style="38" customWidth="1"/>
    <col min="11" max="11" width="3" style="38" bestFit="1" customWidth="1"/>
    <col min="12" max="13" width="8.06640625" style="38" customWidth="1"/>
    <col min="14" max="14" width="5.46484375" style="38" customWidth="1"/>
    <col min="15" max="15" width="3.33203125" style="38" customWidth="1"/>
    <col min="16" max="16" width="5.1328125" style="124" bestFit="1" customWidth="1"/>
    <col min="17" max="17" width="20.265625" style="161" customWidth="1"/>
    <col min="18" max="238" width="8.6640625" style="124"/>
    <col min="239" max="239" width="2.1328125" style="124" customWidth="1"/>
    <col min="240" max="240" width="20.33203125" style="124" customWidth="1"/>
    <col min="241" max="241" width="6.59765625" style="124" bestFit="1" customWidth="1"/>
    <col min="242" max="242" width="6.6640625" style="124" bestFit="1" customWidth="1"/>
    <col min="243" max="243" width="7" style="124" bestFit="1" customWidth="1"/>
    <col min="244" max="244" width="3.46484375" style="124" bestFit="1" customWidth="1"/>
    <col min="245" max="245" width="8.59765625" style="124" customWidth="1"/>
    <col min="246" max="246" width="8.06640625" style="124" customWidth="1"/>
    <col min="247" max="247" width="5.46484375" style="124" customWidth="1"/>
    <col min="248" max="248" width="3.33203125" style="124" customWidth="1"/>
    <col min="249" max="249" width="3" style="124" bestFit="1" customWidth="1"/>
    <col min="250" max="251" width="8.06640625" style="124" customWidth="1"/>
    <col min="252" max="252" width="5.46484375" style="124" customWidth="1"/>
    <col min="253" max="253" width="3.33203125" style="124" customWidth="1"/>
    <col min="254" max="254" width="5.1328125" style="124" bestFit="1" customWidth="1"/>
    <col min="255" max="255" width="6.06640625" style="124" customWidth="1"/>
    <col min="256" max="256" width="8.6640625" style="124"/>
    <col min="257" max="257" width="7.796875" style="124" bestFit="1" customWidth="1"/>
    <col min="258" max="258" width="6.9296875" style="124" customWidth="1"/>
    <col min="259" max="260" width="8.6640625" style="124"/>
    <col min="261" max="261" width="7.796875" style="124" bestFit="1" customWidth="1"/>
    <col min="262" max="262" width="10.3984375" style="124" customWidth="1"/>
    <col min="263" max="494" width="8.6640625" style="124"/>
    <col min="495" max="495" width="2.1328125" style="124" customWidth="1"/>
    <col min="496" max="496" width="20.33203125" style="124" customWidth="1"/>
    <col min="497" max="497" width="6.59765625" style="124" bestFit="1" customWidth="1"/>
    <col min="498" max="498" width="6.6640625" style="124" bestFit="1" customWidth="1"/>
    <col min="499" max="499" width="7" style="124" bestFit="1" customWidth="1"/>
    <col min="500" max="500" width="3.46484375" style="124" bestFit="1" customWidth="1"/>
    <col min="501" max="501" width="8.59765625" style="124" customWidth="1"/>
    <col min="502" max="502" width="8.06640625" style="124" customWidth="1"/>
    <col min="503" max="503" width="5.46484375" style="124" customWidth="1"/>
    <col min="504" max="504" width="3.33203125" style="124" customWidth="1"/>
    <col min="505" max="505" width="3" style="124" bestFit="1" customWidth="1"/>
    <col min="506" max="507" width="8.06640625" style="124" customWidth="1"/>
    <col min="508" max="508" width="5.46484375" style="124" customWidth="1"/>
    <col min="509" max="509" width="3.33203125" style="124" customWidth="1"/>
    <col min="510" max="510" width="5.1328125" style="124" bestFit="1" customWidth="1"/>
    <col min="511" max="511" width="6.06640625" style="124" customWidth="1"/>
    <col min="512" max="512" width="8.6640625" style="124"/>
    <col min="513" max="513" width="7.796875" style="124" bestFit="1" customWidth="1"/>
    <col min="514" max="514" width="6.9296875" style="124" customWidth="1"/>
    <col min="515" max="516" width="8.6640625" style="124"/>
    <col min="517" max="517" width="7.796875" style="124" bestFit="1" customWidth="1"/>
    <col min="518" max="518" width="10.3984375" style="124" customWidth="1"/>
    <col min="519" max="750" width="8.6640625" style="124"/>
    <col min="751" max="751" width="2.1328125" style="124" customWidth="1"/>
    <col min="752" max="752" width="20.33203125" style="124" customWidth="1"/>
    <col min="753" max="753" width="6.59765625" style="124" bestFit="1" customWidth="1"/>
    <col min="754" max="754" width="6.6640625" style="124" bestFit="1" customWidth="1"/>
    <col min="755" max="755" width="7" style="124" bestFit="1" customWidth="1"/>
    <col min="756" max="756" width="3.46484375" style="124" bestFit="1" customWidth="1"/>
    <col min="757" max="757" width="8.59765625" style="124" customWidth="1"/>
    <col min="758" max="758" width="8.06640625" style="124" customWidth="1"/>
    <col min="759" max="759" width="5.46484375" style="124" customWidth="1"/>
    <col min="760" max="760" width="3.33203125" style="124" customWidth="1"/>
    <col min="761" max="761" width="3" style="124" bestFit="1" customWidth="1"/>
    <col min="762" max="763" width="8.06640625" style="124" customWidth="1"/>
    <col min="764" max="764" width="5.46484375" style="124" customWidth="1"/>
    <col min="765" max="765" width="3.33203125" style="124" customWidth="1"/>
    <col min="766" max="766" width="5.1328125" style="124" bestFit="1" customWidth="1"/>
    <col min="767" max="767" width="6.06640625" style="124" customWidth="1"/>
    <col min="768" max="768" width="8.6640625" style="124"/>
    <col min="769" max="769" width="7.796875" style="124" bestFit="1" customWidth="1"/>
    <col min="770" max="770" width="6.9296875" style="124" customWidth="1"/>
    <col min="771" max="772" width="8.6640625" style="124"/>
    <col min="773" max="773" width="7.796875" style="124" bestFit="1" customWidth="1"/>
    <col min="774" max="774" width="10.3984375" style="124" customWidth="1"/>
    <col min="775" max="1006" width="8.6640625" style="124"/>
    <col min="1007" max="1007" width="2.1328125" style="124" customWidth="1"/>
    <col min="1008" max="1008" width="20.33203125" style="124" customWidth="1"/>
    <col min="1009" max="1009" width="6.59765625" style="124" bestFit="1" customWidth="1"/>
    <col min="1010" max="1010" width="6.6640625" style="124" bestFit="1" customWidth="1"/>
    <col min="1011" max="1011" width="7" style="124" bestFit="1" customWidth="1"/>
    <col min="1012" max="1012" width="3.46484375" style="124" bestFit="1" customWidth="1"/>
    <col min="1013" max="1013" width="8.59765625" style="124" customWidth="1"/>
    <col min="1014" max="1014" width="8.06640625" style="124" customWidth="1"/>
    <col min="1015" max="1015" width="5.46484375" style="124" customWidth="1"/>
    <col min="1016" max="1016" width="3.33203125" style="124" customWidth="1"/>
    <col min="1017" max="1017" width="3" style="124" bestFit="1" customWidth="1"/>
    <col min="1018" max="1019" width="8.06640625" style="124" customWidth="1"/>
    <col min="1020" max="1020" width="5.46484375" style="124" customWidth="1"/>
    <col min="1021" max="1021" width="3.33203125" style="124" customWidth="1"/>
    <col min="1022" max="1022" width="5.1328125" style="124" bestFit="1" customWidth="1"/>
    <col min="1023" max="1023" width="6.06640625" style="124" customWidth="1"/>
    <col min="1024" max="1024" width="8.6640625" style="124"/>
    <col min="1025" max="1025" width="7.796875" style="124" bestFit="1" customWidth="1"/>
    <col min="1026" max="1026" width="6.9296875" style="124" customWidth="1"/>
    <col min="1027" max="1028" width="8.6640625" style="124"/>
    <col min="1029" max="1029" width="7.796875" style="124" bestFit="1" customWidth="1"/>
    <col min="1030" max="1030" width="10.3984375" style="124" customWidth="1"/>
    <col min="1031" max="1262" width="8.6640625" style="124"/>
    <col min="1263" max="1263" width="2.1328125" style="124" customWidth="1"/>
    <col min="1264" max="1264" width="20.33203125" style="124" customWidth="1"/>
    <col min="1265" max="1265" width="6.59765625" style="124" bestFit="1" customWidth="1"/>
    <col min="1266" max="1266" width="6.6640625" style="124" bestFit="1" customWidth="1"/>
    <col min="1267" max="1267" width="7" style="124" bestFit="1" customWidth="1"/>
    <col min="1268" max="1268" width="3.46484375" style="124" bestFit="1" customWidth="1"/>
    <col min="1269" max="1269" width="8.59765625" style="124" customWidth="1"/>
    <col min="1270" max="1270" width="8.06640625" style="124" customWidth="1"/>
    <col min="1271" max="1271" width="5.46484375" style="124" customWidth="1"/>
    <col min="1272" max="1272" width="3.33203125" style="124" customWidth="1"/>
    <col min="1273" max="1273" width="3" style="124" bestFit="1" customWidth="1"/>
    <col min="1274" max="1275" width="8.06640625" style="124" customWidth="1"/>
    <col min="1276" max="1276" width="5.46484375" style="124" customWidth="1"/>
    <col min="1277" max="1277" width="3.33203125" style="124" customWidth="1"/>
    <col min="1278" max="1278" width="5.1328125" style="124" bestFit="1" customWidth="1"/>
    <col min="1279" max="1279" width="6.06640625" style="124" customWidth="1"/>
    <col min="1280" max="1280" width="8.6640625" style="124"/>
    <col min="1281" max="1281" width="7.796875" style="124" bestFit="1" customWidth="1"/>
    <col min="1282" max="1282" width="6.9296875" style="124" customWidth="1"/>
    <col min="1283" max="1284" width="8.6640625" style="124"/>
    <col min="1285" max="1285" width="7.796875" style="124" bestFit="1" customWidth="1"/>
    <col min="1286" max="1286" width="10.3984375" style="124" customWidth="1"/>
    <col min="1287" max="1518" width="8.6640625" style="124"/>
    <col min="1519" max="1519" width="2.1328125" style="124" customWidth="1"/>
    <col min="1520" max="1520" width="20.33203125" style="124" customWidth="1"/>
    <col min="1521" max="1521" width="6.59765625" style="124" bestFit="1" customWidth="1"/>
    <col min="1522" max="1522" width="6.6640625" style="124" bestFit="1" customWidth="1"/>
    <col min="1523" max="1523" width="7" style="124" bestFit="1" customWidth="1"/>
    <col min="1524" max="1524" width="3.46484375" style="124" bestFit="1" customWidth="1"/>
    <col min="1525" max="1525" width="8.59765625" style="124" customWidth="1"/>
    <col min="1526" max="1526" width="8.06640625" style="124" customWidth="1"/>
    <col min="1527" max="1527" width="5.46484375" style="124" customWidth="1"/>
    <col min="1528" max="1528" width="3.33203125" style="124" customWidth="1"/>
    <col min="1529" max="1529" width="3" style="124" bestFit="1" customWidth="1"/>
    <col min="1530" max="1531" width="8.06640625" style="124" customWidth="1"/>
    <col min="1532" max="1532" width="5.46484375" style="124" customWidth="1"/>
    <col min="1533" max="1533" width="3.33203125" style="124" customWidth="1"/>
    <col min="1534" max="1534" width="5.1328125" style="124" bestFit="1" customWidth="1"/>
    <col min="1535" max="1535" width="6.06640625" style="124" customWidth="1"/>
    <col min="1536" max="1536" width="8.6640625" style="124"/>
    <col min="1537" max="1537" width="7.796875" style="124" bestFit="1" customWidth="1"/>
    <col min="1538" max="1538" width="6.9296875" style="124" customWidth="1"/>
    <col min="1539" max="1540" width="8.6640625" style="124"/>
    <col min="1541" max="1541" width="7.796875" style="124" bestFit="1" customWidth="1"/>
    <col min="1542" max="1542" width="10.3984375" style="124" customWidth="1"/>
    <col min="1543" max="1774" width="8.6640625" style="124"/>
    <col min="1775" max="1775" width="2.1328125" style="124" customWidth="1"/>
    <col min="1776" max="1776" width="20.33203125" style="124" customWidth="1"/>
    <col min="1777" max="1777" width="6.59765625" style="124" bestFit="1" customWidth="1"/>
    <col min="1778" max="1778" width="6.6640625" style="124" bestFit="1" customWidth="1"/>
    <col min="1779" max="1779" width="7" style="124" bestFit="1" customWidth="1"/>
    <col min="1780" max="1780" width="3.46484375" style="124" bestFit="1" customWidth="1"/>
    <col min="1781" max="1781" width="8.59765625" style="124" customWidth="1"/>
    <col min="1782" max="1782" width="8.06640625" style="124" customWidth="1"/>
    <col min="1783" max="1783" width="5.46484375" style="124" customWidth="1"/>
    <col min="1784" max="1784" width="3.33203125" style="124" customWidth="1"/>
    <col min="1785" max="1785" width="3" style="124" bestFit="1" customWidth="1"/>
    <col min="1786" max="1787" width="8.06640625" style="124" customWidth="1"/>
    <col min="1788" max="1788" width="5.46484375" style="124" customWidth="1"/>
    <col min="1789" max="1789" width="3.33203125" style="124" customWidth="1"/>
    <col min="1790" max="1790" width="5.1328125" style="124" bestFit="1" customWidth="1"/>
    <col min="1791" max="1791" width="6.06640625" style="124" customWidth="1"/>
    <col min="1792" max="1792" width="8.6640625" style="124"/>
    <col min="1793" max="1793" width="7.796875" style="124" bestFit="1" customWidth="1"/>
    <col min="1794" max="1794" width="6.9296875" style="124" customWidth="1"/>
    <col min="1795" max="1796" width="8.6640625" style="124"/>
    <col min="1797" max="1797" width="7.796875" style="124" bestFit="1" customWidth="1"/>
    <col min="1798" max="1798" width="10.3984375" style="124" customWidth="1"/>
    <col min="1799" max="2030" width="8.6640625" style="124"/>
    <col min="2031" max="2031" width="2.1328125" style="124" customWidth="1"/>
    <col min="2032" max="2032" width="20.33203125" style="124" customWidth="1"/>
    <col min="2033" max="2033" width="6.59765625" style="124" bestFit="1" customWidth="1"/>
    <col min="2034" max="2034" width="6.6640625" style="124" bestFit="1" customWidth="1"/>
    <col min="2035" max="2035" width="7" style="124" bestFit="1" customWidth="1"/>
    <col min="2036" max="2036" width="3.46484375" style="124" bestFit="1" customWidth="1"/>
    <col min="2037" max="2037" width="8.59765625" style="124" customWidth="1"/>
    <col min="2038" max="2038" width="8.06640625" style="124" customWidth="1"/>
    <col min="2039" max="2039" width="5.46484375" style="124" customWidth="1"/>
    <col min="2040" max="2040" width="3.33203125" style="124" customWidth="1"/>
    <col min="2041" max="2041" width="3" style="124" bestFit="1" customWidth="1"/>
    <col min="2042" max="2043" width="8.06640625" style="124" customWidth="1"/>
    <col min="2044" max="2044" width="5.46484375" style="124" customWidth="1"/>
    <col min="2045" max="2045" width="3.33203125" style="124" customWidth="1"/>
    <col min="2046" max="2046" width="5.1328125" style="124" bestFit="1" customWidth="1"/>
    <col min="2047" max="2047" width="6.06640625" style="124" customWidth="1"/>
    <col min="2048" max="2048" width="8.6640625" style="124"/>
    <col min="2049" max="2049" width="7.796875" style="124" bestFit="1" customWidth="1"/>
    <col min="2050" max="2050" width="6.9296875" style="124" customWidth="1"/>
    <col min="2051" max="2052" width="8.6640625" style="124"/>
    <col min="2053" max="2053" width="7.796875" style="124" bestFit="1" customWidth="1"/>
    <col min="2054" max="2054" width="10.3984375" style="124" customWidth="1"/>
    <col min="2055" max="2286" width="8.6640625" style="124"/>
    <col min="2287" max="2287" width="2.1328125" style="124" customWidth="1"/>
    <col min="2288" max="2288" width="20.33203125" style="124" customWidth="1"/>
    <col min="2289" max="2289" width="6.59765625" style="124" bestFit="1" customWidth="1"/>
    <col min="2290" max="2290" width="6.6640625" style="124" bestFit="1" customWidth="1"/>
    <col min="2291" max="2291" width="7" style="124" bestFit="1" customWidth="1"/>
    <col min="2292" max="2292" width="3.46484375" style="124" bestFit="1" customWidth="1"/>
    <col min="2293" max="2293" width="8.59765625" style="124" customWidth="1"/>
    <col min="2294" max="2294" width="8.06640625" style="124" customWidth="1"/>
    <col min="2295" max="2295" width="5.46484375" style="124" customWidth="1"/>
    <col min="2296" max="2296" width="3.33203125" style="124" customWidth="1"/>
    <col min="2297" max="2297" width="3" style="124" bestFit="1" customWidth="1"/>
    <col min="2298" max="2299" width="8.06640625" style="124" customWidth="1"/>
    <col min="2300" max="2300" width="5.46484375" style="124" customWidth="1"/>
    <col min="2301" max="2301" width="3.33203125" style="124" customWidth="1"/>
    <col min="2302" max="2302" width="5.1328125" style="124" bestFit="1" customWidth="1"/>
    <col min="2303" max="2303" width="6.06640625" style="124" customWidth="1"/>
    <col min="2304" max="2304" width="8.6640625" style="124"/>
    <col min="2305" max="2305" width="7.796875" style="124" bestFit="1" customWidth="1"/>
    <col min="2306" max="2306" width="6.9296875" style="124" customWidth="1"/>
    <col min="2307" max="2308" width="8.6640625" style="124"/>
    <col min="2309" max="2309" width="7.796875" style="124" bestFit="1" customWidth="1"/>
    <col min="2310" max="2310" width="10.3984375" style="124" customWidth="1"/>
    <col min="2311" max="2542" width="8.6640625" style="124"/>
    <col min="2543" max="2543" width="2.1328125" style="124" customWidth="1"/>
    <col min="2544" max="2544" width="20.33203125" style="124" customWidth="1"/>
    <col min="2545" max="2545" width="6.59765625" style="124" bestFit="1" customWidth="1"/>
    <col min="2546" max="2546" width="6.6640625" style="124" bestFit="1" customWidth="1"/>
    <col min="2547" max="2547" width="7" style="124" bestFit="1" customWidth="1"/>
    <col min="2548" max="2548" width="3.46484375" style="124" bestFit="1" customWidth="1"/>
    <col min="2549" max="2549" width="8.59765625" style="124" customWidth="1"/>
    <col min="2550" max="2550" width="8.06640625" style="124" customWidth="1"/>
    <col min="2551" max="2551" width="5.46484375" style="124" customWidth="1"/>
    <col min="2552" max="2552" width="3.33203125" style="124" customWidth="1"/>
    <col min="2553" max="2553" width="3" style="124" bestFit="1" customWidth="1"/>
    <col min="2554" max="2555" width="8.06640625" style="124" customWidth="1"/>
    <col min="2556" max="2556" width="5.46484375" style="124" customWidth="1"/>
    <col min="2557" max="2557" width="3.33203125" style="124" customWidth="1"/>
    <col min="2558" max="2558" width="5.1328125" style="124" bestFit="1" customWidth="1"/>
    <col min="2559" max="2559" width="6.06640625" style="124" customWidth="1"/>
    <col min="2560" max="2560" width="8.6640625" style="124"/>
    <col min="2561" max="2561" width="7.796875" style="124" bestFit="1" customWidth="1"/>
    <col min="2562" max="2562" width="6.9296875" style="124" customWidth="1"/>
    <col min="2563" max="2564" width="8.6640625" style="124"/>
    <col min="2565" max="2565" width="7.796875" style="124" bestFit="1" customWidth="1"/>
    <col min="2566" max="2566" width="10.3984375" style="124" customWidth="1"/>
    <col min="2567" max="2798" width="8.6640625" style="124"/>
    <col min="2799" max="2799" width="2.1328125" style="124" customWidth="1"/>
    <col min="2800" max="2800" width="20.33203125" style="124" customWidth="1"/>
    <col min="2801" max="2801" width="6.59765625" style="124" bestFit="1" customWidth="1"/>
    <col min="2802" max="2802" width="6.6640625" style="124" bestFit="1" customWidth="1"/>
    <col min="2803" max="2803" width="7" style="124" bestFit="1" customWidth="1"/>
    <col min="2804" max="2804" width="3.46484375" style="124" bestFit="1" customWidth="1"/>
    <col min="2805" max="2805" width="8.59765625" style="124" customWidth="1"/>
    <col min="2806" max="2806" width="8.06640625" style="124" customWidth="1"/>
    <col min="2807" max="2807" width="5.46484375" style="124" customWidth="1"/>
    <col min="2808" max="2808" width="3.33203125" style="124" customWidth="1"/>
    <col min="2809" max="2809" width="3" style="124" bestFit="1" customWidth="1"/>
    <col min="2810" max="2811" width="8.06640625" style="124" customWidth="1"/>
    <col min="2812" max="2812" width="5.46484375" style="124" customWidth="1"/>
    <col min="2813" max="2813" width="3.33203125" style="124" customWidth="1"/>
    <col min="2814" max="2814" width="5.1328125" style="124" bestFit="1" customWidth="1"/>
    <col min="2815" max="2815" width="6.06640625" style="124" customWidth="1"/>
    <col min="2816" max="2816" width="8.6640625" style="124"/>
    <col min="2817" max="2817" width="7.796875" style="124" bestFit="1" customWidth="1"/>
    <col min="2818" max="2818" width="6.9296875" style="124" customWidth="1"/>
    <col min="2819" max="2820" width="8.6640625" style="124"/>
    <col min="2821" max="2821" width="7.796875" style="124" bestFit="1" customWidth="1"/>
    <col min="2822" max="2822" width="10.3984375" style="124" customWidth="1"/>
    <col min="2823" max="3054" width="8.6640625" style="124"/>
    <col min="3055" max="3055" width="2.1328125" style="124" customWidth="1"/>
    <col min="3056" max="3056" width="20.33203125" style="124" customWidth="1"/>
    <col min="3057" max="3057" width="6.59765625" style="124" bestFit="1" customWidth="1"/>
    <col min="3058" max="3058" width="6.6640625" style="124" bestFit="1" customWidth="1"/>
    <col min="3059" max="3059" width="7" style="124" bestFit="1" customWidth="1"/>
    <col min="3060" max="3060" width="3.46484375" style="124" bestFit="1" customWidth="1"/>
    <col min="3061" max="3061" width="8.59765625" style="124" customWidth="1"/>
    <col min="3062" max="3062" width="8.06640625" style="124" customWidth="1"/>
    <col min="3063" max="3063" width="5.46484375" style="124" customWidth="1"/>
    <col min="3064" max="3064" width="3.33203125" style="124" customWidth="1"/>
    <col min="3065" max="3065" width="3" style="124" bestFit="1" customWidth="1"/>
    <col min="3066" max="3067" width="8.06640625" style="124" customWidth="1"/>
    <col min="3068" max="3068" width="5.46484375" style="124" customWidth="1"/>
    <col min="3069" max="3069" width="3.33203125" style="124" customWidth="1"/>
    <col min="3070" max="3070" width="5.1328125" style="124" bestFit="1" customWidth="1"/>
    <col min="3071" max="3071" width="6.06640625" style="124" customWidth="1"/>
    <col min="3072" max="3072" width="8.6640625" style="124"/>
    <col min="3073" max="3073" width="7.796875" style="124" bestFit="1" customWidth="1"/>
    <col min="3074" max="3074" width="6.9296875" style="124" customWidth="1"/>
    <col min="3075" max="3076" width="8.6640625" style="124"/>
    <col min="3077" max="3077" width="7.796875" style="124" bestFit="1" customWidth="1"/>
    <col min="3078" max="3078" width="10.3984375" style="124" customWidth="1"/>
    <col min="3079" max="3310" width="8.6640625" style="124"/>
    <col min="3311" max="3311" width="2.1328125" style="124" customWidth="1"/>
    <col min="3312" max="3312" width="20.33203125" style="124" customWidth="1"/>
    <col min="3313" max="3313" width="6.59765625" style="124" bestFit="1" customWidth="1"/>
    <col min="3314" max="3314" width="6.6640625" style="124" bestFit="1" customWidth="1"/>
    <col min="3315" max="3315" width="7" style="124" bestFit="1" customWidth="1"/>
    <col min="3316" max="3316" width="3.46484375" style="124" bestFit="1" customWidth="1"/>
    <col min="3317" max="3317" width="8.59765625" style="124" customWidth="1"/>
    <col min="3318" max="3318" width="8.06640625" style="124" customWidth="1"/>
    <col min="3319" max="3319" width="5.46484375" style="124" customWidth="1"/>
    <col min="3320" max="3320" width="3.33203125" style="124" customWidth="1"/>
    <col min="3321" max="3321" width="3" style="124" bestFit="1" customWidth="1"/>
    <col min="3322" max="3323" width="8.06640625" style="124" customWidth="1"/>
    <col min="3324" max="3324" width="5.46484375" style="124" customWidth="1"/>
    <col min="3325" max="3325" width="3.33203125" style="124" customWidth="1"/>
    <col min="3326" max="3326" width="5.1328125" style="124" bestFit="1" customWidth="1"/>
    <col min="3327" max="3327" width="6.06640625" style="124" customWidth="1"/>
    <col min="3328" max="3328" width="8.6640625" style="124"/>
    <col min="3329" max="3329" width="7.796875" style="124" bestFit="1" customWidth="1"/>
    <col min="3330" max="3330" width="6.9296875" style="124" customWidth="1"/>
    <col min="3331" max="3332" width="8.6640625" style="124"/>
    <col min="3333" max="3333" width="7.796875" style="124" bestFit="1" customWidth="1"/>
    <col min="3334" max="3334" width="10.3984375" style="124" customWidth="1"/>
    <col min="3335" max="3566" width="8.6640625" style="124"/>
    <col min="3567" max="3567" width="2.1328125" style="124" customWidth="1"/>
    <col min="3568" max="3568" width="20.33203125" style="124" customWidth="1"/>
    <col min="3569" max="3569" width="6.59765625" style="124" bestFit="1" customWidth="1"/>
    <col min="3570" max="3570" width="6.6640625" style="124" bestFit="1" customWidth="1"/>
    <col min="3571" max="3571" width="7" style="124" bestFit="1" customWidth="1"/>
    <col min="3572" max="3572" width="3.46484375" style="124" bestFit="1" customWidth="1"/>
    <col min="3573" max="3573" width="8.59765625" style="124" customWidth="1"/>
    <col min="3574" max="3574" width="8.06640625" style="124" customWidth="1"/>
    <col min="3575" max="3575" width="5.46484375" style="124" customWidth="1"/>
    <col min="3576" max="3576" width="3.33203125" style="124" customWidth="1"/>
    <col min="3577" max="3577" width="3" style="124" bestFit="1" customWidth="1"/>
    <col min="3578" max="3579" width="8.06640625" style="124" customWidth="1"/>
    <col min="3580" max="3580" width="5.46484375" style="124" customWidth="1"/>
    <col min="3581" max="3581" width="3.33203125" style="124" customWidth="1"/>
    <col min="3582" max="3582" width="5.1328125" style="124" bestFit="1" customWidth="1"/>
    <col min="3583" max="3583" width="6.06640625" style="124" customWidth="1"/>
    <col min="3584" max="3584" width="8.6640625" style="124"/>
    <col min="3585" max="3585" width="7.796875" style="124" bestFit="1" customWidth="1"/>
    <col min="3586" max="3586" width="6.9296875" style="124" customWidth="1"/>
    <col min="3587" max="3588" width="8.6640625" style="124"/>
    <col min="3589" max="3589" width="7.796875" style="124" bestFit="1" customWidth="1"/>
    <col min="3590" max="3590" width="10.3984375" style="124" customWidth="1"/>
    <col min="3591" max="3822" width="8.6640625" style="124"/>
    <col min="3823" max="3823" width="2.1328125" style="124" customWidth="1"/>
    <col min="3824" max="3824" width="20.33203125" style="124" customWidth="1"/>
    <col min="3825" max="3825" width="6.59765625" style="124" bestFit="1" customWidth="1"/>
    <col min="3826" max="3826" width="6.6640625" style="124" bestFit="1" customWidth="1"/>
    <col min="3827" max="3827" width="7" style="124" bestFit="1" customWidth="1"/>
    <col min="3828" max="3828" width="3.46484375" style="124" bestFit="1" customWidth="1"/>
    <col min="3829" max="3829" width="8.59765625" style="124" customWidth="1"/>
    <col min="3830" max="3830" width="8.06640625" style="124" customWidth="1"/>
    <col min="3831" max="3831" width="5.46484375" style="124" customWidth="1"/>
    <col min="3832" max="3832" width="3.33203125" style="124" customWidth="1"/>
    <col min="3833" max="3833" width="3" style="124" bestFit="1" customWidth="1"/>
    <col min="3834" max="3835" width="8.06640625" style="124" customWidth="1"/>
    <col min="3836" max="3836" width="5.46484375" style="124" customWidth="1"/>
    <col min="3837" max="3837" width="3.33203125" style="124" customWidth="1"/>
    <col min="3838" max="3838" width="5.1328125" style="124" bestFit="1" customWidth="1"/>
    <col min="3839" max="3839" width="6.06640625" style="124" customWidth="1"/>
    <col min="3840" max="3840" width="8.6640625" style="124"/>
    <col min="3841" max="3841" width="7.796875" style="124" bestFit="1" customWidth="1"/>
    <col min="3842" max="3842" width="6.9296875" style="124" customWidth="1"/>
    <col min="3843" max="3844" width="8.6640625" style="124"/>
    <col min="3845" max="3845" width="7.796875" style="124" bestFit="1" customWidth="1"/>
    <col min="3846" max="3846" width="10.3984375" style="124" customWidth="1"/>
    <col min="3847" max="4078" width="8.6640625" style="124"/>
    <col min="4079" max="4079" width="2.1328125" style="124" customWidth="1"/>
    <col min="4080" max="4080" width="20.33203125" style="124" customWidth="1"/>
    <col min="4081" max="4081" width="6.59765625" style="124" bestFit="1" customWidth="1"/>
    <col min="4082" max="4082" width="6.6640625" style="124" bestFit="1" customWidth="1"/>
    <col min="4083" max="4083" width="7" style="124" bestFit="1" customWidth="1"/>
    <col min="4084" max="4084" width="3.46484375" style="124" bestFit="1" customWidth="1"/>
    <col min="4085" max="4085" width="8.59765625" style="124" customWidth="1"/>
    <col min="4086" max="4086" width="8.06640625" style="124" customWidth="1"/>
    <col min="4087" max="4087" width="5.46484375" style="124" customWidth="1"/>
    <col min="4088" max="4088" width="3.33203125" style="124" customWidth="1"/>
    <col min="4089" max="4089" width="3" style="124" bestFit="1" customWidth="1"/>
    <col min="4090" max="4091" width="8.06640625" style="124" customWidth="1"/>
    <col min="4092" max="4092" width="5.46484375" style="124" customWidth="1"/>
    <col min="4093" max="4093" width="3.33203125" style="124" customWidth="1"/>
    <col min="4094" max="4094" width="5.1328125" style="124" bestFit="1" customWidth="1"/>
    <col min="4095" max="4095" width="6.06640625" style="124" customWidth="1"/>
    <col min="4096" max="4096" width="8.6640625" style="124"/>
    <col min="4097" max="4097" width="7.796875" style="124" bestFit="1" customWidth="1"/>
    <col min="4098" max="4098" width="6.9296875" style="124" customWidth="1"/>
    <col min="4099" max="4100" width="8.6640625" style="124"/>
    <col min="4101" max="4101" width="7.796875" style="124" bestFit="1" customWidth="1"/>
    <col min="4102" max="4102" width="10.3984375" style="124" customWidth="1"/>
    <col min="4103" max="4334" width="8.6640625" style="124"/>
    <col min="4335" max="4335" width="2.1328125" style="124" customWidth="1"/>
    <col min="4336" max="4336" width="20.33203125" style="124" customWidth="1"/>
    <col min="4337" max="4337" width="6.59765625" style="124" bestFit="1" customWidth="1"/>
    <col min="4338" max="4338" width="6.6640625" style="124" bestFit="1" customWidth="1"/>
    <col min="4339" max="4339" width="7" style="124" bestFit="1" customWidth="1"/>
    <col min="4340" max="4340" width="3.46484375" style="124" bestFit="1" customWidth="1"/>
    <col min="4341" max="4341" width="8.59765625" style="124" customWidth="1"/>
    <col min="4342" max="4342" width="8.06640625" style="124" customWidth="1"/>
    <col min="4343" max="4343" width="5.46484375" style="124" customWidth="1"/>
    <col min="4344" max="4344" width="3.33203125" style="124" customWidth="1"/>
    <col min="4345" max="4345" width="3" style="124" bestFit="1" customWidth="1"/>
    <col min="4346" max="4347" width="8.06640625" style="124" customWidth="1"/>
    <col min="4348" max="4348" width="5.46484375" style="124" customWidth="1"/>
    <col min="4349" max="4349" width="3.33203125" style="124" customWidth="1"/>
    <col min="4350" max="4350" width="5.1328125" style="124" bestFit="1" customWidth="1"/>
    <col min="4351" max="4351" width="6.06640625" style="124" customWidth="1"/>
    <col min="4352" max="4352" width="8.6640625" style="124"/>
    <col min="4353" max="4353" width="7.796875" style="124" bestFit="1" customWidth="1"/>
    <col min="4354" max="4354" width="6.9296875" style="124" customWidth="1"/>
    <col min="4355" max="4356" width="8.6640625" style="124"/>
    <col min="4357" max="4357" width="7.796875" style="124" bestFit="1" customWidth="1"/>
    <col min="4358" max="4358" width="10.3984375" style="124" customWidth="1"/>
    <col min="4359" max="4590" width="8.6640625" style="124"/>
    <col min="4591" max="4591" width="2.1328125" style="124" customWidth="1"/>
    <col min="4592" max="4592" width="20.33203125" style="124" customWidth="1"/>
    <col min="4593" max="4593" width="6.59765625" style="124" bestFit="1" customWidth="1"/>
    <col min="4594" max="4594" width="6.6640625" style="124" bestFit="1" customWidth="1"/>
    <col min="4595" max="4595" width="7" style="124" bestFit="1" customWidth="1"/>
    <col min="4596" max="4596" width="3.46484375" style="124" bestFit="1" customWidth="1"/>
    <col min="4597" max="4597" width="8.59765625" style="124" customWidth="1"/>
    <col min="4598" max="4598" width="8.06640625" style="124" customWidth="1"/>
    <col min="4599" max="4599" width="5.46484375" style="124" customWidth="1"/>
    <col min="4600" max="4600" width="3.33203125" style="124" customWidth="1"/>
    <col min="4601" max="4601" width="3" style="124" bestFit="1" customWidth="1"/>
    <col min="4602" max="4603" width="8.06640625" style="124" customWidth="1"/>
    <col min="4604" max="4604" width="5.46484375" style="124" customWidth="1"/>
    <col min="4605" max="4605" width="3.33203125" style="124" customWidth="1"/>
    <col min="4606" max="4606" width="5.1328125" style="124" bestFit="1" customWidth="1"/>
    <col min="4607" max="4607" width="6.06640625" style="124" customWidth="1"/>
    <col min="4608" max="4608" width="8.6640625" style="124"/>
    <col min="4609" max="4609" width="7.796875" style="124" bestFit="1" customWidth="1"/>
    <col min="4610" max="4610" width="6.9296875" style="124" customWidth="1"/>
    <col min="4611" max="4612" width="8.6640625" style="124"/>
    <col min="4613" max="4613" width="7.796875" style="124" bestFit="1" customWidth="1"/>
    <col min="4614" max="4614" width="10.3984375" style="124" customWidth="1"/>
    <col min="4615" max="4846" width="8.6640625" style="124"/>
    <col min="4847" max="4847" width="2.1328125" style="124" customWidth="1"/>
    <col min="4848" max="4848" width="20.33203125" style="124" customWidth="1"/>
    <col min="4849" max="4849" width="6.59765625" style="124" bestFit="1" customWidth="1"/>
    <col min="4850" max="4850" width="6.6640625" style="124" bestFit="1" customWidth="1"/>
    <col min="4851" max="4851" width="7" style="124" bestFit="1" customWidth="1"/>
    <col min="4852" max="4852" width="3.46484375" style="124" bestFit="1" customWidth="1"/>
    <col min="4853" max="4853" width="8.59765625" style="124" customWidth="1"/>
    <col min="4854" max="4854" width="8.06640625" style="124" customWidth="1"/>
    <col min="4855" max="4855" width="5.46484375" style="124" customWidth="1"/>
    <col min="4856" max="4856" width="3.33203125" style="124" customWidth="1"/>
    <col min="4857" max="4857" width="3" style="124" bestFit="1" customWidth="1"/>
    <col min="4858" max="4859" width="8.06640625" style="124" customWidth="1"/>
    <col min="4860" max="4860" width="5.46484375" style="124" customWidth="1"/>
    <col min="4861" max="4861" width="3.33203125" style="124" customWidth="1"/>
    <col min="4862" max="4862" width="5.1328125" style="124" bestFit="1" customWidth="1"/>
    <col min="4863" max="4863" width="6.06640625" style="124" customWidth="1"/>
    <col min="4864" max="4864" width="8.6640625" style="124"/>
    <col min="4865" max="4865" width="7.796875" style="124" bestFit="1" customWidth="1"/>
    <col min="4866" max="4866" width="6.9296875" style="124" customWidth="1"/>
    <col min="4867" max="4868" width="8.6640625" style="124"/>
    <col min="4869" max="4869" width="7.796875" style="124" bestFit="1" customWidth="1"/>
    <col min="4870" max="4870" width="10.3984375" style="124" customWidth="1"/>
    <col min="4871" max="5102" width="8.6640625" style="124"/>
    <col min="5103" max="5103" width="2.1328125" style="124" customWidth="1"/>
    <col min="5104" max="5104" width="20.33203125" style="124" customWidth="1"/>
    <col min="5105" max="5105" width="6.59765625" style="124" bestFit="1" customWidth="1"/>
    <col min="5106" max="5106" width="6.6640625" style="124" bestFit="1" customWidth="1"/>
    <col min="5107" max="5107" width="7" style="124" bestFit="1" customWidth="1"/>
    <col min="5108" max="5108" width="3.46484375" style="124" bestFit="1" customWidth="1"/>
    <col min="5109" max="5109" width="8.59765625" style="124" customWidth="1"/>
    <col min="5110" max="5110" width="8.06640625" style="124" customWidth="1"/>
    <col min="5111" max="5111" width="5.46484375" style="124" customWidth="1"/>
    <col min="5112" max="5112" width="3.33203125" style="124" customWidth="1"/>
    <col min="5113" max="5113" width="3" style="124" bestFit="1" customWidth="1"/>
    <col min="5114" max="5115" width="8.06640625" style="124" customWidth="1"/>
    <col min="5116" max="5116" width="5.46484375" style="124" customWidth="1"/>
    <col min="5117" max="5117" width="3.33203125" style="124" customWidth="1"/>
    <col min="5118" max="5118" width="5.1328125" style="124" bestFit="1" customWidth="1"/>
    <col min="5119" max="5119" width="6.06640625" style="124" customWidth="1"/>
    <col min="5120" max="5120" width="8.6640625" style="124"/>
    <col min="5121" max="5121" width="7.796875" style="124" bestFit="1" customWidth="1"/>
    <col min="5122" max="5122" width="6.9296875" style="124" customWidth="1"/>
    <col min="5123" max="5124" width="8.6640625" style="124"/>
    <col min="5125" max="5125" width="7.796875" style="124" bestFit="1" customWidth="1"/>
    <col min="5126" max="5126" width="10.3984375" style="124" customWidth="1"/>
    <col min="5127" max="5358" width="8.6640625" style="124"/>
    <col min="5359" max="5359" width="2.1328125" style="124" customWidth="1"/>
    <col min="5360" max="5360" width="20.33203125" style="124" customWidth="1"/>
    <col min="5361" max="5361" width="6.59765625" style="124" bestFit="1" customWidth="1"/>
    <col min="5362" max="5362" width="6.6640625" style="124" bestFit="1" customWidth="1"/>
    <col min="5363" max="5363" width="7" style="124" bestFit="1" customWidth="1"/>
    <col min="5364" max="5364" width="3.46484375" style="124" bestFit="1" customWidth="1"/>
    <col min="5365" max="5365" width="8.59765625" style="124" customWidth="1"/>
    <col min="5366" max="5366" width="8.06640625" style="124" customWidth="1"/>
    <col min="5367" max="5367" width="5.46484375" style="124" customWidth="1"/>
    <col min="5368" max="5368" width="3.33203125" style="124" customWidth="1"/>
    <col min="5369" max="5369" width="3" style="124" bestFit="1" customWidth="1"/>
    <col min="5370" max="5371" width="8.06640625" style="124" customWidth="1"/>
    <col min="5372" max="5372" width="5.46484375" style="124" customWidth="1"/>
    <col min="5373" max="5373" width="3.33203125" style="124" customWidth="1"/>
    <col min="5374" max="5374" width="5.1328125" style="124" bestFit="1" customWidth="1"/>
    <col min="5375" max="5375" width="6.06640625" style="124" customWidth="1"/>
    <col min="5376" max="5376" width="8.6640625" style="124"/>
    <col min="5377" max="5377" width="7.796875" style="124" bestFit="1" customWidth="1"/>
    <col min="5378" max="5378" width="6.9296875" style="124" customWidth="1"/>
    <col min="5379" max="5380" width="8.6640625" style="124"/>
    <col min="5381" max="5381" width="7.796875" style="124" bestFit="1" customWidth="1"/>
    <col min="5382" max="5382" width="10.3984375" style="124" customWidth="1"/>
    <col min="5383" max="5614" width="8.6640625" style="124"/>
    <col min="5615" max="5615" width="2.1328125" style="124" customWidth="1"/>
    <col min="5616" max="5616" width="20.33203125" style="124" customWidth="1"/>
    <col min="5617" max="5617" width="6.59765625" style="124" bestFit="1" customWidth="1"/>
    <col min="5618" max="5618" width="6.6640625" style="124" bestFit="1" customWidth="1"/>
    <col min="5619" max="5619" width="7" style="124" bestFit="1" customWidth="1"/>
    <col min="5620" max="5620" width="3.46484375" style="124" bestFit="1" customWidth="1"/>
    <col min="5621" max="5621" width="8.59765625" style="124" customWidth="1"/>
    <col min="5622" max="5622" width="8.06640625" style="124" customWidth="1"/>
    <col min="5623" max="5623" width="5.46484375" style="124" customWidth="1"/>
    <col min="5624" max="5624" width="3.33203125" style="124" customWidth="1"/>
    <col min="5625" max="5625" width="3" style="124" bestFit="1" customWidth="1"/>
    <col min="5626" max="5627" width="8.06640625" style="124" customWidth="1"/>
    <col min="5628" max="5628" width="5.46484375" style="124" customWidth="1"/>
    <col min="5629" max="5629" width="3.33203125" style="124" customWidth="1"/>
    <col min="5630" max="5630" width="5.1328125" style="124" bestFit="1" customWidth="1"/>
    <col min="5631" max="5631" width="6.06640625" style="124" customWidth="1"/>
    <col min="5632" max="5632" width="8.6640625" style="124"/>
    <col min="5633" max="5633" width="7.796875" style="124" bestFit="1" customWidth="1"/>
    <col min="5634" max="5634" width="6.9296875" style="124" customWidth="1"/>
    <col min="5635" max="5636" width="8.6640625" style="124"/>
    <col min="5637" max="5637" width="7.796875" style="124" bestFit="1" customWidth="1"/>
    <col min="5638" max="5638" width="10.3984375" style="124" customWidth="1"/>
    <col min="5639" max="5870" width="8.6640625" style="124"/>
    <col min="5871" max="5871" width="2.1328125" style="124" customWidth="1"/>
    <col min="5872" max="5872" width="20.33203125" style="124" customWidth="1"/>
    <col min="5873" max="5873" width="6.59765625" style="124" bestFit="1" customWidth="1"/>
    <col min="5874" max="5874" width="6.6640625" style="124" bestFit="1" customWidth="1"/>
    <col min="5875" max="5875" width="7" style="124" bestFit="1" customWidth="1"/>
    <col min="5876" max="5876" width="3.46484375" style="124" bestFit="1" customWidth="1"/>
    <col min="5877" max="5877" width="8.59765625" style="124" customWidth="1"/>
    <col min="5878" max="5878" width="8.06640625" style="124" customWidth="1"/>
    <col min="5879" max="5879" width="5.46484375" style="124" customWidth="1"/>
    <col min="5880" max="5880" width="3.33203125" style="124" customWidth="1"/>
    <col min="5881" max="5881" width="3" style="124" bestFit="1" customWidth="1"/>
    <col min="5882" max="5883" width="8.06640625" style="124" customWidth="1"/>
    <col min="5884" max="5884" width="5.46484375" style="124" customWidth="1"/>
    <col min="5885" max="5885" width="3.33203125" style="124" customWidth="1"/>
    <col min="5886" max="5886" width="5.1328125" style="124" bestFit="1" customWidth="1"/>
    <col min="5887" max="5887" width="6.06640625" style="124" customWidth="1"/>
    <col min="5888" max="5888" width="8.6640625" style="124"/>
    <col min="5889" max="5889" width="7.796875" style="124" bestFit="1" customWidth="1"/>
    <col min="5890" max="5890" width="6.9296875" style="124" customWidth="1"/>
    <col min="5891" max="5892" width="8.6640625" style="124"/>
    <col min="5893" max="5893" width="7.796875" style="124" bestFit="1" customWidth="1"/>
    <col min="5894" max="5894" width="10.3984375" style="124" customWidth="1"/>
    <col min="5895" max="6126" width="8.6640625" style="124"/>
    <col min="6127" max="6127" width="2.1328125" style="124" customWidth="1"/>
    <col min="6128" max="6128" width="20.33203125" style="124" customWidth="1"/>
    <col min="6129" max="6129" width="6.59765625" style="124" bestFit="1" customWidth="1"/>
    <col min="6130" max="6130" width="6.6640625" style="124" bestFit="1" customWidth="1"/>
    <col min="6131" max="6131" width="7" style="124" bestFit="1" customWidth="1"/>
    <col min="6132" max="6132" width="3.46484375" style="124" bestFit="1" customWidth="1"/>
    <col min="6133" max="6133" width="8.59765625" style="124" customWidth="1"/>
    <col min="6134" max="6134" width="8.06640625" style="124" customWidth="1"/>
    <col min="6135" max="6135" width="5.46484375" style="124" customWidth="1"/>
    <col min="6136" max="6136" width="3.33203125" style="124" customWidth="1"/>
    <col min="6137" max="6137" width="3" style="124" bestFit="1" customWidth="1"/>
    <col min="6138" max="6139" width="8.06640625" style="124" customWidth="1"/>
    <col min="6140" max="6140" width="5.46484375" style="124" customWidth="1"/>
    <col min="6141" max="6141" width="3.33203125" style="124" customWidth="1"/>
    <col min="6142" max="6142" width="5.1328125" style="124" bestFit="1" customWidth="1"/>
    <col min="6143" max="6143" width="6.06640625" style="124" customWidth="1"/>
    <col min="6144" max="6144" width="8.6640625" style="124"/>
    <col min="6145" max="6145" width="7.796875" style="124" bestFit="1" customWidth="1"/>
    <col min="6146" max="6146" width="6.9296875" style="124" customWidth="1"/>
    <col min="6147" max="6148" width="8.6640625" style="124"/>
    <col min="6149" max="6149" width="7.796875" style="124" bestFit="1" customWidth="1"/>
    <col min="6150" max="6150" width="10.3984375" style="124" customWidth="1"/>
    <col min="6151" max="6382" width="8.6640625" style="124"/>
    <col min="6383" max="6383" width="2.1328125" style="124" customWidth="1"/>
    <col min="6384" max="6384" width="20.33203125" style="124" customWidth="1"/>
    <col min="6385" max="6385" width="6.59765625" style="124" bestFit="1" customWidth="1"/>
    <col min="6386" max="6386" width="6.6640625" style="124" bestFit="1" customWidth="1"/>
    <col min="6387" max="6387" width="7" style="124" bestFit="1" customWidth="1"/>
    <col min="6388" max="6388" width="3.46484375" style="124" bestFit="1" customWidth="1"/>
    <col min="6389" max="6389" width="8.59765625" style="124" customWidth="1"/>
    <col min="6390" max="6390" width="8.06640625" style="124" customWidth="1"/>
    <col min="6391" max="6391" width="5.46484375" style="124" customWidth="1"/>
    <col min="6392" max="6392" width="3.33203125" style="124" customWidth="1"/>
    <col min="6393" max="6393" width="3" style="124" bestFit="1" customWidth="1"/>
    <col min="6394" max="6395" width="8.06640625" style="124" customWidth="1"/>
    <col min="6396" max="6396" width="5.46484375" style="124" customWidth="1"/>
    <col min="6397" max="6397" width="3.33203125" style="124" customWidth="1"/>
    <col min="6398" max="6398" width="5.1328125" style="124" bestFit="1" customWidth="1"/>
    <col min="6399" max="6399" width="6.06640625" style="124" customWidth="1"/>
    <col min="6400" max="6400" width="8.6640625" style="124"/>
    <col min="6401" max="6401" width="7.796875" style="124" bestFit="1" customWidth="1"/>
    <col min="6402" max="6402" width="6.9296875" style="124" customWidth="1"/>
    <col min="6403" max="6404" width="8.6640625" style="124"/>
    <col min="6405" max="6405" width="7.796875" style="124" bestFit="1" customWidth="1"/>
    <col min="6406" max="6406" width="10.3984375" style="124" customWidth="1"/>
    <col min="6407" max="6638" width="8.6640625" style="124"/>
    <col min="6639" max="6639" width="2.1328125" style="124" customWidth="1"/>
    <col min="6640" max="6640" width="20.33203125" style="124" customWidth="1"/>
    <col min="6641" max="6641" width="6.59765625" style="124" bestFit="1" customWidth="1"/>
    <col min="6642" max="6642" width="6.6640625" style="124" bestFit="1" customWidth="1"/>
    <col min="6643" max="6643" width="7" style="124" bestFit="1" customWidth="1"/>
    <col min="6644" max="6644" width="3.46484375" style="124" bestFit="1" customWidth="1"/>
    <col min="6645" max="6645" width="8.59765625" style="124" customWidth="1"/>
    <col min="6646" max="6646" width="8.06640625" style="124" customWidth="1"/>
    <col min="6647" max="6647" width="5.46484375" style="124" customWidth="1"/>
    <col min="6648" max="6648" width="3.33203125" style="124" customWidth="1"/>
    <col min="6649" max="6649" width="3" style="124" bestFit="1" customWidth="1"/>
    <col min="6650" max="6651" width="8.06640625" style="124" customWidth="1"/>
    <col min="6652" max="6652" width="5.46484375" style="124" customWidth="1"/>
    <col min="6653" max="6653" width="3.33203125" style="124" customWidth="1"/>
    <col min="6654" max="6654" width="5.1328125" style="124" bestFit="1" customWidth="1"/>
    <col min="6655" max="6655" width="6.06640625" style="124" customWidth="1"/>
    <col min="6656" max="6656" width="8.6640625" style="124"/>
    <col min="6657" max="6657" width="7.796875" style="124" bestFit="1" customWidth="1"/>
    <col min="6658" max="6658" width="6.9296875" style="124" customWidth="1"/>
    <col min="6659" max="6660" width="8.6640625" style="124"/>
    <col min="6661" max="6661" width="7.796875" style="124" bestFit="1" customWidth="1"/>
    <col min="6662" max="6662" width="10.3984375" style="124" customWidth="1"/>
    <col min="6663" max="6894" width="8.6640625" style="124"/>
    <col min="6895" max="6895" width="2.1328125" style="124" customWidth="1"/>
    <col min="6896" max="6896" width="20.33203125" style="124" customWidth="1"/>
    <col min="6897" max="6897" width="6.59765625" style="124" bestFit="1" customWidth="1"/>
    <col min="6898" max="6898" width="6.6640625" style="124" bestFit="1" customWidth="1"/>
    <col min="6899" max="6899" width="7" style="124" bestFit="1" customWidth="1"/>
    <col min="6900" max="6900" width="3.46484375" style="124" bestFit="1" customWidth="1"/>
    <col min="6901" max="6901" width="8.59765625" style="124" customWidth="1"/>
    <col min="6902" max="6902" width="8.06640625" style="124" customWidth="1"/>
    <col min="6903" max="6903" width="5.46484375" style="124" customWidth="1"/>
    <col min="6904" max="6904" width="3.33203125" style="124" customWidth="1"/>
    <col min="6905" max="6905" width="3" style="124" bestFit="1" customWidth="1"/>
    <col min="6906" max="6907" width="8.06640625" style="124" customWidth="1"/>
    <col min="6908" max="6908" width="5.46484375" style="124" customWidth="1"/>
    <col min="6909" max="6909" width="3.33203125" style="124" customWidth="1"/>
    <col min="6910" max="6910" width="5.1328125" style="124" bestFit="1" customWidth="1"/>
    <col min="6911" max="6911" width="6.06640625" style="124" customWidth="1"/>
    <col min="6912" max="6912" width="8.6640625" style="124"/>
    <col min="6913" max="6913" width="7.796875" style="124" bestFit="1" customWidth="1"/>
    <col min="6914" max="6914" width="6.9296875" style="124" customWidth="1"/>
    <col min="6915" max="6916" width="8.6640625" style="124"/>
    <col min="6917" max="6917" width="7.796875" style="124" bestFit="1" customWidth="1"/>
    <col min="6918" max="6918" width="10.3984375" style="124" customWidth="1"/>
    <col min="6919" max="7150" width="8.6640625" style="124"/>
    <col min="7151" max="7151" width="2.1328125" style="124" customWidth="1"/>
    <col min="7152" max="7152" width="20.33203125" style="124" customWidth="1"/>
    <col min="7153" max="7153" width="6.59765625" style="124" bestFit="1" customWidth="1"/>
    <col min="7154" max="7154" width="6.6640625" style="124" bestFit="1" customWidth="1"/>
    <col min="7155" max="7155" width="7" style="124" bestFit="1" customWidth="1"/>
    <col min="7156" max="7156" width="3.46484375" style="124" bestFit="1" customWidth="1"/>
    <col min="7157" max="7157" width="8.59765625" style="124" customWidth="1"/>
    <col min="7158" max="7158" width="8.06640625" style="124" customWidth="1"/>
    <col min="7159" max="7159" width="5.46484375" style="124" customWidth="1"/>
    <col min="7160" max="7160" width="3.33203125" style="124" customWidth="1"/>
    <col min="7161" max="7161" width="3" style="124" bestFit="1" customWidth="1"/>
    <col min="7162" max="7163" width="8.06640625" style="124" customWidth="1"/>
    <col min="7164" max="7164" width="5.46484375" style="124" customWidth="1"/>
    <col min="7165" max="7165" width="3.33203125" style="124" customWidth="1"/>
    <col min="7166" max="7166" width="5.1328125" style="124" bestFit="1" customWidth="1"/>
    <col min="7167" max="7167" width="6.06640625" style="124" customWidth="1"/>
    <col min="7168" max="7168" width="8.6640625" style="124"/>
    <col min="7169" max="7169" width="7.796875" style="124" bestFit="1" customWidth="1"/>
    <col min="7170" max="7170" width="6.9296875" style="124" customWidth="1"/>
    <col min="7171" max="7172" width="8.6640625" style="124"/>
    <col min="7173" max="7173" width="7.796875" style="124" bestFit="1" customWidth="1"/>
    <col min="7174" max="7174" width="10.3984375" style="124" customWidth="1"/>
    <col min="7175" max="7406" width="8.6640625" style="124"/>
    <col min="7407" max="7407" width="2.1328125" style="124" customWidth="1"/>
    <col min="7408" max="7408" width="20.33203125" style="124" customWidth="1"/>
    <col min="7409" max="7409" width="6.59765625" style="124" bestFit="1" customWidth="1"/>
    <col min="7410" max="7410" width="6.6640625" style="124" bestFit="1" customWidth="1"/>
    <col min="7411" max="7411" width="7" style="124" bestFit="1" customWidth="1"/>
    <col min="7412" max="7412" width="3.46484375" style="124" bestFit="1" customWidth="1"/>
    <col min="7413" max="7413" width="8.59765625" style="124" customWidth="1"/>
    <col min="7414" max="7414" width="8.06640625" style="124" customWidth="1"/>
    <col min="7415" max="7415" width="5.46484375" style="124" customWidth="1"/>
    <col min="7416" max="7416" width="3.33203125" style="124" customWidth="1"/>
    <col min="7417" max="7417" width="3" style="124" bestFit="1" customWidth="1"/>
    <col min="7418" max="7419" width="8.06640625" style="124" customWidth="1"/>
    <col min="7420" max="7420" width="5.46484375" style="124" customWidth="1"/>
    <col min="7421" max="7421" width="3.33203125" style="124" customWidth="1"/>
    <col min="7422" max="7422" width="5.1328125" style="124" bestFit="1" customWidth="1"/>
    <col min="7423" max="7423" width="6.06640625" style="124" customWidth="1"/>
    <col min="7424" max="7424" width="8.6640625" style="124"/>
    <col min="7425" max="7425" width="7.796875" style="124" bestFit="1" customWidth="1"/>
    <col min="7426" max="7426" width="6.9296875" style="124" customWidth="1"/>
    <col min="7427" max="7428" width="8.6640625" style="124"/>
    <col min="7429" max="7429" width="7.796875" style="124" bestFit="1" customWidth="1"/>
    <col min="7430" max="7430" width="10.3984375" style="124" customWidth="1"/>
    <col min="7431" max="7662" width="8.6640625" style="124"/>
    <col min="7663" max="7663" width="2.1328125" style="124" customWidth="1"/>
    <col min="7664" max="7664" width="20.33203125" style="124" customWidth="1"/>
    <col min="7665" max="7665" width="6.59765625" style="124" bestFit="1" customWidth="1"/>
    <col min="7666" max="7666" width="6.6640625" style="124" bestFit="1" customWidth="1"/>
    <col min="7667" max="7667" width="7" style="124" bestFit="1" customWidth="1"/>
    <col min="7668" max="7668" width="3.46484375" style="124" bestFit="1" customWidth="1"/>
    <col min="7669" max="7669" width="8.59765625" style="124" customWidth="1"/>
    <col min="7670" max="7670" width="8.06640625" style="124" customWidth="1"/>
    <col min="7671" max="7671" width="5.46484375" style="124" customWidth="1"/>
    <col min="7672" max="7672" width="3.33203125" style="124" customWidth="1"/>
    <col min="7673" max="7673" width="3" style="124" bestFit="1" customWidth="1"/>
    <col min="7674" max="7675" width="8.06640625" style="124" customWidth="1"/>
    <col min="7676" max="7676" width="5.46484375" style="124" customWidth="1"/>
    <col min="7677" max="7677" width="3.33203125" style="124" customWidth="1"/>
    <col min="7678" max="7678" width="5.1328125" style="124" bestFit="1" customWidth="1"/>
    <col min="7679" max="7679" width="6.06640625" style="124" customWidth="1"/>
    <col min="7680" max="7680" width="8.6640625" style="124"/>
    <col min="7681" max="7681" width="7.796875" style="124" bestFit="1" customWidth="1"/>
    <col min="7682" max="7682" width="6.9296875" style="124" customWidth="1"/>
    <col min="7683" max="7684" width="8.6640625" style="124"/>
    <col min="7685" max="7685" width="7.796875" style="124" bestFit="1" customWidth="1"/>
    <col min="7686" max="7686" width="10.3984375" style="124" customWidth="1"/>
    <col min="7687" max="7918" width="8.6640625" style="124"/>
    <col min="7919" max="7919" width="2.1328125" style="124" customWidth="1"/>
    <col min="7920" max="7920" width="20.33203125" style="124" customWidth="1"/>
    <col min="7921" max="7921" width="6.59765625" style="124" bestFit="1" customWidth="1"/>
    <col min="7922" max="7922" width="6.6640625" style="124" bestFit="1" customWidth="1"/>
    <col min="7923" max="7923" width="7" style="124" bestFit="1" customWidth="1"/>
    <col min="7924" max="7924" width="3.46484375" style="124" bestFit="1" customWidth="1"/>
    <col min="7925" max="7925" width="8.59765625" style="124" customWidth="1"/>
    <col min="7926" max="7926" width="8.06640625" style="124" customWidth="1"/>
    <col min="7927" max="7927" width="5.46484375" style="124" customWidth="1"/>
    <col min="7928" max="7928" width="3.33203125" style="124" customWidth="1"/>
    <col min="7929" max="7929" width="3" style="124" bestFit="1" customWidth="1"/>
    <col min="7930" max="7931" width="8.06640625" style="124" customWidth="1"/>
    <col min="7932" max="7932" width="5.46484375" style="124" customWidth="1"/>
    <col min="7933" max="7933" width="3.33203125" style="124" customWidth="1"/>
    <col min="7934" max="7934" width="5.1328125" style="124" bestFit="1" customWidth="1"/>
    <col min="7935" max="7935" width="6.06640625" style="124" customWidth="1"/>
    <col min="7936" max="7936" width="8.6640625" style="124"/>
    <col min="7937" max="7937" width="7.796875" style="124" bestFit="1" customWidth="1"/>
    <col min="7938" max="7938" width="6.9296875" style="124" customWidth="1"/>
    <col min="7939" max="7940" width="8.6640625" style="124"/>
    <col min="7941" max="7941" width="7.796875" style="124" bestFit="1" customWidth="1"/>
    <col min="7942" max="7942" width="10.3984375" style="124" customWidth="1"/>
    <col min="7943" max="8174" width="8.6640625" style="124"/>
    <col min="8175" max="8175" width="2.1328125" style="124" customWidth="1"/>
    <col min="8176" max="8176" width="20.33203125" style="124" customWidth="1"/>
    <col min="8177" max="8177" width="6.59765625" style="124" bestFit="1" customWidth="1"/>
    <col min="8178" max="8178" width="6.6640625" style="124" bestFit="1" customWidth="1"/>
    <col min="8179" max="8179" width="7" style="124" bestFit="1" customWidth="1"/>
    <col min="8180" max="8180" width="3.46484375" style="124" bestFit="1" customWidth="1"/>
    <col min="8181" max="8181" width="8.59765625" style="124" customWidth="1"/>
    <col min="8182" max="8182" width="8.06640625" style="124" customWidth="1"/>
    <col min="8183" max="8183" width="5.46484375" style="124" customWidth="1"/>
    <col min="8184" max="8184" width="3.33203125" style="124" customWidth="1"/>
    <col min="8185" max="8185" width="3" style="124" bestFit="1" customWidth="1"/>
    <col min="8186" max="8187" width="8.06640625" style="124" customWidth="1"/>
    <col min="8188" max="8188" width="5.46484375" style="124" customWidth="1"/>
    <col min="8189" max="8189" width="3.33203125" style="124" customWidth="1"/>
    <col min="8190" max="8190" width="5.1328125" style="124" bestFit="1" customWidth="1"/>
    <col min="8191" max="8191" width="6.06640625" style="124" customWidth="1"/>
    <col min="8192" max="8192" width="8.6640625" style="124"/>
    <col min="8193" max="8193" width="7.796875" style="124" bestFit="1" customWidth="1"/>
    <col min="8194" max="8194" width="6.9296875" style="124" customWidth="1"/>
    <col min="8195" max="8196" width="8.6640625" style="124"/>
    <col min="8197" max="8197" width="7.796875" style="124" bestFit="1" customWidth="1"/>
    <col min="8198" max="8198" width="10.3984375" style="124" customWidth="1"/>
    <col min="8199" max="8430" width="8.6640625" style="124"/>
    <col min="8431" max="8431" width="2.1328125" style="124" customWidth="1"/>
    <col min="8432" max="8432" width="20.33203125" style="124" customWidth="1"/>
    <col min="8433" max="8433" width="6.59765625" style="124" bestFit="1" customWidth="1"/>
    <col min="8434" max="8434" width="6.6640625" style="124" bestFit="1" customWidth="1"/>
    <col min="8435" max="8435" width="7" style="124" bestFit="1" customWidth="1"/>
    <col min="8436" max="8436" width="3.46484375" style="124" bestFit="1" customWidth="1"/>
    <col min="8437" max="8437" width="8.59765625" style="124" customWidth="1"/>
    <col min="8438" max="8438" width="8.06640625" style="124" customWidth="1"/>
    <col min="8439" max="8439" width="5.46484375" style="124" customWidth="1"/>
    <col min="8440" max="8440" width="3.33203125" style="124" customWidth="1"/>
    <col min="8441" max="8441" width="3" style="124" bestFit="1" customWidth="1"/>
    <col min="8442" max="8443" width="8.06640625" style="124" customWidth="1"/>
    <col min="8444" max="8444" width="5.46484375" style="124" customWidth="1"/>
    <col min="8445" max="8445" width="3.33203125" style="124" customWidth="1"/>
    <col min="8446" max="8446" width="5.1328125" style="124" bestFit="1" customWidth="1"/>
    <col min="8447" max="8447" width="6.06640625" style="124" customWidth="1"/>
    <col min="8448" max="8448" width="8.6640625" style="124"/>
    <col min="8449" max="8449" width="7.796875" style="124" bestFit="1" customWidth="1"/>
    <col min="8450" max="8450" width="6.9296875" style="124" customWidth="1"/>
    <col min="8451" max="8452" width="8.6640625" style="124"/>
    <col min="8453" max="8453" width="7.796875" style="124" bestFit="1" customWidth="1"/>
    <col min="8454" max="8454" width="10.3984375" style="124" customWidth="1"/>
    <col min="8455" max="8686" width="8.6640625" style="124"/>
    <col min="8687" max="8687" width="2.1328125" style="124" customWidth="1"/>
    <col min="8688" max="8688" width="20.33203125" style="124" customWidth="1"/>
    <col min="8689" max="8689" width="6.59765625" style="124" bestFit="1" customWidth="1"/>
    <col min="8690" max="8690" width="6.6640625" style="124" bestFit="1" customWidth="1"/>
    <col min="8691" max="8691" width="7" style="124" bestFit="1" customWidth="1"/>
    <col min="8692" max="8692" width="3.46484375" style="124" bestFit="1" customWidth="1"/>
    <col min="8693" max="8693" width="8.59765625" style="124" customWidth="1"/>
    <col min="8694" max="8694" width="8.06640625" style="124" customWidth="1"/>
    <col min="8695" max="8695" width="5.46484375" style="124" customWidth="1"/>
    <col min="8696" max="8696" width="3.33203125" style="124" customWidth="1"/>
    <col min="8697" max="8697" width="3" style="124" bestFit="1" customWidth="1"/>
    <col min="8698" max="8699" width="8.06640625" style="124" customWidth="1"/>
    <col min="8700" max="8700" width="5.46484375" style="124" customWidth="1"/>
    <col min="8701" max="8701" width="3.33203125" style="124" customWidth="1"/>
    <col min="8702" max="8702" width="5.1328125" style="124" bestFit="1" customWidth="1"/>
    <col min="8703" max="8703" width="6.06640625" style="124" customWidth="1"/>
    <col min="8704" max="8704" width="8.6640625" style="124"/>
    <col min="8705" max="8705" width="7.796875" style="124" bestFit="1" customWidth="1"/>
    <col min="8706" max="8706" width="6.9296875" style="124" customWidth="1"/>
    <col min="8707" max="8708" width="8.6640625" style="124"/>
    <col min="8709" max="8709" width="7.796875" style="124" bestFit="1" customWidth="1"/>
    <col min="8710" max="8710" width="10.3984375" style="124" customWidth="1"/>
    <col min="8711" max="8942" width="8.6640625" style="124"/>
    <col min="8943" max="8943" width="2.1328125" style="124" customWidth="1"/>
    <col min="8944" max="8944" width="20.33203125" style="124" customWidth="1"/>
    <col min="8945" max="8945" width="6.59765625" style="124" bestFit="1" customWidth="1"/>
    <col min="8946" max="8946" width="6.6640625" style="124" bestFit="1" customWidth="1"/>
    <col min="8947" max="8947" width="7" style="124" bestFit="1" customWidth="1"/>
    <col min="8948" max="8948" width="3.46484375" style="124" bestFit="1" customWidth="1"/>
    <col min="8949" max="8949" width="8.59765625" style="124" customWidth="1"/>
    <col min="8950" max="8950" width="8.06640625" style="124" customWidth="1"/>
    <col min="8951" max="8951" width="5.46484375" style="124" customWidth="1"/>
    <col min="8952" max="8952" width="3.33203125" style="124" customWidth="1"/>
    <col min="8953" max="8953" width="3" style="124" bestFit="1" customWidth="1"/>
    <col min="8954" max="8955" width="8.06640625" style="124" customWidth="1"/>
    <col min="8956" max="8956" width="5.46484375" style="124" customWidth="1"/>
    <col min="8957" max="8957" width="3.33203125" style="124" customWidth="1"/>
    <col min="8958" max="8958" width="5.1328125" style="124" bestFit="1" customWidth="1"/>
    <col min="8959" max="8959" width="6.06640625" style="124" customWidth="1"/>
    <col min="8960" max="8960" width="8.6640625" style="124"/>
    <col min="8961" max="8961" width="7.796875" style="124" bestFit="1" customWidth="1"/>
    <col min="8962" max="8962" width="6.9296875" style="124" customWidth="1"/>
    <col min="8963" max="8964" width="8.6640625" style="124"/>
    <col min="8965" max="8965" width="7.796875" style="124" bestFit="1" customWidth="1"/>
    <col min="8966" max="8966" width="10.3984375" style="124" customWidth="1"/>
    <col min="8967" max="9198" width="8.6640625" style="124"/>
    <col min="9199" max="9199" width="2.1328125" style="124" customWidth="1"/>
    <col min="9200" max="9200" width="20.33203125" style="124" customWidth="1"/>
    <col min="9201" max="9201" width="6.59765625" style="124" bestFit="1" customWidth="1"/>
    <col min="9202" max="9202" width="6.6640625" style="124" bestFit="1" customWidth="1"/>
    <col min="9203" max="9203" width="7" style="124" bestFit="1" customWidth="1"/>
    <col min="9204" max="9204" width="3.46484375" style="124" bestFit="1" customWidth="1"/>
    <col min="9205" max="9205" width="8.59765625" style="124" customWidth="1"/>
    <col min="9206" max="9206" width="8.06640625" style="124" customWidth="1"/>
    <col min="9207" max="9207" width="5.46484375" style="124" customWidth="1"/>
    <col min="9208" max="9208" width="3.33203125" style="124" customWidth="1"/>
    <col min="9209" max="9209" width="3" style="124" bestFit="1" customWidth="1"/>
    <col min="9210" max="9211" width="8.06640625" style="124" customWidth="1"/>
    <col min="9212" max="9212" width="5.46484375" style="124" customWidth="1"/>
    <col min="9213" max="9213" width="3.33203125" style="124" customWidth="1"/>
    <col min="9214" max="9214" width="5.1328125" style="124" bestFit="1" customWidth="1"/>
    <col min="9215" max="9215" width="6.06640625" style="124" customWidth="1"/>
    <col min="9216" max="9216" width="8.6640625" style="124"/>
    <col min="9217" max="9217" width="7.796875" style="124" bestFit="1" customWidth="1"/>
    <col min="9218" max="9218" width="6.9296875" style="124" customWidth="1"/>
    <col min="9219" max="9220" width="8.6640625" style="124"/>
    <col min="9221" max="9221" width="7.796875" style="124" bestFit="1" customWidth="1"/>
    <col min="9222" max="9222" width="10.3984375" style="124" customWidth="1"/>
    <col min="9223" max="9454" width="8.6640625" style="124"/>
    <col min="9455" max="9455" width="2.1328125" style="124" customWidth="1"/>
    <col min="9456" max="9456" width="20.33203125" style="124" customWidth="1"/>
    <col min="9457" max="9457" width="6.59765625" style="124" bestFit="1" customWidth="1"/>
    <col min="9458" max="9458" width="6.6640625" style="124" bestFit="1" customWidth="1"/>
    <col min="9459" max="9459" width="7" style="124" bestFit="1" customWidth="1"/>
    <col min="9460" max="9460" width="3.46484375" style="124" bestFit="1" customWidth="1"/>
    <col min="9461" max="9461" width="8.59765625" style="124" customWidth="1"/>
    <col min="9462" max="9462" width="8.06640625" style="124" customWidth="1"/>
    <col min="9463" max="9463" width="5.46484375" style="124" customWidth="1"/>
    <col min="9464" max="9464" width="3.33203125" style="124" customWidth="1"/>
    <col min="9465" max="9465" width="3" style="124" bestFit="1" customWidth="1"/>
    <col min="9466" max="9467" width="8.06640625" style="124" customWidth="1"/>
    <col min="9468" max="9468" width="5.46484375" style="124" customWidth="1"/>
    <col min="9469" max="9469" width="3.33203125" style="124" customWidth="1"/>
    <col min="9470" max="9470" width="5.1328125" style="124" bestFit="1" customWidth="1"/>
    <col min="9471" max="9471" width="6.06640625" style="124" customWidth="1"/>
    <col min="9472" max="9472" width="8.6640625" style="124"/>
    <col min="9473" max="9473" width="7.796875" style="124" bestFit="1" customWidth="1"/>
    <col min="9474" max="9474" width="6.9296875" style="124" customWidth="1"/>
    <col min="9475" max="9476" width="8.6640625" style="124"/>
    <col min="9477" max="9477" width="7.796875" style="124" bestFit="1" customWidth="1"/>
    <col min="9478" max="9478" width="10.3984375" style="124" customWidth="1"/>
    <col min="9479" max="9710" width="8.6640625" style="124"/>
    <col min="9711" max="9711" width="2.1328125" style="124" customWidth="1"/>
    <col min="9712" max="9712" width="20.33203125" style="124" customWidth="1"/>
    <col min="9713" max="9713" width="6.59765625" style="124" bestFit="1" customWidth="1"/>
    <col min="9714" max="9714" width="6.6640625" style="124" bestFit="1" customWidth="1"/>
    <col min="9715" max="9715" width="7" style="124" bestFit="1" customWidth="1"/>
    <col min="9716" max="9716" width="3.46484375" style="124" bestFit="1" customWidth="1"/>
    <col min="9717" max="9717" width="8.59765625" style="124" customWidth="1"/>
    <col min="9718" max="9718" width="8.06640625" style="124" customWidth="1"/>
    <col min="9719" max="9719" width="5.46484375" style="124" customWidth="1"/>
    <col min="9720" max="9720" width="3.33203125" style="124" customWidth="1"/>
    <col min="9721" max="9721" width="3" style="124" bestFit="1" customWidth="1"/>
    <col min="9722" max="9723" width="8.06640625" style="124" customWidth="1"/>
    <col min="9724" max="9724" width="5.46484375" style="124" customWidth="1"/>
    <col min="9725" max="9725" width="3.33203125" style="124" customWidth="1"/>
    <col min="9726" max="9726" width="5.1328125" style="124" bestFit="1" customWidth="1"/>
    <col min="9727" max="9727" width="6.06640625" style="124" customWidth="1"/>
    <col min="9728" max="9728" width="8.6640625" style="124"/>
    <col min="9729" max="9729" width="7.796875" style="124" bestFit="1" customWidth="1"/>
    <col min="9730" max="9730" width="6.9296875" style="124" customWidth="1"/>
    <col min="9731" max="9732" width="8.6640625" style="124"/>
    <col min="9733" max="9733" width="7.796875" style="124" bestFit="1" customWidth="1"/>
    <col min="9734" max="9734" width="10.3984375" style="124" customWidth="1"/>
    <col min="9735" max="9966" width="8.6640625" style="124"/>
    <col min="9967" max="9967" width="2.1328125" style="124" customWidth="1"/>
    <col min="9968" max="9968" width="20.33203125" style="124" customWidth="1"/>
    <col min="9969" max="9969" width="6.59765625" style="124" bestFit="1" customWidth="1"/>
    <col min="9970" max="9970" width="6.6640625" style="124" bestFit="1" customWidth="1"/>
    <col min="9971" max="9971" width="7" style="124" bestFit="1" customWidth="1"/>
    <col min="9972" max="9972" width="3.46484375" style="124" bestFit="1" customWidth="1"/>
    <col min="9973" max="9973" width="8.59765625" style="124" customWidth="1"/>
    <col min="9974" max="9974" width="8.06640625" style="124" customWidth="1"/>
    <col min="9975" max="9975" width="5.46484375" style="124" customWidth="1"/>
    <col min="9976" max="9976" width="3.33203125" style="124" customWidth="1"/>
    <col min="9977" max="9977" width="3" style="124" bestFit="1" customWidth="1"/>
    <col min="9978" max="9979" width="8.06640625" style="124" customWidth="1"/>
    <col min="9980" max="9980" width="5.46484375" style="124" customWidth="1"/>
    <col min="9981" max="9981" width="3.33203125" style="124" customWidth="1"/>
    <col min="9982" max="9982" width="5.1328125" style="124" bestFit="1" customWidth="1"/>
    <col min="9983" max="9983" width="6.06640625" style="124" customWidth="1"/>
    <col min="9984" max="9984" width="8.6640625" style="124"/>
    <col min="9985" max="9985" width="7.796875" style="124" bestFit="1" customWidth="1"/>
    <col min="9986" max="9986" width="6.9296875" style="124" customWidth="1"/>
    <col min="9987" max="9988" width="8.6640625" style="124"/>
    <col min="9989" max="9989" width="7.796875" style="124" bestFit="1" customWidth="1"/>
    <col min="9990" max="9990" width="10.3984375" style="124" customWidth="1"/>
    <col min="9991" max="10222" width="8.6640625" style="124"/>
    <col min="10223" max="10223" width="2.1328125" style="124" customWidth="1"/>
    <col min="10224" max="10224" width="20.33203125" style="124" customWidth="1"/>
    <col min="10225" max="10225" width="6.59765625" style="124" bestFit="1" customWidth="1"/>
    <col min="10226" max="10226" width="6.6640625" style="124" bestFit="1" customWidth="1"/>
    <col min="10227" max="10227" width="7" style="124" bestFit="1" customWidth="1"/>
    <col min="10228" max="10228" width="3.46484375" style="124" bestFit="1" customWidth="1"/>
    <col min="10229" max="10229" width="8.59765625" style="124" customWidth="1"/>
    <col min="10230" max="10230" width="8.06640625" style="124" customWidth="1"/>
    <col min="10231" max="10231" width="5.46484375" style="124" customWidth="1"/>
    <col min="10232" max="10232" width="3.33203125" style="124" customWidth="1"/>
    <col min="10233" max="10233" width="3" style="124" bestFit="1" customWidth="1"/>
    <col min="10234" max="10235" width="8.06640625" style="124" customWidth="1"/>
    <col min="10236" max="10236" width="5.46484375" style="124" customWidth="1"/>
    <col min="10237" max="10237" width="3.33203125" style="124" customWidth="1"/>
    <col min="10238" max="10238" width="5.1328125" style="124" bestFit="1" customWidth="1"/>
    <col min="10239" max="10239" width="6.06640625" style="124" customWidth="1"/>
    <col min="10240" max="10240" width="8.6640625" style="124"/>
    <col min="10241" max="10241" width="7.796875" style="124" bestFit="1" customWidth="1"/>
    <col min="10242" max="10242" width="6.9296875" style="124" customWidth="1"/>
    <col min="10243" max="10244" width="8.6640625" style="124"/>
    <col min="10245" max="10245" width="7.796875" style="124" bestFit="1" customWidth="1"/>
    <col min="10246" max="10246" width="10.3984375" style="124" customWidth="1"/>
    <col min="10247" max="10478" width="8.6640625" style="124"/>
    <col min="10479" max="10479" width="2.1328125" style="124" customWidth="1"/>
    <col min="10480" max="10480" width="20.33203125" style="124" customWidth="1"/>
    <col min="10481" max="10481" width="6.59765625" style="124" bestFit="1" customWidth="1"/>
    <col min="10482" max="10482" width="6.6640625" style="124" bestFit="1" customWidth="1"/>
    <col min="10483" max="10483" width="7" style="124" bestFit="1" customWidth="1"/>
    <col min="10484" max="10484" width="3.46484375" style="124" bestFit="1" customWidth="1"/>
    <col min="10485" max="10485" width="8.59765625" style="124" customWidth="1"/>
    <col min="10486" max="10486" width="8.06640625" style="124" customWidth="1"/>
    <col min="10487" max="10487" width="5.46484375" style="124" customWidth="1"/>
    <col min="10488" max="10488" width="3.33203125" style="124" customWidth="1"/>
    <col min="10489" max="10489" width="3" style="124" bestFit="1" customWidth="1"/>
    <col min="10490" max="10491" width="8.06640625" style="124" customWidth="1"/>
    <col min="10492" max="10492" width="5.46484375" style="124" customWidth="1"/>
    <col min="10493" max="10493" width="3.33203125" style="124" customWidth="1"/>
    <col min="10494" max="10494" width="5.1328125" style="124" bestFit="1" customWidth="1"/>
    <col min="10495" max="10495" width="6.06640625" style="124" customWidth="1"/>
    <col min="10496" max="10496" width="8.6640625" style="124"/>
    <col min="10497" max="10497" width="7.796875" style="124" bestFit="1" customWidth="1"/>
    <col min="10498" max="10498" width="6.9296875" style="124" customWidth="1"/>
    <col min="10499" max="10500" width="8.6640625" style="124"/>
    <col min="10501" max="10501" width="7.796875" style="124" bestFit="1" customWidth="1"/>
    <col min="10502" max="10502" width="10.3984375" style="124" customWidth="1"/>
    <col min="10503" max="10734" width="8.6640625" style="124"/>
    <col min="10735" max="10735" width="2.1328125" style="124" customWidth="1"/>
    <col min="10736" max="10736" width="20.33203125" style="124" customWidth="1"/>
    <col min="10737" max="10737" width="6.59765625" style="124" bestFit="1" customWidth="1"/>
    <col min="10738" max="10738" width="6.6640625" style="124" bestFit="1" customWidth="1"/>
    <col min="10739" max="10739" width="7" style="124" bestFit="1" customWidth="1"/>
    <col min="10740" max="10740" width="3.46484375" style="124" bestFit="1" customWidth="1"/>
    <col min="10741" max="10741" width="8.59765625" style="124" customWidth="1"/>
    <col min="10742" max="10742" width="8.06640625" style="124" customWidth="1"/>
    <col min="10743" max="10743" width="5.46484375" style="124" customWidth="1"/>
    <col min="10744" max="10744" width="3.33203125" style="124" customWidth="1"/>
    <col min="10745" max="10745" width="3" style="124" bestFit="1" customWidth="1"/>
    <col min="10746" max="10747" width="8.06640625" style="124" customWidth="1"/>
    <col min="10748" max="10748" width="5.46484375" style="124" customWidth="1"/>
    <col min="10749" max="10749" width="3.33203125" style="124" customWidth="1"/>
    <col min="10750" max="10750" width="5.1328125" style="124" bestFit="1" customWidth="1"/>
    <col min="10751" max="10751" width="6.06640625" style="124" customWidth="1"/>
    <col min="10752" max="10752" width="8.6640625" style="124"/>
    <col min="10753" max="10753" width="7.796875" style="124" bestFit="1" customWidth="1"/>
    <col min="10754" max="10754" width="6.9296875" style="124" customWidth="1"/>
    <col min="10755" max="10756" width="8.6640625" style="124"/>
    <col min="10757" max="10757" width="7.796875" style="124" bestFit="1" customWidth="1"/>
    <col min="10758" max="10758" width="10.3984375" style="124" customWidth="1"/>
    <col min="10759" max="10990" width="8.6640625" style="124"/>
    <col min="10991" max="10991" width="2.1328125" style="124" customWidth="1"/>
    <col min="10992" max="10992" width="20.33203125" style="124" customWidth="1"/>
    <col min="10993" max="10993" width="6.59765625" style="124" bestFit="1" customWidth="1"/>
    <col min="10994" max="10994" width="6.6640625" style="124" bestFit="1" customWidth="1"/>
    <col min="10995" max="10995" width="7" style="124" bestFit="1" customWidth="1"/>
    <col min="10996" max="10996" width="3.46484375" style="124" bestFit="1" customWidth="1"/>
    <col min="10997" max="10997" width="8.59765625" style="124" customWidth="1"/>
    <col min="10998" max="10998" width="8.06640625" style="124" customWidth="1"/>
    <col min="10999" max="10999" width="5.46484375" style="124" customWidth="1"/>
    <col min="11000" max="11000" width="3.33203125" style="124" customWidth="1"/>
    <col min="11001" max="11001" width="3" style="124" bestFit="1" customWidth="1"/>
    <col min="11002" max="11003" width="8.06640625" style="124" customWidth="1"/>
    <col min="11004" max="11004" width="5.46484375" style="124" customWidth="1"/>
    <col min="11005" max="11005" width="3.33203125" style="124" customWidth="1"/>
    <col min="11006" max="11006" width="5.1328125" style="124" bestFit="1" customWidth="1"/>
    <col min="11007" max="11007" width="6.06640625" style="124" customWidth="1"/>
    <col min="11008" max="11008" width="8.6640625" style="124"/>
    <col min="11009" max="11009" width="7.796875" style="124" bestFit="1" customWidth="1"/>
    <col min="11010" max="11010" width="6.9296875" style="124" customWidth="1"/>
    <col min="11011" max="11012" width="8.6640625" style="124"/>
    <col min="11013" max="11013" width="7.796875" style="124" bestFit="1" customWidth="1"/>
    <col min="11014" max="11014" width="10.3984375" style="124" customWidth="1"/>
    <col min="11015" max="11246" width="8.6640625" style="124"/>
    <col min="11247" max="11247" width="2.1328125" style="124" customWidth="1"/>
    <col min="11248" max="11248" width="20.33203125" style="124" customWidth="1"/>
    <col min="11249" max="11249" width="6.59765625" style="124" bestFit="1" customWidth="1"/>
    <col min="11250" max="11250" width="6.6640625" style="124" bestFit="1" customWidth="1"/>
    <col min="11251" max="11251" width="7" style="124" bestFit="1" customWidth="1"/>
    <col min="11252" max="11252" width="3.46484375" style="124" bestFit="1" customWidth="1"/>
    <col min="11253" max="11253" width="8.59765625" style="124" customWidth="1"/>
    <col min="11254" max="11254" width="8.06640625" style="124" customWidth="1"/>
    <col min="11255" max="11255" width="5.46484375" style="124" customWidth="1"/>
    <col min="11256" max="11256" width="3.33203125" style="124" customWidth="1"/>
    <col min="11257" max="11257" width="3" style="124" bestFit="1" customWidth="1"/>
    <col min="11258" max="11259" width="8.06640625" style="124" customWidth="1"/>
    <col min="11260" max="11260" width="5.46484375" style="124" customWidth="1"/>
    <col min="11261" max="11261" width="3.33203125" style="124" customWidth="1"/>
    <col min="11262" max="11262" width="5.1328125" style="124" bestFit="1" customWidth="1"/>
    <col min="11263" max="11263" width="6.06640625" style="124" customWidth="1"/>
    <col min="11264" max="11264" width="8.6640625" style="124"/>
    <col min="11265" max="11265" width="7.796875" style="124" bestFit="1" customWidth="1"/>
    <col min="11266" max="11266" width="6.9296875" style="124" customWidth="1"/>
    <col min="11267" max="11268" width="8.6640625" style="124"/>
    <col min="11269" max="11269" width="7.796875" style="124" bestFit="1" customWidth="1"/>
    <col min="11270" max="11270" width="10.3984375" style="124" customWidth="1"/>
    <col min="11271" max="11502" width="8.6640625" style="124"/>
    <col min="11503" max="11503" width="2.1328125" style="124" customWidth="1"/>
    <col min="11504" max="11504" width="20.33203125" style="124" customWidth="1"/>
    <col min="11505" max="11505" width="6.59765625" style="124" bestFit="1" customWidth="1"/>
    <col min="11506" max="11506" width="6.6640625" style="124" bestFit="1" customWidth="1"/>
    <col min="11507" max="11507" width="7" style="124" bestFit="1" customWidth="1"/>
    <col min="11508" max="11508" width="3.46484375" style="124" bestFit="1" customWidth="1"/>
    <col min="11509" max="11509" width="8.59765625" style="124" customWidth="1"/>
    <col min="11510" max="11510" width="8.06640625" style="124" customWidth="1"/>
    <col min="11511" max="11511" width="5.46484375" style="124" customWidth="1"/>
    <col min="11512" max="11512" width="3.33203125" style="124" customWidth="1"/>
    <col min="11513" max="11513" width="3" style="124" bestFit="1" customWidth="1"/>
    <col min="11514" max="11515" width="8.06640625" style="124" customWidth="1"/>
    <col min="11516" max="11516" width="5.46484375" style="124" customWidth="1"/>
    <col min="11517" max="11517" width="3.33203125" style="124" customWidth="1"/>
    <col min="11518" max="11518" width="5.1328125" style="124" bestFit="1" customWidth="1"/>
    <col min="11519" max="11519" width="6.06640625" style="124" customWidth="1"/>
    <col min="11520" max="11520" width="8.6640625" style="124"/>
    <col min="11521" max="11521" width="7.796875" style="124" bestFit="1" customWidth="1"/>
    <col min="11522" max="11522" width="6.9296875" style="124" customWidth="1"/>
    <col min="11523" max="11524" width="8.6640625" style="124"/>
    <col min="11525" max="11525" width="7.796875" style="124" bestFit="1" customWidth="1"/>
    <col min="11526" max="11526" width="10.3984375" style="124" customWidth="1"/>
    <col min="11527" max="11758" width="8.6640625" style="124"/>
    <col min="11759" max="11759" width="2.1328125" style="124" customWidth="1"/>
    <col min="11760" max="11760" width="20.33203125" style="124" customWidth="1"/>
    <col min="11761" max="11761" width="6.59765625" style="124" bestFit="1" customWidth="1"/>
    <col min="11762" max="11762" width="6.6640625" style="124" bestFit="1" customWidth="1"/>
    <col min="11763" max="11763" width="7" style="124" bestFit="1" customWidth="1"/>
    <col min="11764" max="11764" width="3.46484375" style="124" bestFit="1" customWidth="1"/>
    <col min="11765" max="11765" width="8.59765625" style="124" customWidth="1"/>
    <col min="11766" max="11766" width="8.06640625" style="124" customWidth="1"/>
    <col min="11767" max="11767" width="5.46484375" style="124" customWidth="1"/>
    <col min="11768" max="11768" width="3.33203125" style="124" customWidth="1"/>
    <col min="11769" max="11769" width="3" style="124" bestFit="1" customWidth="1"/>
    <col min="11770" max="11771" width="8.06640625" style="124" customWidth="1"/>
    <col min="11772" max="11772" width="5.46484375" style="124" customWidth="1"/>
    <col min="11773" max="11773" width="3.33203125" style="124" customWidth="1"/>
    <col min="11774" max="11774" width="5.1328125" style="124" bestFit="1" customWidth="1"/>
    <col min="11775" max="11775" width="6.06640625" style="124" customWidth="1"/>
    <col min="11776" max="11776" width="8.6640625" style="124"/>
    <col min="11777" max="11777" width="7.796875" style="124" bestFit="1" customWidth="1"/>
    <col min="11778" max="11778" width="6.9296875" style="124" customWidth="1"/>
    <col min="11779" max="11780" width="8.6640625" style="124"/>
    <col min="11781" max="11781" width="7.796875" style="124" bestFit="1" customWidth="1"/>
    <col min="11782" max="11782" width="10.3984375" style="124" customWidth="1"/>
    <col min="11783" max="12014" width="8.6640625" style="124"/>
    <col min="12015" max="12015" width="2.1328125" style="124" customWidth="1"/>
    <col min="12016" max="12016" width="20.33203125" style="124" customWidth="1"/>
    <col min="12017" max="12017" width="6.59765625" style="124" bestFit="1" customWidth="1"/>
    <col min="12018" max="12018" width="6.6640625" style="124" bestFit="1" customWidth="1"/>
    <col min="12019" max="12019" width="7" style="124" bestFit="1" customWidth="1"/>
    <col min="12020" max="12020" width="3.46484375" style="124" bestFit="1" customWidth="1"/>
    <col min="12021" max="12021" width="8.59765625" style="124" customWidth="1"/>
    <col min="12022" max="12022" width="8.06640625" style="124" customWidth="1"/>
    <col min="12023" max="12023" width="5.46484375" style="124" customWidth="1"/>
    <col min="12024" max="12024" width="3.33203125" style="124" customWidth="1"/>
    <col min="12025" max="12025" width="3" style="124" bestFit="1" customWidth="1"/>
    <col min="12026" max="12027" width="8.06640625" style="124" customWidth="1"/>
    <col min="12028" max="12028" width="5.46484375" style="124" customWidth="1"/>
    <col min="12029" max="12029" width="3.33203125" style="124" customWidth="1"/>
    <col min="12030" max="12030" width="5.1328125" style="124" bestFit="1" customWidth="1"/>
    <col min="12031" max="12031" width="6.06640625" style="124" customWidth="1"/>
    <col min="12032" max="12032" width="8.6640625" style="124"/>
    <col min="12033" max="12033" width="7.796875" style="124" bestFit="1" customWidth="1"/>
    <col min="12034" max="12034" width="6.9296875" style="124" customWidth="1"/>
    <col min="12035" max="12036" width="8.6640625" style="124"/>
    <col min="12037" max="12037" width="7.796875" style="124" bestFit="1" customWidth="1"/>
    <col min="12038" max="12038" width="10.3984375" style="124" customWidth="1"/>
    <col min="12039" max="12270" width="8.6640625" style="124"/>
    <col min="12271" max="12271" width="2.1328125" style="124" customWidth="1"/>
    <col min="12272" max="12272" width="20.33203125" style="124" customWidth="1"/>
    <col min="12273" max="12273" width="6.59765625" style="124" bestFit="1" customWidth="1"/>
    <col min="12274" max="12274" width="6.6640625" style="124" bestFit="1" customWidth="1"/>
    <col min="12275" max="12275" width="7" style="124" bestFit="1" customWidth="1"/>
    <col min="12276" max="12276" width="3.46484375" style="124" bestFit="1" customWidth="1"/>
    <col min="12277" max="12277" width="8.59765625" style="124" customWidth="1"/>
    <col min="12278" max="12278" width="8.06640625" style="124" customWidth="1"/>
    <col min="12279" max="12279" width="5.46484375" style="124" customWidth="1"/>
    <col min="12280" max="12280" width="3.33203125" style="124" customWidth="1"/>
    <col min="12281" max="12281" width="3" style="124" bestFit="1" customWidth="1"/>
    <col min="12282" max="12283" width="8.06640625" style="124" customWidth="1"/>
    <col min="12284" max="12284" width="5.46484375" style="124" customWidth="1"/>
    <col min="12285" max="12285" width="3.33203125" style="124" customWidth="1"/>
    <col min="12286" max="12286" width="5.1328125" style="124" bestFit="1" customWidth="1"/>
    <col min="12287" max="12287" width="6.06640625" style="124" customWidth="1"/>
    <col min="12288" max="12288" width="8.6640625" style="124"/>
    <col min="12289" max="12289" width="7.796875" style="124" bestFit="1" customWidth="1"/>
    <col min="12290" max="12290" width="6.9296875" style="124" customWidth="1"/>
    <col min="12291" max="12292" width="8.6640625" style="124"/>
    <col min="12293" max="12293" width="7.796875" style="124" bestFit="1" customWidth="1"/>
    <col min="12294" max="12294" width="10.3984375" style="124" customWidth="1"/>
    <col min="12295" max="12526" width="8.6640625" style="124"/>
    <col min="12527" max="12527" width="2.1328125" style="124" customWidth="1"/>
    <col min="12528" max="12528" width="20.33203125" style="124" customWidth="1"/>
    <col min="12529" max="12529" width="6.59765625" style="124" bestFit="1" customWidth="1"/>
    <col min="12530" max="12530" width="6.6640625" style="124" bestFit="1" customWidth="1"/>
    <col min="12531" max="12531" width="7" style="124" bestFit="1" customWidth="1"/>
    <col min="12532" max="12532" width="3.46484375" style="124" bestFit="1" customWidth="1"/>
    <col min="12533" max="12533" width="8.59765625" style="124" customWidth="1"/>
    <col min="12534" max="12534" width="8.06640625" style="124" customWidth="1"/>
    <col min="12535" max="12535" width="5.46484375" style="124" customWidth="1"/>
    <col min="12536" max="12536" width="3.33203125" style="124" customWidth="1"/>
    <col min="12537" max="12537" width="3" style="124" bestFit="1" customWidth="1"/>
    <col min="12538" max="12539" width="8.06640625" style="124" customWidth="1"/>
    <col min="12540" max="12540" width="5.46484375" style="124" customWidth="1"/>
    <col min="12541" max="12541" width="3.33203125" style="124" customWidth="1"/>
    <col min="12542" max="12542" width="5.1328125" style="124" bestFit="1" customWidth="1"/>
    <col min="12543" max="12543" width="6.06640625" style="124" customWidth="1"/>
    <col min="12544" max="12544" width="8.6640625" style="124"/>
    <col min="12545" max="12545" width="7.796875" style="124" bestFit="1" customWidth="1"/>
    <col min="12546" max="12546" width="6.9296875" style="124" customWidth="1"/>
    <col min="12547" max="12548" width="8.6640625" style="124"/>
    <col min="12549" max="12549" width="7.796875" style="124" bestFit="1" customWidth="1"/>
    <col min="12550" max="12550" width="10.3984375" style="124" customWidth="1"/>
    <col min="12551" max="12782" width="8.6640625" style="124"/>
    <col min="12783" max="12783" width="2.1328125" style="124" customWidth="1"/>
    <col min="12784" max="12784" width="20.33203125" style="124" customWidth="1"/>
    <col min="12785" max="12785" width="6.59765625" style="124" bestFit="1" customWidth="1"/>
    <col min="12786" max="12786" width="6.6640625" style="124" bestFit="1" customWidth="1"/>
    <col min="12787" max="12787" width="7" style="124" bestFit="1" customWidth="1"/>
    <col min="12788" max="12788" width="3.46484375" style="124" bestFit="1" customWidth="1"/>
    <col min="12789" max="12789" width="8.59765625" style="124" customWidth="1"/>
    <col min="12790" max="12790" width="8.06640625" style="124" customWidth="1"/>
    <col min="12791" max="12791" width="5.46484375" style="124" customWidth="1"/>
    <col min="12792" max="12792" width="3.33203125" style="124" customWidth="1"/>
    <col min="12793" max="12793" width="3" style="124" bestFit="1" customWidth="1"/>
    <col min="12794" max="12795" width="8.06640625" style="124" customWidth="1"/>
    <col min="12796" max="12796" width="5.46484375" style="124" customWidth="1"/>
    <col min="12797" max="12797" width="3.33203125" style="124" customWidth="1"/>
    <col min="12798" max="12798" width="5.1328125" style="124" bestFit="1" customWidth="1"/>
    <col min="12799" max="12799" width="6.06640625" style="124" customWidth="1"/>
    <col min="12800" max="12800" width="8.6640625" style="124"/>
    <col min="12801" max="12801" width="7.796875" style="124" bestFit="1" customWidth="1"/>
    <col min="12802" max="12802" width="6.9296875" style="124" customWidth="1"/>
    <col min="12803" max="12804" width="8.6640625" style="124"/>
    <col min="12805" max="12805" width="7.796875" style="124" bestFit="1" customWidth="1"/>
    <col min="12806" max="12806" width="10.3984375" style="124" customWidth="1"/>
    <col min="12807" max="13038" width="8.6640625" style="124"/>
    <col min="13039" max="13039" width="2.1328125" style="124" customWidth="1"/>
    <col min="13040" max="13040" width="20.33203125" style="124" customWidth="1"/>
    <col min="13041" max="13041" width="6.59765625" style="124" bestFit="1" customWidth="1"/>
    <col min="13042" max="13042" width="6.6640625" style="124" bestFit="1" customWidth="1"/>
    <col min="13043" max="13043" width="7" style="124" bestFit="1" customWidth="1"/>
    <col min="13044" max="13044" width="3.46484375" style="124" bestFit="1" customWidth="1"/>
    <col min="13045" max="13045" width="8.59765625" style="124" customWidth="1"/>
    <col min="13046" max="13046" width="8.06640625" style="124" customWidth="1"/>
    <col min="13047" max="13047" width="5.46484375" style="124" customWidth="1"/>
    <col min="13048" max="13048" width="3.33203125" style="124" customWidth="1"/>
    <col min="13049" max="13049" width="3" style="124" bestFit="1" customWidth="1"/>
    <col min="13050" max="13051" width="8.06640625" style="124" customWidth="1"/>
    <col min="13052" max="13052" width="5.46484375" style="124" customWidth="1"/>
    <col min="13053" max="13053" width="3.33203125" style="124" customWidth="1"/>
    <col min="13054" max="13054" width="5.1328125" style="124" bestFit="1" customWidth="1"/>
    <col min="13055" max="13055" width="6.06640625" style="124" customWidth="1"/>
    <col min="13056" max="13056" width="8.6640625" style="124"/>
    <col min="13057" max="13057" width="7.796875" style="124" bestFit="1" customWidth="1"/>
    <col min="13058" max="13058" width="6.9296875" style="124" customWidth="1"/>
    <col min="13059" max="13060" width="8.6640625" style="124"/>
    <col min="13061" max="13061" width="7.796875" style="124" bestFit="1" customWidth="1"/>
    <col min="13062" max="13062" width="10.3984375" style="124" customWidth="1"/>
    <col min="13063" max="13294" width="8.6640625" style="124"/>
    <col min="13295" max="13295" width="2.1328125" style="124" customWidth="1"/>
    <col min="13296" max="13296" width="20.33203125" style="124" customWidth="1"/>
    <col min="13297" max="13297" width="6.59765625" style="124" bestFit="1" customWidth="1"/>
    <col min="13298" max="13298" width="6.6640625" style="124" bestFit="1" customWidth="1"/>
    <col min="13299" max="13299" width="7" style="124" bestFit="1" customWidth="1"/>
    <col min="13300" max="13300" width="3.46484375" style="124" bestFit="1" customWidth="1"/>
    <col min="13301" max="13301" width="8.59765625" style="124" customWidth="1"/>
    <col min="13302" max="13302" width="8.06640625" style="124" customWidth="1"/>
    <col min="13303" max="13303" width="5.46484375" style="124" customWidth="1"/>
    <col min="13304" max="13304" width="3.33203125" style="124" customWidth="1"/>
    <col min="13305" max="13305" width="3" style="124" bestFit="1" customWidth="1"/>
    <col min="13306" max="13307" width="8.06640625" style="124" customWidth="1"/>
    <col min="13308" max="13308" width="5.46484375" style="124" customWidth="1"/>
    <col min="13309" max="13309" width="3.33203125" style="124" customWidth="1"/>
    <col min="13310" max="13310" width="5.1328125" style="124" bestFit="1" customWidth="1"/>
    <col min="13311" max="13311" width="6.06640625" style="124" customWidth="1"/>
    <col min="13312" max="13312" width="8.6640625" style="124"/>
    <col min="13313" max="13313" width="7.796875" style="124" bestFit="1" customWidth="1"/>
    <col min="13314" max="13314" width="6.9296875" style="124" customWidth="1"/>
    <col min="13315" max="13316" width="8.6640625" style="124"/>
    <col min="13317" max="13317" width="7.796875" style="124" bestFit="1" customWidth="1"/>
    <col min="13318" max="13318" width="10.3984375" style="124" customWidth="1"/>
    <col min="13319" max="13550" width="8.6640625" style="124"/>
    <col min="13551" max="13551" width="2.1328125" style="124" customWidth="1"/>
    <col min="13552" max="13552" width="20.33203125" style="124" customWidth="1"/>
    <col min="13553" max="13553" width="6.59765625" style="124" bestFit="1" customWidth="1"/>
    <col min="13554" max="13554" width="6.6640625" style="124" bestFit="1" customWidth="1"/>
    <col min="13555" max="13555" width="7" style="124" bestFit="1" customWidth="1"/>
    <col min="13556" max="13556" width="3.46484375" style="124" bestFit="1" customWidth="1"/>
    <col min="13557" max="13557" width="8.59765625" style="124" customWidth="1"/>
    <col min="13558" max="13558" width="8.06640625" style="124" customWidth="1"/>
    <col min="13559" max="13559" width="5.46484375" style="124" customWidth="1"/>
    <col min="13560" max="13560" width="3.33203125" style="124" customWidth="1"/>
    <col min="13561" max="13561" width="3" style="124" bestFit="1" customWidth="1"/>
    <col min="13562" max="13563" width="8.06640625" style="124" customWidth="1"/>
    <col min="13564" max="13564" width="5.46484375" style="124" customWidth="1"/>
    <col min="13565" max="13565" width="3.33203125" style="124" customWidth="1"/>
    <col min="13566" max="13566" width="5.1328125" style="124" bestFit="1" customWidth="1"/>
    <col min="13567" max="13567" width="6.06640625" style="124" customWidth="1"/>
    <col min="13568" max="13568" width="8.6640625" style="124"/>
    <col min="13569" max="13569" width="7.796875" style="124" bestFit="1" customWidth="1"/>
    <col min="13570" max="13570" width="6.9296875" style="124" customWidth="1"/>
    <col min="13571" max="13572" width="8.6640625" style="124"/>
    <col min="13573" max="13573" width="7.796875" style="124" bestFit="1" customWidth="1"/>
    <col min="13574" max="13574" width="10.3984375" style="124" customWidth="1"/>
    <col min="13575" max="13806" width="8.6640625" style="124"/>
    <col min="13807" max="13807" width="2.1328125" style="124" customWidth="1"/>
    <col min="13808" max="13808" width="20.33203125" style="124" customWidth="1"/>
    <col min="13809" max="13809" width="6.59765625" style="124" bestFit="1" customWidth="1"/>
    <col min="13810" max="13810" width="6.6640625" style="124" bestFit="1" customWidth="1"/>
    <col min="13811" max="13811" width="7" style="124" bestFit="1" customWidth="1"/>
    <col min="13812" max="13812" width="3.46484375" style="124" bestFit="1" customWidth="1"/>
    <col min="13813" max="13813" width="8.59765625" style="124" customWidth="1"/>
    <col min="13814" max="13814" width="8.06640625" style="124" customWidth="1"/>
    <col min="13815" max="13815" width="5.46484375" style="124" customWidth="1"/>
    <col min="13816" max="13816" width="3.33203125" style="124" customWidth="1"/>
    <col min="13817" max="13817" width="3" style="124" bestFit="1" customWidth="1"/>
    <col min="13818" max="13819" width="8.06640625" style="124" customWidth="1"/>
    <col min="13820" max="13820" width="5.46484375" style="124" customWidth="1"/>
    <col min="13821" max="13821" width="3.33203125" style="124" customWidth="1"/>
    <col min="13822" max="13822" width="5.1328125" style="124" bestFit="1" customWidth="1"/>
    <col min="13823" max="13823" width="6.06640625" style="124" customWidth="1"/>
    <col min="13824" max="13824" width="8.6640625" style="124"/>
    <col min="13825" max="13825" width="7.796875" style="124" bestFit="1" customWidth="1"/>
    <col min="13826" max="13826" width="6.9296875" style="124" customWidth="1"/>
    <col min="13827" max="13828" width="8.6640625" style="124"/>
    <col min="13829" max="13829" width="7.796875" style="124" bestFit="1" customWidth="1"/>
    <col min="13830" max="13830" width="10.3984375" style="124" customWidth="1"/>
    <col min="13831" max="14062" width="8.6640625" style="124"/>
    <col min="14063" max="14063" width="2.1328125" style="124" customWidth="1"/>
    <col min="14064" max="14064" width="20.33203125" style="124" customWidth="1"/>
    <col min="14065" max="14065" width="6.59765625" style="124" bestFit="1" customWidth="1"/>
    <col min="14066" max="14066" width="6.6640625" style="124" bestFit="1" customWidth="1"/>
    <col min="14067" max="14067" width="7" style="124" bestFit="1" customWidth="1"/>
    <col min="14068" max="14068" width="3.46484375" style="124" bestFit="1" customWidth="1"/>
    <col min="14069" max="14069" width="8.59765625" style="124" customWidth="1"/>
    <col min="14070" max="14070" width="8.06640625" style="124" customWidth="1"/>
    <col min="14071" max="14071" width="5.46484375" style="124" customWidth="1"/>
    <col min="14072" max="14072" width="3.33203125" style="124" customWidth="1"/>
    <col min="14073" max="14073" width="3" style="124" bestFit="1" customWidth="1"/>
    <col min="14074" max="14075" width="8.06640625" style="124" customWidth="1"/>
    <col min="14076" max="14076" width="5.46484375" style="124" customWidth="1"/>
    <col min="14077" max="14077" width="3.33203125" style="124" customWidth="1"/>
    <col min="14078" max="14078" width="5.1328125" style="124" bestFit="1" customWidth="1"/>
    <col min="14079" max="14079" width="6.06640625" style="124" customWidth="1"/>
    <col min="14080" max="14080" width="8.6640625" style="124"/>
    <col min="14081" max="14081" width="7.796875" style="124" bestFit="1" customWidth="1"/>
    <col min="14082" max="14082" width="6.9296875" style="124" customWidth="1"/>
    <col min="14083" max="14084" width="8.6640625" style="124"/>
    <col min="14085" max="14085" width="7.796875" style="124" bestFit="1" customWidth="1"/>
    <col min="14086" max="14086" width="10.3984375" style="124" customWidth="1"/>
    <col min="14087" max="14318" width="8.6640625" style="124"/>
    <col min="14319" max="14319" width="2.1328125" style="124" customWidth="1"/>
    <col min="14320" max="14320" width="20.33203125" style="124" customWidth="1"/>
    <col min="14321" max="14321" width="6.59765625" style="124" bestFit="1" customWidth="1"/>
    <col min="14322" max="14322" width="6.6640625" style="124" bestFit="1" customWidth="1"/>
    <col min="14323" max="14323" width="7" style="124" bestFit="1" customWidth="1"/>
    <col min="14324" max="14324" width="3.46484375" style="124" bestFit="1" customWidth="1"/>
    <col min="14325" max="14325" width="8.59765625" style="124" customWidth="1"/>
    <col min="14326" max="14326" width="8.06640625" style="124" customWidth="1"/>
    <col min="14327" max="14327" width="5.46484375" style="124" customWidth="1"/>
    <col min="14328" max="14328" width="3.33203125" style="124" customWidth="1"/>
    <col min="14329" max="14329" width="3" style="124" bestFit="1" customWidth="1"/>
    <col min="14330" max="14331" width="8.06640625" style="124" customWidth="1"/>
    <col min="14332" max="14332" width="5.46484375" style="124" customWidth="1"/>
    <col min="14333" max="14333" width="3.33203125" style="124" customWidth="1"/>
    <col min="14334" max="14334" width="5.1328125" style="124" bestFit="1" customWidth="1"/>
    <col min="14335" max="14335" width="6.06640625" style="124" customWidth="1"/>
    <col min="14336" max="14336" width="8.6640625" style="124"/>
    <col min="14337" max="14337" width="7.796875" style="124" bestFit="1" customWidth="1"/>
    <col min="14338" max="14338" width="6.9296875" style="124" customWidth="1"/>
    <col min="14339" max="14340" width="8.6640625" style="124"/>
    <col min="14341" max="14341" width="7.796875" style="124" bestFit="1" customWidth="1"/>
    <col min="14342" max="14342" width="10.3984375" style="124" customWidth="1"/>
    <col min="14343" max="14574" width="8.6640625" style="124"/>
    <col min="14575" max="14575" width="2.1328125" style="124" customWidth="1"/>
    <col min="14576" max="14576" width="20.33203125" style="124" customWidth="1"/>
    <col min="14577" max="14577" width="6.59765625" style="124" bestFit="1" customWidth="1"/>
    <col min="14578" max="14578" width="6.6640625" style="124" bestFit="1" customWidth="1"/>
    <col min="14579" max="14579" width="7" style="124" bestFit="1" customWidth="1"/>
    <col min="14580" max="14580" width="3.46484375" style="124" bestFit="1" customWidth="1"/>
    <col min="14581" max="14581" width="8.59765625" style="124" customWidth="1"/>
    <col min="14582" max="14582" width="8.06640625" style="124" customWidth="1"/>
    <col min="14583" max="14583" width="5.46484375" style="124" customWidth="1"/>
    <col min="14584" max="14584" width="3.33203125" style="124" customWidth="1"/>
    <col min="14585" max="14585" width="3" style="124" bestFit="1" customWidth="1"/>
    <col min="14586" max="14587" width="8.06640625" style="124" customWidth="1"/>
    <col min="14588" max="14588" width="5.46484375" style="124" customWidth="1"/>
    <col min="14589" max="14589" width="3.33203125" style="124" customWidth="1"/>
    <col min="14590" max="14590" width="5.1328125" style="124" bestFit="1" customWidth="1"/>
    <col min="14591" max="14591" width="6.06640625" style="124" customWidth="1"/>
    <col min="14592" max="14592" width="8.6640625" style="124"/>
    <col min="14593" max="14593" width="7.796875" style="124" bestFit="1" customWidth="1"/>
    <col min="14594" max="14594" width="6.9296875" style="124" customWidth="1"/>
    <col min="14595" max="14596" width="8.6640625" style="124"/>
    <col min="14597" max="14597" width="7.796875" style="124" bestFit="1" customWidth="1"/>
    <col min="14598" max="14598" width="10.3984375" style="124" customWidth="1"/>
    <col min="14599" max="14830" width="8.6640625" style="124"/>
    <col min="14831" max="14831" width="2.1328125" style="124" customWidth="1"/>
    <col min="14832" max="14832" width="20.33203125" style="124" customWidth="1"/>
    <col min="14833" max="14833" width="6.59765625" style="124" bestFit="1" customWidth="1"/>
    <col min="14834" max="14834" width="6.6640625" style="124" bestFit="1" customWidth="1"/>
    <col min="14835" max="14835" width="7" style="124" bestFit="1" customWidth="1"/>
    <col min="14836" max="14836" width="3.46484375" style="124" bestFit="1" customWidth="1"/>
    <col min="14837" max="14837" width="8.59765625" style="124" customWidth="1"/>
    <col min="14838" max="14838" width="8.06640625" style="124" customWidth="1"/>
    <col min="14839" max="14839" width="5.46484375" style="124" customWidth="1"/>
    <col min="14840" max="14840" width="3.33203125" style="124" customWidth="1"/>
    <col min="14841" max="14841" width="3" style="124" bestFit="1" customWidth="1"/>
    <col min="14842" max="14843" width="8.06640625" style="124" customWidth="1"/>
    <col min="14844" max="14844" width="5.46484375" style="124" customWidth="1"/>
    <col min="14845" max="14845" width="3.33203125" style="124" customWidth="1"/>
    <col min="14846" max="14846" width="5.1328125" style="124" bestFit="1" customWidth="1"/>
    <col min="14847" max="14847" width="6.06640625" style="124" customWidth="1"/>
    <col min="14848" max="14848" width="8.6640625" style="124"/>
    <col min="14849" max="14849" width="7.796875" style="124" bestFit="1" customWidth="1"/>
    <col min="14850" max="14850" width="6.9296875" style="124" customWidth="1"/>
    <col min="14851" max="14852" width="8.6640625" style="124"/>
    <col min="14853" max="14853" width="7.796875" style="124" bestFit="1" customWidth="1"/>
    <col min="14854" max="14854" width="10.3984375" style="124" customWidth="1"/>
    <col min="14855" max="15086" width="8.6640625" style="124"/>
    <col min="15087" max="15087" width="2.1328125" style="124" customWidth="1"/>
    <col min="15088" max="15088" width="20.33203125" style="124" customWidth="1"/>
    <col min="15089" max="15089" width="6.59765625" style="124" bestFit="1" customWidth="1"/>
    <col min="15090" max="15090" width="6.6640625" style="124" bestFit="1" customWidth="1"/>
    <col min="15091" max="15091" width="7" style="124" bestFit="1" customWidth="1"/>
    <col min="15092" max="15092" width="3.46484375" style="124" bestFit="1" customWidth="1"/>
    <col min="15093" max="15093" width="8.59765625" style="124" customWidth="1"/>
    <col min="15094" max="15094" width="8.06640625" style="124" customWidth="1"/>
    <col min="15095" max="15095" width="5.46484375" style="124" customWidth="1"/>
    <col min="15096" max="15096" width="3.33203125" style="124" customWidth="1"/>
    <col min="15097" max="15097" width="3" style="124" bestFit="1" customWidth="1"/>
    <col min="15098" max="15099" width="8.06640625" style="124" customWidth="1"/>
    <col min="15100" max="15100" width="5.46484375" style="124" customWidth="1"/>
    <col min="15101" max="15101" width="3.33203125" style="124" customWidth="1"/>
    <col min="15102" max="15102" width="5.1328125" style="124" bestFit="1" customWidth="1"/>
    <col min="15103" max="15103" width="6.06640625" style="124" customWidth="1"/>
    <col min="15104" max="15104" width="8.6640625" style="124"/>
    <col min="15105" max="15105" width="7.796875" style="124" bestFit="1" customWidth="1"/>
    <col min="15106" max="15106" width="6.9296875" style="124" customWidth="1"/>
    <col min="15107" max="15108" width="8.6640625" style="124"/>
    <col min="15109" max="15109" width="7.796875" style="124" bestFit="1" customWidth="1"/>
    <col min="15110" max="15110" width="10.3984375" style="124" customWidth="1"/>
    <col min="15111" max="15342" width="8.6640625" style="124"/>
    <col min="15343" max="15343" width="2.1328125" style="124" customWidth="1"/>
    <col min="15344" max="15344" width="20.33203125" style="124" customWidth="1"/>
    <col min="15345" max="15345" width="6.59765625" style="124" bestFit="1" customWidth="1"/>
    <col min="15346" max="15346" width="6.6640625" style="124" bestFit="1" customWidth="1"/>
    <col min="15347" max="15347" width="7" style="124" bestFit="1" customWidth="1"/>
    <col min="15348" max="15348" width="3.46484375" style="124" bestFit="1" customWidth="1"/>
    <col min="15349" max="15349" width="8.59765625" style="124" customWidth="1"/>
    <col min="15350" max="15350" width="8.06640625" style="124" customWidth="1"/>
    <col min="15351" max="15351" width="5.46484375" style="124" customWidth="1"/>
    <col min="15352" max="15352" width="3.33203125" style="124" customWidth="1"/>
    <col min="15353" max="15353" width="3" style="124" bestFit="1" customWidth="1"/>
    <col min="15354" max="15355" width="8.06640625" style="124" customWidth="1"/>
    <col min="15356" max="15356" width="5.46484375" style="124" customWidth="1"/>
    <col min="15357" max="15357" width="3.33203125" style="124" customWidth="1"/>
    <col min="15358" max="15358" width="5.1328125" style="124" bestFit="1" customWidth="1"/>
    <col min="15359" max="15359" width="6.06640625" style="124" customWidth="1"/>
    <col min="15360" max="15360" width="8.6640625" style="124"/>
    <col min="15361" max="15361" width="7.796875" style="124" bestFit="1" customWidth="1"/>
    <col min="15362" max="15362" width="6.9296875" style="124" customWidth="1"/>
    <col min="15363" max="15364" width="8.6640625" style="124"/>
    <col min="15365" max="15365" width="7.796875" style="124" bestFit="1" customWidth="1"/>
    <col min="15366" max="15366" width="10.3984375" style="124" customWidth="1"/>
    <col min="15367" max="15598" width="8.6640625" style="124"/>
    <col min="15599" max="15599" width="2.1328125" style="124" customWidth="1"/>
    <col min="15600" max="15600" width="20.33203125" style="124" customWidth="1"/>
    <col min="15601" max="15601" width="6.59765625" style="124" bestFit="1" customWidth="1"/>
    <col min="15602" max="15602" width="6.6640625" style="124" bestFit="1" customWidth="1"/>
    <col min="15603" max="15603" width="7" style="124" bestFit="1" customWidth="1"/>
    <col min="15604" max="15604" width="3.46484375" style="124" bestFit="1" customWidth="1"/>
    <col min="15605" max="15605" width="8.59765625" style="124" customWidth="1"/>
    <col min="15606" max="15606" width="8.06640625" style="124" customWidth="1"/>
    <col min="15607" max="15607" width="5.46484375" style="124" customWidth="1"/>
    <col min="15608" max="15608" width="3.33203125" style="124" customWidth="1"/>
    <col min="15609" max="15609" width="3" style="124" bestFit="1" customWidth="1"/>
    <col min="15610" max="15611" width="8.06640625" style="124" customWidth="1"/>
    <col min="15612" max="15612" width="5.46484375" style="124" customWidth="1"/>
    <col min="15613" max="15613" width="3.33203125" style="124" customWidth="1"/>
    <col min="15614" max="15614" width="5.1328125" style="124" bestFit="1" customWidth="1"/>
    <col min="15615" max="15615" width="6.06640625" style="124" customWidth="1"/>
    <col min="15616" max="15616" width="8.6640625" style="124"/>
    <col min="15617" max="15617" width="7.796875" style="124" bestFit="1" customWidth="1"/>
    <col min="15618" max="15618" width="6.9296875" style="124" customWidth="1"/>
    <col min="15619" max="15620" width="8.6640625" style="124"/>
    <col min="15621" max="15621" width="7.796875" style="124" bestFit="1" customWidth="1"/>
    <col min="15622" max="15622" width="10.3984375" style="124" customWidth="1"/>
    <col min="15623" max="15854" width="8.6640625" style="124"/>
    <col min="15855" max="15855" width="2.1328125" style="124" customWidth="1"/>
    <col min="15856" max="15856" width="20.33203125" style="124" customWidth="1"/>
    <col min="15857" max="15857" width="6.59765625" style="124" bestFit="1" customWidth="1"/>
    <col min="15858" max="15858" width="6.6640625" style="124" bestFit="1" customWidth="1"/>
    <col min="15859" max="15859" width="7" style="124" bestFit="1" customWidth="1"/>
    <col min="15860" max="15860" width="3.46484375" style="124" bestFit="1" customWidth="1"/>
    <col min="15861" max="15861" width="8.59765625" style="124" customWidth="1"/>
    <col min="15862" max="15862" width="8.06640625" style="124" customWidth="1"/>
    <col min="15863" max="15863" width="5.46484375" style="124" customWidth="1"/>
    <col min="15864" max="15864" width="3.33203125" style="124" customWidth="1"/>
    <col min="15865" max="15865" width="3" style="124" bestFit="1" customWidth="1"/>
    <col min="15866" max="15867" width="8.06640625" style="124" customWidth="1"/>
    <col min="15868" max="15868" width="5.46484375" style="124" customWidth="1"/>
    <col min="15869" max="15869" width="3.33203125" style="124" customWidth="1"/>
    <col min="15870" max="15870" width="5.1328125" style="124" bestFit="1" customWidth="1"/>
    <col min="15871" max="15871" width="6.06640625" style="124" customWidth="1"/>
    <col min="15872" max="15872" width="8.6640625" style="124"/>
    <col min="15873" max="15873" width="7.796875" style="124" bestFit="1" customWidth="1"/>
    <col min="15874" max="15874" width="6.9296875" style="124" customWidth="1"/>
    <col min="15875" max="15876" width="8.6640625" style="124"/>
    <col min="15877" max="15877" width="7.796875" style="124" bestFit="1" customWidth="1"/>
    <col min="15878" max="15878" width="10.3984375" style="124" customWidth="1"/>
    <col min="15879" max="16110" width="8.6640625" style="124"/>
    <col min="16111" max="16111" width="2.1328125" style="124" customWidth="1"/>
    <col min="16112" max="16112" width="20.33203125" style="124" customWidth="1"/>
    <col min="16113" max="16113" width="6.59765625" style="124" bestFit="1" customWidth="1"/>
    <col min="16114" max="16114" width="6.6640625" style="124" bestFit="1" customWidth="1"/>
    <col min="16115" max="16115" width="7" style="124" bestFit="1" customWidth="1"/>
    <col min="16116" max="16116" width="3.46484375" style="124" bestFit="1" customWidth="1"/>
    <col min="16117" max="16117" width="8.59765625" style="124" customWidth="1"/>
    <col min="16118" max="16118" width="8.06640625" style="124" customWidth="1"/>
    <col min="16119" max="16119" width="5.46484375" style="124" customWidth="1"/>
    <col min="16120" max="16120" width="3.33203125" style="124" customWidth="1"/>
    <col min="16121" max="16121" width="3" style="124" bestFit="1" customWidth="1"/>
    <col min="16122" max="16123" width="8.06640625" style="124" customWidth="1"/>
    <col min="16124" max="16124" width="5.46484375" style="124" customWidth="1"/>
    <col min="16125" max="16125" width="3.33203125" style="124" customWidth="1"/>
    <col min="16126" max="16126" width="5.1328125" style="124" bestFit="1" customWidth="1"/>
    <col min="16127" max="16127" width="6.06640625" style="124" customWidth="1"/>
    <col min="16128" max="16128" width="8.6640625" style="124"/>
    <col min="16129" max="16129" width="7.796875" style="124" bestFit="1" customWidth="1"/>
    <col min="16130" max="16130" width="6.9296875" style="124" customWidth="1"/>
    <col min="16131" max="16132" width="8.6640625" style="124"/>
    <col min="16133" max="16133" width="7.796875" style="124" bestFit="1" customWidth="1"/>
    <col min="16134" max="16134" width="10.3984375" style="124" customWidth="1"/>
    <col min="16135" max="16381" width="8.6640625" style="124"/>
    <col min="16382" max="16384" width="8.6640625" style="124" customWidth="1"/>
  </cols>
  <sheetData>
    <row r="1" spans="1:17" ht="3" hidden="1" customHeight="1">
      <c r="A1" s="38" t="s">
        <v>47</v>
      </c>
    </row>
    <row r="2" spans="1:17" ht="18" customHeight="1">
      <c r="A2" s="201" t="s">
        <v>299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7" ht="12.75" hidden="1" customHeight="1">
      <c r="A3" s="40" t="s">
        <v>48</v>
      </c>
      <c r="B3" s="41"/>
      <c r="C3" s="135"/>
      <c r="D3" s="135"/>
      <c r="E3" s="135"/>
    </row>
    <row r="4" spans="1:17" ht="15.6">
      <c r="A4" s="202" t="s">
        <v>326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7" ht="17.399999999999999">
      <c r="A5" s="203" t="s">
        <v>309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</row>
    <row r="6" spans="1:17" ht="12" customHeight="1">
      <c r="A6" s="113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</row>
    <row r="7" spans="1:17" ht="15.6" hidden="1">
      <c r="A7" s="113" t="s">
        <v>47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</row>
    <row r="8" spans="1:17" s="43" customFormat="1" ht="15.6">
      <c r="A8" s="90" t="s">
        <v>181</v>
      </c>
      <c r="B8" s="91" t="s">
        <v>178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152"/>
    </row>
    <row r="9" spans="1:17" s="79" customFormat="1" ht="14.4">
      <c r="A9" s="90" t="s">
        <v>180</v>
      </c>
      <c r="B9" s="93" t="s">
        <v>197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162"/>
    </row>
    <row r="10" spans="1:17" s="79" customFormat="1" ht="15.75" customHeight="1">
      <c r="A10" s="90" t="s">
        <v>182</v>
      </c>
      <c r="B10" s="93" t="s">
        <v>179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162"/>
    </row>
    <row r="11" spans="1:17" s="79" customFormat="1" ht="15.75" customHeight="1">
      <c r="A11" s="90" t="s">
        <v>183</v>
      </c>
      <c r="B11" s="93" t="s">
        <v>184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162"/>
    </row>
    <row r="12" spans="1:17" s="79" customFormat="1" ht="15.75" customHeight="1">
      <c r="A12" s="90" t="s">
        <v>161</v>
      </c>
      <c r="B12" s="93" t="s">
        <v>149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162"/>
    </row>
    <row r="13" spans="1:17" s="79" customFormat="1" ht="15.75" customHeight="1">
      <c r="A13" s="90"/>
      <c r="B13" s="93" t="s">
        <v>150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162"/>
    </row>
    <row r="14" spans="1:17" s="79" customFormat="1" ht="15.75" customHeight="1">
      <c r="A14" s="90" t="s">
        <v>162</v>
      </c>
      <c r="B14" s="93" t="s">
        <v>177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162"/>
    </row>
    <row r="15" spans="1:17" ht="10.5" customHeight="1">
      <c r="A15" s="194"/>
      <c r="B15" s="44"/>
      <c r="C15" s="57"/>
      <c r="D15" s="57"/>
      <c r="E15" s="57"/>
      <c r="F15" s="42"/>
      <c r="G15" s="42"/>
      <c r="H15" s="42"/>
      <c r="I15" s="42"/>
      <c r="J15" s="42"/>
      <c r="K15" s="42"/>
      <c r="L15" s="42"/>
      <c r="M15" s="42"/>
      <c r="N15" s="42"/>
      <c r="O15" s="42"/>
    </row>
    <row r="16" spans="1:17" ht="91.5" customHeight="1">
      <c r="A16" s="86" t="s">
        <v>49</v>
      </c>
      <c r="B16" s="87" t="s">
        <v>50</v>
      </c>
      <c r="C16" s="88" t="s">
        <v>51</v>
      </c>
      <c r="D16" s="88" t="s">
        <v>52</v>
      </c>
      <c r="E16" s="88" t="s">
        <v>53</v>
      </c>
      <c r="F16" s="88" t="s">
        <v>54</v>
      </c>
      <c r="G16" s="88" t="s">
        <v>55</v>
      </c>
      <c r="H16" s="88" t="s">
        <v>56</v>
      </c>
      <c r="I16" s="88" t="s">
        <v>57</v>
      </c>
      <c r="J16" s="89" t="s">
        <v>58</v>
      </c>
      <c r="K16" s="88" t="s">
        <v>54</v>
      </c>
      <c r="L16" s="88" t="s">
        <v>59</v>
      </c>
      <c r="M16" s="88" t="s">
        <v>60</v>
      </c>
      <c r="N16" s="88" t="s">
        <v>57</v>
      </c>
      <c r="O16" s="89" t="s">
        <v>58</v>
      </c>
      <c r="P16" s="89" t="s">
        <v>61</v>
      </c>
    </row>
    <row r="17" spans="1:16">
      <c r="A17" s="126" t="s">
        <v>63</v>
      </c>
      <c r="B17" s="127" t="s">
        <v>152</v>
      </c>
      <c r="C17" s="125"/>
      <c r="D17" s="125"/>
      <c r="E17" s="125"/>
      <c r="F17" s="128"/>
      <c r="G17" s="80"/>
      <c r="H17" s="80"/>
      <c r="I17" s="81"/>
      <c r="J17" s="82"/>
      <c r="K17" s="128"/>
      <c r="L17" s="80"/>
      <c r="M17" s="80"/>
      <c r="N17" s="81"/>
      <c r="O17" s="82"/>
      <c r="P17" s="129"/>
    </row>
    <row r="18" spans="1:16">
      <c r="A18" s="126" t="s">
        <v>63</v>
      </c>
      <c r="B18" s="127" t="s">
        <v>152</v>
      </c>
      <c r="C18" s="125"/>
      <c r="D18" s="125"/>
      <c r="E18" s="125"/>
      <c r="F18" s="128"/>
      <c r="G18" s="80"/>
      <c r="H18" s="80"/>
      <c r="I18" s="81"/>
      <c r="J18" s="82"/>
      <c r="K18" s="128"/>
      <c r="L18" s="80"/>
      <c r="M18" s="80"/>
      <c r="N18" s="81"/>
      <c r="O18" s="82"/>
      <c r="P18" s="129"/>
    </row>
    <row r="19" spans="1:16">
      <c r="A19" s="126" t="s">
        <v>63</v>
      </c>
      <c r="B19" s="127" t="s">
        <v>152</v>
      </c>
      <c r="C19" s="125"/>
      <c r="D19" s="125"/>
      <c r="E19" s="125"/>
      <c r="F19" s="128"/>
      <c r="G19" s="80"/>
      <c r="H19" s="80"/>
      <c r="I19" s="81"/>
      <c r="J19" s="82"/>
      <c r="K19" s="128"/>
      <c r="L19" s="80"/>
      <c r="M19" s="80"/>
      <c r="N19" s="81"/>
      <c r="O19" s="82"/>
      <c r="P19" s="129"/>
    </row>
    <row r="20" spans="1:16">
      <c r="A20" s="126" t="s">
        <v>63</v>
      </c>
      <c r="B20" s="127" t="s">
        <v>64</v>
      </c>
      <c r="C20" s="125">
        <v>43648</v>
      </c>
      <c r="D20" s="125">
        <v>44013</v>
      </c>
      <c r="E20" s="125"/>
      <c r="F20" s="128" t="s">
        <v>65</v>
      </c>
      <c r="G20" s="80">
        <v>225000000</v>
      </c>
      <c r="H20" s="80">
        <v>0</v>
      </c>
      <c r="I20" s="81">
        <v>7.5</v>
      </c>
      <c r="J20" s="82" t="s">
        <v>140</v>
      </c>
      <c r="K20" s="128" t="s">
        <v>65</v>
      </c>
      <c r="L20" s="80">
        <v>1250000000</v>
      </c>
      <c r="M20" s="80">
        <v>0</v>
      </c>
      <c r="N20" s="81">
        <v>7.5</v>
      </c>
      <c r="O20" s="82" t="s">
        <v>140</v>
      </c>
      <c r="P20" s="129"/>
    </row>
    <row r="21" spans="1:16">
      <c r="A21" s="126" t="s">
        <v>63</v>
      </c>
      <c r="B21" s="127" t="s">
        <v>64</v>
      </c>
      <c r="C21" s="125" t="s">
        <v>310</v>
      </c>
      <c r="D21" s="125"/>
      <c r="E21" s="125"/>
      <c r="F21" s="128"/>
      <c r="G21" s="80"/>
      <c r="H21" s="80"/>
      <c r="I21" s="81"/>
      <c r="J21" s="82"/>
      <c r="K21" s="128"/>
      <c r="L21" s="80"/>
      <c r="M21" s="80"/>
      <c r="N21" s="81"/>
      <c r="O21" s="82"/>
      <c r="P21" s="129"/>
    </row>
    <row r="22" spans="1:16">
      <c r="A22" s="126" t="s">
        <v>63</v>
      </c>
      <c r="B22" s="127" t="s">
        <v>64</v>
      </c>
      <c r="C22" s="125"/>
      <c r="D22" s="125"/>
      <c r="E22" s="125"/>
      <c r="F22" s="128"/>
      <c r="G22" s="80"/>
      <c r="H22" s="80"/>
      <c r="I22" s="81"/>
      <c r="J22" s="82"/>
      <c r="K22" s="128"/>
      <c r="L22" s="80"/>
      <c r="M22" s="80"/>
      <c r="N22" s="81"/>
      <c r="O22" s="82"/>
      <c r="P22" s="129"/>
    </row>
    <row r="23" spans="1:16">
      <c r="A23" s="126" t="s">
        <v>63</v>
      </c>
      <c r="B23" s="127" t="s">
        <v>146</v>
      </c>
      <c r="C23" s="125">
        <v>43739</v>
      </c>
      <c r="D23" s="125">
        <v>44104</v>
      </c>
      <c r="E23" s="125"/>
      <c r="F23" s="128" t="s">
        <v>65</v>
      </c>
      <c r="G23" s="80">
        <v>150000000</v>
      </c>
      <c r="H23" s="80">
        <v>0</v>
      </c>
      <c r="I23" s="81">
        <v>15</v>
      </c>
      <c r="J23" s="82" t="s">
        <v>140</v>
      </c>
      <c r="K23" s="128" t="s">
        <v>65</v>
      </c>
      <c r="L23" s="80">
        <v>1750000000</v>
      </c>
      <c r="M23" s="80">
        <v>0</v>
      </c>
      <c r="N23" s="81">
        <v>15</v>
      </c>
      <c r="O23" s="82" t="s">
        <v>140</v>
      </c>
      <c r="P23" s="129"/>
    </row>
    <row r="24" spans="1:16">
      <c r="A24" s="126" t="s">
        <v>63</v>
      </c>
      <c r="B24" s="127" t="s">
        <v>146</v>
      </c>
      <c r="C24" s="125">
        <v>44105</v>
      </c>
      <c r="D24" s="125">
        <v>44469</v>
      </c>
      <c r="E24" s="125"/>
      <c r="F24" s="128" t="s">
        <v>65</v>
      </c>
      <c r="G24" s="80">
        <v>150000000</v>
      </c>
      <c r="H24" s="80">
        <v>0</v>
      </c>
      <c r="I24" s="81">
        <v>12.5</v>
      </c>
      <c r="J24" s="82" t="s">
        <v>140</v>
      </c>
      <c r="K24" s="128" t="s">
        <v>65</v>
      </c>
      <c r="L24" s="80">
        <v>1750000000</v>
      </c>
      <c r="M24" s="80">
        <v>0</v>
      </c>
      <c r="N24" s="81">
        <v>12.5</v>
      </c>
      <c r="O24" s="82" t="s">
        <v>140</v>
      </c>
      <c r="P24" s="129"/>
    </row>
    <row r="25" spans="1:16">
      <c r="A25" s="126" t="s">
        <v>63</v>
      </c>
      <c r="B25" s="127" t="s">
        <v>146</v>
      </c>
      <c r="C25" s="125">
        <v>44470</v>
      </c>
      <c r="D25" s="125">
        <v>44834</v>
      </c>
      <c r="E25" s="125"/>
      <c r="F25" s="128" t="s">
        <v>65</v>
      </c>
      <c r="G25" s="80">
        <v>155000000</v>
      </c>
      <c r="H25" s="80">
        <v>0</v>
      </c>
      <c r="I25" s="81">
        <v>12.5</v>
      </c>
      <c r="J25" s="82" t="s">
        <v>140</v>
      </c>
      <c r="K25" s="128" t="s">
        <v>65</v>
      </c>
      <c r="L25" s="80">
        <v>1750000000</v>
      </c>
      <c r="M25" s="80">
        <v>0</v>
      </c>
      <c r="N25" s="81">
        <v>12.5</v>
      </c>
      <c r="O25" s="82" t="s">
        <v>140</v>
      </c>
      <c r="P25" s="129"/>
    </row>
    <row r="26" spans="1:16">
      <c r="A26" s="126" t="s">
        <v>63</v>
      </c>
      <c r="B26" s="127" t="s">
        <v>66</v>
      </c>
      <c r="C26" s="125">
        <v>43800</v>
      </c>
      <c r="D26" s="125">
        <v>44165</v>
      </c>
      <c r="E26" s="125"/>
      <c r="F26" s="128" t="s">
        <v>65</v>
      </c>
      <c r="G26" s="80">
        <v>220000000</v>
      </c>
      <c r="H26" s="80">
        <v>0</v>
      </c>
      <c r="I26" s="81">
        <v>12</v>
      </c>
      <c r="J26" s="82" t="s">
        <v>140</v>
      </c>
      <c r="K26" s="128" t="s">
        <v>65</v>
      </c>
      <c r="L26" s="80">
        <v>1500000000</v>
      </c>
      <c r="M26" s="80">
        <v>0</v>
      </c>
      <c r="N26" s="81">
        <v>12</v>
      </c>
      <c r="O26" s="82" t="s">
        <v>140</v>
      </c>
      <c r="P26" s="129"/>
    </row>
    <row r="27" spans="1:16">
      <c r="A27" s="126" t="s">
        <v>63</v>
      </c>
      <c r="B27" s="127" t="s">
        <v>66</v>
      </c>
      <c r="C27" s="125">
        <v>44166</v>
      </c>
      <c r="D27" s="125">
        <v>44530</v>
      </c>
      <c r="E27" s="125"/>
      <c r="F27" s="128" t="s">
        <v>65</v>
      </c>
      <c r="G27" s="80">
        <v>220000000</v>
      </c>
      <c r="H27" s="80">
        <v>0</v>
      </c>
      <c r="I27" s="81">
        <v>12</v>
      </c>
      <c r="J27" s="82" t="s">
        <v>140</v>
      </c>
      <c r="K27" s="128" t="s">
        <v>65</v>
      </c>
      <c r="L27" s="80">
        <v>1500000000</v>
      </c>
      <c r="M27" s="80">
        <v>0</v>
      </c>
      <c r="N27" s="81">
        <v>12</v>
      </c>
      <c r="O27" s="82" t="s">
        <v>140</v>
      </c>
      <c r="P27" s="129"/>
    </row>
    <row r="28" spans="1:16">
      <c r="A28" s="126" t="s">
        <v>63</v>
      </c>
      <c r="B28" s="127" t="s">
        <v>66</v>
      </c>
      <c r="C28" s="125">
        <v>44531</v>
      </c>
      <c r="D28" s="125">
        <v>44895</v>
      </c>
      <c r="E28" s="125"/>
      <c r="F28" s="128" t="s">
        <v>65</v>
      </c>
      <c r="G28" s="80">
        <v>220000000</v>
      </c>
      <c r="H28" s="80">
        <v>0</v>
      </c>
      <c r="I28" s="81">
        <v>12</v>
      </c>
      <c r="J28" s="82" t="s">
        <v>140</v>
      </c>
      <c r="K28" s="128" t="s">
        <v>65</v>
      </c>
      <c r="L28" s="80">
        <v>1500000000</v>
      </c>
      <c r="M28" s="80">
        <v>0</v>
      </c>
      <c r="N28" s="81">
        <v>12</v>
      </c>
      <c r="O28" s="82" t="s">
        <v>140</v>
      </c>
      <c r="P28" s="129"/>
    </row>
    <row r="29" spans="1:16">
      <c r="A29" s="126" t="s">
        <v>63</v>
      </c>
      <c r="B29" s="127" t="s">
        <v>67</v>
      </c>
      <c r="C29" s="125">
        <v>43800</v>
      </c>
      <c r="D29" s="125">
        <v>44165</v>
      </c>
      <c r="E29" s="125"/>
      <c r="F29" s="128" t="s">
        <v>65</v>
      </c>
      <c r="G29" s="80">
        <v>200000000</v>
      </c>
      <c r="H29" s="80">
        <v>0</v>
      </c>
      <c r="I29" s="81">
        <v>15</v>
      </c>
      <c r="J29" s="82" t="s">
        <v>140</v>
      </c>
      <c r="K29" s="128" t="s">
        <v>65</v>
      </c>
      <c r="L29" s="80">
        <v>1000000000</v>
      </c>
      <c r="M29" s="80">
        <v>0</v>
      </c>
      <c r="N29" s="81">
        <v>15</v>
      </c>
      <c r="O29" s="82" t="s">
        <v>140</v>
      </c>
      <c r="P29" s="129"/>
    </row>
    <row r="30" spans="1:16">
      <c r="A30" s="126" t="s">
        <v>63</v>
      </c>
      <c r="B30" s="127" t="s">
        <v>67</v>
      </c>
      <c r="C30" s="125">
        <v>44166</v>
      </c>
      <c r="D30" s="125">
        <v>44530</v>
      </c>
      <c r="E30" s="125"/>
      <c r="F30" s="128" t="s">
        <v>65</v>
      </c>
      <c r="G30" s="80">
        <v>200000000</v>
      </c>
      <c r="H30" s="80">
        <v>0</v>
      </c>
      <c r="I30" s="81">
        <v>15</v>
      </c>
      <c r="J30" s="82" t="s">
        <v>140</v>
      </c>
      <c r="K30" s="128" t="s">
        <v>65</v>
      </c>
      <c r="L30" s="80">
        <v>1000000000</v>
      </c>
      <c r="M30" s="80">
        <v>0</v>
      </c>
      <c r="N30" s="81">
        <v>15</v>
      </c>
      <c r="O30" s="82" t="s">
        <v>140</v>
      </c>
      <c r="P30" s="129"/>
    </row>
    <row r="31" spans="1:16">
      <c r="A31" s="126" t="s">
        <v>63</v>
      </c>
      <c r="B31" s="127" t="s">
        <v>67</v>
      </c>
      <c r="C31" s="125">
        <v>44531</v>
      </c>
      <c r="D31" s="125">
        <v>44895</v>
      </c>
      <c r="E31" s="125"/>
      <c r="F31" s="128" t="s">
        <v>65</v>
      </c>
      <c r="G31" s="80">
        <v>200000000</v>
      </c>
      <c r="H31" s="80">
        <v>0</v>
      </c>
      <c r="I31" s="81">
        <v>15</v>
      </c>
      <c r="J31" s="82" t="s">
        <v>140</v>
      </c>
      <c r="K31" s="128" t="s">
        <v>65</v>
      </c>
      <c r="L31" s="80">
        <v>1000000000</v>
      </c>
      <c r="M31" s="80">
        <v>0</v>
      </c>
      <c r="N31" s="81">
        <v>15</v>
      </c>
      <c r="O31" s="82" t="s">
        <v>140</v>
      </c>
      <c r="P31" s="129"/>
    </row>
    <row r="32" spans="1:16">
      <c r="A32" s="126" t="s">
        <v>63</v>
      </c>
      <c r="B32" s="127" t="s">
        <v>185</v>
      </c>
      <c r="C32" s="125">
        <v>43600</v>
      </c>
      <c r="D32" s="125">
        <v>43965</v>
      </c>
      <c r="E32" s="125"/>
      <c r="F32" s="128" t="s">
        <v>65</v>
      </c>
      <c r="G32" s="80">
        <v>175000000</v>
      </c>
      <c r="H32" s="80">
        <v>0</v>
      </c>
      <c r="I32" s="81">
        <v>7.19</v>
      </c>
      <c r="J32" s="82" t="s">
        <v>140</v>
      </c>
      <c r="K32" s="128" t="s">
        <v>65</v>
      </c>
      <c r="L32" s="80">
        <v>1000000000</v>
      </c>
      <c r="M32" s="80">
        <v>0</v>
      </c>
      <c r="N32" s="81">
        <v>7.19</v>
      </c>
      <c r="O32" s="82" t="s">
        <v>140</v>
      </c>
      <c r="P32" s="129"/>
    </row>
    <row r="33" spans="1:17">
      <c r="A33" s="126" t="s">
        <v>63</v>
      </c>
      <c r="B33" s="127" t="s">
        <v>185</v>
      </c>
      <c r="C33" s="125">
        <v>43966</v>
      </c>
      <c r="D33" s="125">
        <v>44330</v>
      </c>
      <c r="E33" s="125"/>
      <c r="F33" s="128" t="s">
        <v>65</v>
      </c>
      <c r="G33" s="80">
        <v>175000000</v>
      </c>
      <c r="H33" s="80">
        <v>0</v>
      </c>
      <c r="I33" s="81">
        <v>6.9</v>
      </c>
      <c r="J33" s="82" t="s">
        <v>140</v>
      </c>
      <c r="K33" s="128" t="s">
        <v>65</v>
      </c>
      <c r="L33" s="80">
        <v>1000000000</v>
      </c>
      <c r="M33" s="80">
        <v>0</v>
      </c>
      <c r="N33" s="81">
        <v>6.9</v>
      </c>
      <c r="O33" s="82" t="s">
        <v>140</v>
      </c>
      <c r="P33" s="129"/>
    </row>
    <row r="34" spans="1:17">
      <c r="A34" s="126" t="s">
        <v>63</v>
      </c>
      <c r="B34" s="127" t="s">
        <v>185</v>
      </c>
      <c r="C34" s="125">
        <v>44331</v>
      </c>
      <c r="D34" s="125">
        <v>44695</v>
      </c>
      <c r="E34" s="125"/>
      <c r="F34" s="128" t="s">
        <v>65</v>
      </c>
      <c r="G34" s="80">
        <v>175000000</v>
      </c>
      <c r="H34" s="80">
        <v>0</v>
      </c>
      <c r="I34" s="81">
        <v>4.97</v>
      </c>
      <c r="J34" s="82" t="s">
        <v>140</v>
      </c>
      <c r="K34" s="128" t="s">
        <v>65</v>
      </c>
      <c r="L34" s="80">
        <v>1000000000</v>
      </c>
      <c r="M34" s="80">
        <v>0</v>
      </c>
      <c r="N34" s="81">
        <v>4.97</v>
      </c>
      <c r="O34" s="82" t="s">
        <v>140</v>
      </c>
      <c r="P34" s="129"/>
    </row>
    <row r="35" spans="1:17">
      <c r="A35" s="126" t="s">
        <v>63</v>
      </c>
      <c r="B35" s="127" t="s">
        <v>68</v>
      </c>
      <c r="C35" s="125">
        <v>43814</v>
      </c>
      <c r="D35" s="125">
        <v>44179</v>
      </c>
      <c r="E35" s="125"/>
      <c r="F35" s="128" t="s">
        <v>65</v>
      </c>
      <c r="G35" s="80">
        <v>250000000</v>
      </c>
      <c r="H35" s="80">
        <v>0</v>
      </c>
      <c r="I35" s="81">
        <v>8.5</v>
      </c>
      <c r="J35" s="82" t="s">
        <v>140</v>
      </c>
      <c r="K35" s="128" t="s">
        <v>65</v>
      </c>
      <c r="L35" s="80">
        <v>1750000000</v>
      </c>
      <c r="M35" s="80">
        <v>0</v>
      </c>
      <c r="N35" s="81">
        <v>8.5</v>
      </c>
      <c r="O35" s="82" t="s">
        <v>140</v>
      </c>
      <c r="P35" s="129"/>
    </row>
    <row r="36" spans="1:17">
      <c r="A36" s="126" t="s">
        <v>63</v>
      </c>
      <c r="B36" s="127" t="s">
        <v>68</v>
      </c>
      <c r="C36" s="125">
        <v>44180</v>
      </c>
      <c r="D36" s="125">
        <v>44544</v>
      </c>
      <c r="E36" s="125"/>
      <c r="F36" s="128" t="s">
        <v>65</v>
      </c>
      <c r="G36" s="80">
        <v>250000000</v>
      </c>
      <c r="H36" s="80">
        <v>0</v>
      </c>
      <c r="I36" s="81">
        <v>8.5</v>
      </c>
      <c r="J36" s="82" t="s">
        <v>140</v>
      </c>
      <c r="K36" s="128" t="s">
        <v>65</v>
      </c>
      <c r="L36" s="80">
        <v>1750000000</v>
      </c>
      <c r="M36" s="80">
        <v>0</v>
      </c>
      <c r="N36" s="81">
        <v>8.5</v>
      </c>
      <c r="O36" s="82" t="s">
        <v>140</v>
      </c>
      <c r="P36" s="129"/>
    </row>
    <row r="37" spans="1:17">
      <c r="A37" s="126" t="s">
        <v>63</v>
      </c>
      <c r="B37" s="127" t="s">
        <v>68</v>
      </c>
      <c r="C37" s="125">
        <v>44545</v>
      </c>
      <c r="D37" s="125">
        <v>44909</v>
      </c>
      <c r="E37" s="125"/>
      <c r="F37" s="128" t="s">
        <v>65</v>
      </c>
      <c r="G37" s="80">
        <v>250000000</v>
      </c>
      <c r="H37" s="80">
        <v>0</v>
      </c>
      <c r="I37" s="81">
        <v>8.5</v>
      </c>
      <c r="J37" s="82" t="s">
        <v>140</v>
      </c>
      <c r="K37" s="128" t="s">
        <v>65</v>
      </c>
      <c r="L37" s="80">
        <v>1750000000</v>
      </c>
      <c r="M37" s="80">
        <v>0</v>
      </c>
      <c r="N37" s="81">
        <v>8.5</v>
      </c>
      <c r="O37" s="82" t="s">
        <v>140</v>
      </c>
      <c r="P37" s="129"/>
    </row>
    <row r="38" spans="1:17">
      <c r="A38" s="126" t="s">
        <v>63</v>
      </c>
      <c r="B38" s="127" t="s">
        <v>0</v>
      </c>
      <c r="C38" s="125">
        <v>43800</v>
      </c>
      <c r="D38" s="125">
        <v>44165</v>
      </c>
      <c r="E38" s="125"/>
      <c r="F38" s="128" t="s">
        <v>65</v>
      </c>
      <c r="G38" s="80">
        <v>300000000</v>
      </c>
      <c r="H38" s="80">
        <v>0</v>
      </c>
      <c r="I38" s="81">
        <v>16.5</v>
      </c>
      <c r="J38" s="82" t="s">
        <v>140</v>
      </c>
      <c r="K38" s="128" t="s">
        <v>65</v>
      </c>
      <c r="L38" s="80">
        <v>2250000000</v>
      </c>
      <c r="M38" s="80">
        <v>0</v>
      </c>
      <c r="N38" s="81">
        <v>16.5</v>
      </c>
      <c r="O38" s="82" t="s">
        <v>140</v>
      </c>
      <c r="P38" s="129"/>
    </row>
    <row r="39" spans="1:17">
      <c r="A39" s="126" t="s">
        <v>63</v>
      </c>
      <c r="B39" s="127" t="s">
        <v>0</v>
      </c>
      <c r="C39" s="125">
        <v>44166</v>
      </c>
      <c r="D39" s="125">
        <v>44530</v>
      </c>
      <c r="E39" s="125"/>
      <c r="F39" s="128" t="s">
        <v>65</v>
      </c>
      <c r="G39" s="80">
        <v>300000000</v>
      </c>
      <c r="H39" s="80">
        <v>0</v>
      </c>
      <c r="I39" s="81">
        <v>16.5</v>
      </c>
      <c r="J39" s="82" t="s">
        <v>140</v>
      </c>
      <c r="K39" s="128" t="s">
        <v>65</v>
      </c>
      <c r="L39" s="80">
        <v>2250000000</v>
      </c>
      <c r="M39" s="80">
        <v>0</v>
      </c>
      <c r="N39" s="81">
        <v>16.5</v>
      </c>
      <c r="O39" s="82" t="s">
        <v>140</v>
      </c>
      <c r="P39" s="129"/>
    </row>
    <row r="40" spans="1:17">
      <c r="A40" s="126" t="s">
        <v>63</v>
      </c>
      <c r="B40" s="127" t="s">
        <v>0</v>
      </c>
      <c r="C40" s="125">
        <v>44531</v>
      </c>
      <c r="D40" s="125">
        <v>44895</v>
      </c>
      <c r="E40" s="125"/>
      <c r="F40" s="128" t="s">
        <v>65</v>
      </c>
      <c r="G40" s="80">
        <v>300000000</v>
      </c>
      <c r="H40" s="80">
        <v>0</v>
      </c>
      <c r="I40" s="81">
        <v>16</v>
      </c>
      <c r="J40" s="82" t="s">
        <v>140</v>
      </c>
      <c r="K40" s="128" t="s">
        <v>65</v>
      </c>
      <c r="L40" s="80">
        <v>2250000000</v>
      </c>
      <c r="M40" s="80">
        <v>0</v>
      </c>
      <c r="N40" s="81">
        <v>16</v>
      </c>
      <c r="O40" s="82" t="s">
        <v>140</v>
      </c>
      <c r="P40" s="129"/>
    </row>
    <row r="41" spans="1:17">
      <c r="A41" s="126" t="s">
        <v>63</v>
      </c>
      <c r="B41" s="127" t="s">
        <v>187</v>
      </c>
      <c r="C41" s="125">
        <v>43556</v>
      </c>
      <c r="D41" s="125">
        <v>43921</v>
      </c>
      <c r="E41" s="125"/>
      <c r="F41" s="128" t="s">
        <v>65</v>
      </c>
      <c r="G41" s="80">
        <v>275000000</v>
      </c>
      <c r="H41" s="80">
        <v>0</v>
      </c>
      <c r="I41" s="81">
        <v>12.5</v>
      </c>
      <c r="J41" s="82" t="s">
        <v>140</v>
      </c>
      <c r="K41" s="128" t="s">
        <v>65</v>
      </c>
      <c r="L41" s="80">
        <v>1500000000</v>
      </c>
      <c r="M41" s="80">
        <v>0</v>
      </c>
      <c r="N41" s="81">
        <v>12.5</v>
      </c>
      <c r="O41" s="82" t="s">
        <v>140</v>
      </c>
      <c r="P41" s="129"/>
    </row>
    <row r="42" spans="1:17">
      <c r="A42" s="126" t="s">
        <v>63</v>
      </c>
      <c r="B42" s="127" t="s">
        <v>187</v>
      </c>
      <c r="C42" s="125">
        <v>43922</v>
      </c>
      <c r="D42" s="125">
        <v>44286</v>
      </c>
      <c r="E42" s="125"/>
      <c r="F42" s="128" t="s">
        <v>65</v>
      </c>
      <c r="G42" s="80">
        <v>275000000</v>
      </c>
      <c r="H42" s="80">
        <v>0</v>
      </c>
      <c r="I42" s="81">
        <v>11.25</v>
      </c>
      <c r="J42" s="82" t="s">
        <v>140</v>
      </c>
      <c r="K42" s="128" t="s">
        <v>65</v>
      </c>
      <c r="L42" s="80">
        <v>1500000000</v>
      </c>
      <c r="M42" s="80">
        <v>0</v>
      </c>
      <c r="N42" s="81">
        <v>11.25</v>
      </c>
      <c r="O42" s="82" t="s">
        <v>140</v>
      </c>
      <c r="P42" s="129"/>
    </row>
    <row r="43" spans="1:17">
      <c r="A43" s="126" t="s">
        <v>63</v>
      </c>
      <c r="B43" s="127" t="s">
        <v>187</v>
      </c>
      <c r="C43" s="125">
        <v>44287</v>
      </c>
      <c r="D43" s="125">
        <v>44651</v>
      </c>
      <c r="E43" s="125"/>
      <c r="F43" s="128" t="s">
        <v>65</v>
      </c>
      <c r="G43" s="80">
        <v>275000000</v>
      </c>
      <c r="H43" s="80">
        <v>0</v>
      </c>
      <c r="I43" s="81">
        <v>9.5</v>
      </c>
      <c r="J43" s="82" t="s">
        <v>140</v>
      </c>
      <c r="K43" s="128" t="s">
        <v>65</v>
      </c>
      <c r="L43" s="80">
        <v>1500000000</v>
      </c>
      <c r="M43" s="80">
        <v>0</v>
      </c>
      <c r="N43" s="81">
        <v>9.5</v>
      </c>
      <c r="O43" s="82" t="s">
        <v>140</v>
      </c>
      <c r="P43" s="129"/>
    </row>
    <row r="44" spans="1:17">
      <c r="A44" s="126" t="s">
        <v>63</v>
      </c>
      <c r="B44" s="127" t="s">
        <v>69</v>
      </c>
      <c r="C44" s="125">
        <v>43800</v>
      </c>
      <c r="D44" s="125">
        <v>44165</v>
      </c>
      <c r="E44" s="125"/>
      <c r="F44" s="128" t="s">
        <v>65</v>
      </c>
      <c r="G44" s="80">
        <v>265000000</v>
      </c>
      <c r="H44" s="80">
        <v>0</v>
      </c>
      <c r="I44" s="81">
        <v>10.5</v>
      </c>
      <c r="J44" s="82" t="s">
        <v>140</v>
      </c>
      <c r="K44" s="128" t="s">
        <v>65</v>
      </c>
      <c r="L44" s="80">
        <v>2250000000</v>
      </c>
      <c r="M44" s="80">
        <v>0</v>
      </c>
      <c r="N44" s="81">
        <v>10.5</v>
      </c>
      <c r="O44" s="82" t="s">
        <v>140</v>
      </c>
      <c r="P44" s="129"/>
    </row>
    <row r="45" spans="1:17">
      <c r="A45" s="126" t="s">
        <v>63</v>
      </c>
      <c r="B45" s="127" t="s">
        <v>69</v>
      </c>
      <c r="C45" s="125">
        <v>44166</v>
      </c>
      <c r="D45" s="125">
        <v>44530</v>
      </c>
      <c r="E45" s="125"/>
      <c r="F45" s="128" t="s">
        <v>65</v>
      </c>
      <c r="G45" s="80">
        <v>265000000</v>
      </c>
      <c r="H45" s="80">
        <v>0</v>
      </c>
      <c r="I45" s="81">
        <v>12.5</v>
      </c>
      <c r="J45" s="82" t="s">
        <v>140</v>
      </c>
      <c r="K45" s="128" t="s">
        <v>65</v>
      </c>
      <c r="L45" s="80">
        <v>2250000000</v>
      </c>
      <c r="M45" s="80">
        <v>0</v>
      </c>
      <c r="N45" s="81">
        <v>12.5</v>
      </c>
      <c r="O45" s="82" t="s">
        <v>140</v>
      </c>
      <c r="P45" s="129"/>
    </row>
    <row r="46" spans="1:17">
      <c r="A46" s="126" t="s">
        <v>63</v>
      </c>
      <c r="B46" s="127" t="s">
        <v>69</v>
      </c>
      <c r="C46" s="125">
        <v>44531</v>
      </c>
      <c r="D46" s="125">
        <v>44895</v>
      </c>
      <c r="E46" s="125"/>
      <c r="F46" s="128" t="s">
        <v>65</v>
      </c>
      <c r="G46" s="80">
        <v>265000000</v>
      </c>
      <c r="H46" s="80">
        <v>0</v>
      </c>
      <c r="I46" s="81">
        <v>12.5</v>
      </c>
      <c r="J46" s="82" t="s">
        <v>140</v>
      </c>
      <c r="K46" s="128" t="s">
        <v>65</v>
      </c>
      <c r="L46" s="80">
        <v>2250000000</v>
      </c>
      <c r="M46" s="80">
        <v>0</v>
      </c>
      <c r="N46" s="81">
        <v>12.5</v>
      </c>
      <c r="O46" s="82" t="s">
        <v>140</v>
      </c>
      <c r="P46" s="129"/>
    </row>
    <row r="47" spans="1:17">
      <c r="A47" s="126" t="s">
        <v>63</v>
      </c>
      <c r="B47" s="127" t="s">
        <v>70</v>
      </c>
      <c r="C47" s="125">
        <v>43617</v>
      </c>
      <c r="D47" s="125">
        <v>43982</v>
      </c>
      <c r="E47" s="125"/>
      <c r="F47" s="128" t="s">
        <v>65</v>
      </c>
      <c r="G47" s="80">
        <v>150000000</v>
      </c>
      <c r="H47" s="80">
        <v>0</v>
      </c>
      <c r="I47" s="81">
        <v>18.5</v>
      </c>
      <c r="J47" s="82" t="s">
        <v>140</v>
      </c>
      <c r="K47" s="128" t="s">
        <v>65</v>
      </c>
      <c r="L47" s="80">
        <v>1250000000</v>
      </c>
      <c r="M47" s="80">
        <v>0</v>
      </c>
      <c r="N47" s="81">
        <v>18.5</v>
      </c>
      <c r="O47" s="82" t="s">
        <v>140</v>
      </c>
      <c r="P47" s="129"/>
    </row>
    <row r="48" spans="1:17">
      <c r="A48" s="126" t="s">
        <v>63</v>
      </c>
      <c r="B48" s="195" t="s">
        <v>70</v>
      </c>
      <c r="C48" s="125">
        <v>43983</v>
      </c>
      <c r="D48" s="125">
        <v>44440</v>
      </c>
      <c r="E48" s="125"/>
      <c r="F48" s="128" t="s">
        <v>65</v>
      </c>
      <c r="G48" s="80">
        <v>150000000</v>
      </c>
      <c r="H48" s="80">
        <v>0</v>
      </c>
      <c r="I48" s="81">
        <v>17.5</v>
      </c>
      <c r="J48" s="82" t="s">
        <v>140</v>
      </c>
      <c r="K48" s="128" t="s">
        <v>65</v>
      </c>
      <c r="L48" s="80">
        <v>1250000000</v>
      </c>
      <c r="M48" s="80">
        <v>0</v>
      </c>
      <c r="N48" s="81">
        <v>17.5</v>
      </c>
      <c r="O48" s="82" t="s">
        <v>140</v>
      </c>
      <c r="P48" s="129"/>
      <c r="Q48" s="161">
        <v>1</v>
      </c>
    </row>
    <row r="49" spans="1:16">
      <c r="A49" s="126" t="s">
        <v>63</v>
      </c>
      <c r="B49" s="127" t="s">
        <v>70</v>
      </c>
      <c r="C49" s="125">
        <v>44440</v>
      </c>
      <c r="D49" s="125">
        <v>44805</v>
      </c>
      <c r="E49" s="125"/>
      <c r="F49" s="128" t="s">
        <v>65</v>
      </c>
      <c r="G49" s="80">
        <v>150000000</v>
      </c>
      <c r="H49" s="80">
        <v>0</v>
      </c>
      <c r="I49" s="81">
        <v>14.5</v>
      </c>
      <c r="J49" s="82" t="s">
        <v>140</v>
      </c>
      <c r="K49" s="128" t="s">
        <v>65</v>
      </c>
      <c r="L49" s="80">
        <v>1250000000</v>
      </c>
      <c r="M49" s="80">
        <v>0</v>
      </c>
      <c r="N49" s="81">
        <v>14.5</v>
      </c>
      <c r="O49" s="82" t="s">
        <v>140</v>
      </c>
      <c r="P49" s="129"/>
    </row>
    <row r="50" spans="1:16">
      <c r="A50" s="126" t="s">
        <v>63</v>
      </c>
      <c r="B50" s="127" t="s">
        <v>71</v>
      </c>
      <c r="C50" s="125">
        <v>43617</v>
      </c>
      <c r="D50" s="125">
        <v>43982</v>
      </c>
      <c r="E50" s="125"/>
      <c r="F50" s="128" t="s">
        <v>65</v>
      </c>
      <c r="G50" s="80">
        <v>250000000</v>
      </c>
      <c r="H50" s="80">
        <v>0</v>
      </c>
      <c r="I50" s="81">
        <v>3.75</v>
      </c>
      <c r="J50" s="82" t="s">
        <v>140</v>
      </c>
      <c r="K50" s="128" t="s">
        <v>65</v>
      </c>
      <c r="L50" s="80">
        <v>2000000000</v>
      </c>
      <c r="M50" s="80">
        <v>0</v>
      </c>
      <c r="N50" s="81">
        <v>3.75</v>
      </c>
      <c r="O50" s="82" t="s">
        <v>140</v>
      </c>
      <c r="P50" s="129"/>
    </row>
    <row r="51" spans="1:16">
      <c r="A51" s="126" t="s">
        <v>63</v>
      </c>
      <c r="B51" s="127" t="s">
        <v>71</v>
      </c>
      <c r="C51" s="125">
        <v>43800</v>
      </c>
      <c r="D51" s="125">
        <v>44165</v>
      </c>
      <c r="E51" s="125"/>
      <c r="F51" s="128" t="s">
        <v>65</v>
      </c>
      <c r="G51" s="80">
        <v>418181818</v>
      </c>
      <c r="H51" s="80">
        <v>0</v>
      </c>
      <c r="I51" s="81">
        <v>5</v>
      </c>
      <c r="J51" s="82" t="s">
        <v>140</v>
      </c>
      <c r="K51" s="128" t="s">
        <v>65</v>
      </c>
      <c r="L51" s="80">
        <v>2250000000</v>
      </c>
      <c r="M51" s="80">
        <v>0</v>
      </c>
      <c r="N51" s="81">
        <v>5</v>
      </c>
      <c r="O51" s="82" t="s">
        <v>140</v>
      </c>
      <c r="P51" s="129"/>
    </row>
    <row r="52" spans="1:16">
      <c r="A52" s="126" t="s">
        <v>63</v>
      </c>
      <c r="B52" s="127" t="s">
        <v>71</v>
      </c>
      <c r="C52" s="125">
        <v>43983</v>
      </c>
      <c r="D52" s="125">
        <v>44347</v>
      </c>
      <c r="E52" s="125"/>
      <c r="F52" s="128" t="s">
        <v>65</v>
      </c>
      <c r="G52" s="80">
        <v>250000000</v>
      </c>
      <c r="H52" s="80">
        <v>0</v>
      </c>
      <c r="I52" s="81">
        <v>3.75</v>
      </c>
      <c r="J52" s="82" t="s">
        <v>140</v>
      </c>
      <c r="K52" s="128" t="s">
        <v>65</v>
      </c>
      <c r="L52" s="80">
        <v>2000000000</v>
      </c>
      <c r="M52" s="80">
        <v>0</v>
      </c>
      <c r="N52" s="81">
        <v>3.75</v>
      </c>
      <c r="O52" s="82" t="s">
        <v>140</v>
      </c>
      <c r="P52" s="129"/>
    </row>
    <row r="53" spans="1:16">
      <c r="A53" s="126" t="s">
        <v>63</v>
      </c>
      <c r="B53" s="127" t="s">
        <v>71</v>
      </c>
      <c r="C53" s="125">
        <v>44166</v>
      </c>
      <c r="D53" s="125">
        <v>44530</v>
      </c>
      <c r="E53" s="125"/>
      <c r="F53" s="128" t="s">
        <v>65</v>
      </c>
      <c r="G53" s="80">
        <v>418181818</v>
      </c>
      <c r="H53" s="80">
        <v>0</v>
      </c>
      <c r="I53" s="81">
        <v>4.72</v>
      </c>
      <c r="J53" s="82" t="s">
        <v>140</v>
      </c>
      <c r="K53" s="128" t="s">
        <v>65</v>
      </c>
      <c r="L53" s="80">
        <v>2250000000</v>
      </c>
      <c r="M53" s="80">
        <v>0</v>
      </c>
      <c r="N53" s="81">
        <v>4.72</v>
      </c>
      <c r="O53" s="82" t="s">
        <v>140</v>
      </c>
      <c r="P53" s="129"/>
    </row>
    <row r="54" spans="1:16">
      <c r="A54" s="126" t="s">
        <v>63</v>
      </c>
      <c r="B54" s="127" t="s">
        <v>71</v>
      </c>
      <c r="C54" s="125">
        <v>44531</v>
      </c>
      <c r="D54" s="125">
        <v>44895</v>
      </c>
      <c r="E54" s="125"/>
      <c r="F54" s="128" t="s">
        <v>65</v>
      </c>
      <c r="G54" s="80">
        <v>422727273</v>
      </c>
      <c r="H54" s="80">
        <v>0</v>
      </c>
      <c r="I54" s="81">
        <v>5</v>
      </c>
      <c r="J54" s="82" t="s">
        <v>140</v>
      </c>
      <c r="K54" s="128" t="s">
        <v>65</v>
      </c>
      <c r="L54" s="80">
        <v>2250000000</v>
      </c>
      <c r="M54" s="80">
        <v>0</v>
      </c>
      <c r="N54" s="81">
        <v>5</v>
      </c>
      <c r="O54" s="82" t="s">
        <v>140</v>
      </c>
      <c r="P54" s="129"/>
    </row>
    <row r="55" spans="1:16">
      <c r="A55" s="126" t="s">
        <v>63</v>
      </c>
      <c r="B55" s="127" t="s">
        <v>73</v>
      </c>
      <c r="C55" s="125">
        <v>43800</v>
      </c>
      <c r="D55" s="125">
        <v>44165</v>
      </c>
      <c r="E55" s="125"/>
      <c r="F55" s="128" t="s">
        <v>65</v>
      </c>
      <c r="G55" s="80">
        <v>375000000</v>
      </c>
      <c r="H55" s="80">
        <v>0</v>
      </c>
      <c r="I55" s="81">
        <v>4.423</v>
      </c>
      <c r="J55" s="82" t="s">
        <v>140</v>
      </c>
      <c r="K55" s="128" t="s">
        <v>65</v>
      </c>
      <c r="L55" s="80">
        <v>2250000000</v>
      </c>
      <c r="M55" s="80">
        <v>0</v>
      </c>
      <c r="N55" s="81">
        <v>4.423</v>
      </c>
      <c r="O55" s="82" t="s">
        <v>140</v>
      </c>
      <c r="P55" s="129"/>
    </row>
    <row r="56" spans="1:16">
      <c r="A56" s="126" t="s">
        <v>63</v>
      </c>
      <c r="B56" s="127" t="s">
        <v>73</v>
      </c>
      <c r="C56" s="125">
        <v>44166</v>
      </c>
      <c r="D56" s="125">
        <v>44530</v>
      </c>
      <c r="E56" s="125"/>
      <c r="F56" s="128" t="s">
        <v>65</v>
      </c>
      <c r="G56" s="80">
        <v>375000000</v>
      </c>
      <c r="H56" s="80">
        <v>0</v>
      </c>
      <c r="I56" s="81">
        <v>5</v>
      </c>
      <c r="J56" s="82" t="s">
        <v>140</v>
      </c>
      <c r="K56" s="128" t="s">
        <v>65</v>
      </c>
      <c r="L56" s="80">
        <v>2250000000</v>
      </c>
      <c r="M56" s="80">
        <v>0</v>
      </c>
      <c r="N56" s="81">
        <v>5</v>
      </c>
      <c r="O56" s="82" t="s">
        <v>140</v>
      </c>
      <c r="P56" s="129"/>
    </row>
    <row r="57" spans="1:16">
      <c r="A57" s="126" t="s">
        <v>63</v>
      </c>
      <c r="B57" s="127" t="s">
        <v>73</v>
      </c>
      <c r="C57" s="125">
        <v>44531</v>
      </c>
      <c r="D57" s="125">
        <v>44895</v>
      </c>
      <c r="E57" s="125"/>
      <c r="F57" s="128" t="s">
        <v>65</v>
      </c>
      <c r="G57" s="80">
        <v>375000000</v>
      </c>
      <c r="H57" s="80">
        <v>0</v>
      </c>
      <c r="I57" s="81">
        <v>5</v>
      </c>
      <c r="J57" s="82" t="s">
        <v>140</v>
      </c>
      <c r="K57" s="128" t="s">
        <v>65</v>
      </c>
      <c r="L57" s="80">
        <v>2250000000</v>
      </c>
      <c r="M57" s="80">
        <v>0</v>
      </c>
      <c r="N57" s="81">
        <v>5</v>
      </c>
      <c r="O57" s="82" t="s">
        <v>140</v>
      </c>
      <c r="P57" s="129"/>
    </row>
    <row r="58" spans="1:16">
      <c r="A58" s="126" t="s">
        <v>63</v>
      </c>
      <c r="B58" s="127" t="s">
        <v>164</v>
      </c>
      <c r="C58" s="125">
        <v>43449</v>
      </c>
      <c r="D58" s="125">
        <v>43904</v>
      </c>
      <c r="E58" s="125"/>
      <c r="F58" s="128" t="s">
        <v>65</v>
      </c>
      <c r="G58" s="80">
        <v>225000000</v>
      </c>
      <c r="H58" s="80">
        <v>0</v>
      </c>
      <c r="I58" s="81">
        <v>16</v>
      </c>
      <c r="J58" s="82" t="s">
        <v>140</v>
      </c>
      <c r="K58" s="128" t="s">
        <v>65</v>
      </c>
      <c r="L58" s="80">
        <v>1250000000</v>
      </c>
      <c r="M58" s="80">
        <v>0</v>
      </c>
      <c r="N58" s="81">
        <v>16</v>
      </c>
      <c r="O58" s="82" t="s">
        <v>140</v>
      </c>
      <c r="P58" s="129"/>
    </row>
    <row r="59" spans="1:16">
      <c r="A59" s="126" t="s">
        <v>63</v>
      </c>
      <c r="B59" s="127" t="s">
        <v>164</v>
      </c>
      <c r="C59" s="125">
        <v>43905</v>
      </c>
      <c r="D59" s="125">
        <v>44195</v>
      </c>
      <c r="E59" s="125"/>
      <c r="F59" s="128" t="s">
        <v>65</v>
      </c>
      <c r="G59" s="80">
        <v>225000000</v>
      </c>
      <c r="H59" s="80">
        <v>0</v>
      </c>
      <c r="I59" s="81">
        <v>4.5</v>
      </c>
      <c r="J59" s="82" t="s">
        <v>140</v>
      </c>
      <c r="K59" s="128" t="s">
        <v>65</v>
      </c>
      <c r="L59" s="80">
        <v>1250000000</v>
      </c>
      <c r="M59" s="80">
        <v>0</v>
      </c>
      <c r="N59" s="81">
        <v>4.5</v>
      </c>
      <c r="O59" s="82" t="s">
        <v>140</v>
      </c>
      <c r="P59" s="129"/>
    </row>
    <row r="60" spans="1:16">
      <c r="A60" s="126" t="s">
        <v>63</v>
      </c>
      <c r="B60" s="127" t="s">
        <v>164</v>
      </c>
      <c r="C60" s="125">
        <v>44196</v>
      </c>
      <c r="D60" s="125">
        <v>44561</v>
      </c>
      <c r="E60" s="125"/>
      <c r="F60" s="128" t="s">
        <v>65</v>
      </c>
      <c r="G60" s="80">
        <v>225000000</v>
      </c>
      <c r="H60" s="80">
        <v>0</v>
      </c>
      <c r="I60" s="81">
        <v>4</v>
      </c>
      <c r="J60" s="82" t="s">
        <v>140</v>
      </c>
      <c r="K60" s="128" t="s">
        <v>65</v>
      </c>
      <c r="L60" s="80">
        <v>1250000000</v>
      </c>
      <c r="M60" s="80">
        <v>0</v>
      </c>
      <c r="N60" s="81">
        <v>4</v>
      </c>
      <c r="O60" s="82" t="s">
        <v>140</v>
      </c>
      <c r="P60" s="129"/>
    </row>
    <row r="61" spans="1:16">
      <c r="A61" s="126" t="s">
        <v>63</v>
      </c>
      <c r="B61" s="127" t="s">
        <v>164</v>
      </c>
      <c r="C61" s="125">
        <v>44561</v>
      </c>
      <c r="D61" s="125">
        <v>44926</v>
      </c>
      <c r="E61" s="125"/>
      <c r="F61" s="128" t="s">
        <v>65</v>
      </c>
      <c r="G61" s="80">
        <v>225000000</v>
      </c>
      <c r="H61" s="80">
        <v>0</v>
      </c>
      <c r="I61" s="81">
        <v>4</v>
      </c>
      <c r="J61" s="82" t="s">
        <v>140</v>
      </c>
      <c r="K61" s="128" t="s">
        <v>65</v>
      </c>
      <c r="L61" s="80">
        <v>1250000000</v>
      </c>
      <c r="M61" s="80">
        <v>0</v>
      </c>
      <c r="N61" s="81">
        <v>4</v>
      </c>
      <c r="O61" s="82" t="s">
        <v>140</v>
      </c>
      <c r="P61" s="129"/>
    </row>
    <row r="62" spans="1:16">
      <c r="A62" s="126" t="s">
        <v>63</v>
      </c>
      <c r="B62" s="127" t="s">
        <v>172</v>
      </c>
      <c r="C62" s="125">
        <v>43800</v>
      </c>
      <c r="D62" s="125">
        <v>44165</v>
      </c>
      <c r="E62" s="125"/>
      <c r="F62" s="128" t="s">
        <v>65</v>
      </c>
      <c r="G62" s="80">
        <v>105000000</v>
      </c>
      <c r="H62" s="80">
        <v>0</v>
      </c>
      <c r="I62" s="81">
        <v>8</v>
      </c>
      <c r="J62" s="82" t="s">
        <v>140</v>
      </c>
      <c r="K62" s="128" t="s">
        <v>65</v>
      </c>
      <c r="L62" s="80">
        <v>1500000000</v>
      </c>
      <c r="M62" s="80">
        <v>0</v>
      </c>
      <c r="N62" s="81">
        <v>8</v>
      </c>
      <c r="O62" s="82" t="s">
        <v>140</v>
      </c>
      <c r="P62" s="129"/>
    </row>
    <row r="63" spans="1:16">
      <c r="A63" s="126" t="s">
        <v>63</v>
      </c>
      <c r="B63" s="127" t="s">
        <v>172</v>
      </c>
      <c r="C63" s="153">
        <v>44166</v>
      </c>
      <c r="D63" s="153">
        <v>44530</v>
      </c>
      <c r="E63" s="153"/>
      <c r="F63" s="128" t="s">
        <v>65</v>
      </c>
      <c r="G63" s="80">
        <v>175000000</v>
      </c>
      <c r="H63" s="80">
        <v>0</v>
      </c>
      <c r="I63" s="81">
        <v>7.5</v>
      </c>
      <c r="J63" s="82" t="s">
        <v>140</v>
      </c>
      <c r="K63" s="128" t="s">
        <v>65</v>
      </c>
      <c r="L63" s="80">
        <v>1500000000</v>
      </c>
      <c r="M63" s="80">
        <v>0</v>
      </c>
      <c r="N63" s="81">
        <v>7.5</v>
      </c>
      <c r="O63" s="82" t="s">
        <v>140</v>
      </c>
      <c r="P63" s="129"/>
    </row>
    <row r="64" spans="1:16">
      <c r="A64" s="126" t="s">
        <v>63</v>
      </c>
      <c r="B64" s="127" t="s">
        <v>172</v>
      </c>
      <c r="C64" s="125">
        <v>44531</v>
      </c>
      <c r="D64" s="125">
        <v>44895</v>
      </c>
      <c r="E64" s="125"/>
      <c r="F64" s="128" t="s">
        <v>65</v>
      </c>
      <c r="G64" s="80">
        <v>175000000</v>
      </c>
      <c r="H64" s="80">
        <v>0</v>
      </c>
      <c r="I64" s="81">
        <v>7.5</v>
      </c>
      <c r="J64" s="82" t="s">
        <v>140</v>
      </c>
      <c r="K64" s="128" t="s">
        <v>65</v>
      </c>
      <c r="L64" s="80">
        <v>1500000000</v>
      </c>
      <c r="M64" s="80">
        <v>0</v>
      </c>
      <c r="N64" s="81">
        <v>7.5</v>
      </c>
      <c r="O64" s="82" t="s">
        <v>140</v>
      </c>
      <c r="P64" s="129"/>
    </row>
    <row r="65" spans="1:17">
      <c r="A65" s="126" t="s">
        <v>63</v>
      </c>
      <c r="B65" s="127" t="s">
        <v>74</v>
      </c>
      <c r="C65" s="125">
        <v>43800</v>
      </c>
      <c r="D65" s="125">
        <v>44165</v>
      </c>
      <c r="E65" s="125"/>
      <c r="F65" s="128" t="s">
        <v>65</v>
      </c>
      <c r="G65" s="80">
        <v>400000000</v>
      </c>
      <c r="H65" s="80">
        <v>0</v>
      </c>
      <c r="I65" s="81">
        <v>3.55</v>
      </c>
      <c r="J65" s="82" t="s">
        <v>140</v>
      </c>
      <c r="K65" s="128" t="s">
        <v>65</v>
      </c>
      <c r="L65" s="80">
        <v>2250000000</v>
      </c>
      <c r="M65" s="80">
        <v>0</v>
      </c>
      <c r="N65" s="81">
        <v>3.55</v>
      </c>
      <c r="O65" s="82" t="s">
        <v>140</v>
      </c>
      <c r="P65" s="129"/>
    </row>
    <row r="66" spans="1:17">
      <c r="A66" s="126" t="s">
        <v>63</v>
      </c>
      <c r="B66" s="127" t="s">
        <v>74</v>
      </c>
      <c r="C66" s="125">
        <v>44166</v>
      </c>
      <c r="D66" s="125">
        <v>44530</v>
      </c>
      <c r="E66" s="125"/>
      <c r="F66" s="128" t="s">
        <v>65</v>
      </c>
      <c r="G66" s="80">
        <v>400000000</v>
      </c>
      <c r="H66" s="80">
        <v>0</v>
      </c>
      <c r="I66" s="81">
        <v>4.5</v>
      </c>
      <c r="J66" s="82" t="s">
        <v>140</v>
      </c>
      <c r="K66" s="128" t="s">
        <v>65</v>
      </c>
      <c r="L66" s="80">
        <v>2250000000</v>
      </c>
      <c r="M66" s="80">
        <v>0</v>
      </c>
      <c r="N66" s="81">
        <v>4.5</v>
      </c>
      <c r="O66" s="82" t="s">
        <v>140</v>
      </c>
      <c r="P66" s="129"/>
    </row>
    <row r="67" spans="1:17">
      <c r="A67" s="126" t="s">
        <v>63</v>
      </c>
      <c r="B67" s="160" t="s">
        <v>74</v>
      </c>
      <c r="C67" s="125">
        <v>44531</v>
      </c>
      <c r="D67" s="125">
        <v>44895</v>
      </c>
      <c r="E67" s="125"/>
      <c r="F67" s="128" t="s">
        <v>65</v>
      </c>
      <c r="G67" s="80">
        <v>400000000</v>
      </c>
      <c r="H67" s="80">
        <v>0</v>
      </c>
      <c r="I67" s="81">
        <v>4.5</v>
      </c>
      <c r="J67" s="82" t="s">
        <v>140</v>
      </c>
      <c r="K67" s="128" t="s">
        <v>65</v>
      </c>
      <c r="L67" s="80">
        <v>2250000000</v>
      </c>
      <c r="M67" s="80">
        <v>0</v>
      </c>
      <c r="N67" s="81">
        <v>4.5</v>
      </c>
      <c r="O67" s="82" t="s">
        <v>140</v>
      </c>
      <c r="P67" s="129"/>
    </row>
    <row r="68" spans="1:17">
      <c r="A68" s="126" t="s">
        <v>63</v>
      </c>
      <c r="B68" s="160" t="s">
        <v>274</v>
      </c>
      <c r="C68" s="125">
        <v>43814</v>
      </c>
      <c r="D68" s="125">
        <v>44179</v>
      </c>
      <c r="E68" s="125"/>
      <c r="F68" s="128" t="s">
        <v>65</v>
      </c>
      <c r="G68" s="80">
        <v>350000000</v>
      </c>
      <c r="H68" s="80">
        <v>0</v>
      </c>
      <c r="I68" s="81">
        <v>10</v>
      </c>
      <c r="J68" s="82" t="s">
        <v>140</v>
      </c>
      <c r="K68" s="128" t="s">
        <v>65</v>
      </c>
      <c r="L68" s="80">
        <v>2250000000</v>
      </c>
      <c r="M68" s="80">
        <v>0</v>
      </c>
      <c r="N68" s="81">
        <v>10</v>
      </c>
      <c r="O68" s="82" t="s">
        <v>140</v>
      </c>
      <c r="P68" s="129"/>
    </row>
    <row r="69" spans="1:17">
      <c r="A69" s="126" t="s">
        <v>63</v>
      </c>
      <c r="B69" s="127" t="s">
        <v>321</v>
      </c>
      <c r="C69" s="125">
        <v>44180</v>
      </c>
      <c r="D69" s="125">
        <v>44544</v>
      </c>
      <c r="E69" s="125"/>
      <c r="F69" s="128" t="s">
        <v>65</v>
      </c>
      <c r="G69" s="80">
        <v>350000000</v>
      </c>
      <c r="H69" s="80">
        <v>0</v>
      </c>
      <c r="I69" s="81">
        <v>10</v>
      </c>
      <c r="J69" s="82" t="s">
        <v>140</v>
      </c>
      <c r="K69" s="128" t="s">
        <v>65</v>
      </c>
      <c r="L69" s="80">
        <v>2250000000</v>
      </c>
      <c r="M69" s="80">
        <v>0</v>
      </c>
      <c r="N69" s="81">
        <v>10</v>
      </c>
      <c r="O69" s="82" t="s">
        <v>140</v>
      </c>
      <c r="P69" s="129"/>
      <c r="Q69" s="161">
        <v>2</v>
      </c>
    </row>
    <row r="70" spans="1:17">
      <c r="A70" s="126" t="s">
        <v>63</v>
      </c>
      <c r="B70" s="127" t="s">
        <v>321</v>
      </c>
      <c r="C70" s="125" t="s">
        <v>310</v>
      </c>
      <c r="D70" s="125"/>
      <c r="E70" s="125"/>
      <c r="F70" s="128"/>
      <c r="G70" s="80"/>
      <c r="H70" s="80"/>
      <c r="I70" s="81"/>
      <c r="J70" s="82"/>
      <c r="K70" s="128"/>
      <c r="L70" s="80"/>
      <c r="M70" s="80"/>
      <c r="N70" s="81"/>
      <c r="O70" s="82"/>
      <c r="P70" s="129"/>
    </row>
    <row r="71" spans="1:17">
      <c r="A71" s="126" t="s">
        <v>63</v>
      </c>
      <c r="B71" s="127" t="s">
        <v>76</v>
      </c>
      <c r="C71" s="125">
        <v>43435</v>
      </c>
      <c r="D71" s="125">
        <v>43982</v>
      </c>
      <c r="E71" s="125"/>
      <c r="F71" s="128" t="s">
        <v>65</v>
      </c>
      <c r="G71" s="80">
        <v>305000000</v>
      </c>
      <c r="H71" s="80">
        <v>0</v>
      </c>
      <c r="I71" s="81">
        <v>7</v>
      </c>
      <c r="J71" s="82" t="s">
        <v>140</v>
      </c>
      <c r="K71" s="128" t="s">
        <v>65</v>
      </c>
      <c r="L71" s="80">
        <v>1750000000</v>
      </c>
      <c r="M71" s="80">
        <v>0</v>
      </c>
      <c r="N71" s="81">
        <v>7</v>
      </c>
      <c r="O71" s="82" t="s">
        <v>140</v>
      </c>
      <c r="P71" s="129"/>
    </row>
    <row r="72" spans="1:17">
      <c r="A72" s="126" t="s">
        <v>63</v>
      </c>
      <c r="B72" s="127" t="s">
        <v>76</v>
      </c>
      <c r="C72" s="125">
        <v>43435</v>
      </c>
      <c r="D72" s="125">
        <v>43982</v>
      </c>
      <c r="E72" s="125"/>
      <c r="F72" s="128" t="s">
        <v>65</v>
      </c>
      <c r="G72" s="80">
        <v>280000000</v>
      </c>
      <c r="H72" s="80">
        <v>25000000</v>
      </c>
      <c r="I72" s="81">
        <v>2.4491000000000001</v>
      </c>
      <c r="J72" s="82" t="s">
        <v>140</v>
      </c>
      <c r="K72" s="128" t="s">
        <v>65</v>
      </c>
      <c r="L72" s="80">
        <v>1725000000</v>
      </c>
      <c r="M72" s="80">
        <v>25000000</v>
      </c>
      <c r="N72" s="81">
        <v>2.4491000000000001</v>
      </c>
      <c r="O72" s="82" t="s">
        <v>140</v>
      </c>
      <c r="P72" s="129"/>
      <c r="Q72" s="161">
        <v>3</v>
      </c>
    </row>
    <row r="73" spans="1:17">
      <c r="A73" s="126" t="s">
        <v>63</v>
      </c>
      <c r="B73" s="127" t="s">
        <v>76</v>
      </c>
      <c r="C73" s="125">
        <v>43983</v>
      </c>
      <c r="D73" s="125">
        <v>44347</v>
      </c>
      <c r="E73" s="125"/>
      <c r="F73" s="128" t="s">
        <v>65</v>
      </c>
      <c r="G73" s="80">
        <v>305000000</v>
      </c>
      <c r="H73" s="80">
        <v>0</v>
      </c>
      <c r="I73" s="81">
        <v>6</v>
      </c>
      <c r="J73" s="82" t="s">
        <v>140</v>
      </c>
      <c r="K73" s="128" t="s">
        <v>65</v>
      </c>
      <c r="L73" s="80">
        <v>1750000000</v>
      </c>
      <c r="M73" s="80">
        <v>0</v>
      </c>
      <c r="N73" s="81">
        <v>6</v>
      </c>
      <c r="O73" s="82" t="s">
        <v>140</v>
      </c>
      <c r="P73" s="129"/>
      <c r="Q73" s="161">
        <v>4</v>
      </c>
    </row>
    <row r="74" spans="1:17">
      <c r="A74" s="126" t="s">
        <v>63</v>
      </c>
      <c r="B74" s="127" t="s">
        <v>76</v>
      </c>
      <c r="C74" s="125">
        <v>43983</v>
      </c>
      <c r="D74" s="125">
        <v>44347</v>
      </c>
      <c r="E74" s="125"/>
      <c r="F74" s="128" t="s">
        <v>65</v>
      </c>
      <c r="G74" s="80">
        <v>280000000</v>
      </c>
      <c r="H74" s="80">
        <v>25000000</v>
      </c>
      <c r="I74" s="81">
        <v>8.1</v>
      </c>
      <c r="J74" s="82" t="s">
        <v>140</v>
      </c>
      <c r="K74" s="128" t="s">
        <v>65</v>
      </c>
      <c r="L74" s="80">
        <v>1725000000</v>
      </c>
      <c r="M74" s="80">
        <v>25000000</v>
      </c>
      <c r="N74" s="81">
        <v>8.1</v>
      </c>
      <c r="O74" s="82" t="s">
        <v>140</v>
      </c>
      <c r="P74" s="129"/>
    </row>
    <row r="75" spans="1:17">
      <c r="A75" s="126" t="s">
        <v>63</v>
      </c>
      <c r="B75" s="127" t="s">
        <v>76</v>
      </c>
      <c r="C75" s="125">
        <v>44348</v>
      </c>
      <c r="D75" s="125">
        <v>44712</v>
      </c>
      <c r="E75" s="125"/>
      <c r="F75" s="128" t="s">
        <v>65</v>
      </c>
      <c r="G75" s="80">
        <v>305000000</v>
      </c>
      <c r="H75" s="80">
        <v>0</v>
      </c>
      <c r="I75" s="81">
        <v>6</v>
      </c>
      <c r="J75" s="82" t="s">
        <v>140</v>
      </c>
      <c r="K75" s="128" t="s">
        <v>65</v>
      </c>
      <c r="L75" s="80">
        <v>1750000000</v>
      </c>
      <c r="M75" s="80">
        <v>0</v>
      </c>
      <c r="N75" s="81">
        <v>6</v>
      </c>
      <c r="O75" s="82" t="s">
        <v>140</v>
      </c>
      <c r="P75" s="129"/>
    </row>
    <row r="76" spans="1:17">
      <c r="A76" s="126" t="s">
        <v>63</v>
      </c>
      <c r="B76" s="127" t="s">
        <v>76</v>
      </c>
      <c r="C76" s="125">
        <v>44348</v>
      </c>
      <c r="D76" s="125">
        <v>44712</v>
      </c>
      <c r="E76" s="125"/>
      <c r="F76" s="128" t="s">
        <v>65</v>
      </c>
      <c r="G76" s="80">
        <v>280000000</v>
      </c>
      <c r="H76" s="80">
        <v>25000000</v>
      </c>
      <c r="I76" s="81">
        <v>8.1</v>
      </c>
      <c r="J76" s="82" t="s">
        <v>140</v>
      </c>
      <c r="K76" s="128" t="s">
        <v>65</v>
      </c>
      <c r="L76" s="80">
        <v>1725000000</v>
      </c>
      <c r="M76" s="80">
        <v>25000000</v>
      </c>
      <c r="N76" s="81">
        <v>8.1</v>
      </c>
      <c r="O76" s="82" t="s">
        <v>140</v>
      </c>
      <c r="P76" s="129"/>
    </row>
    <row r="77" spans="1:17">
      <c r="A77" s="126" t="s">
        <v>63</v>
      </c>
      <c r="B77" s="127" t="s">
        <v>77</v>
      </c>
      <c r="C77" s="125">
        <v>43654</v>
      </c>
      <c r="D77" s="125">
        <v>44019</v>
      </c>
      <c r="E77" s="125"/>
      <c r="F77" s="128" t="s">
        <v>65</v>
      </c>
      <c r="G77" s="80">
        <v>350000000</v>
      </c>
      <c r="H77" s="80">
        <v>0</v>
      </c>
      <c r="I77" s="81">
        <v>16</v>
      </c>
      <c r="J77" s="82" t="s">
        <v>140</v>
      </c>
      <c r="K77" s="128" t="s">
        <v>65</v>
      </c>
      <c r="L77" s="80">
        <v>2250000000</v>
      </c>
      <c r="M77" s="80">
        <v>0</v>
      </c>
      <c r="N77" s="81">
        <v>16</v>
      </c>
      <c r="O77" s="82" t="s">
        <v>140</v>
      </c>
      <c r="P77" s="129"/>
    </row>
    <row r="78" spans="1:17">
      <c r="A78" s="126" t="s">
        <v>63</v>
      </c>
      <c r="B78" s="127" t="s">
        <v>77</v>
      </c>
      <c r="C78" s="125">
        <v>44020</v>
      </c>
      <c r="D78" s="125">
        <v>44384</v>
      </c>
      <c r="E78" s="125"/>
      <c r="F78" s="128" t="s">
        <v>65</v>
      </c>
      <c r="G78" s="80">
        <v>350000000</v>
      </c>
      <c r="H78" s="80">
        <v>0</v>
      </c>
      <c r="I78" s="81">
        <v>16</v>
      </c>
      <c r="J78" s="82" t="s">
        <v>140</v>
      </c>
      <c r="K78" s="128" t="s">
        <v>65</v>
      </c>
      <c r="L78" s="80">
        <v>2250000000</v>
      </c>
      <c r="M78" s="80">
        <v>0</v>
      </c>
      <c r="N78" s="81">
        <v>16</v>
      </c>
      <c r="O78" s="82" t="s">
        <v>140</v>
      </c>
      <c r="P78" s="129"/>
    </row>
    <row r="79" spans="1:17">
      <c r="A79" s="126" t="s">
        <v>63</v>
      </c>
      <c r="B79" s="127" t="s">
        <v>77</v>
      </c>
      <c r="C79" s="125">
        <v>44385</v>
      </c>
      <c r="D79" s="125">
        <v>44749</v>
      </c>
      <c r="E79" s="125"/>
      <c r="F79" s="128" t="s">
        <v>65</v>
      </c>
      <c r="G79" s="80">
        <v>350000000</v>
      </c>
      <c r="H79" s="80">
        <v>0</v>
      </c>
      <c r="I79" s="81">
        <v>15</v>
      </c>
      <c r="J79" s="82" t="s">
        <v>140</v>
      </c>
      <c r="K79" s="128" t="s">
        <v>65</v>
      </c>
      <c r="L79" s="80">
        <v>2250000000</v>
      </c>
      <c r="M79" s="80">
        <v>0</v>
      </c>
      <c r="N79" s="81">
        <v>15</v>
      </c>
      <c r="O79" s="82" t="s">
        <v>140</v>
      </c>
      <c r="P79" s="129"/>
    </row>
    <row r="80" spans="1:17">
      <c r="A80" s="126" t="s">
        <v>63</v>
      </c>
      <c r="B80" s="127" t="s">
        <v>78</v>
      </c>
      <c r="C80" s="125">
        <v>43784</v>
      </c>
      <c r="D80" s="125">
        <v>44149</v>
      </c>
      <c r="E80" s="125"/>
      <c r="F80" s="128" t="s">
        <v>65</v>
      </c>
      <c r="G80" s="80">
        <v>320000000</v>
      </c>
      <c r="H80" s="80">
        <v>0</v>
      </c>
      <c r="I80" s="81">
        <v>5</v>
      </c>
      <c r="J80" s="82" t="s">
        <v>140</v>
      </c>
      <c r="K80" s="128" t="s">
        <v>65</v>
      </c>
      <c r="L80" s="80">
        <v>2250000000</v>
      </c>
      <c r="M80" s="80">
        <v>0</v>
      </c>
      <c r="N80" s="81">
        <v>5</v>
      </c>
      <c r="O80" s="82" t="s">
        <v>140</v>
      </c>
      <c r="P80" s="129"/>
    </row>
    <row r="81" spans="1:17">
      <c r="A81" s="126" t="s">
        <v>63</v>
      </c>
      <c r="B81" s="127" t="s">
        <v>78</v>
      </c>
      <c r="C81" s="125">
        <v>44150</v>
      </c>
      <c r="D81" s="125">
        <v>44514</v>
      </c>
      <c r="E81" s="125"/>
      <c r="F81" s="128" t="s">
        <v>65</v>
      </c>
      <c r="G81" s="80">
        <v>320000000</v>
      </c>
      <c r="H81" s="80">
        <v>0</v>
      </c>
      <c r="I81" s="81">
        <v>5</v>
      </c>
      <c r="J81" s="82" t="s">
        <v>140</v>
      </c>
      <c r="K81" s="128" t="s">
        <v>65</v>
      </c>
      <c r="L81" s="80">
        <v>2250000000</v>
      </c>
      <c r="M81" s="80">
        <v>0</v>
      </c>
      <c r="N81" s="81">
        <v>5</v>
      </c>
      <c r="O81" s="82" t="s">
        <v>140</v>
      </c>
      <c r="P81" s="129"/>
    </row>
    <row r="82" spans="1:17">
      <c r="A82" s="126" t="s">
        <v>63</v>
      </c>
      <c r="B82" s="127" t="s">
        <v>78</v>
      </c>
      <c r="C82" s="125">
        <v>44515</v>
      </c>
      <c r="D82" s="125">
        <v>44879</v>
      </c>
      <c r="E82" s="125"/>
      <c r="F82" s="128" t="s">
        <v>65</v>
      </c>
      <c r="G82" s="80">
        <v>320000000</v>
      </c>
      <c r="H82" s="80">
        <v>0</v>
      </c>
      <c r="I82" s="81">
        <v>5</v>
      </c>
      <c r="J82" s="82" t="s">
        <v>140</v>
      </c>
      <c r="K82" s="128" t="s">
        <v>65</v>
      </c>
      <c r="L82" s="80">
        <v>2250000000</v>
      </c>
      <c r="M82" s="80">
        <v>0</v>
      </c>
      <c r="N82" s="81">
        <v>5</v>
      </c>
      <c r="O82" s="82" t="s">
        <v>140</v>
      </c>
      <c r="P82" s="129"/>
    </row>
    <row r="83" spans="1:17">
      <c r="A83" s="126" t="s">
        <v>63</v>
      </c>
      <c r="B83" s="127" t="s">
        <v>101</v>
      </c>
      <c r="C83" s="125">
        <v>43770</v>
      </c>
      <c r="D83" s="125">
        <v>44135</v>
      </c>
      <c r="E83" s="125"/>
      <c r="F83" s="128" t="s">
        <v>65</v>
      </c>
      <c r="G83" s="80">
        <v>275000000</v>
      </c>
      <c r="H83" s="80">
        <v>0</v>
      </c>
      <c r="I83" s="81">
        <v>5.25</v>
      </c>
      <c r="J83" s="82" t="s">
        <v>140</v>
      </c>
      <c r="K83" s="128" t="s">
        <v>65</v>
      </c>
      <c r="L83" s="80">
        <v>1000000000</v>
      </c>
      <c r="M83" s="80">
        <v>0</v>
      </c>
      <c r="N83" s="81">
        <v>5.25</v>
      </c>
      <c r="O83" s="82" t="s">
        <v>140</v>
      </c>
      <c r="P83" s="129"/>
    </row>
    <row r="84" spans="1:17">
      <c r="A84" s="126" t="s">
        <v>63</v>
      </c>
      <c r="B84" s="127" t="s">
        <v>101</v>
      </c>
      <c r="C84" s="125">
        <v>44136</v>
      </c>
      <c r="D84" s="125">
        <v>44500</v>
      </c>
      <c r="E84" s="125"/>
      <c r="F84" s="128" t="s">
        <v>65</v>
      </c>
      <c r="G84" s="80">
        <v>275000000</v>
      </c>
      <c r="H84" s="80">
        <v>0</v>
      </c>
      <c r="I84" s="81">
        <v>6</v>
      </c>
      <c r="J84" s="82" t="s">
        <v>140</v>
      </c>
      <c r="K84" s="128" t="s">
        <v>65</v>
      </c>
      <c r="L84" s="80">
        <v>1000000000</v>
      </c>
      <c r="M84" s="80">
        <v>0</v>
      </c>
      <c r="N84" s="81">
        <v>6</v>
      </c>
      <c r="O84" s="82" t="s">
        <v>140</v>
      </c>
      <c r="P84" s="129"/>
    </row>
    <row r="85" spans="1:17">
      <c r="A85" s="126" t="s">
        <v>63</v>
      </c>
      <c r="B85" s="127" t="s">
        <v>101</v>
      </c>
      <c r="C85" s="125">
        <v>44501</v>
      </c>
      <c r="D85" s="125">
        <v>44865</v>
      </c>
      <c r="E85" s="125"/>
      <c r="F85" s="128" t="s">
        <v>65</v>
      </c>
      <c r="G85" s="80">
        <v>275000000</v>
      </c>
      <c r="H85" s="80">
        <v>0</v>
      </c>
      <c r="I85" s="81">
        <v>6</v>
      </c>
      <c r="J85" s="82" t="s">
        <v>140</v>
      </c>
      <c r="K85" s="128" t="s">
        <v>65</v>
      </c>
      <c r="L85" s="80">
        <v>1000000000</v>
      </c>
      <c r="M85" s="80">
        <v>0</v>
      </c>
      <c r="N85" s="81">
        <v>6</v>
      </c>
      <c r="O85" s="82" t="s">
        <v>140</v>
      </c>
      <c r="P85" s="129"/>
      <c r="Q85" s="161">
        <v>5</v>
      </c>
    </row>
    <row r="86" spans="1:17">
      <c r="A86" s="126" t="s">
        <v>63</v>
      </c>
      <c r="B86" s="127" t="s">
        <v>311</v>
      </c>
      <c r="C86" s="125">
        <v>43586</v>
      </c>
      <c r="D86" s="125">
        <v>43951</v>
      </c>
      <c r="E86" s="125"/>
      <c r="F86" s="128" t="s">
        <v>65</v>
      </c>
      <c r="G86" s="80">
        <v>80000000</v>
      </c>
      <c r="H86" s="80">
        <v>0</v>
      </c>
      <c r="I86" s="81">
        <v>10</v>
      </c>
      <c r="J86" s="82" t="s">
        <v>140</v>
      </c>
      <c r="K86" s="128" t="s">
        <v>65</v>
      </c>
      <c r="L86" s="80">
        <v>1000000000</v>
      </c>
      <c r="M86" s="80">
        <v>0</v>
      </c>
      <c r="N86" s="81">
        <v>10</v>
      </c>
      <c r="O86" s="82" t="s">
        <v>140</v>
      </c>
      <c r="P86" s="129"/>
    </row>
    <row r="87" spans="1:17">
      <c r="A87" s="126" t="s">
        <v>63</v>
      </c>
      <c r="B87" s="127" t="s">
        <v>311</v>
      </c>
      <c r="C87" s="125">
        <v>43586</v>
      </c>
      <c r="D87" s="125">
        <v>43951</v>
      </c>
      <c r="E87" s="125"/>
      <c r="F87" s="128"/>
      <c r="G87" s="80"/>
      <c r="H87" s="80"/>
      <c r="I87" s="81"/>
      <c r="J87" s="82"/>
      <c r="K87" s="128" t="s">
        <v>65</v>
      </c>
      <c r="L87" s="80">
        <v>500000000</v>
      </c>
      <c r="M87" s="80">
        <v>1000000000</v>
      </c>
      <c r="N87" s="81">
        <v>38.5</v>
      </c>
      <c r="O87" s="82" t="s">
        <v>140</v>
      </c>
      <c r="P87" s="129"/>
    </row>
    <row r="88" spans="1:17">
      <c r="A88" s="126" t="s">
        <v>63</v>
      </c>
      <c r="B88" s="127" t="s">
        <v>311</v>
      </c>
      <c r="C88" s="125">
        <v>43952</v>
      </c>
      <c r="D88" s="125">
        <v>44316</v>
      </c>
      <c r="E88" s="125"/>
      <c r="F88" s="128" t="s">
        <v>65</v>
      </c>
      <c r="G88" s="80">
        <v>80000000</v>
      </c>
      <c r="H88" s="80">
        <v>0</v>
      </c>
      <c r="I88" s="81">
        <v>10</v>
      </c>
      <c r="J88" s="82" t="s">
        <v>140</v>
      </c>
      <c r="K88" s="128" t="s">
        <v>65</v>
      </c>
      <c r="L88" s="80">
        <v>1000000000</v>
      </c>
      <c r="M88" s="80">
        <v>0</v>
      </c>
      <c r="N88" s="81">
        <v>10</v>
      </c>
      <c r="O88" s="82" t="s">
        <v>140</v>
      </c>
      <c r="P88" s="129"/>
    </row>
    <row r="89" spans="1:17">
      <c r="A89" s="126" t="s">
        <v>63</v>
      </c>
      <c r="B89" s="127" t="s">
        <v>311</v>
      </c>
      <c r="C89" s="125">
        <v>43952</v>
      </c>
      <c r="D89" s="125">
        <v>44316</v>
      </c>
      <c r="E89" s="125"/>
      <c r="F89" s="128"/>
      <c r="G89" s="80"/>
      <c r="H89" s="80"/>
      <c r="I89" s="81"/>
      <c r="J89" s="82"/>
      <c r="K89" s="128" t="s">
        <v>65</v>
      </c>
      <c r="L89" s="80">
        <v>500000000</v>
      </c>
      <c r="M89" s="80">
        <v>1000000000</v>
      </c>
      <c r="N89" s="81">
        <v>30</v>
      </c>
      <c r="O89" s="82" t="s">
        <v>140</v>
      </c>
      <c r="P89" s="129"/>
    </row>
    <row r="90" spans="1:17">
      <c r="A90" s="126" t="s">
        <v>63</v>
      </c>
      <c r="B90" s="127" t="s">
        <v>311</v>
      </c>
      <c r="C90" s="125">
        <v>44317</v>
      </c>
      <c r="D90" s="125">
        <v>44681</v>
      </c>
      <c r="E90" s="125"/>
      <c r="F90" s="128" t="s">
        <v>65</v>
      </c>
      <c r="G90" s="80">
        <v>115000000</v>
      </c>
      <c r="H90" s="80">
        <v>0</v>
      </c>
      <c r="I90" s="81">
        <v>10</v>
      </c>
      <c r="J90" s="82" t="s">
        <v>140</v>
      </c>
      <c r="K90" s="128" t="s">
        <v>65</v>
      </c>
      <c r="L90" s="80">
        <v>1000000000</v>
      </c>
      <c r="M90" s="80">
        <v>0</v>
      </c>
      <c r="N90" s="81">
        <v>10</v>
      </c>
      <c r="O90" s="82" t="s">
        <v>140</v>
      </c>
      <c r="P90" s="129"/>
    </row>
    <row r="91" spans="1:17">
      <c r="A91" s="126" t="s">
        <v>63</v>
      </c>
      <c r="B91" s="127" t="s">
        <v>311</v>
      </c>
      <c r="C91" s="125">
        <v>44317</v>
      </c>
      <c r="D91" s="125">
        <v>44681</v>
      </c>
      <c r="E91" s="125"/>
      <c r="F91" s="128"/>
      <c r="G91" s="80"/>
      <c r="H91" s="80"/>
      <c r="I91" s="81"/>
      <c r="J91" s="82"/>
      <c r="K91" s="128" t="s">
        <v>65</v>
      </c>
      <c r="L91" s="80">
        <v>500000000</v>
      </c>
      <c r="M91" s="80">
        <v>1000000000</v>
      </c>
      <c r="N91" s="81">
        <v>19.5</v>
      </c>
      <c r="O91" s="82" t="s">
        <v>140</v>
      </c>
      <c r="P91" s="129"/>
    </row>
    <row r="92" spans="1:17">
      <c r="A92" s="126" t="s">
        <v>63</v>
      </c>
      <c r="B92" s="127" t="s">
        <v>80</v>
      </c>
      <c r="C92" s="125">
        <v>43815</v>
      </c>
      <c r="D92" s="125">
        <v>44377</v>
      </c>
      <c r="E92" s="125"/>
      <c r="F92" s="128" t="s">
        <v>65</v>
      </c>
      <c r="G92" s="80">
        <v>250000000</v>
      </c>
      <c r="H92" s="80">
        <v>0</v>
      </c>
      <c r="I92" s="81">
        <v>12.5</v>
      </c>
      <c r="J92" s="82" t="s">
        <v>140</v>
      </c>
      <c r="K92" s="128" t="s">
        <v>65</v>
      </c>
      <c r="L92" s="80">
        <v>1250000000</v>
      </c>
      <c r="M92" s="80">
        <v>0</v>
      </c>
      <c r="N92" s="81">
        <v>12.5</v>
      </c>
      <c r="O92" s="82" t="s">
        <v>140</v>
      </c>
      <c r="P92" s="129"/>
      <c r="Q92" s="161">
        <v>6</v>
      </c>
    </row>
    <row r="93" spans="1:17">
      <c r="A93" s="126" t="s">
        <v>63</v>
      </c>
      <c r="B93" s="127" t="s">
        <v>80</v>
      </c>
      <c r="C93" s="125">
        <v>44377</v>
      </c>
      <c r="D93" s="125">
        <v>44742</v>
      </c>
      <c r="E93" s="125" t="s">
        <v>34</v>
      </c>
      <c r="F93" s="128" t="s">
        <v>65</v>
      </c>
      <c r="G93" s="80">
        <v>250000000</v>
      </c>
      <c r="H93" s="80">
        <v>0</v>
      </c>
      <c r="I93" s="81">
        <v>12.5</v>
      </c>
      <c r="J93" s="82" t="s">
        <v>140</v>
      </c>
      <c r="K93" s="128" t="s">
        <v>65</v>
      </c>
      <c r="L93" s="80">
        <v>1250000000</v>
      </c>
      <c r="M93" s="80">
        <v>0</v>
      </c>
      <c r="N93" s="81">
        <v>12.5</v>
      </c>
      <c r="O93" s="82" t="s">
        <v>140</v>
      </c>
      <c r="P93" s="129"/>
    </row>
    <row r="94" spans="1:17">
      <c r="A94" s="126" t="s">
        <v>63</v>
      </c>
      <c r="B94" s="127" t="s">
        <v>80</v>
      </c>
      <c r="C94" s="125"/>
      <c r="D94" s="125"/>
      <c r="E94" s="125"/>
      <c r="F94" s="128"/>
      <c r="G94" s="80"/>
      <c r="H94" s="80"/>
      <c r="I94" s="81"/>
      <c r="J94" s="82"/>
      <c r="K94" s="128"/>
      <c r="L94" s="80"/>
      <c r="M94" s="80"/>
      <c r="N94" s="81"/>
      <c r="O94" s="82"/>
      <c r="P94" s="129"/>
    </row>
    <row r="95" spans="1:17">
      <c r="A95" s="126" t="s">
        <v>63</v>
      </c>
      <c r="B95" s="127" t="s">
        <v>81</v>
      </c>
      <c r="C95" s="125">
        <v>43829</v>
      </c>
      <c r="D95" s="125">
        <v>44286</v>
      </c>
      <c r="E95" s="125"/>
      <c r="F95" s="128" t="s">
        <v>65</v>
      </c>
      <c r="G95" s="80">
        <v>280000000</v>
      </c>
      <c r="H95" s="80">
        <v>0</v>
      </c>
      <c r="I95" s="81">
        <v>17</v>
      </c>
      <c r="J95" s="82" t="s">
        <v>140</v>
      </c>
      <c r="K95" s="128" t="s">
        <v>65</v>
      </c>
      <c r="L95" s="80">
        <v>2000000000</v>
      </c>
      <c r="M95" s="80">
        <v>0</v>
      </c>
      <c r="N95" s="81">
        <v>17</v>
      </c>
      <c r="O95" s="82" t="s">
        <v>140</v>
      </c>
      <c r="P95" s="129"/>
    </row>
    <row r="96" spans="1:17">
      <c r="A96" s="126" t="s">
        <v>63</v>
      </c>
      <c r="B96" s="127" t="s">
        <v>81</v>
      </c>
      <c r="C96" s="125" t="s">
        <v>310</v>
      </c>
      <c r="D96" s="125"/>
      <c r="E96" s="125"/>
      <c r="F96" s="128"/>
      <c r="G96" s="80"/>
      <c r="H96" s="80"/>
      <c r="I96" s="81"/>
      <c r="J96" s="82"/>
      <c r="K96" s="128"/>
      <c r="L96" s="80"/>
      <c r="M96" s="80"/>
      <c r="N96" s="81"/>
      <c r="O96" s="82"/>
      <c r="P96" s="129"/>
    </row>
    <row r="97" spans="1:17">
      <c r="A97" s="126" t="s">
        <v>63</v>
      </c>
      <c r="B97" s="127" t="s">
        <v>81</v>
      </c>
      <c r="C97" s="125"/>
      <c r="D97" s="125"/>
      <c r="E97" s="125"/>
      <c r="F97" s="128"/>
      <c r="G97" s="80"/>
      <c r="H97" s="80"/>
      <c r="I97" s="81"/>
      <c r="J97" s="82"/>
      <c r="K97" s="128"/>
      <c r="L97" s="80"/>
      <c r="M97" s="80"/>
      <c r="N97" s="81"/>
      <c r="O97" s="82"/>
      <c r="P97" s="129"/>
    </row>
    <row r="98" spans="1:17">
      <c r="A98" s="126" t="s">
        <v>63</v>
      </c>
      <c r="B98" s="127" t="s">
        <v>153</v>
      </c>
      <c r="C98" s="125">
        <v>43785</v>
      </c>
      <c r="D98" s="125">
        <v>44150</v>
      </c>
      <c r="E98" s="125"/>
      <c r="F98" s="128" t="s">
        <v>65</v>
      </c>
      <c r="G98" s="80">
        <v>450000000</v>
      </c>
      <c r="H98" s="80">
        <v>0</v>
      </c>
      <c r="I98" s="81">
        <v>5.25</v>
      </c>
      <c r="J98" s="82" t="s">
        <v>140</v>
      </c>
      <c r="K98" s="128" t="s">
        <v>65</v>
      </c>
      <c r="L98" s="80">
        <v>2250000000</v>
      </c>
      <c r="M98" s="80">
        <v>0</v>
      </c>
      <c r="N98" s="81">
        <v>5.25</v>
      </c>
      <c r="O98" s="82" t="s">
        <v>140</v>
      </c>
      <c r="P98" s="129"/>
    </row>
    <row r="99" spans="1:17">
      <c r="A99" s="126" t="s">
        <v>63</v>
      </c>
      <c r="B99" s="127" t="s">
        <v>153</v>
      </c>
      <c r="C99" s="125">
        <v>44151</v>
      </c>
      <c r="D99" s="125">
        <v>44515</v>
      </c>
      <c r="E99" s="125"/>
      <c r="F99" s="128" t="s">
        <v>65</v>
      </c>
      <c r="G99" s="80">
        <v>450000000</v>
      </c>
      <c r="H99" s="80">
        <v>0</v>
      </c>
      <c r="I99" s="81">
        <v>4.25</v>
      </c>
      <c r="J99" s="82" t="s">
        <v>140</v>
      </c>
      <c r="K99" s="128" t="s">
        <v>65</v>
      </c>
      <c r="L99" s="80">
        <v>2250000000</v>
      </c>
      <c r="M99" s="80">
        <v>0</v>
      </c>
      <c r="N99" s="81">
        <v>4.25</v>
      </c>
      <c r="O99" s="82" t="s">
        <v>140</v>
      </c>
      <c r="P99" s="129"/>
    </row>
    <row r="100" spans="1:17">
      <c r="A100" s="126" t="s">
        <v>63</v>
      </c>
      <c r="B100" s="127" t="s">
        <v>153</v>
      </c>
      <c r="C100" s="125">
        <v>44516</v>
      </c>
      <c r="D100" s="125">
        <v>44880</v>
      </c>
      <c r="E100" s="125"/>
      <c r="F100" s="128" t="s">
        <v>65</v>
      </c>
      <c r="G100" s="80">
        <v>450000000</v>
      </c>
      <c r="H100" s="80">
        <v>0</v>
      </c>
      <c r="I100" s="81">
        <v>4.25</v>
      </c>
      <c r="J100" s="82" t="s">
        <v>140</v>
      </c>
      <c r="K100" s="128" t="s">
        <v>65</v>
      </c>
      <c r="L100" s="80">
        <v>2250000000</v>
      </c>
      <c r="M100" s="80">
        <v>0</v>
      </c>
      <c r="N100" s="81">
        <v>4.25</v>
      </c>
      <c r="O100" s="82" t="s">
        <v>140</v>
      </c>
      <c r="P100" s="129"/>
    </row>
    <row r="101" spans="1:17">
      <c r="A101" s="126" t="s">
        <v>63</v>
      </c>
      <c r="B101" s="127" t="s">
        <v>160</v>
      </c>
      <c r="C101" s="125">
        <v>43820</v>
      </c>
      <c r="D101" s="125">
        <v>44185</v>
      </c>
      <c r="E101" s="125"/>
      <c r="F101" s="128" t="s">
        <v>65</v>
      </c>
      <c r="G101" s="80">
        <v>250000000</v>
      </c>
      <c r="H101" s="80">
        <v>0</v>
      </c>
      <c r="I101" s="81">
        <v>4.5</v>
      </c>
      <c r="J101" s="82" t="s">
        <v>140</v>
      </c>
      <c r="K101" s="128" t="s">
        <v>65</v>
      </c>
      <c r="L101" s="80">
        <v>1500000000</v>
      </c>
      <c r="M101" s="80">
        <v>0</v>
      </c>
      <c r="N101" s="81">
        <v>4.5</v>
      </c>
      <c r="O101" s="82" t="s">
        <v>140</v>
      </c>
      <c r="P101" s="129"/>
    </row>
    <row r="102" spans="1:17">
      <c r="A102" s="126" t="s">
        <v>63</v>
      </c>
      <c r="B102" s="127" t="s">
        <v>160</v>
      </c>
      <c r="C102" s="125">
        <v>44186</v>
      </c>
      <c r="D102" s="125">
        <v>44550</v>
      </c>
      <c r="E102" s="125"/>
      <c r="F102" s="128" t="s">
        <v>65</v>
      </c>
      <c r="G102" s="80">
        <v>250000000</v>
      </c>
      <c r="H102" s="80">
        <v>0</v>
      </c>
      <c r="I102" s="81">
        <v>4.5</v>
      </c>
      <c r="J102" s="82" t="s">
        <v>140</v>
      </c>
      <c r="K102" s="128" t="s">
        <v>65</v>
      </c>
      <c r="L102" s="80">
        <v>1500000000</v>
      </c>
      <c r="M102" s="80">
        <v>0</v>
      </c>
      <c r="N102" s="81">
        <v>4.5</v>
      </c>
      <c r="O102" s="82" t="s">
        <v>140</v>
      </c>
      <c r="P102" s="129"/>
    </row>
    <row r="103" spans="1:17">
      <c r="A103" s="126" t="s">
        <v>63</v>
      </c>
      <c r="B103" s="127" t="s">
        <v>160</v>
      </c>
      <c r="C103" s="125">
        <v>44551</v>
      </c>
      <c r="D103" s="125">
        <v>44915</v>
      </c>
      <c r="E103" s="125"/>
      <c r="F103" s="128" t="s">
        <v>65</v>
      </c>
      <c r="G103" s="80">
        <v>275000000</v>
      </c>
      <c r="H103" s="80">
        <v>0</v>
      </c>
      <c r="I103" s="81">
        <v>4.43</v>
      </c>
      <c r="J103" s="82" t="s">
        <v>140</v>
      </c>
      <c r="K103" s="128" t="s">
        <v>65</v>
      </c>
      <c r="L103" s="80">
        <v>1500000000</v>
      </c>
      <c r="M103" s="80">
        <v>0</v>
      </c>
      <c r="N103" s="81">
        <v>4.43</v>
      </c>
      <c r="O103" s="82" t="s">
        <v>140</v>
      </c>
      <c r="P103" s="129"/>
      <c r="Q103" s="161">
        <v>7</v>
      </c>
    </row>
    <row r="104" spans="1:17">
      <c r="A104" s="126" t="s">
        <v>63</v>
      </c>
      <c r="B104" s="127" t="s">
        <v>154</v>
      </c>
      <c r="C104" s="125">
        <v>43511</v>
      </c>
      <c r="D104" s="125">
        <v>44027</v>
      </c>
      <c r="E104" s="125"/>
      <c r="F104" s="128" t="s">
        <v>65</v>
      </c>
      <c r="G104" s="80">
        <v>450000000</v>
      </c>
      <c r="H104" s="80">
        <v>0</v>
      </c>
      <c r="I104" s="81">
        <v>2</v>
      </c>
      <c r="J104" s="82" t="s">
        <v>140</v>
      </c>
      <c r="K104" s="128" t="s">
        <v>65</v>
      </c>
      <c r="L104" s="80">
        <v>2250000000</v>
      </c>
      <c r="M104" s="80">
        <v>0</v>
      </c>
      <c r="N104" s="81">
        <v>2</v>
      </c>
      <c r="O104" s="82" t="s">
        <v>140</v>
      </c>
      <c r="P104" s="129"/>
    </row>
    <row r="105" spans="1:17">
      <c r="A105" s="126" t="s">
        <v>63</v>
      </c>
      <c r="B105" s="127" t="s">
        <v>154</v>
      </c>
      <c r="C105" s="125" t="s">
        <v>310</v>
      </c>
      <c r="D105" s="125"/>
      <c r="E105" s="125"/>
      <c r="F105" s="128"/>
      <c r="G105" s="80"/>
      <c r="H105" s="80"/>
      <c r="I105" s="81"/>
      <c r="J105" s="82"/>
      <c r="K105" s="128"/>
      <c r="L105" s="80"/>
      <c r="M105" s="80"/>
      <c r="N105" s="81"/>
      <c r="O105" s="82"/>
      <c r="P105" s="129"/>
    </row>
    <row r="106" spans="1:17">
      <c r="A106" s="126" t="s">
        <v>63</v>
      </c>
      <c r="B106" s="127" t="s">
        <v>154</v>
      </c>
      <c r="C106" s="125"/>
      <c r="D106" s="125"/>
      <c r="E106" s="125"/>
      <c r="F106" s="128"/>
      <c r="G106" s="80"/>
      <c r="H106" s="80"/>
      <c r="I106" s="81"/>
      <c r="J106" s="82"/>
      <c r="K106" s="128"/>
      <c r="L106" s="80"/>
      <c r="M106" s="80"/>
      <c r="N106" s="81"/>
      <c r="O106" s="82"/>
      <c r="P106" s="129"/>
    </row>
    <row r="107" spans="1:17" ht="13.5" customHeight="1">
      <c r="A107" s="126" t="s">
        <v>63</v>
      </c>
      <c r="B107" s="127" t="s">
        <v>82</v>
      </c>
      <c r="C107" s="125">
        <v>43617</v>
      </c>
      <c r="D107" s="125">
        <v>43982</v>
      </c>
      <c r="E107" s="125"/>
      <c r="F107" s="128" t="s">
        <v>65</v>
      </c>
      <c r="G107" s="80">
        <v>275000000</v>
      </c>
      <c r="H107" s="80">
        <v>0</v>
      </c>
      <c r="I107" s="81">
        <v>15.45</v>
      </c>
      <c r="J107" s="82" t="s">
        <v>140</v>
      </c>
      <c r="K107" s="128" t="s">
        <v>65</v>
      </c>
      <c r="L107" s="80">
        <v>2000000000</v>
      </c>
      <c r="M107" s="80">
        <v>0</v>
      </c>
      <c r="N107" s="81">
        <v>15.45</v>
      </c>
      <c r="O107" s="82" t="s">
        <v>140</v>
      </c>
      <c r="P107" s="129"/>
    </row>
    <row r="108" spans="1:17">
      <c r="A108" s="126" t="s">
        <v>63</v>
      </c>
      <c r="B108" s="127" t="s">
        <v>82</v>
      </c>
      <c r="C108" s="125">
        <v>43617</v>
      </c>
      <c r="D108" s="125">
        <v>43982</v>
      </c>
      <c r="E108" s="125"/>
      <c r="F108" s="128" t="s">
        <v>65</v>
      </c>
      <c r="G108" s="80">
        <v>225000000</v>
      </c>
      <c r="H108" s="80">
        <v>50000000</v>
      </c>
      <c r="I108" s="81">
        <v>2</v>
      </c>
      <c r="J108" s="82" t="s">
        <v>140</v>
      </c>
      <c r="K108" s="128" t="s">
        <v>65</v>
      </c>
      <c r="L108" s="80">
        <v>1950000000</v>
      </c>
      <c r="M108" s="80">
        <v>50000000</v>
      </c>
      <c r="N108" s="81">
        <v>2</v>
      </c>
      <c r="O108" s="82" t="s">
        <v>140</v>
      </c>
      <c r="P108" s="129"/>
      <c r="Q108" s="161">
        <v>8</v>
      </c>
    </row>
    <row r="109" spans="1:17">
      <c r="A109" s="126" t="s">
        <v>63</v>
      </c>
      <c r="B109" s="127" t="s">
        <v>82</v>
      </c>
      <c r="C109" s="125">
        <v>43983</v>
      </c>
      <c r="D109" s="125">
        <v>44347</v>
      </c>
      <c r="E109" s="125"/>
      <c r="F109" s="128" t="s">
        <v>65</v>
      </c>
      <c r="G109" s="80">
        <v>275000000</v>
      </c>
      <c r="H109" s="80">
        <v>0</v>
      </c>
      <c r="I109" s="81">
        <v>15</v>
      </c>
      <c r="J109" s="82" t="s">
        <v>140</v>
      </c>
      <c r="K109" s="128" t="s">
        <v>65</v>
      </c>
      <c r="L109" s="80">
        <v>2000000000</v>
      </c>
      <c r="M109" s="80">
        <v>0</v>
      </c>
      <c r="N109" s="81">
        <v>15</v>
      </c>
      <c r="O109" s="82" t="s">
        <v>140</v>
      </c>
      <c r="P109" s="129"/>
    </row>
    <row r="110" spans="1:17">
      <c r="A110" s="126" t="s">
        <v>63</v>
      </c>
      <c r="B110" s="127" t="s">
        <v>82</v>
      </c>
      <c r="C110" s="125">
        <v>43983</v>
      </c>
      <c r="D110" s="125">
        <v>44347</v>
      </c>
      <c r="E110" s="125"/>
      <c r="F110" s="128" t="s">
        <v>65</v>
      </c>
      <c r="G110" s="80">
        <v>225000000</v>
      </c>
      <c r="H110" s="80">
        <v>50000000</v>
      </c>
      <c r="I110" s="81">
        <v>2</v>
      </c>
      <c r="J110" s="82" t="s">
        <v>140</v>
      </c>
      <c r="K110" s="128" t="s">
        <v>65</v>
      </c>
      <c r="L110" s="80">
        <v>1950000000</v>
      </c>
      <c r="M110" s="80">
        <v>50000000</v>
      </c>
      <c r="N110" s="81">
        <v>2</v>
      </c>
      <c r="O110" s="82" t="s">
        <v>140</v>
      </c>
      <c r="P110" s="129"/>
      <c r="Q110" s="161">
        <v>9</v>
      </c>
    </row>
    <row r="111" spans="1:17">
      <c r="A111" s="126" t="s">
        <v>63</v>
      </c>
      <c r="B111" s="127" t="s">
        <v>82</v>
      </c>
      <c r="C111" s="125" t="s">
        <v>310</v>
      </c>
      <c r="D111" s="125"/>
      <c r="E111" s="125"/>
      <c r="F111" s="128"/>
      <c r="G111" s="80"/>
      <c r="H111" s="80"/>
      <c r="I111" s="81"/>
      <c r="J111" s="82"/>
      <c r="K111" s="128"/>
      <c r="L111" s="80"/>
      <c r="M111" s="80"/>
      <c r="N111" s="81"/>
      <c r="O111" s="82"/>
      <c r="P111" s="129"/>
    </row>
    <row r="112" spans="1:17">
      <c r="A112" s="126" t="s">
        <v>63</v>
      </c>
      <c r="B112" s="127" t="s">
        <v>82</v>
      </c>
      <c r="C112" s="125"/>
      <c r="D112" s="125"/>
      <c r="E112" s="125"/>
      <c r="F112" s="128"/>
      <c r="G112" s="80"/>
      <c r="H112" s="80"/>
      <c r="I112" s="81"/>
      <c r="J112" s="82"/>
      <c r="K112" s="128"/>
      <c r="L112" s="80"/>
      <c r="M112" s="80"/>
      <c r="N112" s="81"/>
      <c r="O112" s="82"/>
      <c r="P112" s="129"/>
    </row>
    <row r="113" spans="1:16">
      <c r="A113" s="126" t="s">
        <v>63</v>
      </c>
      <c r="B113" s="127" t="s">
        <v>165</v>
      </c>
      <c r="C113" s="125">
        <v>43800</v>
      </c>
      <c r="D113" s="125">
        <v>44165</v>
      </c>
      <c r="E113" s="125"/>
      <c r="F113" s="128" t="s">
        <v>65</v>
      </c>
      <c r="G113" s="80">
        <v>250000000</v>
      </c>
      <c r="H113" s="80">
        <v>0</v>
      </c>
      <c r="I113" s="81">
        <v>9.5</v>
      </c>
      <c r="J113" s="82" t="s">
        <v>140</v>
      </c>
      <c r="K113" s="128" t="s">
        <v>65</v>
      </c>
      <c r="L113" s="80">
        <v>1500000000</v>
      </c>
      <c r="M113" s="80">
        <v>0</v>
      </c>
      <c r="N113" s="81">
        <v>9.5</v>
      </c>
      <c r="O113" s="82" t="s">
        <v>140</v>
      </c>
      <c r="P113" s="129"/>
    </row>
    <row r="114" spans="1:16">
      <c r="A114" s="126" t="s">
        <v>63</v>
      </c>
      <c r="B114" s="127" t="s">
        <v>165</v>
      </c>
      <c r="C114" s="125">
        <v>44166</v>
      </c>
      <c r="D114" s="125">
        <v>44530</v>
      </c>
      <c r="E114" s="125"/>
      <c r="F114" s="128" t="s">
        <v>65</v>
      </c>
      <c r="G114" s="80">
        <v>250000000</v>
      </c>
      <c r="H114" s="80">
        <v>0</v>
      </c>
      <c r="I114" s="81">
        <v>9.5</v>
      </c>
      <c r="J114" s="82" t="s">
        <v>140</v>
      </c>
      <c r="K114" s="128" t="s">
        <v>65</v>
      </c>
      <c r="L114" s="80">
        <v>1500000000</v>
      </c>
      <c r="M114" s="80">
        <v>0</v>
      </c>
      <c r="N114" s="81">
        <v>9.5</v>
      </c>
      <c r="O114" s="82" t="s">
        <v>140</v>
      </c>
      <c r="P114" s="129"/>
    </row>
    <row r="115" spans="1:16">
      <c r="A115" s="126" t="s">
        <v>63</v>
      </c>
      <c r="B115" s="127" t="s">
        <v>165</v>
      </c>
      <c r="C115" s="125">
        <v>44531</v>
      </c>
      <c r="D115" s="125">
        <v>44895</v>
      </c>
      <c r="E115" s="125"/>
      <c r="F115" s="128" t="s">
        <v>65</v>
      </c>
      <c r="G115" s="80">
        <v>250000000</v>
      </c>
      <c r="H115" s="80">
        <v>0</v>
      </c>
      <c r="I115" s="81">
        <v>9.5</v>
      </c>
      <c r="J115" s="82" t="s">
        <v>140</v>
      </c>
      <c r="K115" s="128" t="s">
        <v>65</v>
      </c>
      <c r="L115" s="80">
        <v>1500000000</v>
      </c>
      <c r="M115" s="80">
        <v>0</v>
      </c>
      <c r="N115" s="81">
        <v>9.5</v>
      </c>
      <c r="O115" s="82" t="s">
        <v>140</v>
      </c>
      <c r="P115" s="129"/>
    </row>
    <row r="116" spans="1:16">
      <c r="A116" s="126" t="s">
        <v>63</v>
      </c>
      <c r="B116" s="127" t="s">
        <v>2</v>
      </c>
      <c r="C116" s="125">
        <v>43800</v>
      </c>
      <c r="D116" s="125">
        <v>44165</v>
      </c>
      <c r="E116" s="125"/>
      <c r="F116" s="128" t="s">
        <v>65</v>
      </c>
      <c r="G116" s="80">
        <v>275000000</v>
      </c>
      <c r="H116" s="80">
        <v>0</v>
      </c>
      <c r="I116" s="81">
        <v>14.25</v>
      </c>
      <c r="J116" s="82" t="s">
        <v>140</v>
      </c>
      <c r="K116" s="128" t="s">
        <v>65</v>
      </c>
      <c r="L116" s="80">
        <v>1750000000</v>
      </c>
      <c r="M116" s="80">
        <v>0</v>
      </c>
      <c r="N116" s="81">
        <v>14.25</v>
      </c>
      <c r="O116" s="82" t="s">
        <v>140</v>
      </c>
      <c r="P116" s="129"/>
    </row>
    <row r="117" spans="1:16">
      <c r="A117" s="126" t="s">
        <v>63</v>
      </c>
      <c r="B117" s="127" t="s">
        <v>2</v>
      </c>
      <c r="C117" s="153">
        <v>44166</v>
      </c>
      <c r="D117" s="153">
        <v>44530</v>
      </c>
      <c r="E117" s="153"/>
      <c r="F117" s="128" t="s">
        <v>65</v>
      </c>
      <c r="G117" s="80">
        <v>275000000</v>
      </c>
      <c r="H117" s="80">
        <v>0</v>
      </c>
      <c r="I117" s="81">
        <v>15</v>
      </c>
      <c r="J117" s="82" t="s">
        <v>140</v>
      </c>
      <c r="K117" s="128" t="s">
        <v>65</v>
      </c>
      <c r="L117" s="80">
        <v>1750000000</v>
      </c>
      <c r="M117" s="80">
        <v>0</v>
      </c>
      <c r="N117" s="81">
        <v>15</v>
      </c>
      <c r="O117" s="82" t="s">
        <v>140</v>
      </c>
      <c r="P117" s="129"/>
    </row>
    <row r="118" spans="1:16">
      <c r="A118" s="126" t="s">
        <v>63</v>
      </c>
      <c r="B118" s="127" t="s">
        <v>2</v>
      </c>
      <c r="C118" s="125">
        <v>44531</v>
      </c>
      <c r="D118" s="125">
        <v>44895</v>
      </c>
      <c r="E118" s="125"/>
      <c r="F118" s="128" t="s">
        <v>65</v>
      </c>
      <c r="G118" s="80">
        <v>275000000</v>
      </c>
      <c r="H118" s="80">
        <v>0</v>
      </c>
      <c r="I118" s="81">
        <v>15</v>
      </c>
      <c r="J118" s="82" t="s">
        <v>140</v>
      </c>
      <c r="K118" s="128" t="s">
        <v>65</v>
      </c>
      <c r="L118" s="80">
        <v>1750000000</v>
      </c>
      <c r="M118" s="80">
        <v>0</v>
      </c>
      <c r="N118" s="81">
        <v>15</v>
      </c>
      <c r="O118" s="82" t="s">
        <v>140</v>
      </c>
      <c r="P118" s="129"/>
    </row>
    <row r="119" spans="1:16">
      <c r="A119" s="126" t="s">
        <v>63</v>
      </c>
      <c r="B119" s="127" t="s">
        <v>83</v>
      </c>
      <c r="C119" s="125">
        <v>43475</v>
      </c>
      <c r="D119" s="125">
        <v>43839</v>
      </c>
      <c r="E119" s="125"/>
      <c r="F119" s="128" t="s">
        <v>65</v>
      </c>
      <c r="G119" s="80">
        <v>85000000</v>
      </c>
      <c r="H119" s="80">
        <v>0</v>
      </c>
      <c r="I119" s="81">
        <v>20</v>
      </c>
      <c r="J119" s="82" t="s">
        <v>140</v>
      </c>
      <c r="K119" s="128" t="s">
        <v>65</v>
      </c>
      <c r="L119" s="80">
        <v>750000000</v>
      </c>
      <c r="M119" s="80">
        <v>0</v>
      </c>
      <c r="N119" s="81">
        <v>20</v>
      </c>
      <c r="O119" s="82" t="s">
        <v>140</v>
      </c>
      <c r="P119" s="129"/>
    </row>
    <row r="120" spans="1:16">
      <c r="A120" s="126" t="s">
        <v>63</v>
      </c>
      <c r="B120" s="127" t="s">
        <v>83</v>
      </c>
      <c r="C120" s="125">
        <v>43840</v>
      </c>
      <c r="D120" s="125">
        <v>44113</v>
      </c>
      <c r="E120" s="125"/>
      <c r="F120" s="128" t="s">
        <v>65</v>
      </c>
      <c r="G120" s="80">
        <v>85000000</v>
      </c>
      <c r="H120" s="80">
        <v>0</v>
      </c>
      <c r="I120" s="81">
        <v>12.5</v>
      </c>
      <c r="J120" s="82" t="s">
        <v>140</v>
      </c>
      <c r="K120" s="128" t="s">
        <v>65</v>
      </c>
      <c r="L120" s="80">
        <v>750000000</v>
      </c>
      <c r="M120" s="80">
        <v>0</v>
      </c>
      <c r="N120" s="81">
        <v>12.5</v>
      </c>
      <c r="O120" s="82" t="s">
        <v>140</v>
      </c>
      <c r="P120" s="129"/>
    </row>
    <row r="121" spans="1:16">
      <c r="A121" s="126" t="s">
        <v>63</v>
      </c>
      <c r="B121" s="127" t="s">
        <v>83</v>
      </c>
      <c r="C121" s="125"/>
      <c r="D121" s="125"/>
      <c r="E121" s="125"/>
      <c r="F121" s="128"/>
      <c r="G121" s="80"/>
      <c r="H121" s="80"/>
      <c r="I121" s="81"/>
      <c r="J121" s="82"/>
      <c r="K121" s="128"/>
      <c r="L121" s="80"/>
      <c r="M121" s="80"/>
      <c r="N121" s="81"/>
      <c r="O121" s="82"/>
      <c r="P121" s="129"/>
    </row>
    <row r="122" spans="1:16">
      <c r="A122" s="126" t="s">
        <v>63</v>
      </c>
      <c r="B122" s="127" t="s">
        <v>151</v>
      </c>
      <c r="C122" s="125">
        <v>43785</v>
      </c>
      <c r="D122" s="125">
        <v>44150</v>
      </c>
      <c r="E122" s="125"/>
      <c r="F122" s="128" t="s">
        <v>65</v>
      </c>
      <c r="G122" s="80">
        <v>275000000</v>
      </c>
      <c r="H122" s="80">
        <v>0</v>
      </c>
      <c r="I122" s="81">
        <v>12.5</v>
      </c>
      <c r="J122" s="82" t="s">
        <v>140</v>
      </c>
      <c r="K122" s="128" t="s">
        <v>65</v>
      </c>
      <c r="L122" s="80">
        <v>1500000000</v>
      </c>
      <c r="M122" s="80">
        <v>0</v>
      </c>
      <c r="N122" s="81">
        <v>12.5</v>
      </c>
      <c r="O122" s="82" t="s">
        <v>140</v>
      </c>
      <c r="P122" s="129"/>
    </row>
    <row r="123" spans="1:16">
      <c r="A123" s="126" t="s">
        <v>63</v>
      </c>
      <c r="B123" s="127" t="s">
        <v>151</v>
      </c>
      <c r="C123" s="125">
        <v>44151</v>
      </c>
      <c r="D123" s="125">
        <v>44515</v>
      </c>
      <c r="E123" s="125"/>
      <c r="F123" s="128" t="s">
        <v>65</v>
      </c>
      <c r="G123" s="80">
        <v>275000000</v>
      </c>
      <c r="H123" s="80">
        <v>0</v>
      </c>
      <c r="I123" s="81">
        <v>10</v>
      </c>
      <c r="J123" s="82" t="s">
        <v>140</v>
      </c>
      <c r="K123" s="128" t="s">
        <v>65</v>
      </c>
      <c r="L123" s="80">
        <v>1500000000</v>
      </c>
      <c r="M123" s="80">
        <v>0</v>
      </c>
      <c r="N123" s="81">
        <v>10</v>
      </c>
      <c r="O123" s="82" t="s">
        <v>140</v>
      </c>
      <c r="P123" s="129"/>
    </row>
    <row r="124" spans="1:16">
      <c r="A124" s="126" t="s">
        <v>63</v>
      </c>
      <c r="B124" s="127" t="s">
        <v>151</v>
      </c>
      <c r="C124" s="125">
        <v>44516</v>
      </c>
      <c r="D124" s="125">
        <v>44880</v>
      </c>
      <c r="E124" s="125"/>
      <c r="F124" s="128" t="s">
        <v>65</v>
      </c>
      <c r="G124" s="80">
        <v>275000000</v>
      </c>
      <c r="H124" s="80">
        <v>0</v>
      </c>
      <c r="I124" s="81">
        <v>9.7840000000000007</v>
      </c>
      <c r="J124" s="82" t="s">
        <v>140</v>
      </c>
      <c r="K124" s="128" t="s">
        <v>65</v>
      </c>
      <c r="L124" s="80">
        <v>1500000000</v>
      </c>
      <c r="M124" s="80">
        <v>0</v>
      </c>
      <c r="N124" s="81">
        <v>9.7840000000000007</v>
      </c>
      <c r="O124" s="82" t="s">
        <v>140</v>
      </c>
      <c r="P124" s="129"/>
    </row>
    <row r="125" spans="1:16">
      <c r="A125" s="126" t="s">
        <v>63</v>
      </c>
      <c r="B125" s="127" t="s">
        <v>167</v>
      </c>
      <c r="C125" s="125">
        <v>43556</v>
      </c>
      <c r="D125" s="125">
        <v>43921</v>
      </c>
      <c r="E125" s="125"/>
      <c r="F125" s="128" t="s">
        <v>65</v>
      </c>
      <c r="G125" s="80">
        <v>340000000</v>
      </c>
      <c r="H125" s="80">
        <v>0</v>
      </c>
      <c r="I125" s="81">
        <v>7</v>
      </c>
      <c r="J125" s="82" t="s">
        <v>140</v>
      </c>
      <c r="K125" s="128" t="s">
        <v>65</v>
      </c>
      <c r="L125" s="80">
        <v>2250000000</v>
      </c>
      <c r="M125" s="80">
        <v>0</v>
      </c>
      <c r="N125" s="81">
        <v>7</v>
      </c>
      <c r="O125" s="82" t="s">
        <v>140</v>
      </c>
      <c r="P125" s="129"/>
    </row>
    <row r="126" spans="1:16">
      <c r="A126" s="126" t="s">
        <v>63</v>
      </c>
      <c r="B126" s="127" t="s">
        <v>167</v>
      </c>
      <c r="C126" s="125">
        <v>43922</v>
      </c>
      <c r="D126" s="125">
        <v>44286</v>
      </c>
      <c r="E126" s="125"/>
      <c r="F126" s="128" t="s">
        <v>65</v>
      </c>
      <c r="G126" s="80">
        <v>340000000</v>
      </c>
      <c r="H126" s="80">
        <v>0</v>
      </c>
      <c r="I126" s="81">
        <v>6.5</v>
      </c>
      <c r="J126" s="82" t="s">
        <v>140</v>
      </c>
      <c r="K126" s="128" t="s">
        <v>65</v>
      </c>
      <c r="L126" s="80">
        <v>2250000000</v>
      </c>
      <c r="M126" s="80">
        <v>0</v>
      </c>
      <c r="N126" s="81">
        <v>6.5</v>
      </c>
      <c r="O126" s="82" t="s">
        <v>140</v>
      </c>
      <c r="P126" s="129"/>
    </row>
    <row r="127" spans="1:16">
      <c r="A127" s="126" t="s">
        <v>63</v>
      </c>
      <c r="B127" s="127" t="s">
        <v>167</v>
      </c>
      <c r="C127" s="125">
        <v>44378</v>
      </c>
      <c r="D127" s="125">
        <v>44742</v>
      </c>
      <c r="E127" s="125"/>
      <c r="F127" s="128" t="s">
        <v>65</v>
      </c>
      <c r="G127" s="80">
        <v>340000000</v>
      </c>
      <c r="H127" s="80">
        <v>0</v>
      </c>
      <c r="I127" s="81">
        <v>5.5</v>
      </c>
      <c r="J127" s="82" t="s">
        <v>140</v>
      </c>
      <c r="K127" s="128" t="s">
        <v>65</v>
      </c>
      <c r="L127" s="80">
        <v>2250000000</v>
      </c>
      <c r="M127" s="80">
        <v>0</v>
      </c>
      <c r="N127" s="81">
        <v>5.5</v>
      </c>
      <c r="O127" s="82" t="s">
        <v>140</v>
      </c>
      <c r="P127" s="129"/>
    </row>
    <row r="128" spans="1:16">
      <c r="A128" s="126" t="s">
        <v>63</v>
      </c>
      <c r="B128" s="127" t="s">
        <v>84</v>
      </c>
      <c r="C128" s="125">
        <v>43800</v>
      </c>
      <c r="D128" s="125">
        <v>44165</v>
      </c>
      <c r="E128" s="125"/>
      <c r="F128" s="128" t="s">
        <v>65</v>
      </c>
      <c r="G128" s="80">
        <v>200000000</v>
      </c>
      <c r="H128" s="80">
        <v>0</v>
      </c>
      <c r="I128" s="81">
        <v>5.55</v>
      </c>
      <c r="J128" s="82" t="s">
        <v>140</v>
      </c>
      <c r="K128" s="128" t="s">
        <v>65</v>
      </c>
      <c r="L128" s="80">
        <v>2000000000</v>
      </c>
      <c r="M128" s="80">
        <v>0</v>
      </c>
      <c r="N128" s="81">
        <v>5.55</v>
      </c>
      <c r="O128" s="82" t="s">
        <v>140</v>
      </c>
      <c r="P128" s="129"/>
    </row>
    <row r="129" spans="1:16">
      <c r="A129" s="126" t="s">
        <v>63</v>
      </c>
      <c r="B129" s="127" t="s">
        <v>84</v>
      </c>
      <c r="C129" s="125">
        <v>44166</v>
      </c>
      <c r="D129" s="125">
        <v>44530</v>
      </c>
      <c r="E129" s="125"/>
      <c r="F129" s="128" t="s">
        <v>65</v>
      </c>
      <c r="G129" s="80">
        <v>200000000</v>
      </c>
      <c r="H129" s="80">
        <v>0</v>
      </c>
      <c r="I129" s="81">
        <v>5</v>
      </c>
      <c r="J129" s="82" t="s">
        <v>140</v>
      </c>
      <c r="K129" s="128" t="s">
        <v>65</v>
      </c>
      <c r="L129" s="80">
        <v>2000000000</v>
      </c>
      <c r="M129" s="80">
        <v>0</v>
      </c>
      <c r="N129" s="81">
        <v>5</v>
      </c>
      <c r="O129" s="82" t="s">
        <v>140</v>
      </c>
      <c r="P129" s="129"/>
    </row>
    <row r="130" spans="1:16">
      <c r="A130" s="126" t="s">
        <v>63</v>
      </c>
      <c r="B130" s="127" t="s">
        <v>84</v>
      </c>
      <c r="C130" s="125">
        <v>44531</v>
      </c>
      <c r="D130" s="125">
        <v>44895</v>
      </c>
      <c r="E130" s="125"/>
      <c r="F130" s="128" t="s">
        <v>65</v>
      </c>
      <c r="G130" s="80">
        <v>220000000</v>
      </c>
      <c r="H130" s="80">
        <v>0</v>
      </c>
      <c r="I130" s="81">
        <v>5</v>
      </c>
      <c r="J130" s="82" t="s">
        <v>140</v>
      </c>
      <c r="K130" s="128" t="s">
        <v>65</v>
      </c>
      <c r="L130" s="80">
        <v>2000000000</v>
      </c>
      <c r="M130" s="80">
        <v>0</v>
      </c>
      <c r="N130" s="81">
        <v>5</v>
      </c>
      <c r="O130" s="82" t="s">
        <v>140</v>
      </c>
      <c r="P130" s="129"/>
    </row>
    <row r="131" spans="1:16">
      <c r="A131" s="126" t="s">
        <v>63</v>
      </c>
      <c r="B131" s="127" t="s">
        <v>85</v>
      </c>
      <c r="C131" s="125">
        <v>43800</v>
      </c>
      <c r="D131" s="125">
        <v>44165</v>
      </c>
      <c r="E131" s="125"/>
      <c r="F131" s="128" t="s">
        <v>65</v>
      </c>
      <c r="G131" s="80">
        <v>400000000</v>
      </c>
      <c r="H131" s="80">
        <v>0</v>
      </c>
      <c r="I131" s="81">
        <v>9</v>
      </c>
      <c r="J131" s="82" t="s">
        <v>140</v>
      </c>
      <c r="K131" s="128" t="s">
        <v>65</v>
      </c>
      <c r="L131" s="80">
        <v>2250000000</v>
      </c>
      <c r="M131" s="80">
        <v>0</v>
      </c>
      <c r="N131" s="81">
        <v>9</v>
      </c>
      <c r="O131" s="82" t="s">
        <v>140</v>
      </c>
      <c r="P131" s="129"/>
    </row>
    <row r="132" spans="1:16">
      <c r="A132" s="126" t="s">
        <v>63</v>
      </c>
      <c r="B132" s="127" t="s">
        <v>85</v>
      </c>
      <c r="C132" s="125">
        <v>44166</v>
      </c>
      <c r="D132" s="125">
        <v>44530</v>
      </c>
      <c r="E132" s="125"/>
      <c r="F132" s="128" t="s">
        <v>65</v>
      </c>
      <c r="G132" s="80">
        <v>400000000</v>
      </c>
      <c r="H132" s="80">
        <v>0</v>
      </c>
      <c r="I132" s="81">
        <v>10</v>
      </c>
      <c r="J132" s="82" t="s">
        <v>140</v>
      </c>
      <c r="K132" s="128" t="s">
        <v>65</v>
      </c>
      <c r="L132" s="80">
        <v>2250000000</v>
      </c>
      <c r="M132" s="80">
        <v>0</v>
      </c>
      <c r="N132" s="81">
        <v>10</v>
      </c>
      <c r="O132" s="82" t="s">
        <v>140</v>
      </c>
      <c r="P132" s="129"/>
    </row>
    <row r="133" spans="1:16">
      <c r="A133" s="126" t="s">
        <v>63</v>
      </c>
      <c r="B133" s="127" t="s">
        <v>85</v>
      </c>
      <c r="C133" s="125">
        <v>44531</v>
      </c>
      <c r="D133" s="125">
        <v>44895</v>
      </c>
      <c r="E133" s="125"/>
      <c r="F133" s="128" t="s">
        <v>65</v>
      </c>
      <c r="G133" s="80">
        <v>400000000</v>
      </c>
      <c r="H133" s="80">
        <v>0</v>
      </c>
      <c r="I133" s="81">
        <v>10</v>
      </c>
      <c r="J133" s="82" t="s">
        <v>140</v>
      </c>
      <c r="K133" s="128" t="s">
        <v>65</v>
      </c>
      <c r="L133" s="80">
        <v>2250000000</v>
      </c>
      <c r="M133" s="80">
        <v>0</v>
      </c>
      <c r="N133" s="81">
        <v>10</v>
      </c>
      <c r="O133" s="82" t="s">
        <v>140</v>
      </c>
      <c r="P133" s="129"/>
    </row>
    <row r="134" spans="1:16">
      <c r="A134" s="126" t="s">
        <v>63</v>
      </c>
      <c r="B134" s="127" t="s">
        <v>155</v>
      </c>
      <c r="C134" s="125"/>
      <c r="D134" s="125"/>
      <c r="E134" s="125"/>
      <c r="F134" s="128"/>
      <c r="G134" s="80"/>
      <c r="H134" s="80"/>
      <c r="I134" s="81"/>
      <c r="J134" s="82"/>
      <c r="K134" s="128"/>
      <c r="L134" s="80"/>
      <c r="M134" s="80"/>
      <c r="N134" s="81"/>
      <c r="O134" s="82"/>
      <c r="P134" s="129"/>
    </row>
    <row r="135" spans="1:16">
      <c r="A135" s="126" t="s">
        <v>63</v>
      </c>
      <c r="B135" s="127" t="s">
        <v>155</v>
      </c>
      <c r="C135" s="125"/>
      <c r="D135" s="125"/>
      <c r="E135" s="125"/>
      <c r="F135" s="128"/>
      <c r="G135" s="80"/>
      <c r="H135" s="80"/>
      <c r="I135" s="81"/>
      <c r="J135" s="82"/>
      <c r="K135" s="128"/>
      <c r="L135" s="80"/>
      <c r="M135" s="80"/>
      <c r="N135" s="81"/>
      <c r="O135" s="82"/>
      <c r="P135" s="129"/>
    </row>
    <row r="136" spans="1:16">
      <c r="A136" s="126" t="s">
        <v>63</v>
      </c>
      <c r="B136" s="127" t="s">
        <v>155</v>
      </c>
      <c r="C136" s="125">
        <v>44531</v>
      </c>
      <c r="D136" s="125">
        <v>44895</v>
      </c>
      <c r="E136" s="125"/>
      <c r="F136" s="128" t="s">
        <v>65</v>
      </c>
      <c r="G136" s="80">
        <v>275000000</v>
      </c>
      <c r="H136" s="80">
        <v>0</v>
      </c>
      <c r="I136" s="81">
        <v>5.5</v>
      </c>
      <c r="J136" s="82"/>
      <c r="K136" s="128" t="s">
        <v>65</v>
      </c>
      <c r="L136" s="80">
        <v>1750000000</v>
      </c>
      <c r="M136" s="80">
        <v>0</v>
      </c>
      <c r="N136" s="81">
        <v>5.5</v>
      </c>
      <c r="O136" s="82"/>
      <c r="P136" s="129"/>
    </row>
    <row r="137" spans="1:16">
      <c r="A137" s="126" t="s">
        <v>63</v>
      </c>
      <c r="B137" s="127" t="s">
        <v>86</v>
      </c>
      <c r="C137" s="125">
        <v>43800</v>
      </c>
      <c r="D137" s="125">
        <v>44165</v>
      </c>
      <c r="E137" s="125"/>
      <c r="F137" s="128" t="s">
        <v>65</v>
      </c>
      <c r="G137" s="80">
        <v>350000000</v>
      </c>
      <c r="H137" s="80">
        <v>0</v>
      </c>
      <c r="I137" s="81">
        <v>5</v>
      </c>
      <c r="J137" s="82" t="s">
        <v>140</v>
      </c>
      <c r="K137" s="128" t="s">
        <v>65</v>
      </c>
      <c r="L137" s="80">
        <v>2250000000</v>
      </c>
      <c r="M137" s="80">
        <v>0</v>
      </c>
      <c r="N137" s="81">
        <v>5</v>
      </c>
      <c r="O137" s="82" t="s">
        <v>140</v>
      </c>
      <c r="P137" s="129"/>
    </row>
    <row r="138" spans="1:16">
      <c r="A138" s="126" t="s">
        <v>63</v>
      </c>
      <c r="B138" s="127" t="s">
        <v>86</v>
      </c>
      <c r="C138" s="125">
        <v>44166</v>
      </c>
      <c r="D138" s="125">
        <v>44530</v>
      </c>
      <c r="E138" s="125"/>
      <c r="F138" s="128" t="s">
        <v>65</v>
      </c>
      <c r="G138" s="80">
        <v>350000000</v>
      </c>
      <c r="H138" s="80">
        <v>0</v>
      </c>
      <c r="I138" s="81">
        <v>6.5</v>
      </c>
      <c r="J138" s="82" t="s">
        <v>140</v>
      </c>
      <c r="K138" s="128" t="s">
        <v>65</v>
      </c>
      <c r="L138" s="80">
        <v>2250000000</v>
      </c>
      <c r="M138" s="80">
        <v>0</v>
      </c>
      <c r="N138" s="81">
        <v>6.5</v>
      </c>
      <c r="O138" s="82"/>
      <c r="P138" s="129"/>
    </row>
    <row r="139" spans="1:16">
      <c r="A139" s="126" t="s">
        <v>63</v>
      </c>
      <c r="B139" s="127" t="s">
        <v>86</v>
      </c>
      <c r="C139" s="125">
        <v>44531</v>
      </c>
      <c r="D139" s="125">
        <v>44895</v>
      </c>
      <c r="E139" s="125"/>
      <c r="F139" s="128" t="s">
        <v>65</v>
      </c>
      <c r="G139" s="80">
        <v>350000000</v>
      </c>
      <c r="H139" s="80">
        <v>0</v>
      </c>
      <c r="I139" s="81">
        <v>5</v>
      </c>
      <c r="J139" s="82" t="s">
        <v>140</v>
      </c>
      <c r="K139" s="128" t="s">
        <v>65</v>
      </c>
      <c r="L139" s="80">
        <v>2250000000</v>
      </c>
      <c r="M139" s="80">
        <v>0</v>
      </c>
      <c r="N139" s="81">
        <v>5</v>
      </c>
      <c r="O139" s="82"/>
      <c r="P139" s="129"/>
    </row>
    <row r="140" spans="1:16">
      <c r="A140" s="126" t="s">
        <v>63</v>
      </c>
      <c r="B140" s="127" t="s">
        <v>156</v>
      </c>
      <c r="C140" s="125">
        <v>43785</v>
      </c>
      <c r="D140" s="125">
        <v>44150</v>
      </c>
      <c r="E140" s="125"/>
      <c r="F140" s="128" t="s">
        <v>65</v>
      </c>
      <c r="G140" s="80">
        <v>300000000</v>
      </c>
      <c r="H140" s="80">
        <v>0</v>
      </c>
      <c r="I140" s="81">
        <v>6</v>
      </c>
      <c r="J140" s="82" t="s">
        <v>140</v>
      </c>
      <c r="K140" s="128" t="s">
        <v>65</v>
      </c>
      <c r="L140" s="80">
        <v>1750000000</v>
      </c>
      <c r="M140" s="80">
        <v>0</v>
      </c>
      <c r="N140" s="81">
        <v>6</v>
      </c>
      <c r="O140" s="82" t="s">
        <v>140</v>
      </c>
      <c r="P140" s="129"/>
    </row>
    <row r="141" spans="1:16">
      <c r="A141" s="126" t="s">
        <v>63</v>
      </c>
      <c r="B141" s="127" t="s">
        <v>156</v>
      </c>
      <c r="C141" s="125">
        <v>44151</v>
      </c>
      <c r="D141" s="125">
        <v>44515</v>
      </c>
      <c r="E141" s="125"/>
      <c r="F141" s="128" t="s">
        <v>65</v>
      </c>
      <c r="G141" s="80">
        <v>300000000</v>
      </c>
      <c r="H141" s="80">
        <v>0</v>
      </c>
      <c r="I141" s="81">
        <v>10</v>
      </c>
      <c r="J141" s="82" t="s">
        <v>140</v>
      </c>
      <c r="K141" s="128" t="s">
        <v>65</v>
      </c>
      <c r="L141" s="80">
        <v>1750000000</v>
      </c>
      <c r="M141" s="80">
        <v>0</v>
      </c>
      <c r="N141" s="81">
        <v>10</v>
      </c>
      <c r="O141" s="82" t="s">
        <v>140</v>
      </c>
      <c r="P141" s="129"/>
    </row>
    <row r="142" spans="1:16">
      <c r="A142" s="126" t="s">
        <v>63</v>
      </c>
      <c r="B142" s="127" t="s">
        <v>156</v>
      </c>
      <c r="C142" s="125">
        <v>44516</v>
      </c>
      <c r="D142" s="125">
        <v>44880</v>
      </c>
      <c r="E142" s="125"/>
      <c r="F142" s="128" t="s">
        <v>65</v>
      </c>
      <c r="G142" s="80">
        <v>300000000</v>
      </c>
      <c r="H142" s="80">
        <v>0</v>
      </c>
      <c r="I142" s="81">
        <v>10</v>
      </c>
      <c r="J142" s="82" t="s">
        <v>140</v>
      </c>
      <c r="K142" s="128" t="s">
        <v>65</v>
      </c>
      <c r="L142" s="80">
        <v>1750000000</v>
      </c>
      <c r="M142" s="80">
        <v>0</v>
      </c>
      <c r="N142" s="81">
        <v>10</v>
      </c>
      <c r="O142" s="82" t="s">
        <v>140</v>
      </c>
      <c r="P142" s="129"/>
    </row>
    <row r="143" spans="1:16">
      <c r="A143" s="126" t="s">
        <v>63</v>
      </c>
      <c r="B143" s="127" t="s">
        <v>87</v>
      </c>
      <c r="C143" s="125">
        <v>43829</v>
      </c>
      <c r="D143" s="125">
        <v>44194</v>
      </c>
      <c r="E143" s="125"/>
      <c r="F143" s="128" t="s">
        <v>65</v>
      </c>
      <c r="G143" s="80">
        <v>250000000</v>
      </c>
      <c r="H143" s="80">
        <v>0</v>
      </c>
      <c r="I143" s="81">
        <v>10</v>
      </c>
      <c r="J143" s="82" t="s">
        <v>140</v>
      </c>
      <c r="K143" s="128" t="s">
        <v>65</v>
      </c>
      <c r="L143" s="80">
        <v>1000000000</v>
      </c>
      <c r="M143" s="80">
        <v>0</v>
      </c>
      <c r="N143" s="81">
        <v>10</v>
      </c>
      <c r="O143" s="82" t="s">
        <v>140</v>
      </c>
      <c r="P143" s="129"/>
    </row>
    <row r="144" spans="1:16">
      <c r="A144" s="126" t="s">
        <v>63</v>
      </c>
      <c r="B144" s="127" t="s">
        <v>87</v>
      </c>
      <c r="C144" s="125">
        <v>44195</v>
      </c>
      <c r="D144" s="125">
        <v>44559</v>
      </c>
      <c r="E144" s="125"/>
      <c r="F144" s="128" t="s">
        <v>65</v>
      </c>
      <c r="G144" s="80">
        <v>250000000</v>
      </c>
      <c r="H144" s="80">
        <v>0</v>
      </c>
      <c r="I144" s="81">
        <v>7.5</v>
      </c>
      <c r="J144" s="82" t="s">
        <v>140</v>
      </c>
      <c r="K144" s="128" t="s">
        <v>65</v>
      </c>
      <c r="L144" s="80">
        <v>1000000000</v>
      </c>
      <c r="M144" s="80">
        <v>0</v>
      </c>
      <c r="N144" s="81">
        <v>7.5</v>
      </c>
      <c r="O144" s="82" t="s">
        <v>140</v>
      </c>
      <c r="P144" s="129"/>
    </row>
    <row r="145" spans="1:17">
      <c r="A145" s="126" t="s">
        <v>63</v>
      </c>
      <c r="B145" s="127" t="s">
        <v>87</v>
      </c>
      <c r="C145" s="125">
        <v>44560</v>
      </c>
      <c r="D145" s="125">
        <v>44924</v>
      </c>
      <c r="E145" s="125"/>
      <c r="F145" s="128" t="s">
        <v>65</v>
      </c>
      <c r="G145" s="80">
        <v>170000000</v>
      </c>
      <c r="H145" s="80">
        <v>0</v>
      </c>
      <c r="I145" s="81">
        <v>9</v>
      </c>
      <c r="J145" s="82" t="s">
        <v>140</v>
      </c>
      <c r="K145" s="128" t="s">
        <v>65</v>
      </c>
      <c r="L145" s="80">
        <v>750000000</v>
      </c>
      <c r="M145" s="80">
        <v>0</v>
      </c>
      <c r="N145" s="81">
        <v>9</v>
      </c>
      <c r="O145" s="82" t="s">
        <v>140</v>
      </c>
      <c r="P145" s="129"/>
    </row>
    <row r="146" spans="1:17">
      <c r="A146" s="126" t="s">
        <v>63</v>
      </c>
      <c r="B146" s="127" t="s">
        <v>88</v>
      </c>
      <c r="C146" s="125">
        <v>43814</v>
      </c>
      <c r="D146" s="125">
        <v>44179</v>
      </c>
      <c r="E146" s="125"/>
      <c r="F146" s="128" t="s">
        <v>65</v>
      </c>
      <c r="G146" s="80">
        <v>290000000</v>
      </c>
      <c r="H146" s="80">
        <v>0</v>
      </c>
      <c r="I146" s="81">
        <v>6</v>
      </c>
      <c r="J146" s="82" t="s">
        <v>140</v>
      </c>
      <c r="K146" s="128" t="s">
        <v>65</v>
      </c>
      <c r="L146" s="80">
        <v>2000000000</v>
      </c>
      <c r="M146" s="80">
        <v>0</v>
      </c>
      <c r="N146" s="81">
        <v>6</v>
      </c>
      <c r="O146" s="82" t="s">
        <v>140</v>
      </c>
      <c r="P146" s="129"/>
    </row>
    <row r="147" spans="1:17">
      <c r="A147" s="126" t="s">
        <v>63</v>
      </c>
      <c r="B147" s="127" t="s">
        <v>88</v>
      </c>
      <c r="C147" s="125">
        <v>44180</v>
      </c>
      <c r="D147" s="125">
        <v>44544</v>
      </c>
      <c r="E147" s="125"/>
      <c r="F147" s="128" t="s">
        <v>65</v>
      </c>
      <c r="G147" s="80">
        <v>290000000</v>
      </c>
      <c r="H147" s="80">
        <v>0</v>
      </c>
      <c r="I147" s="81">
        <v>6</v>
      </c>
      <c r="J147" s="82" t="s">
        <v>140</v>
      </c>
      <c r="K147" s="128" t="s">
        <v>65</v>
      </c>
      <c r="L147" s="80">
        <v>2000000000</v>
      </c>
      <c r="M147" s="80">
        <v>0</v>
      </c>
      <c r="N147" s="81">
        <v>6</v>
      </c>
      <c r="O147" s="82" t="s">
        <v>140</v>
      </c>
      <c r="P147" s="129"/>
    </row>
    <row r="148" spans="1:17">
      <c r="A148" s="126" t="s">
        <v>63</v>
      </c>
      <c r="B148" s="127" t="s">
        <v>88</v>
      </c>
      <c r="C148" s="125">
        <v>44545</v>
      </c>
      <c r="D148" s="125">
        <v>44909</v>
      </c>
      <c r="E148" s="125"/>
      <c r="F148" s="128" t="s">
        <v>65</v>
      </c>
      <c r="G148" s="80">
        <v>290000000</v>
      </c>
      <c r="H148" s="80">
        <v>0</v>
      </c>
      <c r="I148" s="81">
        <v>6</v>
      </c>
      <c r="J148" s="82" t="s">
        <v>140</v>
      </c>
      <c r="K148" s="128" t="s">
        <v>65</v>
      </c>
      <c r="L148" s="80">
        <v>2000000000</v>
      </c>
      <c r="M148" s="80">
        <v>0</v>
      </c>
      <c r="N148" s="81">
        <v>6</v>
      </c>
      <c r="O148" s="82" t="s">
        <v>140</v>
      </c>
      <c r="P148" s="129"/>
      <c r="Q148" s="161">
        <v>10</v>
      </c>
    </row>
    <row r="149" spans="1:17">
      <c r="A149" s="126" t="s">
        <v>63</v>
      </c>
      <c r="B149" s="127" t="s">
        <v>171</v>
      </c>
      <c r="C149" s="125">
        <v>43623</v>
      </c>
      <c r="D149" s="125">
        <v>44001</v>
      </c>
      <c r="E149" s="125"/>
      <c r="F149" s="128" t="s">
        <v>65</v>
      </c>
      <c r="G149" s="80">
        <v>150000000</v>
      </c>
      <c r="H149" s="80">
        <v>0</v>
      </c>
      <c r="I149" s="81">
        <v>7.5</v>
      </c>
      <c r="J149" s="82" t="s">
        <v>140</v>
      </c>
      <c r="K149" s="128" t="s">
        <v>65</v>
      </c>
      <c r="L149" s="80">
        <v>1000000000</v>
      </c>
      <c r="M149" s="80">
        <v>0</v>
      </c>
      <c r="N149" s="81">
        <v>7.5</v>
      </c>
      <c r="O149" s="82" t="s">
        <v>140</v>
      </c>
      <c r="P149" s="129"/>
    </row>
    <row r="150" spans="1:17">
      <c r="A150" s="126" t="s">
        <v>63</v>
      </c>
      <c r="B150" s="127" t="s">
        <v>171</v>
      </c>
      <c r="C150" s="125">
        <v>44002</v>
      </c>
      <c r="D150" s="125">
        <v>44429</v>
      </c>
      <c r="E150" s="125"/>
      <c r="F150" s="128" t="s">
        <v>65</v>
      </c>
      <c r="G150" s="80">
        <v>150000000</v>
      </c>
      <c r="H150" s="80">
        <v>0</v>
      </c>
      <c r="I150" s="81">
        <v>8.75</v>
      </c>
      <c r="J150" s="82" t="s">
        <v>140</v>
      </c>
      <c r="K150" s="128" t="s">
        <v>65</v>
      </c>
      <c r="L150" s="80">
        <v>1000000000</v>
      </c>
      <c r="M150" s="80">
        <v>0</v>
      </c>
      <c r="N150" s="81">
        <v>8.75</v>
      </c>
      <c r="O150" s="82" t="s">
        <v>140</v>
      </c>
      <c r="P150" s="129"/>
      <c r="Q150" s="161">
        <v>11</v>
      </c>
    </row>
    <row r="151" spans="1:17">
      <c r="A151" s="126" t="s">
        <v>63</v>
      </c>
      <c r="B151" s="127" t="s">
        <v>171</v>
      </c>
      <c r="C151" s="125">
        <v>44429</v>
      </c>
      <c r="D151" s="125">
        <v>44901</v>
      </c>
      <c r="E151" s="125" t="s">
        <v>327</v>
      </c>
      <c r="F151" s="128" t="s">
        <v>65</v>
      </c>
      <c r="G151" s="80">
        <v>165000000</v>
      </c>
      <c r="H151" s="80">
        <v>0</v>
      </c>
      <c r="I151" s="81">
        <v>9.25</v>
      </c>
      <c r="J151" s="82" t="s">
        <v>140</v>
      </c>
      <c r="K151" s="128" t="s">
        <v>65</v>
      </c>
      <c r="L151" s="80">
        <v>1000000000</v>
      </c>
      <c r="M151" s="80">
        <v>0</v>
      </c>
      <c r="N151" s="81">
        <v>9.25</v>
      </c>
      <c r="O151" s="82" t="s">
        <v>140</v>
      </c>
      <c r="P151" s="129"/>
    </row>
    <row r="152" spans="1:17">
      <c r="A152" s="126" t="s">
        <v>63</v>
      </c>
      <c r="B152" s="127" t="s">
        <v>89</v>
      </c>
      <c r="C152" s="125">
        <v>43800</v>
      </c>
      <c r="D152" s="125">
        <v>44165</v>
      </c>
      <c r="E152" s="125"/>
      <c r="F152" s="128" t="s">
        <v>65</v>
      </c>
      <c r="G152" s="80">
        <v>265000000</v>
      </c>
      <c r="H152" s="80">
        <v>0</v>
      </c>
      <c r="I152" s="81">
        <v>10</v>
      </c>
      <c r="J152" s="82" t="s">
        <v>140</v>
      </c>
      <c r="K152" s="128" t="s">
        <v>65</v>
      </c>
      <c r="L152" s="80">
        <v>2250000000</v>
      </c>
      <c r="M152" s="80">
        <v>0</v>
      </c>
      <c r="N152" s="81">
        <v>10</v>
      </c>
      <c r="O152" s="82" t="s">
        <v>140</v>
      </c>
      <c r="P152" s="129"/>
    </row>
    <row r="153" spans="1:17">
      <c r="A153" s="126" t="s">
        <v>63</v>
      </c>
      <c r="B153" s="127" t="s">
        <v>89</v>
      </c>
      <c r="C153" s="125">
        <v>44166</v>
      </c>
      <c r="D153" s="125">
        <v>44530</v>
      </c>
      <c r="E153" s="125"/>
      <c r="F153" s="128" t="s">
        <v>65</v>
      </c>
      <c r="G153" s="80">
        <v>265000000</v>
      </c>
      <c r="H153" s="80">
        <v>0</v>
      </c>
      <c r="I153" s="81">
        <v>10</v>
      </c>
      <c r="J153" s="82" t="s">
        <v>140</v>
      </c>
      <c r="K153" s="128" t="s">
        <v>65</v>
      </c>
      <c r="L153" s="80">
        <v>2250000000</v>
      </c>
      <c r="M153" s="80">
        <v>0</v>
      </c>
      <c r="N153" s="81">
        <v>10</v>
      </c>
      <c r="O153" s="82" t="s">
        <v>140</v>
      </c>
      <c r="P153" s="129"/>
    </row>
    <row r="154" spans="1:17">
      <c r="A154" s="126" t="s">
        <v>63</v>
      </c>
      <c r="B154" s="127" t="s">
        <v>89</v>
      </c>
      <c r="C154" s="125">
        <v>44531</v>
      </c>
      <c r="D154" s="125">
        <v>44895</v>
      </c>
      <c r="E154" s="125"/>
      <c r="F154" s="128" t="s">
        <v>65</v>
      </c>
      <c r="G154" s="80">
        <v>265000000</v>
      </c>
      <c r="H154" s="80">
        <v>0</v>
      </c>
      <c r="I154" s="81">
        <v>10</v>
      </c>
      <c r="J154" s="82" t="s">
        <v>140</v>
      </c>
      <c r="K154" s="128" t="s">
        <v>65</v>
      </c>
      <c r="L154" s="80">
        <v>2250000000</v>
      </c>
      <c r="M154" s="80">
        <v>0</v>
      </c>
      <c r="N154" s="81">
        <v>10</v>
      </c>
      <c r="O154" s="82" t="s">
        <v>140</v>
      </c>
      <c r="P154" s="129"/>
    </row>
    <row r="155" spans="1:17">
      <c r="A155" s="126" t="s">
        <v>63</v>
      </c>
      <c r="B155" s="127" t="s">
        <v>157</v>
      </c>
      <c r="C155" s="125">
        <v>43738</v>
      </c>
      <c r="D155" s="125">
        <v>44103</v>
      </c>
      <c r="E155" s="125"/>
      <c r="F155" s="128" t="s">
        <v>65</v>
      </c>
      <c r="G155" s="80">
        <v>450000000</v>
      </c>
      <c r="H155" s="80">
        <v>0</v>
      </c>
      <c r="I155" s="81">
        <v>7.5</v>
      </c>
      <c r="J155" s="82" t="s">
        <v>140</v>
      </c>
      <c r="K155" s="128" t="s">
        <v>65</v>
      </c>
      <c r="L155" s="80">
        <v>2250000000</v>
      </c>
      <c r="M155" s="80">
        <v>0</v>
      </c>
      <c r="N155" s="81">
        <v>7.5</v>
      </c>
      <c r="O155" s="82" t="s">
        <v>140</v>
      </c>
      <c r="P155" s="129"/>
    </row>
    <row r="156" spans="1:17">
      <c r="A156" s="126" t="s">
        <v>63</v>
      </c>
      <c r="B156" s="127" t="s">
        <v>157</v>
      </c>
      <c r="C156" s="125">
        <v>44104</v>
      </c>
      <c r="D156" s="125">
        <v>44468</v>
      </c>
      <c r="E156" s="125"/>
      <c r="F156" s="128" t="s">
        <v>65</v>
      </c>
      <c r="G156" s="80">
        <v>450000000</v>
      </c>
      <c r="H156" s="80">
        <v>0</v>
      </c>
      <c r="I156" s="81">
        <v>7.5</v>
      </c>
      <c r="J156" s="82" t="s">
        <v>140</v>
      </c>
      <c r="K156" s="128" t="s">
        <v>65</v>
      </c>
      <c r="L156" s="80">
        <v>2250000000</v>
      </c>
      <c r="M156" s="80">
        <v>0</v>
      </c>
      <c r="N156" s="81">
        <v>7.5</v>
      </c>
      <c r="O156" s="82" t="s">
        <v>140</v>
      </c>
      <c r="P156" s="129"/>
    </row>
    <row r="157" spans="1:17">
      <c r="A157" s="126" t="s">
        <v>63</v>
      </c>
      <c r="B157" s="127" t="s">
        <v>157</v>
      </c>
      <c r="C157" s="125">
        <v>44469</v>
      </c>
      <c r="D157" s="125">
        <v>44833</v>
      </c>
      <c r="E157" s="125"/>
      <c r="F157" s="128" t="s">
        <v>65</v>
      </c>
      <c r="G157" s="80">
        <v>450000000</v>
      </c>
      <c r="H157" s="80">
        <v>0</v>
      </c>
      <c r="I157" s="81">
        <v>5</v>
      </c>
      <c r="J157" s="82" t="s">
        <v>140</v>
      </c>
      <c r="K157" s="128" t="s">
        <v>65</v>
      </c>
      <c r="L157" s="80">
        <v>2250000000</v>
      </c>
      <c r="M157" s="80">
        <v>0</v>
      </c>
      <c r="N157" s="81">
        <v>5</v>
      </c>
      <c r="O157" s="82" t="s">
        <v>140</v>
      </c>
      <c r="P157" s="129"/>
    </row>
    <row r="158" spans="1:17">
      <c r="A158" s="126" t="s">
        <v>63</v>
      </c>
      <c r="B158" s="127" t="s">
        <v>90</v>
      </c>
      <c r="C158" s="125">
        <v>43800</v>
      </c>
      <c r="D158" s="125">
        <v>44165</v>
      </c>
      <c r="E158" s="125"/>
      <c r="F158" s="128" t="s">
        <v>65</v>
      </c>
      <c r="G158" s="80">
        <v>195000000</v>
      </c>
      <c r="H158" s="80">
        <v>0</v>
      </c>
      <c r="I158" s="81">
        <v>12.5</v>
      </c>
      <c r="J158" s="82" t="s">
        <v>140</v>
      </c>
      <c r="K158" s="128" t="s">
        <v>65</v>
      </c>
      <c r="L158" s="80">
        <v>1250000000</v>
      </c>
      <c r="M158" s="80">
        <v>0</v>
      </c>
      <c r="N158" s="81">
        <v>12.5</v>
      </c>
      <c r="O158" s="82" t="s">
        <v>140</v>
      </c>
      <c r="P158" s="129"/>
    </row>
    <row r="159" spans="1:17">
      <c r="A159" s="126" t="s">
        <v>63</v>
      </c>
      <c r="B159" s="127" t="s">
        <v>90</v>
      </c>
      <c r="C159" s="125">
        <v>44166</v>
      </c>
      <c r="D159" s="125">
        <v>44530</v>
      </c>
      <c r="E159" s="125"/>
      <c r="F159" s="128" t="s">
        <v>65</v>
      </c>
      <c r="G159" s="80">
        <v>195000000</v>
      </c>
      <c r="H159" s="80">
        <v>0</v>
      </c>
      <c r="I159" s="81">
        <v>12.5</v>
      </c>
      <c r="J159" s="82" t="s">
        <v>140</v>
      </c>
      <c r="K159" s="128" t="s">
        <v>65</v>
      </c>
      <c r="L159" s="80">
        <v>1250000000</v>
      </c>
      <c r="M159" s="80">
        <v>0</v>
      </c>
      <c r="N159" s="81">
        <v>12.5</v>
      </c>
      <c r="O159" s="82" t="s">
        <v>140</v>
      </c>
      <c r="P159" s="129"/>
    </row>
    <row r="160" spans="1:17">
      <c r="A160" s="126" t="s">
        <v>63</v>
      </c>
      <c r="B160" s="127" t="s">
        <v>90</v>
      </c>
      <c r="C160" s="125">
        <v>44531</v>
      </c>
      <c r="D160" s="125">
        <v>44895</v>
      </c>
      <c r="E160" s="125"/>
      <c r="F160" s="128" t="s">
        <v>65</v>
      </c>
      <c r="G160" s="80">
        <v>195000000</v>
      </c>
      <c r="H160" s="80">
        <v>0</v>
      </c>
      <c r="I160" s="81">
        <v>12.5</v>
      </c>
      <c r="J160" s="82" t="s">
        <v>140</v>
      </c>
      <c r="K160" s="128" t="s">
        <v>65</v>
      </c>
      <c r="L160" s="80">
        <v>1250000000</v>
      </c>
      <c r="M160" s="80">
        <v>0</v>
      </c>
      <c r="N160" s="81">
        <v>12.5</v>
      </c>
      <c r="O160" s="82" t="s">
        <v>140</v>
      </c>
      <c r="P160" s="129"/>
    </row>
    <row r="161" spans="1:17">
      <c r="A161" s="126" t="s">
        <v>63</v>
      </c>
      <c r="B161" s="127" t="s">
        <v>91</v>
      </c>
      <c r="C161" s="125">
        <v>43821</v>
      </c>
      <c r="D161" s="125">
        <v>44186</v>
      </c>
      <c r="E161" s="125"/>
      <c r="F161" s="128" t="s">
        <v>65</v>
      </c>
      <c r="G161" s="80">
        <v>260000000</v>
      </c>
      <c r="H161" s="80">
        <v>0</v>
      </c>
      <c r="I161" s="81">
        <v>11</v>
      </c>
      <c r="J161" s="82" t="s">
        <v>140</v>
      </c>
      <c r="K161" s="128" t="s">
        <v>65</v>
      </c>
      <c r="L161" s="80">
        <v>1500000000</v>
      </c>
      <c r="M161" s="80">
        <v>0</v>
      </c>
      <c r="N161" s="81">
        <v>11</v>
      </c>
      <c r="O161" s="82" t="s">
        <v>140</v>
      </c>
      <c r="P161" s="129"/>
    </row>
    <row r="162" spans="1:17">
      <c r="A162" s="126" t="s">
        <v>63</v>
      </c>
      <c r="B162" s="127" t="s">
        <v>91</v>
      </c>
      <c r="C162" s="125">
        <v>44187</v>
      </c>
      <c r="D162" s="125">
        <v>44551</v>
      </c>
      <c r="E162" s="125"/>
      <c r="F162" s="128" t="s">
        <v>65</v>
      </c>
      <c r="G162" s="80">
        <v>260000000</v>
      </c>
      <c r="H162" s="80">
        <v>0</v>
      </c>
      <c r="I162" s="81">
        <v>11</v>
      </c>
      <c r="J162" s="82" t="s">
        <v>140</v>
      </c>
      <c r="K162" s="128" t="s">
        <v>65</v>
      </c>
      <c r="L162" s="80">
        <v>1500000000</v>
      </c>
      <c r="M162" s="80">
        <v>0</v>
      </c>
      <c r="N162" s="81">
        <v>11</v>
      </c>
      <c r="O162" s="82" t="s">
        <v>140</v>
      </c>
      <c r="P162" s="129"/>
    </row>
    <row r="163" spans="1:17">
      <c r="A163" s="126" t="s">
        <v>63</v>
      </c>
      <c r="B163" s="127" t="s">
        <v>91</v>
      </c>
      <c r="C163" s="125">
        <v>44552</v>
      </c>
      <c r="D163" s="125">
        <v>44916</v>
      </c>
      <c r="E163" s="125"/>
      <c r="F163" s="128" t="s">
        <v>65</v>
      </c>
      <c r="G163" s="80">
        <v>200000000</v>
      </c>
      <c r="H163" s="80">
        <v>0</v>
      </c>
      <c r="I163" s="81">
        <v>5</v>
      </c>
      <c r="J163" s="82" t="s">
        <v>140</v>
      </c>
      <c r="K163" s="128" t="s">
        <v>65</v>
      </c>
      <c r="L163" s="80">
        <v>1500000000</v>
      </c>
      <c r="M163" s="80">
        <v>0</v>
      </c>
      <c r="N163" s="81">
        <v>5</v>
      </c>
      <c r="O163" s="82" t="s">
        <v>140</v>
      </c>
      <c r="P163" s="129"/>
    </row>
    <row r="164" spans="1:17">
      <c r="A164" s="126" t="s">
        <v>63</v>
      </c>
      <c r="B164" s="127" t="s">
        <v>92</v>
      </c>
      <c r="C164" s="125">
        <v>43800</v>
      </c>
      <c r="D164" s="125">
        <v>44165</v>
      </c>
      <c r="E164" s="125"/>
      <c r="F164" s="128" t="s">
        <v>65</v>
      </c>
      <c r="G164" s="80">
        <v>100000000</v>
      </c>
      <c r="H164" s="80">
        <v>0</v>
      </c>
      <c r="I164" s="81">
        <v>10</v>
      </c>
      <c r="J164" s="82" t="s">
        <v>140</v>
      </c>
      <c r="K164" s="128" t="s">
        <v>65</v>
      </c>
      <c r="L164" s="80">
        <v>750000000</v>
      </c>
      <c r="M164" s="80">
        <v>0</v>
      </c>
      <c r="N164" s="81">
        <v>10</v>
      </c>
      <c r="O164" s="82" t="s">
        <v>140</v>
      </c>
      <c r="P164" s="129"/>
    </row>
    <row r="165" spans="1:17">
      <c r="A165" s="126" t="s">
        <v>63</v>
      </c>
      <c r="B165" s="127" t="s">
        <v>92</v>
      </c>
      <c r="C165" s="125">
        <v>43800</v>
      </c>
      <c r="D165" s="125">
        <v>44165</v>
      </c>
      <c r="E165" s="125"/>
      <c r="F165" s="128" t="s">
        <v>65</v>
      </c>
      <c r="G165" s="80">
        <v>97500000</v>
      </c>
      <c r="H165" s="80">
        <v>2500000</v>
      </c>
      <c r="I165" s="81">
        <v>10</v>
      </c>
      <c r="J165" s="82" t="s">
        <v>140</v>
      </c>
      <c r="K165" s="128" t="s">
        <v>65</v>
      </c>
      <c r="L165" s="80">
        <v>747500000</v>
      </c>
      <c r="M165" s="80">
        <v>2500000</v>
      </c>
      <c r="N165" s="81">
        <v>10</v>
      </c>
      <c r="O165" s="82" t="s">
        <v>140</v>
      </c>
      <c r="P165" s="129"/>
    </row>
    <row r="166" spans="1:17">
      <c r="A166" s="126" t="s">
        <v>63</v>
      </c>
      <c r="B166" s="127" t="s">
        <v>92</v>
      </c>
      <c r="C166" s="125">
        <v>43800</v>
      </c>
      <c r="D166" s="125">
        <v>44165</v>
      </c>
      <c r="E166" s="125"/>
      <c r="F166" s="128" t="s">
        <v>65</v>
      </c>
      <c r="G166" s="80">
        <v>55000000</v>
      </c>
      <c r="H166" s="80">
        <v>45000000</v>
      </c>
      <c r="I166" s="81">
        <v>2</v>
      </c>
      <c r="J166" s="82" t="s">
        <v>140</v>
      </c>
      <c r="K166" s="128" t="s">
        <v>65</v>
      </c>
      <c r="L166" s="80">
        <v>705000000</v>
      </c>
      <c r="M166" s="80">
        <v>45000000</v>
      </c>
      <c r="N166" s="81">
        <v>2</v>
      </c>
      <c r="O166" s="82" t="s">
        <v>140</v>
      </c>
      <c r="P166" s="129"/>
    </row>
    <row r="167" spans="1:17">
      <c r="A167" s="126" t="s">
        <v>63</v>
      </c>
      <c r="B167" s="127" t="s">
        <v>92</v>
      </c>
      <c r="C167" s="125">
        <v>43800</v>
      </c>
      <c r="D167" s="125">
        <v>44165</v>
      </c>
      <c r="E167" s="125"/>
      <c r="F167" s="128" t="s">
        <v>65</v>
      </c>
      <c r="G167" s="80">
        <v>65000000</v>
      </c>
      <c r="H167" s="80">
        <v>35000000</v>
      </c>
      <c r="I167" s="81">
        <v>8</v>
      </c>
      <c r="J167" s="82" t="s">
        <v>140</v>
      </c>
      <c r="K167" s="128" t="s">
        <v>65</v>
      </c>
      <c r="L167" s="80">
        <v>715000000</v>
      </c>
      <c r="M167" s="80">
        <v>35000000</v>
      </c>
      <c r="N167" s="81">
        <v>8</v>
      </c>
      <c r="O167" s="82" t="s">
        <v>140</v>
      </c>
      <c r="P167" s="129"/>
      <c r="Q167" s="161">
        <v>12</v>
      </c>
    </row>
    <row r="168" spans="1:17">
      <c r="A168" s="126" t="s">
        <v>63</v>
      </c>
      <c r="B168" s="127" t="s">
        <v>92</v>
      </c>
      <c r="C168" s="125">
        <v>44166</v>
      </c>
      <c r="D168" s="125">
        <v>44530</v>
      </c>
      <c r="E168" s="125"/>
      <c r="F168" s="128" t="s">
        <v>65</v>
      </c>
      <c r="G168" s="80">
        <v>97500000</v>
      </c>
      <c r="H168" s="80">
        <v>2500000</v>
      </c>
      <c r="I168" s="81">
        <v>8.5</v>
      </c>
      <c r="J168" s="82" t="s">
        <v>140</v>
      </c>
      <c r="K168" s="128" t="s">
        <v>65</v>
      </c>
      <c r="L168" s="80">
        <v>747500000</v>
      </c>
      <c r="M168" s="80">
        <v>2500000</v>
      </c>
      <c r="N168" s="81">
        <v>8.5</v>
      </c>
      <c r="O168" s="82" t="s">
        <v>140</v>
      </c>
      <c r="P168" s="129"/>
    </row>
    <row r="169" spans="1:17">
      <c r="A169" s="126" t="s">
        <v>63</v>
      </c>
      <c r="B169" s="127" t="s">
        <v>92</v>
      </c>
      <c r="C169" s="125">
        <v>44166</v>
      </c>
      <c r="D169" s="125">
        <v>44530</v>
      </c>
      <c r="E169" s="125"/>
      <c r="F169" s="128" t="s">
        <v>65</v>
      </c>
      <c r="G169" s="80">
        <v>65000000</v>
      </c>
      <c r="H169" s="80">
        <v>35000000</v>
      </c>
      <c r="I169" s="81">
        <v>8</v>
      </c>
      <c r="J169" s="82" t="s">
        <v>140</v>
      </c>
      <c r="K169" s="128" t="s">
        <v>65</v>
      </c>
      <c r="L169" s="80">
        <v>715000000</v>
      </c>
      <c r="M169" s="80">
        <v>35000000</v>
      </c>
      <c r="N169" s="81">
        <v>8</v>
      </c>
      <c r="O169" s="82" t="s">
        <v>140</v>
      </c>
      <c r="P169" s="129"/>
      <c r="Q169" s="161">
        <v>13</v>
      </c>
    </row>
    <row r="170" spans="1:17">
      <c r="A170" s="126" t="s">
        <v>63</v>
      </c>
      <c r="B170" s="127" t="s">
        <v>92</v>
      </c>
      <c r="C170" s="125">
        <v>44531</v>
      </c>
      <c r="D170" s="125">
        <v>44895</v>
      </c>
      <c r="E170" s="125"/>
      <c r="F170" s="128" t="s">
        <v>65</v>
      </c>
      <c r="G170" s="80">
        <v>97500000</v>
      </c>
      <c r="H170" s="80">
        <v>2500000</v>
      </c>
      <c r="I170" s="81">
        <v>8.5</v>
      </c>
      <c r="J170" s="82" t="s">
        <v>140</v>
      </c>
      <c r="K170" s="128" t="s">
        <v>65</v>
      </c>
      <c r="L170" s="80">
        <v>747500000</v>
      </c>
      <c r="M170" s="80">
        <v>2500000</v>
      </c>
      <c r="N170" s="81">
        <v>8.5</v>
      </c>
      <c r="O170" s="82" t="s">
        <v>140</v>
      </c>
      <c r="P170" s="129"/>
    </row>
    <row r="171" spans="1:17">
      <c r="A171" s="126" t="s">
        <v>63</v>
      </c>
      <c r="B171" s="127" t="s">
        <v>92</v>
      </c>
      <c r="C171" s="125">
        <v>44531</v>
      </c>
      <c r="D171" s="125">
        <v>44895</v>
      </c>
      <c r="E171" s="125"/>
      <c r="F171" s="128" t="s">
        <v>65</v>
      </c>
      <c r="G171" s="80">
        <v>65000000</v>
      </c>
      <c r="H171" s="80">
        <v>35000000</v>
      </c>
      <c r="I171" s="81">
        <v>8</v>
      </c>
      <c r="J171" s="82" t="s">
        <v>140</v>
      </c>
      <c r="K171" s="128" t="s">
        <v>65</v>
      </c>
      <c r="L171" s="80">
        <v>715000000</v>
      </c>
      <c r="M171" s="80">
        <v>35000000</v>
      </c>
      <c r="N171" s="81">
        <v>8</v>
      </c>
      <c r="O171" s="82" t="s">
        <v>140</v>
      </c>
      <c r="P171" s="129"/>
    </row>
    <row r="172" spans="1:17">
      <c r="A172" s="126" t="s">
        <v>63</v>
      </c>
      <c r="B172" s="127" t="s">
        <v>189</v>
      </c>
      <c r="C172" s="125">
        <v>43800</v>
      </c>
      <c r="D172" s="125">
        <v>44165</v>
      </c>
      <c r="E172" s="125"/>
      <c r="F172" s="128" t="s">
        <v>65</v>
      </c>
      <c r="G172" s="80">
        <v>250000000</v>
      </c>
      <c r="H172" s="80">
        <v>0</v>
      </c>
      <c r="I172" s="81">
        <v>7</v>
      </c>
      <c r="J172" s="82" t="s">
        <v>140</v>
      </c>
      <c r="K172" s="128" t="s">
        <v>65</v>
      </c>
      <c r="L172" s="80">
        <v>1500000000</v>
      </c>
      <c r="M172" s="80">
        <v>0</v>
      </c>
      <c r="N172" s="81">
        <v>7</v>
      </c>
      <c r="O172" s="82" t="s">
        <v>140</v>
      </c>
      <c r="P172" s="129"/>
    </row>
    <row r="173" spans="1:17">
      <c r="A173" s="126" t="s">
        <v>63</v>
      </c>
      <c r="B173" s="127" t="s">
        <v>189</v>
      </c>
      <c r="C173" s="125">
        <v>44166</v>
      </c>
      <c r="D173" s="125">
        <v>44530</v>
      </c>
      <c r="E173" s="125"/>
      <c r="F173" s="128" t="s">
        <v>65</v>
      </c>
      <c r="G173" s="80">
        <v>250000000</v>
      </c>
      <c r="H173" s="80">
        <v>0</v>
      </c>
      <c r="I173" s="81">
        <v>6</v>
      </c>
      <c r="J173" s="82" t="s">
        <v>140</v>
      </c>
      <c r="K173" s="128" t="s">
        <v>65</v>
      </c>
      <c r="L173" s="80">
        <v>1500000000</v>
      </c>
      <c r="M173" s="80">
        <v>0</v>
      </c>
      <c r="N173" s="81">
        <v>6</v>
      </c>
      <c r="O173" s="82" t="s">
        <v>140</v>
      </c>
      <c r="P173" s="129"/>
    </row>
    <row r="174" spans="1:17">
      <c r="A174" s="126" t="s">
        <v>63</v>
      </c>
      <c r="B174" s="127" t="s">
        <v>189</v>
      </c>
      <c r="C174" s="125">
        <v>44531</v>
      </c>
      <c r="D174" s="125">
        <v>44895</v>
      </c>
      <c r="E174" s="125"/>
      <c r="F174" s="128" t="s">
        <v>65</v>
      </c>
      <c r="G174" s="80">
        <v>250000000</v>
      </c>
      <c r="H174" s="80">
        <v>0</v>
      </c>
      <c r="I174" s="81">
        <v>6</v>
      </c>
      <c r="J174" s="82" t="s">
        <v>140</v>
      </c>
      <c r="K174" s="128" t="s">
        <v>65</v>
      </c>
      <c r="L174" s="80">
        <v>1500000000</v>
      </c>
      <c r="M174" s="80">
        <v>0</v>
      </c>
      <c r="N174" s="81">
        <v>6</v>
      </c>
      <c r="O174" s="82" t="s">
        <v>140</v>
      </c>
      <c r="P174" s="129"/>
    </row>
    <row r="175" spans="1:17">
      <c r="A175" s="126" t="s">
        <v>63</v>
      </c>
      <c r="B175" s="127" t="s">
        <v>158</v>
      </c>
      <c r="C175" s="125">
        <v>43785</v>
      </c>
      <c r="D175" s="125">
        <v>44150</v>
      </c>
      <c r="E175" s="125"/>
      <c r="F175" s="128" t="s">
        <v>65</v>
      </c>
      <c r="G175" s="80">
        <v>315000000</v>
      </c>
      <c r="H175" s="80">
        <v>0</v>
      </c>
      <c r="I175" s="81">
        <v>14.5</v>
      </c>
      <c r="J175" s="82" t="s">
        <v>140</v>
      </c>
      <c r="K175" s="128" t="s">
        <v>65</v>
      </c>
      <c r="L175" s="80">
        <v>2250000000</v>
      </c>
      <c r="M175" s="80">
        <v>0</v>
      </c>
      <c r="N175" s="81">
        <v>14.5</v>
      </c>
      <c r="O175" s="82" t="s">
        <v>140</v>
      </c>
      <c r="P175" s="129"/>
    </row>
    <row r="176" spans="1:17">
      <c r="A176" s="126" t="s">
        <v>63</v>
      </c>
      <c r="B176" s="127" t="s">
        <v>158</v>
      </c>
      <c r="C176" s="125">
        <v>44151</v>
      </c>
      <c r="D176" s="125">
        <v>44515</v>
      </c>
      <c r="E176" s="125"/>
      <c r="F176" s="128" t="s">
        <v>65</v>
      </c>
      <c r="G176" s="80">
        <v>315000000</v>
      </c>
      <c r="H176" s="80">
        <v>0</v>
      </c>
      <c r="I176" s="81">
        <v>12.5</v>
      </c>
      <c r="J176" s="82" t="s">
        <v>140</v>
      </c>
      <c r="K176" s="128" t="s">
        <v>65</v>
      </c>
      <c r="L176" s="80">
        <v>2250000000</v>
      </c>
      <c r="M176" s="80">
        <v>0</v>
      </c>
      <c r="N176" s="81">
        <v>12.5</v>
      </c>
      <c r="O176" s="82" t="s">
        <v>140</v>
      </c>
      <c r="P176" s="129"/>
    </row>
    <row r="177" spans="1:16">
      <c r="A177" s="126" t="s">
        <v>63</v>
      </c>
      <c r="B177" s="127" t="s">
        <v>158</v>
      </c>
      <c r="C177" s="125">
        <v>44516</v>
      </c>
      <c r="D177" s="125">
        <v>44880</v>
      </c>
      <c r="E177" s="125"/>
      <c r="F177" s="128" t="s">
        <v>65</v>
      </c>
      <c r="G177" s="80">
        <v>407000000</v>
      </c>
      <c r="H177" s="80">
        <v>0</v>
      </c>
      <c r="I177" s="81">
        <v>12.5</v>
      </c>
      <c r="J177" s="82" t="s">
        <v>140</v>
      </c>
      <c r="K177" s="128" t="s">
        <v>65</v>
      </c>
      <c r="L177" s="80">
        <v>2250000000</v>
      </c>
      <c r="M177" s="80">
        <v>0</v>
      </c>
      <c r="N177" s="81">
        <v>12.5</v>
      </c>
      <c r="O177" s="82" t="s">
        <v>140</v>
      </c>
      <c r="P177" s="129"/>
    </row>
    <row r="178" spans="1:16">
      <c r="A178" s="126" t="s">
        <v>63</v>
      </c>
      <c r="B178" s="127" t="s">
        <v>3</v>
      </c>
      <c r="C178" s="125">
        <v>43647</v>
      </c>
      <c r="D178" s="125">
        <v>44012</v>
      </c>
      <c r="E178" s="125"/>
      <c r="F178" s="128" t="s">
        <v>65</v>
      </c>
      <c r="G178" s="80">
        <v>385000000</v>
      </c>
      <c r="H178" s="80">
        <v>0</v>
      </c>
      <c r="I178" s="81">
        <v>7</v>
      </c>
      <c r="J178" s="82" t="s">
        <v>140</v>
      </c>
      <c r="K178" s="128" t="s">
        <v>65</v>
      </c>
      <c r="L178" s="80">
        <v>2250000000</v>
      </c>
      <c r="M178" s="80">
        <v>0</v>
      </c>
      <c r="N178" s="81">
        <v>7</v>
      </c>
      <c r="O178" s="82" t="s">
        <v>140</v>
      </c>
      <c r="P178" s="129"/>
    </row>
    <row r="179" spans="1:16">
      <c r="A179" s="126" t="s">
        <v>63</v>
      </c>
      <c r="B179" s="127" t="s">
        <v>3</v>
      </c>
      <c r="C179" s="125" t="s">
        <v>310</v>
      </c>
      <c r="D179" s="125"/>
      <c r="E179" s="125"/>
      <c r="F179" s="128"/>
      <c r="G179" s="80"/>
      <c r="H179" s="80"/>
      <c r="I179" s="81"/>
      <c r="J179" s="82"/>
      <c r="K179" s="128"/>
      <c r="L179" s="80"/>
      <c r="M179" s="80"/>
      <c r="N179" s="81"/>
      <c r="O179" s="82"/>
      <c r="P179" s="129"/>
    </row>
    <row r="180" spans="1:16">
      <c r="A180" s="126" t="s">
        <v>63</v>
      </c>
      <c r="B180" s="127" t="s">
        <v>3</v>
      </c>
      <c r="C180" s="125"/>
      <c r="D180" s="125"/>
      <c r="E180" s="125"/>
      <c r="F180" s="128"/>
      <c r="G180" s="80"/>
      <c r="H180" s="80"/>
      <c r="I180" s="81"/>
      <c r="J180" s="82"/>
      <c r="K180" s="128"/>
      <c r="L180" s="80"/>
      <c r="M180" s="80"/>
      <c r="N180" s="81"/>
      <c r="O180" s="82"/>
      <c r="P180" s="129"/>
    </row>
    <row r="181" spans="1:16">
      <c r="A181" s="126" t="s">
        <v>63</v>
      </c>
      <c r="B181" s="127" t="s">
        <v>93</v>
      </c>
      <c r="C181" s="125">
        <v>43800</v>
      </c>
      <c r="D181" s="125">
        <v>44348</v>
      </c>
      <c r="E181" s="125"/>
      <c r="F181" s="128" t="s">
        <v>65</v>
      </c>
      <c r="G181" s="80">
        <v>225000000</v>
      </c>
      <c r="H181" s="80">
        <v>0</v>
      </c>
      <c r="I181" s="81">
        <v>12.5</v>
      </c>
      <c r="J181" s="82" t="s">
        <v>140</v>
      </c>
      <c r="K181" s="128" t="s">
        <v>65</v>
      </c>
      <c r="L181" s="80">
        <v>1500000000</v>
      </c>
      <c r="M181" s="80">
        <v>0</v>
      </c>
      <c r="N181" s="81">
        <v>12.5</v>
      </c>
      <c r="O181" s="82" t="s">
        <v>140</v>
      </c>
      <c r="P181" s="129"/>
    </row>
    <row r="182" spans="1:16">
      <c r="A182" s="126" t="s">
        <v>63</v>
      </c>
      <c r="B182" s="127" t="s">
        <v>93</v>
      </c>
      <c r="C182" s="125">
        <v>44348</v>
      </c>
      <c r="D182" s="125">
        <v>44713</v>
      </c>
      <c r="E182" s="125"/>
      <c r="F182" s="128" t="s">
        <v>65</v>
      </c>
      <c r="G182" s="80">
        <v>225000000</v>
      </c>
      <c r="H182" s="80">
        <v>0</v>
      </c>
      <c r="I182" s="81">
        <v>11</v>
      </c>
      <c r="J182" s="82" t="s">
        <v>140</v>
      </c>
      <c r="K182" s="128" t="s">
        <v>65</v>
      </c>
      <c r="L182" s="80">
        <v>1500000000</v>
      </c>
      <c r="M182" s="80">
        <v>0</v>
      </c>
      <c r="N182" s="81">
        <v>11</v>
      </c>
      <c r="O182" s="82" t="s">
        <v>140</v>
      </c>
      <c r="P182" s="129"/>
    </row>
    <row r="183" spans="1:16">
      <c r="A183" s="126" t="s">
        <v>63</v>
      </c>
      <c r="B183" s="127" t="s">
        <v>93</v>
      </c>
      <c r="C183" s="125"/>
      <c r="D183" s="125"/>
      <c r="E183" s="125"/>
      <c r="F183" s="128"/>
      <c r="G183" s="80"/>
      <c r="H183" s="80"/>
      <c r="I183" s="81"/>
      <c r="J183" s="82"/>
      <c r="K183" s="128"/>
      <c r="L183" s="80"/>
      <c r="M183" s="80"/>
      <c r="N183" s="81"/>
      <c r="O183" s="82"/>
      <c r="P183" s="129"/>
    </row>
    <row r="184" spans="1:16">
      <c r="A184" s="126" t="s">
        <v>63</v>
      </c>
      <c r="B184" s="127" t="s">
        <v>188</v>
      </c>
      <c r="C184" s="125">
        <v>43800</v>
      </c>
      <c r="D184" s="125">
        <v>44165</v>
      </c>
      <c r="E184" s="125"/>
      <c r="F184" s="128" t="s">
        <v>65</v>
      </c>
      <c r="G184" s="80">
        <v>250000000</v>
      </c>
      <c r="H184" s="80">
        <v>0</v>
      </c>
      <c r="I184" s="81">
        <v>10</v>
      </c>
      <c r="J184" s="82" t="s">
        <v>140</v>
      </c>
      <c r="K184" s="128" t="s">
        <v>65</v>
      </c>
      <c r="L184" s="80">
        <v>1500000000</v>
      </c>
      <c r="M184" s="80">
        <v>0</v>
      </c>
      <c r="N184" s="81">
        <v>10</v>
      </c>
      <c r="O184" s="82" t="s">
        <v>140</v>
      </c>
      <c r="P184" s="129"/>
    </row>
    <row r="185" spans="1:16">
      <c r="A185" s="126" t="s">
        <v>63</v>
      </c>
      <c r="B185" s="127" t="s">
        <v>188</v>
      </c>
      <c r="C185" s="125">
        <v>44166</v>
      </c>
      <c r="D185" s="125">
        <v>44530</v>
      </c>
      <c r="E185" s="125"/>
      <c r="F185" s="128" t="s">
        <v>65</v>
      </c>
      <c r="G185" s="80">
        <v>250000000</v>
      </c>
      <c r="H185" s="80">
        <v>0</v>
      </c>
      <c r="I185" s="81">
        <v>10</v>
      </c>
      <c r="J185" s="82" t="s">
        <v>140</v>
      </c>
      <c r="K185" s="128" t="s">
        <v>65</v>
      </c>
      <c r="L185" s="80">
        <v>1500000000</v>
      </c>
      <c r="M185" s="80">
        <v>0</v>
      </c>
      <c r="N185" s="81">
        <v>10</v>
      </c>
      <c r="O185" s="82" t="s">
        <v>140</v>
      </c>
      <c r="P185" s="129"/>
    </row>
    <row r="186" spans="1:16">
      <c r="A186" s="126" t="s">
        <v>63</v>
      </c>
      <c r="B186" s="127" t="s">
        <v>188</v>
      </c>
      <c r="C186" s="125">
        <v>44531</v>
      </c>
      <c r="D186" s="125">
        <v>44895</v>
      </c>
      <c r="E186" s="125"/>
      <c r="F186" s="128" t="s">
        <v>65</v>
      </c>
      <c r="G186" s="80">
        <v>250000000</v>
      </c>
      <c r="H186" s="80">
        <v>0</v>
      </c>
      <c r="I186" s="81">
        <v>10</v>
      </c>
      <c r="J186" s="82" t="s">
        <v>140</v>
      </c>
      <c r="K186" s="128" t="s">
        <v>65</v>
      </c>
      <c r="L186" s="80">
        <v>1500000000</v>
      </c>
      <c r="M186" s="80">
        <v>0</v>
      </c>
      <c r="N186" s="81">
        <v>10</v>
      </c>
      <c r="O186" s="82" t="s">
        <v>140</v>
      </c>
      <c r="P186" s="129"/>
    </row>
    <row r="187" spans="1:16">
      <c r="A187" s="126" t="s">
        <v>63</v>
      </c>
      <c r="B187" s="127" t="s">
        <v>94</v>
      </c>
      <c r="C187" s="125">
        <v>43800</v>
      </c>
      <c r="D187" s="125">
        <v>44165</v>
      </c>
      <c r="E187" s="125"/>
      <c r="F187" s="128" t="s">
        <v>65</v>
      </c>
      <c r="G187" s="80">
        <v>350000000</v>
      </c>
      <c r="H187" s="80">
        <v>0</v>
      </c>
      <c r="I187" s="81">
        <v>3</v>
      </c>
      <c r="J187" s="82" t="s">
        <v>140</v>
      </c>
      <c r="K187" s="128" t="s">
        <v>65</v>
      </c>
      <c r="L187" s="80">
        <v>2000000000</v>
      </c>
      <c r="M187" s="80">
        <v>0</v>
      </c>
      <c r="N187" s="81">
        <v>3</v>
      </c>
      <c r="O187" s="82" t="s">
        <v>140</v>
      </c>
      <c r="P187" s="129"/>
    </row>
    <row r="188" spans="1:16">
      <c r="A188" s="126" t="s">
        <v>63</v>
      </c>
      <c r="B188" s="127" t="s">
        <v>94</v>
      </c>
      <c r="C188" s="125">
        <v>44166</v>
      </c>
      <c r="D188" s="125">
        <v>44530</v>
      </c>
      <c r="E188" s="125"/>
      <c r="F188" s="128" t="s">
        <v>65</v>
      </c>
      <c r="G188" s="80">
        <v>350000000</v>
      </c>
      <c r="H188" s="80">
        <v>0</v>
      </c>
      <c r="I188" s="81">
        <v>3</v>
      </c>
      <c r="J188" s="82" t="s">
        <v>140</v>
      </c>
      <c r="K188" s="128" t="s">
        <v>65</v>
      </c>
      <c r="L188" s="80">
        <v>2000000000</v>
      </c>
      <c r="M188" s="80">
        <v>0</v>
      </c>
      <c r="N188" s="81">
        <v>3</v>
      </c>
      <c r="O188" s="82" t="s">
        <v>140</v>
      </c>
      <c r="P188" s="129"/>
    </row>
    <row r="189" spans="1:16">
      <c r="A189" s="126" t="s">
        <v>63</v>
      </c>
      <c r="B189" s="127" t="s">
        <v>94</v>
      </c>
      <c r="C189" s="125">
        <v>44531</v>
      </c>
      <c r="D189" s="125">
        <v>44895</v>
      </c>
      <c r="E189" s="125"/>
      <c r="F189" s="128" t="s">
        <v>65</v>
      </c>
      <c r="G189" s="80">
        <v>350000000</v>
      </c>
      <c r="H189" s="80">
        <v>0</v>
      </c>
      <c r="I189" s="81">
        <v>3</v>
      </c>
      <c r="J189" s="82" t="s">
        <v>140</v>
      </c>
      <c r="K189" s="128" t="s">
        <v>65</v>
      </c>
      <c r="L189" s="80">
        <v>2000000000</v>
      </c>
      <c r="M189" s="80">
        <v>0</v>
      </c>
      <c r="N189" s="81">
        <v>3</v>
      </c>
      <c r="O189" s="82" t="s">
        <v>140</v>
      </c>
      <c r="P189" s="129"/>
    </row>
    <row r="190" spans="1:16">
      <c r="A190" s="126" t="s">
        <v>63</v>
      </c>
      <c r="B190" s="127" t="s">
        <v>96</v>
      </c>
      <c r="C190" s="125">
        <v>43800</v>
      </c>
      <c r="D190" s="125">
        <v>44165</v>
      </c>
      <c r="E190" s="125"/>
      <c r="F190" s="128" t="s">
        <v>65</v>
      </c>
      <c r="G190" s="80">
        <v>200000000</v>
      </c>
      <c r="H190" s="80">
        <v>0</v>
      </c>
      <c r="I190" s="81">
        <v>12.5</v>
      </c>
      <c r="J190" s="82" t="s">
        <v>140</v>
      </c>
      <c r="K190" s="128" t="s">
        <v>65</v>
      </c>
      <c r="L190" s="80">
        <v>2250000000</v>
      </c>
      <c r="M190" s="80">
        <v>0</v>
      </c>
      <c r="N190" s="81">
        <v>12.5</v>
      </c>
      <c r="O190" s="82" t="s">
        <v>140</v>
      </c>
      <c r="P190" s="129"/>
    </row>
    <row r="191" spans="1:16">
      <c r="A191" s="126" t="s">
        <v>63</v>
      </c>
      <c r="B191" s="127" t="s">
        <v>96</v>
      </c>
      <c r="C191" s="125">
        <v>44166</v>
      </c>
      <c r="D191" s="125">
        <v>44530</v>
      </c>
      <c r="E191" s="125"/>
      <c r="F191" s="128" t="s">
        <v>65</v>
      </c>
      <c r="G191" s="80">
        <v>200000000</v>
      </c>
      <c r="H191" s="80">
        <v>0</v>
      </c>
      <c r="I191" s="81">
        <v>12.5</v>
      </c>
      <c r="J191" s="82" t="s">
        <v>140</v>
      </c>
      <c r="K191" s="128" t="s">
        <v>65</v>
      </c>
      <c r="L191" s="80">
        <v>2250000000</v>
      </c>
      <c r="M191" s="80">
        <v>0</v>
      </c>
      <c r="N191" s="81">
        <v>12.5</v>
      </c>
      <c r="O191" s="82" t="s">
        <v>140</v>
      </c>
      <c r="P191" s="129"/>
    </row>
    <row r="192" spans="1:16">
      <c r="A192" s="126" t="s">
        <v>63</v>
      </c>
      <c r="B192" s="127" t="s">
        <v>96</v>
      </c>
      <c r="C192" s="125">
        <v>44531</v>
      </c>
      <c r="D192" s="125">
        <v>44895</v>
      </c>
      <c r="E192" s="125"/>
      <c r="F192" s="128" t="s">
        <v>65</v>
      </c>
      <c r="G192" s="80">
        <v>200000000</v>
      </c>
      <c r="H192" s="80">
        <v>0</v>
      </c>
      <c r="I192" s="81">
        <v>12</v>
      </c>
      <c r="J192" s="82" t="s">
        <v>140</v>
      </c>
      <c r="K192" s="128" t="s">
        <v>65</v>
      </c>
      <c r="L192" s="80">
        <v>2250000000</v>
      </c>
      <c r="M192" s="80">
        <v>0</v>
      </c>
      <c r="N192" s="81">
        <v>12</v>
      </c>
      <c r="O192" s="82" t="s">
        <v>140</v>
      </c>
      <c r="P192" s="129"/>
    </row>
    <row r="193" spans="1:17">
      <c r="A193" s="126" t="s">
        <v>63</v>
      </c>
      <c r="B193" s="127" t="s">
        <v>147</v>
      </c>
      <c r="C193" s="125">
        <v>43800</v>
      </c>
      <c r="D193" s="125">
        <v>44165</v>
      </c>
      <c r="E193" s="125"/>
      <c r="F193" s="128" t="s">
        <v>65</v>
      </c>
      <c r="G193" s="80">
        <v>150000000</v>
      </c>
      <c r="H193" s="80">
        <v>0</v>
      </c>
      <c r="I193" s="81">
        <v>12.5</v>
      </c>
      <c r="J193" s="82" t="s">
        <v>140</v>
      </c>
      <c r="K193" s="128" t="s">
        <v>65</v>
      </c>
      <c r="L193" s="80">
        <v>1000000000</v>
      </c>
      <c r="M193" s="80">
        <v>0</v>
      </c>
      <c r="N193" s="81">
        <v>12.5</v>
      </c>
      <c r="O193" s="82" t="s">
        <v>140</v>
      </c>
      <c r="P193" s="129"/>
    </row>
    <row r="194" spans="1:17">
      <c r="A194" s="126" t="s">
        <v>63</v>
      </c>
      <c r="B194" s="127" t="s">
        <v>147</v>
      </c>
      <c r="C194" s="125">
        <v>44166</v>
      </c>
      <c r="D194" s="125">
        <v>44530</v>
      </c>
      <c r="E194" s="125"/>
      <c r="F194" s="128" t="s">
        <v>65</v>
      </c>
      <c r="G194" s="80">
        <v>150000000</v>
      </c>
      <c r="H194" s="80">
        <v>0</v>
      </c>
      <c r="I194" s="81">
        <v>15</v>
      </c>
      <c r="J194" s="82" t="s">
        <v>140</v>
      </c>
      <c r="K194" s="128" t="s">
        <v>65</v>
      </c>
      <c r="L194" s="80">
        <v>1000000000</v>
      </c>
      <c r="M194" s="80">
        <v>0</v>
      </c>
      <c r="N194" s="81">
        <v>15</v>
      </c>
      <c r="O194" s="82" t="s">
        <v>140</v>
      </c>
      <c r="P194" s="129"/>
    </row>
    <row r="195" spans="1:17">
      <c r="A195" s="126" t="s">
        <v>63</v>
      </c>
      <c r="B195" s="127" t="s">
        <v>147</v>
      </c>
      <c r="C195" s="125">
        <v>44531</v>
      </c>
      <c r="D195" s="125">
        <v>44895</v>
      </c>
      <c r="E195" s="125"/>
      <c r="F195" s="128" t="s">
        <v>65</v>
      </c>
      <c r="G195" s="80">
        <v>75000000</v>
      </c>
      <c r="H195" s="80">
        <v>0</v>
      </c>
      <c r="I195" s="81">
        <v>15</v>
      </c>
      <c r="J195" s="82" t="s">
        <v>140</v>
      </c>
      <c r="K195" s="128" t="s">
        <v>65</v>
      </c>
      <c r="L195" s="80">
        <v>1000000000</v>
      </c>
      <c r="M195" s="80">
        <v>0</v>
      </c>
      <c r="N195" s="81">
        <v>15</v>
      </c>
      <c r="O195" s="82" t="s">
        <v>140</v>
      </c>
      <c r="P195" s="129"/>
      <c r="Q195" s="161">
        <v>14</v>
      </c>
    </row>
    <row r="196" spans="1:17">
      <c r="A196" s="126" t="s">
        <v>63</v>
      </c>
      <c r="B196" s="127" t="s">
        <v>148</v>
      </c>
      <c r="C196" s="125">
        <v>43814</v>
      </c>
      <c r="D196" s="125">
        <v>44179</v>
      </c>
      <c r="E196" s="125"/>
      <c r="F196" s="128" t="s">
        <v>65</v>
      </c>
      <c r="G196" s="80">
        <v>300000000</v>
      </c>
      <c r="H196" s="80">
        <v>0</v>
      </c>
      <c r="I196" s="81">
        <v>5.5</v>
      </c>
      <c r="J196" s="82" t="s">
        <v>140</v>
      </c>
      <c r="K196" s="128" t="s">
        <v>65</v>
      </c>
      <c r="L196" s="80">
        <v>2000000000</v>
      </c>
      <c r="M196" s="80">
        <v>0</v>
      </c>
      <c r="N196" s="81">
        <v>5.5</v>
      </c>
      <c r="O196" s="82" t="s">
        <v>140</v>
      </c>
      <c r="P196" s="129"/>
    </row>
    <row r="197" spans="1:17">
      <c r="A197" s="126" t="s">
        <v>63</v>
      </c>
      <c r="B197" s="127" t="s">
        <v>148</v>
      </c>
      <c r="C197" s="125">
        <v>44180</v>
      </c>
      <c r="D197" s="125">
        <v>44544</v>
      </c>
      <c r="E197" s="125"/>
      <c r="F197" s="128" t="s">
        <v>65</v>
      </c>
      <c r="G197" s="80">
        <v>300000000</v>
      </c>
      <c r="H197" s="80">
        <v>0</v>
      </c>
      <c r="I197" s="81">
        <v>5.5</v>
      </c>
      <c r="J197" s="82" t="s">
        <v>140</v>
      </c>
      <c r="K197" s="128" t="s">
        <v>65</v>
      </c>
      <c r="L197" s="80">
        <v>2000000000</v>
      </c>
      <c r="M197" s="80">
        <v>0</v>
      </c>
      <c r="N197" s="81">
        <v>5.5</v>
      </c>
      <c r="O197" s="82" t="s">
        <v>140</v>
      </c>
      <c r="P197" s="129"/>
    </row>
    <row r="198" spans="1:17">
      <c r="A198" s="126" t="s">
        <v>63</v>
      </c>
      <c r="B198" s="127" t="s">
        <v>148</v>
      </c>
      <c r="C198" s="125" t="s">
        <v>310</v>
      </c>
      <c r="D198" s="125"/>
      <c r="E198" s="125"/>
      <c r="F198" s="128"/>
      <c r="G198" s="80"/>
      <c r="H198" s="80"/>
      <c r="I198" s="81"/>
      <c r="J198" s="82"/>
      <c r="K198" s="128"/>
      <c r="L198" s="80"/>
      <c r="M198" s="80"/>
      <c r="N198" s="81"/>
      <c r="O198" s="82"/>
      <c r="P198" s="129"/>
    </row>
    <row r="199" spans="1:17">
      <c r="A199" s="126" t="s">
        <v>63</v>
      </c>
      <c r="B199" s="127" t="s">
        <v>97</v>
      </c>
      <c r="C199" s="125">
        <v>43831</v>
      </c>
      <c r="D199" s="125">
        <v>44196</v>
      </c>
      <c r="E199" s="125"/>
      <c r="F199" s="128" t="s">
        <v>65</v>
      </c>
      <c r="G199" s="80">
        <v>275000000</v>
      </c>
      <c r="H199" s="80">
        <v>0</v>
      </c>
      <c r="I199" s="81">
        <v>12.5</v>
      </c>
      <c r="J199" s="82" t="s">
        <v>140</v>
      </c>
      <c r="K199" s="128" t="s">
        <v>65</v>
      </c>
      <c r="L199" s="80">
        <v>1750000000</v>
      </c>
      <c r="M199" s="80">
        <v>0</v>
      </c>
      <c r="N199" s="81">
        <v>12.5</v>
      </c>
      <c r="O199" s="82" t="s">
        <v>140</v>
      </c>
      <c r="P199" s="129"/>
    </row>
    <row r="200" spans="1:17">
      <c r="A200" s="126" t="s">
        <v>63</v>
      </c>
      <c r="B200" s="127" t="s">
        <v>97</v>
      </c>
      <c r="C200" s="125">
        <v>44197</v>
      </c>
      <c r="D200" s="125">
        <v>44561</v>
      </c>
      <c r="E200" s="125"/>
      <c r="F200" s="128" t="s">
        <v>65</v>
      </c>
      <c r="G200" s="80">
        <v>275000000</v>
      </c>
      <c r="H200" s="80">
        <v>0</v>
      </c>
      <c r="I200" s="81">
        <v>12.5</v>
      </c>
      <c r="J200" s="82" t="s">
        <v>140</v>
      </c>
      <c r="K200" s="128" t="s">
        <v>65</v>
      </c>
      <c r="L200" s="80">
        <v>1750000000</v>
      </c>
      <c r="M200" s="80">
        <v>0</v>
      </c>
      <c r="N200" s="81">
        <v>12.5</v>
      </c>
      <c r="O200" s="82" t="s">
        <v>140</v>
      </c>
      <c r="P200" s="129"/>
    </row>
    <row r="201" spans="1:17">
      <c r="A201" s="126" t="s">
        <v>63</v>
      </c>
      <c r="B201" s="127" t="s">
        <v>97</v>
      </c>
      <c r="C201" s="125">
        <v>44562</v>
      </c>
      <c r="D201" s="125">
        <v>45291</v>
      </c>
      <c r="E201" s="125"/>
      <c r="F201" s="128" t="s">
        <v>65</v>
      </c>
      <c r="G201" s="80">
        <v>275000000</v>
      </c>
      <c r="H201" s="80">
        <v>0</v>
      </c>
      <c r="I201" s="81">
        <v>12.5</v>
      </c>
      <c r="J201" s="82" t="s">
        <v>140</v>
      </c>
      <c r="K201" s="128" t="s">
        <v>65</v>
      </c>
      <c r="L201" s="80">
        <v>1750000000</v>
      </c>
      <c r="M201" s="80">
        <v>0</v>
      </c>
      <c r="N201" s="81">
        <v>12.5</v>
      </c>
      <c r="O201" s="82" t="s">
        <v>140</v>
      </c>
      <c r="P201" s="129"/>
    </row>
    <row r="202" spans="1:17">
      <c r="A202" s="126" t="s">
        <v>63</v>
      </c>
      <c r="B202" s="127" t="s">
        <v>168</v>
      </c>
      <c r="C202" s="125">
        <v>43599</v>
      </c>
      <c r="D202" s="125">
        <v>43964</v>
      </c>
      <c r="E202" s="125"/>
      <c r="F202" s="128" t="s">
        <v>65</v>
      </c>
      <c r="G202" s="80">
        <v>230000000</v>
      </c>
      <c r="H202" s="80">
        <v>0</v>
      </c>
      <c r="I202" s="81">
        <v>13.5</v>
      </c>
      <c r="J202" s="82" t="s">
        <v>140</v>
      </c>
      <c r="K202" s="128" t="s">
        <v>65</v>
      </c>
      <c r="L202" s="80">
        <v>1750000000</v>
      </c>
      <c r="M202" s="80">
        <v>0</v>
      </c>
      <c r="N202" s="81">
        <v>13.5</v>
      </c>
      <c r="O202" s="82" t="s">
        <v>140</v>
      </c>
      <c r="P202" s="129"/>
    </row>
    <row r="203" spans="1:17">
      <c r="A203" s="126" t="s">
        <v>63</v>
      </c>
      <c r="B203" s="127" t="s">
        <v>168</v>
      </c>
      <c r="C203" s="125">
        <v>43965</v>
      </c>
      <c r="D203" s="125">
        <v>44329</v>
      </c>
      <c r="E203" s="125"/>
      <c r="F203" s="128" t="s">
        <v>65</v>
      </c>
      <c r="G203" s="80">
        <v>230000000</v>
      </c>
      <c r="H203" s="80">
        <v>0</v>
      </c>
      <c r="I203" s="81">
        <v>8.5</v>
      </c>
      <c r="J203" s="82" t="s">
        <v>140</v>
      </c>
      <c r="K203" s="128" t="s">
        <v>65</v>
      </c>
      <c r="L203" s="80">
        <v>1750000000</v>
      </c>
      <c r="M203" s="80">
        <v>0</v>
      </c>
      <c r="N203" s="81">
        <v>8.5</v>
      </c>
      <c r="O203" s="82" t="s">
        <v>140</v>
      </c>
      <c r="P203" s="129"/>
    </row>
    <row r="204" spans="1:17">
      <c r="A204" s="126" t="s">
        <v>63</v>
      </c>
      <c r="B204" s="127" t="s">
        <v>168</v>
      </c>
      <c r="C204" s="125" t="s">
        <v>310</v>
      </c>
      <c r="D204" s="125"/>
      <c r="E204" s="125"/>
      <c r="F204" s="128"/>
      <c r="G204" s="80"/>
      <c r="H204" s="80"/>
      <c r="I204" s="81"/>
      <c r="J204" s="82"/>
      <c r="K204" s="128"/>
      <c r="L204" s="80"/>
      <c r="M204" s="80"/>
      <c r="N204" s="81"/>
      <c r="O204" s="82"/>
      <c r="P204" s="129"/>
    </row>
    <row r="205" spans="1:17">
      <c r="A205" s="126" t="s">
        <v>63</v>
      </c>
      <c r="B205" s="127" t="s">
        <v>98</v>
      </c>
      <c r="C205" s="125">
        <v>43800</v>
      </c>
      <c r="D205" s="125">
        <v>44165</v>
      </c>
      <c r="E205" s="125"/>
      <c r="F205" s="128" t="s">
        <v>65</v>
      </c>
      <c r="G205" s="80">
        <v>200000000</v>
      </c>
      <c r="H205" s="80">
        <v>0</v>
      </c>
      <c r="I205" s="81">
        <v>20</v>
      </c>
      <c r="J205" s="82" t="s">
        <v>140</v>
      </c>
      <c r="K205" s="128" t="s">
        <v>65</v>
      </c>
      <c r="L205" s="80">
        <v>1750000000</v>
      </c>
      <c r="M205" s="80">
        <v>0</v>
      </c>
      <c r="N205" s="81">
        <v>20</v>
      </c>
      <c r="O205" s="82" t="s">
        <v>140</v>
      </c>
      <c r="P205" s="129"/>
    </row>
    <row r="206" spans="1:17">
      <c r="A206" s="126" t="s">
        <v>63</v>
      </c>
      <c r="B206" s="127" t="s">
        <v>98</v>
      </c>
      <c r="C206" s="125">
        <v>44166</v>
      </c>
      <c r="D206" s="125">
        <v>44530</v>
      </c>
      <c r="E206" s="125"/>
      <c r="F206" s="128" t="s">
        <v>65</v>
      </c>
      <c r="G206" s="80">
        <v>200000000</v>
      </c>
      <c r="H206" s="80">
        <v>0</v>
      </c>
      <c r="I206" s="81">
        <v>15</v>
      </c>
      <c r="J206" s="82" t="s">
        <v>140</v>
      </c>
      <c r="K206" s="128" t="s">
        <v>65</v>
      </c>
      <c r="L206" s="80">
        <v>1750000000</v>
      </c>
      <c r="M206" s="80">
        <v>0</v>
      </c>
      <c r="N206" s="81">
        <v>15</v>
      </c>
      <c r="O206" s="82" t="s">
        <v>140</v>
      </c>
      <c r="P206" s="129"/>
    </row>
    <row r="207" spans="1:17">
      <c r="A207" s="126" t="s">
        <v>63</v>
      </c>
      <c r="B207" s="127" t="s">
        <v>98</v>
      </c>
      <c r="C207" s="125">
        <v>44531</v>
      </c>
      <c r="D207" s="125">
        <v>44895</v>
      </c>
      <c r="E207" s="125"/>
      <c r="F207" s="128" t="s">
        <v>65</v>
      </c>
      <c r="G207" s="80">
        <v>250000000</v>
      </c>
      <c r="H207" s="80">
        <v>0</v>
      </c>
      <c r="I207" s="81">
        <v>15</v>
      </c>
      <c r="J207" s="82" t="s">
        <v>140</v>
      </c>
      <c r="K207" s="128" t="s">
        <v>65</v>
      </c>
      <c r="L207" s="80">
        <v>1750000000</v>
      </c>
      <c r="M207" s="80">
        <v>0</v>
      </c>
      <c r="N207" s="81">
        <v>15</v>
      </c>
      <c r="O207" s="82" t="s">
        <v>140</v>
      </c>
      <c r="P207" s="129"/>
    </row>
    <row r="208" spans="1:17">
      <c r="A208" s="126" t="s">
        <v>99</v>
      </c>
      <c r="B208" s="127" t="s">
        <v>100</v>
      </c>
      <c r="C208" s="125">
        <v>43814</v>
      </c>
      <c r="D208" s="125">
        <v>44179</v>
      </c>
      <c r="E208" s="125"/>
      <c r="F208" s="128" t="s">
        <v>65</v>
      </c>
      <c r="G208" s="80">
        <v>75000000</v>
      </c>
      <c r="H208" s="80">
        <v>0</v>
      </c>
      <c r="I208" s="81">
        <v>12.5</v>
      </c>
      <c r="J208" s="82" t="s">
        <v>140</v>
      </c>
      <c r="K208" s="128" t="s">
        <v>65</v>
      </c>
      <c r="L208" s="80">
        <v>1500000000</v>
      </c>
      <c r="M208" s="80">
        <v>0</v>
      </c>
      <c r="N208" s="81">
        <v>12.5</v>
      </c>
      <c r="O208" s="82" t="s">
        <v>140</v>
      </c>
      <c r="P208" s="129"/>
    </row>
    <row r="209" spans="1:16">
      <c r="A209" s="126" t="s">
        <v>99</v>
      </c>
      <c r="B209" s="127" t="s">
        <v>100</v>
      </c>
      <c r="C209" s="125" t="s">
        <v>310</v>
      </c>
      <c r="D209" s="125"/>
      <c r="E209" s="125"/>
      <c r="F209" s="128"/>
      <c r="G209" s="80"/>
      <c r="H209" s="80"/>
      <c r="I209" s="81"/>
      <c r="J209" s="82"/>
      <c r="K209" s="128"/>
      <c r="L209" s="80"/>
      <c r="M209" s="80"/>
      <c r="N209" s="81"/>
      <c r="O209" s="82"/>
      <c r="P209" s="129"/>
    </row>
    <row r="210" spans="1:16">
      <c r="A210" s="126" t="s">
        <v>99</v>
      </c>
      <c r="B210" s="127" t="s">
        <v>100</v>
      </c>
      <c r="C210" s="125">
        <v>44545</v>
      </c>
      <c r="D210" s="125">
        <v>44909</v>
      </c>
      <c r="E210" s="125"/>
      <c r="F210" s="128" t="s">
        <v>65</v>
      </c>
      <c r="G210" s="80">
        <v>75000000</v>
      </c>
      <c r="H210" s="80">
        <v>0</v>
      </c>
      <c r="I210" s="81">
        <v>5</v>
      </c>
      <c r="J210" s="82" t="s">
        <v>140</v>
      </c>
      <c r="K210" s="128" t="s">
        <v>65</v>
      </c>
      <c r="L210" s="80">
        <v>1500000000</v>
      </c>
      <c r="M210" s="80">
        <v>0</v>
      </c>
      <c r="N210" s="81">
        <v>5</v>
      </c>
      <c r="O210" s="82" t="s">
        <v>140</v>
      </c>
      <c r="P210" s="129"/>
    </row>
    <row r="211" spans="1:16">
      <c r="A211" s="126" t="s">
        <v>99</v>
      </c>
      <c r="B211" s="127" t="s">
        <v>5</v>
      </c>
      <c r="C211" s="125">
        <v>43821</v>
      </c>
      <c r="D211" s="125">
        <v>44186</v>
      </c>
      <c r="E211" s="125"/>
      <c r="F211" s="128" t="s">
        <v>65</v>
      </c>
      <c r="G211" s="80">
        <v>200000000</v>
      </c>
      <c r="H211" s="80">
        <v>0</v>
      </c>
      <c r="I211" s="81">
        <v>8</v>
      </c>
      <c r="J211" s="82" t="s">
        <v>140</v>
      </c>
      <c r="K211" s="128" t="s">
        <v>65</v>
      </c>
      <c r="L211" s="80">
        <v>2000000000</v>
      </c>
      <c r="M211" s="80">
        <v>0</v>
      </c>
      <c r="N211" s="81">
        <v>8</v>
      </c>
      <c r="O211" s="82" t="s">
        <v>140</v>
      </c>
      <c r="P211" s="129"/>
    </row>
    <row r="212" spans="1:16">
      <c r="A212" s="126" t="s">
        <v>99</v>
      </c>
      <c r="B212" s="127" t="s">
        <v>5</v>
      </c>
      <c r="C212" s="125">
        <v>44187</v>
      </c>
      <c r="D212" s="125">
        <v>44551</v>
      </c>
      <c r="E212" s="125"/>
      <c r="F212" s="128" t="s">
        <v>65</v>
      </c>
      <c r="G212" s="80">
        <v>200000000</v>
      </c>
      <c r="H212" s="80">
        <v>0</v>
      </c>
      <c r="I212" s="81">
        <v>8</v>
      </c>
      <c r="J212" s="82" t="s">
        <v>140</v>
      </c>
      <c r="K212" s="128" t="s">
        <v>65</v>
      </c>
      <c r="L212" s="80">
        <v>2000000000</v>
      </c>
      <c r="M212" s="80">
        <v>0</v>
      </c>
      <c r="N212" s="81">
        <v>8</v>
      </c>
      <c r="O212" s="82" t="s">
        <v>140</v>
      </c>
      <c r="P212" s="129"/>
    </row>
    <row r="213" spans="1:16">
      <c r="A213" s="126" t="s">
        <v>99</v>
      </c>
      <c r="B213" s="127" t="s">
        <v>5</v>
      </c>
      <c r="C213" s="125">
        <v>44552</v>
      </c>
      <c r="D213" s="125">
        <v>44916</v>
      </c>
      <c r="E213" s="125"/>
      <c r="F213" s="128" t="s">
        <v>65</v>
      </c>
      <c r="G213" s="80">
        <v>200000000</v>
      </c>
      <c r="H213" s="80">
        <v>0</v>
      </c>
      <c r="I213" s="81">
        <v>8</v>
      </c>
      <c r="J213" s="82" t="s">
        <v>140</v>
      </c>
      <c r="K213" s="128" t="s">
        <v>65</v>
      </c>
      <c r="L213" s="80">
        <v>2000000000</v>
      </c>
      <c r="M213" s="80">
        <v>0</v>
      </c>
      <c r="N213" s="81">
        <v>8</v>
      </c>
      <c r="O213" s="82" t="s">
        <v>140</v>
      </c>
      <c r="P213" s="129"/>
    </row>
    <row r="214" spans="1:16">
      <c r="A214" s="126" t="s">
        <v>99</v>
      </c>
      <c r="B214" s="127" t="s">
        <v>166</v>
      </c>
      <c r="C214" s="125">
        <v>43820</v>
      </c>
      <c r="D214" s="125">
        <v>44094</v>
      </c>
      <c r="E214" s="125"/>
      <c r="F214" s="128" t="s">
        <v>65</v>
      </c>
      <c r="G214" s="80">
        <v>185000000</v>
      </c>
      <c r="H214" s="80">
        <v>0</v>
      </c>
      <c r="I214" s="81">
        <v>10</v>
      </c>
      <c r="J214" s="82" t="s">
        <v>140</v>
      </c>
      <c r="K214" s="128" t="s">
        <v>65</v>
      </c>
      <c r="L214" s="80">
        <v>2000000000</v>
      </c>
      <c r="M214" s="80">
        <v>0</v>
      </c>
      <c r="N214" s="81">
        <v>10</v>
      </c>
      <c r="O214" s="82" t="s">
        <v>140</v>
      </c>
      <c r="P214" s="129"/>
    </row>
    <row r="215" spans="1:16">
      <c r="A215" s="126" t="s">
        <v>99</v>
      </c>
      <c r="B215" s="127" t="s">
        <v>166</v>
      </c>
      <c r="C215" s="125">
        <v>44095</v>
      </c>
      <c r="D215" s="125">
        <v>44550</v>
      </c>
      <c r="E215" s="125"/>
      <c r="F215" s="128" t="s">
        <v>65</v>
      </c>
      <c r="G215" s="80">
        <v>185000000</v>
      </c>
      <c r="H215" s="80">
        <v>0</v>
      </c>
      <c r="I215" s="81">
        <v>10</v>
      </c>
      <c r="J215" s="82" t="s">
        <v>140</v>
      </c>
      <c r="K215" s="128" t="s">
        <v>65</v>
      </c>
      <c r="L215" s="80">
        <v>2000000000</v>
      </c>
      <c r="M215" s="80">
        <v>0</v>
      </c>
      <c r="N215" s="81">
        <v>10</v>
      </c>
      <c r="O215" s="82" t="s">
        <v>140</v>
      </c>
      <c r="P215" s="129"/>
    </row>
    <row r="216" spans="1:16">
      <c r="A216" s="126" t="s">
        <v>99</v>
      </c>
      <c r="B216" s="127" t="s">
        <v>166</v>
      </c>
      <c r="C216" s="125">
        <v>44551</v>
      </c>
      <c r="D216" s="125">
        <v>44915</v>
      </c>
      <c r="E216" s="125"/>
      <c r="F216" s="128" t="s">
        <v>65</v>
      </c>
      <c r="G216" s="80">
        <v>185000000</v>
      </c>
      <c r="H216" s="80">
        <v>0</v>
      </c>
      <c r="I216" s="81">
        <v>10</v>
      </c>
      <c r="J216" s="82" t="s">
        <v>140</v>
      </c>
      <c r="K216" s="128" t="s">
        <v>65</v>
      </c>
      <c r="L216" s="80">
        <v>2000000000</v>
      </c>
      <c r="M216" s="80">
        <v>0</v>
      </c>
      <c r="N216" s="81">
        <v>10</v>
      </c>
      <c r="O216" s="82" t="s">
        <v>140</v>
      </c>
      <c r="P216" s="129"/>
    </row>
    <row r="217" spans="1:16">
      <c r="A217" s="126" t="s">
        <v>99</v>
      </c>
      <c r="B217" s="127" t="s">
        <v>173</v>
      </c>
      <c r="C217" s="125">
        <v>43647</v>
      </c>
      <c r="D217" s="125">
        <v>44042</v>
      </c>
      <c r="E217" s="125"/>
      <c r="F217" s="128" t="s">
        <v>65</v>
      </c>
      <c r="G217" s="80">
        <v>210000000</v>
      </c>
      <c r="H217" s="80">
        <v>0</v>
      </c>
      <c r="I217" s="81">
        <v>12</v>
      </c>
      <c r="J217" s="82" t="s">
        <v>140</v>
      </c>
      <c r="K217" s="128" t="s">
        <v>65</v>
      </c>
      <c r="L217" s="80">
        <v>1500000000</v>
      </c>
      <c r="M217" s="80">
        <v>0</v>
      </c>
      <c r="N217" s="81">
        <v>12</v>
      </c>
      <c r="O217" s="82" t="s">
        <v>140</v>
      </c>
      <c r="P217" s="129"/>
    </row>
    <row r="218" spans="1:16">
      <c r="A218" s="126" t="s">
        <v>99</v>
      </c>
      <c r="B218" s="127" t="s">
        <v>173</v>
      </c>
      <c r="C218" s="125">
        <v>44013</v>
      </c>
      <c r="D218" s="125">
        <v>44407</v>
      </c>
      <c r="E218" s="125"/>
      <c r="F218" s="128" t="s">
        <v>65</v>
      </c>
      <c r="G218" s="80">
        <v>210000000</v>
      </c>
      <c r="H218" s="80">
        <v>0</v>
      </c>
      <c r="I218" s="81">
        <v>12</v>
      </c>
      <c r="J218" s="82" t="s">
        <v>140</v>
      </c>
      <c r="K218" s="128" t="s">
        <v>65</v>
      </c>
      <c r="L218" s="80">
        <v>1500000000</v>
      </c>
      <c r="M218" s="80">
        <v>0</v>
      </c>
      <c r="N218" s="81">
        <v>12</v>
      </c>
      <c r="O218" s="82" t="s">
        <v>140</v>
      </c>
      <c r="P218" s="129"/>
    </row>
    <row r="219" spans="1:16">
      <c r="A219" s="126" t="s">
        <v>99</v>
      </c>
      <c r="B219" s="127" t="s">
        <v>173</v>
      </c>
      <c r="C219" s="125">
        <v>44378</v>
      </c>
      <c r="D219" s="125">
        <v>44772</v>
      </c>
      <c r="E219" s="125"/>
      <c r="F219" s="128" t="s">
        <v>65</v>
      </c>
      <c r="G219" s="80">
        <v>210000000</v>
      </c>
      <c r="H219" s="80">
        <v>0</v>
      </c>
      <c r="I219" s="81">
        <v>12</v>
      </c>
      <c r="J219" s="82" t="s">
        <v>140</v>
      </c>
      <c r="K219" s="128" t="s">
        <v>65</v>
      </c>
      <c r="L219" s="80">
        <v>1500000000</v>
      </c>
      <c r="M219" s="80">
        <v>0</v>
      </c>
      <c r="N219" s="81">
        <v>12</v>
      </c>
      <c r="O219" s="82" t="s">
        <v>140</v>
      </c>
      <c r="P219" s="129"/>
    </row>
    <row r="220" spans="1:16">
      <c r="A220" s="126" t="s">
        <v>99</v>
      </c>
      <c r="B220" s="127" t="s">
        <v>102</v>
      </c>
      <c r="C220" s="125">
        <v>43819</v>
      </c>
      <c r="D220" s="125">
        <v>44184</v>
      </c>
      <c r="E220" s="125"/>
      <c r="F220" s="128" t="s">
        <v>65</v>
      </c>
      <c r="G220" s="80">
        <v>160000000</v>
      </c>
      <c r="H220" s="80">
        <v>0</v>
      </c>
      <c r="I220" s="81">
        <v>7</v>
      </c>
      <c r="J220" s="82" t="s">
        <v>140</v>
      </c>
      <c r="K220" s="128" t="s">
        <v>65</v>
      </c>
      <c r="L220" s="80">
        <v>1750000000</v>
      </c>
      <c r="M220" s="80">
        <v>0</v>
      </c>
      <c r="N220" s="81">
        <v>7</v>
      </c>
      <c r="O220" s="82" t="s">
        <v>140</v>
      </c>
      <c r="P220" s="129"/>
    </row>
    <row r="221" spans="1:16">
      <c r="A221" s="126" t="s">
        <v>99</v>
      </c>
      <c r="B221" s="127" t="s">
        <v>102</v>
      </c>
      <c r="C221" s="125">
        <v>44185</v>
      </c>
      <c r="D221" s="125">
        <v>44549</v>
      </c>
      <c r="E221" s="125"/>
      <c r="F221" s="128" t="s">
        <v>65</v>
      </c>
      <c r="G221" s="80">
        <v>160000000</v>
      </c>
      <c r="H221" s="80">
        <v>0</v>
      </c>
      <c r="I221" s="81">
        <v>7</v>
      </c>
      <c r="J221" s="82" t="s">
        <v>140</v>
      </c>
      <c r="K221" s="128" t="s">
        <v>65</v>
      </c>
      <c r="L221" s="80">
        <v>1750000000</v>
      </c>
      <c r="M221" s="80">
        <v>0</v>
      </c>
      <c r="N221" s="81">
        <v>7</v>
      </c>
      <c r="O221" s="82" t="s">
        <v>140</v>
      </c>
      <c r="P221" s="129"/>
    </row>
    <row r="222" spans="1:16">
      <c r="A222" s="126" t="s">
        <v>99</v>
      </c>
      <c r="B222" s="127" t="s">
        <v>102</v>
      </c>
      <c r="C222" s="125">
        <v>44550</v>
      </c>
      <c r="D222" s="125">
        <v>44914</v>
      </c>
      <c r="E222" s="125"/>
      <c r="F222" s="128" t="s">
        <v>65</v>
      </c>
      <c r="G222" s="80">
        <v>160000000</v>
      </c>
      <c r="H222" s="80">
        <v>0</v>
      </c>
      <c r="I222" s="81">
        <v>7</v>
      </c>
      <c r="J222" s="82" t="s">
        <v>140</v>
      </c>
      <c r="K222" s="128" t="s">
        <v>65</v>
      </c>
      <c r="L222" s="80">
        <v>1750000000</v>
      </c>
      <c r="M222" s="80">
        <v>0</v>
      </c>
      <c r="N222" s="81">
        <v>7</v>
      </c>
      <c r="O222" s="82" t="s">
        <v>140</v>
      </c>
      <c r="P222" s="129"/>
    </row>
    <row r="223" spans="1:16">
      <c r="A223" s="126" t="s">
        <v>99</v>
      </c>
      <c r="B223" s="127" t="s">
        <v>103</v>
      </c>
      <c r="C223" s="125">
        <v>43800</v>
      </c>
      <c r="D223" s="125">
        <v>44165</v>
      </c>
      <c r="E223" s="125"/>
      <c r="F223" s="128" t="s">
        <v>65</v>
      </c>
      <c r="G223" s="80">
        <v>100000000</v>
      </c>
      <c r="H223" s="80">
        <v>0</v>
      </c>
      <c r="I223" s="81">
        <v>12.75</v>
      </c>
      <c r="J223" s="82" t="s">
        <v>140</v>
      </c>
      <c r="K223" s="128" t="s">
        <v>65</v>
      </c>
      <c r="L223" s="80">
        <v>1500000000</v>
      </c>
      <c r="M223" s="80">
        <v>0</v>
      </c>
      <c r="N223" s="81">
        <v>12.75</v>
      </c>
      <c r="O223" s="82" t="s">
        <v>140</v>
      </c>
      <c r="P223" s="129"/>
    </row>
    <row r="224" spans="1:16">
      <c r="A224" s="126" t="s">
        <v>99</v>
      </c>
      <c r="B224" s="127" t="s">
        <v>103</v>
      </c>
      <c r="C224" s="125">
        <v>44166</v>
      </c>
      <c r="D224" s="125">
        <v>44530</v>
      </c>
      <c r="E224" s="125"/>
      <c r="F224" s="128" t="s">
        <v>65</v>
      </c>
      <c r="G224" s="80">
        <v>100000000</v>
      </c>
      <c r="H224" s="80">
        <v>0</v>
      </c>
      <c r="I224" s="81">
        <v>10</v>
      </c>
      <c r="J224" s="82" t="s">
        <v>140</v>
      </c>
      <c r="K224" s="128" t="s">
        <v>65</v>
      </c>
      <c r="L224" s="80">
        <v>1500000000</v>
      </c>
      <c r="M224" s="80">
        <v>0</v>
      </c>
      <c r="N224" s="81">
        <v>10</v>
      </c>
      <c r="O224" s="82" t="s">
        <v>140</v>
      </c>
      <c r="P224" s="129"/>
    </row>
    <row r="225" spans="1:16">
      <c r="A225" s="126" t="s">
        <v>99</v>
      </c>
      <c r="B225" s="127" t="s">
        <v>103</v>
      </c>
      <c r="C225" s="125">
        <v>44531</v>
      </c>
      <c r="D225" s="125">
        <v>44895</v>
      </c>
      <c r="E225" s="125"/>
      <c r="F225" s="128" t="s">
        <v>65</v>
      </c>
      <c r="G225" s="80">
        <v>100000000</v>
      </c>
      <c r="H225" s="80">
        <v>0</v>
      </c>
      <c r="I225" s="81">
        <v>8.75</v>
      </c>
      <c r="J225" s="82" t="s">
        <v>140</v>
      </c>
      <c r="K225" s="128" t="s">
        <v>65</v>
      </c>
      <c r="L225" s="80">
        <v>1500000000</v>
      </c>
      <c r="M225" s="80">
        <v>0</v>
      </c>
      <c r="N225" s="81">
        <v>8.75</v>
      </c>
      <c r="O225" s="82" t="s">
        <v>140</v>
      </c>
      <c r="P225" s="129"/>
    </row>
    <row r="226" spans="1:16">
      <c r="A226" s="126" t="s">
        <v>99</v>
      </c>
      <c r="B226" s="127" t="s">
        <v>104</v>
      </c>
      <c r="C226" s="125">
        <v>43814</v>
      </c>
      <c r="D226" s="125">
        <v>44179</v>
      </c>
      <c r="E226" s="125"/>
      <c r="F226" s="128" t="s">
        <v>65</v>
      </c>
      <c r="G226" s="80">
        <v>50000000</v>
      </c>
      <c r="H226" s="80">
        <v>0</v>
      </c>
      <c r="I226" s="81">
        <v>7.5</v>
      </c>
      <c r="J226" s="82" t="s">
        <v>140</v>
      </c>
      <c r="K226" s="128" t="s">
        <v>65</v>
      </c>
      <c r="L226" s="80">
        <v>1250000000</v>
      </c>
      <c r="M226" s="80">
        <v>0</v>
      </c>
      <c r="N226" s="81">
        <v>7.5</v>
      </c>
      <c r="O226" s="82" t="s">
        <v>140</v>
      </c>
      <c r="P226" s="129"/>
    </row>
    <row r="227" spans="1:16">
      <c r="A227" s="126" t="s">
        <v>99</v>
      </c>
      <c r="B227" s="127" t="s">
        <v>104</v>
      </c>
      <c r="C227" s="125">
        <v>44180</v>
      </c>
      <c r="D227" s="125">
        <v>44544</v>
      </c>
      <c r="E227" s="125"/>
      <c r="F227" s="128" t="s">
        <v>65</v>
      </c>
      <c r="G227" s="80">
        <v>50000000</v>
      </c>
      <c r="H227" s="80">
        <v>0</v>
      </c>
      <c r="I227" s="81">
        <v>5</v>
      </c>
      <c r="J227" s="82" t="s">
        <v>140</v>
      </c>
      <c r="K227" s="128" t="s">
        <v>65</v>
      </c>
      <c r="L227" s="80">
        <v>1250000000</v>
      </c>
      <c r="M227" s="80">
        <v>0</v>
      </c>
      <c r="N227" s="81">
        <v>5</v>
      </c>
      <c r="O227" s="82" t="s">
        <v>140</v>
      </c>
      <c r="P227" s="129"/>
    </row>
    <row r="228" spans="1:16">
      <c r="A228" s="126" t="s">
        <v>99</v>
      </c>
      <c r="B228" s="127" t="s">
        <v>104</v>
      </c>
      <c r="C228" s="125">
        <v>44545</v>
      </c>
      <c r="D228" s="125">
        <v>44909</v>
      </c>
      <c r="E228" s="125"/>
      <c r="F228" s="128" t="s">
        <v>65</v>
      </c>
      <c r="G228" s="80">
        <v>50000000</v>
      </c>
      <c r="H228" s="80">
        <v>0</v>
      </c>
      <c r="I228" s="81">
        <v>5</v>
      </c>
      <c r="J228" s="82" t="s">
        <v>140</v>
      </c>
      <c r="K228" s="128" t="s">
        <v>65</v>
      </c>
      <c r="L228" s="80">
        <v>1250000000</v>
      </c>
      <c r="M228" s="80">
        <v>0</v>
      </c>
      <c r="N228" s="81">
        <v>5</v>
      </c>
      <c r="O228" s="82" t="s">
        <v>140</v>
      </c>
      <c r="P228" s="129"/>
    </row>
    <row r="229" spans="1:16">
      <c r="A229" s="126" t="s">
        <v>99</v>
      </c>
      <c r="B229" s="127" t="s">
        <v>105</v>
      </c>
      <c r="C229" s="125">
        <v>43814</v>
      </c>
      <c r="D229" s="125">
        <v>44105</v>
      </c>
      <c r="E229" s="125"/>
      <c r="F229" s="128" t="s">
        <v>65</v>
      </c>
      <c r="G229" s="80">
        <v>50000000</v>
      </c>
      <c r="H229" s="80">
        <v>0</v>
      </c>
      <c r="I229" s="81">
        <v>2.5</v>
      </c>
      <c r="J229" s="82" t="s">
        <v>140</v>
      </c>
      <c r="K229" s="128" t="s">
        <v>65</v>
      </c>
      <c r="L229" s="80">
        <v>1250000000</v>
      </c>
      <c r="M229" s="80">
        <v>0</v>
      </c>
      <c r="N229" s="81">
        <v>2.5</v>
      </c>
      <c r="O229" s="82" t="s">
        <v>140</v>
      </c>
      <c r="P229" s="129"/>
    </row>
    <row r="230" spans="1:16">
      <c r="A230" s="126" t="s">
        <v>99</v>
      </c>
      <c r="B230" s="127" t="s">
        <v>105</v>
      </c>
      <c r="C230" s="125" t="s">
        <v>310</v>
      </c>
      <c r="D230" s="125"/>
      <c r="E230" s="125"/>
      <c r="F230" s="128"/>
      <c r="G230" s="80"/>
      <c r="H230" s="80"/>
      <c r="I230" s="81"/>
      <c r="J230" s="82"/>
      <c r="K230" s="128"/>
      <c r="L230" s="80"/>
      <c r="M230" s="80"/>
      <c r="N230" s="81"/>
      <c r="O230" s="82"/>
      <c r="P230" s="129"/>
    </row>
    <row r="231" spans="1:16">
      <c r="A231" s="126" t="s">
        <v>99</v>
      </c>
      <c r="B231" s="127" t="s">
        <v>105</v>
      </c>
      <c r="C231" s="125" t="s">
        <v>310</v>
      </c>
      <c r="D231" s="125"/>
      <c r="E231" s="125"/>
      <c r="F231" s="128"/>
      <c r="G231" s="80"/>
      <c r="H231" s="80"/>
      <c r="I231" s="81"/>
      <c r="J231" s="82"/>
      <c r="K231" s="128"/>
      <c r="L231" s="80"/>
      <c r="M231" s="80"/>
      <c r="N231" s="81"/>
      <c r="O231" s="82"/>
      <c r="P231" s="129"/>
    </row>
    <row r="232" spans="1:16">
      <c r="A232" s="126" t="s">
        <v>99</v>
      </c>
      <c r="B232" s="127" t="s">
        <v>106</v>
      </c>
      <c r="C232" s="125">
        <v>43814</v>
      </c>
      <c r="D232" s="125">
        <v>44105</v>
      </c>
      <c r="E232" s="125"/>
      <c r="F232" s="128" t="s">
        <v>65</v>
      </c>
      <c r="G232" s="80">
        <v>50000000</v>
      </c>
      <c r="H232" s="80">
        <v>0</v>
      </c>
      <c r="I232" s="81">
        <v>2.5</v>
      </c>
      <c r="J232" s="82" t="s">
        <v>140</v>
      </c>
      <c r="K232" s="128" t="s">
        <v>65</v>
      </c>
      <c r="L232" s="80">
        <v>1250000000</v>
      </c>
      <c r="M232" s="80">
        <v>0</v>
      </c>
      <c r="N232" s="81">
        <v>2.5</v>
      </c>
      <c r="O232" s="82" t="s">
        <v>140</v>
      </c>
      <c r="P232" s="129"/>
    </row>
    <row r="233" spans="1:16">
      <c r="A233" s="126" t="s">
        <v>99</v>
      </c>
      <c r="B233" s="127" t="s">
        <v>106</v>
      </c>
      <c r="C233" s="125" t="s">
        <v>310</v>
      </c>
      <c r="D233" s="125"/>
      <c r="E233" s="125"/>
      <c r="F233" s="128"/>
      <c r="G233" s="80"/>
      <c r="H233" s="80"/>
      <c r="I233" s="81"/>
      <c r="J233" s="82"/>
      <c r="K233" s="128"/>
      <c r="L233" s="80"/>
      <c r="M233" s="80"/>
      <c r="N233" s="81"/>
      <c r="O233" s="82"/>
      <c r="P233" s="129"/>
    </row>
    <row r="234" spans="1:16">
      <c r="A234" s="126" t="s">
        <v>99</v>
      </c>
      <c r="B234" s="127" t="s">
        <v>106</v>
      </c>
      <c r="C234" s="125" t="s">
        <v>310</v>
      </c>
      <c r="D234" s="125"/>
      <c r="E234" s="125"/>
      <c r="F234" s="128"/>
      <c r="G234" s="80"/>
      <c r="H234" s="80"/>
      <c r="I234" s="81"/>
      <c r="J234" s="82"/>
      <c r="K234" s="128"/>
      <c r="L234" s="80"/>
      <c r="M234" s="80"/>
      <c r="N234" s="81"/>
      <c r="O234" s="82"/>
      <c r="P234" s="129"/>
    </row>
    <row r="235" spans="1:16">
      <c r="A235" s="126" t="s">
        <v>99</v>
      </c>
      <c r="B235" s="127" t="s">
        <v>107</v>
      </c>
      <c r="C235" s="125">
        <v>43814</v>
      </c>
      <c r="D235" s="125">
        <v>44179</v>
      </c>
      <c r="E235" s="125"/>
      <c r="F235" s="128" t="s">
        <v>65</v>
      </c>
      <c r="G235" s="80">
        <v>60000000</v>
      </c>
      <c r="H235" s="80">
        <v>0</v>
      </c>
      <c r="I235" s="81">
        <v>3.25</v>
      </c>
      <c r="J235" s="82" t="s">
        <v>140</v>
      </c>
      <c r="K235" s="128" t="s">
        <v>65</v>
      </c>
      <c r="L235" s="80">
        <v>1500000000</v>
      </c>
      <c r="M235" s="80">
        <v>0</v>
      </c>
      <c r="N235" s="81">
        <v>3.25</v>
      </c>
      <c r="O235" s="82" t="s">
        <v>140</v>
      </c>
      <c r="P235" s="129"/>
    </row>
    <row r="236" spans="1:16">
      <c r="A236" s="126" t="s">
        <v>99</v>
      </c>
      <c r="B236" s="127" t="s">
        <v>107</v>
      </c>
      <c r="C236" s="125">
        <v>44180</v>
      </c>
      <c r="D236" s="125">
        <v>44544</v>
      </c>
      <c r="E236" s="125"/>
      <c r="F236" s="128" t="s">
        <v>65</v>
      </c>
      <c r="G236" s="80">
        <v>60000000</v>
      </c>
      <c r="H236" s="80">
        <v>0</v>
      </c>
      <c r="I236" s="81">
        <v>3.25</v>
      </c>
      <c r="J236" s="82" t="s">
        <v>140</v>
      </c>
      <c r="K236" s="128" t="s">
        <v>65</v>
      </c>
      <c r="L236" s="80">
        <v>1500000000</v>
      </c>
      <c r="M236" s="80">
        <v>0</v>
      </c>
      <c r="N236" s="81">
        <v>3.25</v>
      </c>
      <c r="O236" s="82" t="s">
        <v>140</v>
      </c>
      <c r="P236" s="129"/>
    </row>
    <row r="237" spans="1:16">
      <c r="A237" s="126" t="s">
        <v>99</v>
      </c>
      <c r="B237" s="127" t="s">
        <v>107</v>
      </c>
      <c r="C237" s="125">
        <v>44545</v>
      </c>
      <c r="D237" s="125">
        <v>44909</v>
      </c>
      <c r="E237" s="125"/>
      <c r="F237" s="128" t="s">
        <v>65</v>
      </c>
      <c r="G237" s="80">
        <v>60000000</v>
      </c>
      <c r="H237" s="80">
        <v>0</v>
      </c>
      <c r="I237" s="81">
        <v>5</v>
      </c>
      <c r="J237" s="82" t="s">
        <v>140</v>
      </c>
      <c r="K237" s="128" t="s">
        <v>65</v>
      </c>
      <c r="L237" s="80">
        <v>1500000000</v>
      </c>
      <c r="M237" s="80">
        <v>0</v>
      </c>
      <c r="N237" s="81">
        <v>5</v>
      </c>
      <c r="O237" s="82" t="s">
        <v>140</v>
      </c>
      <c r="P237" s="129"/>
    </row>
    <row r="238" spans="1:16">
      <c r="A238" s="126" t="s">
        <v>99</v>
      </c>
      <c r="B238" s="127" t="s">
        <v>108</v>
      </c>
      <c r="C238" s="125">
        <v>43647</v>
      </c>
      <c r="D238" s="125">
        <v>44012</v>
      </c>
      <c r="E238" s="125"/>
      <c r="F238" s="128" t="s">
        <v>65</v>
      </c>
      <c r="G238" s="80">
        <v>90000000</v>
      </c>
      <c r="H238" s="80">
        <v>0</v>
      </c>
      <c r="I238" s="81">
        <v>9</v>
      </c>
      <c r="J238" s="82" t="s">
        <v>140</v>
      </c>
      <c r="K238" s="128" t="s">
        <v>65</v>
      </c>
      <c r="L238" s="80">
        <v>1500000000</v>
      </c>
      <c r="M238" s="80">
        <v>0</v>
      </c>
      <c r="N238" s="81">
        <v>9</v>
      </c>
      <c r="O238" s="82" t="s">
        <v>140</v>
      </c>
      <c r="P238" s="129"/>
    </row>
    <row r="239" spans="1:16">
      <c r="A239" s="126" t="s">
        <v>99</v>
      </c>
      <c r="B239" s="127" t="s">
        <v>108</v>
      </c>
      <c r="C239" s="125">
        <v>44013</v>
      </c>
      <c r="D239" s="125">
        <v>44377</v>
      </c>
      <c r="E239" s="125"/>
      <c r="F239" s="128" t="s">
        <v>65</v>
      </c>
      <c r="G239" s="80">
        <v>90000000</v>
      </c>
      <c r="H239" s="80">
        <v>0</v>
      </c>
      <c r="I239" s="81">
        <v>9</v>
      </c>
      <c r="J239" s="82" t="s">
        <v>140</v>
      </c>
      <c r="K239" s="128" t="s">
        <v>65</v>
      </c>
      <c r="L239" s="80">
        <v>1500000000</v>
      </c>
      <c r="M239" s="80">
        <v>0</v>
      </c>
      <c r="N239" s="81">
        <v>9</v>
      </c>
      <c r="O239" s="82" t="s">
        <v>140</v>
      </c>
      <c r="P239" s="129"/>
    </row>
    <row r="240" spans="1:16">
      <c r="A240" s="126" t="s">
        <v>99</v>
      </c>
      <c r="B240" s="127" t="s">
        <v>108</v>
      </c>
      <c r="C240" s="125">
        <v>44378</v>
      </c>
      <c r="D240" s="125">
        <v>44742</v>
      </c>
      <c r="E240" s="125"/>
      <c r="F240" s="128" t="s">
        <v>65</v>
      </c>
      <c r="G240" s="80">
        <v>90000000</v>
      </c>
      <c r="H240" s="80">
        <v>0</v>
      </c>
      <c r="I240" s="81">
        <v>9</v>
      </c>
      <c r="J240" s="82" t="s">
        <v>140</v>
      </c>
      <c r="K240" s="128" t="s">
        <v>65</v>
      </c>
      <c r="L240" s="80">
        <v>1500000000</v>
      </c>
      <c r="M240" s="80">
        <v>0</v>
      </c>
      <c r="N240" s="81">
        <v>9</v>
      </c>
      <c r="O240" s="82" t="s">
        <v>140</v>
      </c>
      <c r="P240" s="129"/>
    </row>
    <row r="241" spans="1:16">
      <c r="A241" s="126" t="s">
        <v>99</v>
      </c>
      <c r="B241" s="127" t="s">
        <v>174</v>
      </c>
      <c r="C241" s="125">
        <v>43814</v>
      </c>
      <c r="D241" s="125">
        <v>44105</v>
      </c>
      <c r="E241" s="125"/>
      <c r="F241" s="128" t="s">
        <v>65</v>
      </c>
      <c r="G241" s="80">
        <v>50000000</v>
      </c>
      <c r="H241" s="80">
        <v>0</v>
      </c>
      <c r="I241" s="81">
        <v>2.5</v>
      </c>
      <c r="J241" s="82" t="s">
        <v>140</v>
      </c>
      <c r="K241" s="128" t="s">
        <v>65</v>
      </c>
      <c r="L241" s="80">
        <v>1250000000</v>
      </c>
      <c r="M241" s="80">
        <v>0</v>
      </c>
      <c r="N241" s="81">
        <v>2.5</v>
      </c>
      <c r="O241" s="82" t="s">
        <v>140</v>
      </c>
      <c r="P241" s="129"/>
    </row>
    <row r="242" spans="1:16">
      <c r="A242" s="126" t="s">
        <v>99</v>
      </c>
      <c r="B242" s="127" t="s">
        <v>174</v>
      </c>
      <c r="C242" s="125" t="s">
        <v>310</v>
      </c>
      <c r="D242" s="125"/>
      <c r="E242" s="125"/>
      <c r="F242" s="128"/>
      <c r="G242" s="80"/>
      <c r="H242" s="80"/>
      <c r="I242" s="81"/>
      <c r="J242" s="82"/>
      <c r="K242" s="128"/>
      <c r="L242" s="80"/>
      <c r="M242" s="80"/>
      <c r="N242" s="81"/>
      <c r="O242" s="82"/>
      <c r="P242" s="129"/>
    </row>
    <row r="243" spans="1:16">
      <c r="A243" s="126" t="s">
        <v>99</v>
      </c>
      <c r="B243" s="127" t="s">
        <v>174</v>
      </c>
      <c r="C243" s="125" t="s">
        <v>310</v>
      </c>
      <c r="D243" s="125"/>
      <c r="E243" s="125"/>
      <c r="F243" s="128"/>
      <c r="G243" s="80"/>
      <c r="H243" s="80"/>
      <c r="I243" s="81"/>
      <c r="J243" s="82"/>
      <c r="K243" s="128"/>
      <c r="L243" s="80"/>
      <c r="M243" s="80"/>
      <c r="N243" s="81"/>
      <c r="O243" s="82"/>
      <c r="P243" s="129"/>
    </row>
    <row r="244" spans="1:16">
      <c r="A244" s="126" t="s">
        <v>99</v>
      </c>
      <c r="B244" s="127" t="s">
        <v>159</v>
      </c>
      <c r="C244" s="125">
        <v>43830</v>
      </c>
      <c r="D244" s="125">
        <v>44195</v>
      </c>
      <c r="E244" s="125"/>
      <c r="F244" s="128" t="s">
        <v>65</v>
      </c>
      <c r="G244" s="80">
        <v>185000000</v>
      </c>
      <c r="H244" s="80">
        <v>0</v>
      </c>
      <c r="I244" s="81">
        <v>4</v>
      </c>
      <c r="J244" s="82" t="s">
        <v>140</v>
      </c>
      <c r="K244" s="128" t="s">
        <v>65</v>
      </c>
      <c r="L244" s="80">
        <v>2000000000</v>
      </c>
      <c r="M244" s="80">
        <v>0</v>
      </c>
      <c r="N244" s="81">
        <v>4</v>
      </c>
      <c r="O244" s="82" t="s">
        <v>140</v>
      </c>
      <c r="P244" s="129"/>
    </row>
    <row r="245" spans="1:16">
      <c r="A245" s="126" t="s">
        <v>99</v>
      </c>
      <c r="B245" s="127" t="s">
        <v>159</v>
      </c>
      <c r="C245" s="125" t="s">
        <v>310</v>
      </c>
      <c r="D245" s="125"/>
      <c r="E245" s="125"/>
      <c r="F245" s="128"/>
      <c r="G245" s="80"/>
      <c r="H245" s="80"/>
      <c r="I245" s="81"/>
      <c r="J245" s="82"/>
      <c r="K245" s="128"/>
      <c r="L245" s="80"/>
      <c r="M245" s="80"/>
      <c r="N245" s="81"/>
      <c r="O245" s="82"/>
      <c r="P245" s="129"/>
    </row>
    <row r="246" spans="1:16">
      <c r="A246" s="126" t="s">
        <v>99</v>
      </c>
      <c r="B246" s="127" t="s">
        <v>159</v>
      </c>
      <c r="C246" s="125">
        <v>44561</v>
      </c>
      <c r="D246" s="125">
        <v>44925</v>
      </c>
      <c r="E246" s="125"/>
      <c r="F246" s="128" t="s">
        <v>65</v>
      </c>
      <c r="G246" s="80">
        <v>185000000</v>
      </c>
      <c r="H246" s="80">
        <v>0</v>
      </c>
      <c r="I246" s="81">
        <v>1</v>
      </c>
      <c r="J246" s="82" t="s">
        <v>140</v>
      </c>
      <c r="K246" s="128" t="s">
        <v>65</v>
      </c>
      <c r="L246" s="80">
        <v>2000000000</v>
      </c>
      <c r="M246" s="80">
        <v>0</v>
      </c>
      <c r="N246" s="81">
        <v>1</v>
      </c>
      <c r="O246" s="82" t="s">
        <v>140</v>
      </c>
      <c r="P246" s="129"/>
    </row>
    <row r="247" spans="1:16">
      <c r="A247" s="126" t="s">
        <v>99</v>
      </c>
      <c r="B247" s="127" t="s">
        <v>109</v>
      </c>
      <c r="C247" s="125"/>
      <c r="D247" s="125"/>
      <c r="E247" s="125"/>
      <c r="F247" s="128"/>
      <c r="G247" s="80"/>
      <c r="H247" s="80"/>
      <c r="I247" s="81"/>
      <c r="J247" s="82"/>
      <c r="K247" s="128"/>
      <c r="L247" s="80"/>
      <c r="M247" s="80"/>
      <c r="N247" s="81"/>
      <c r="O247" s="82"/>
      <c r="P247" s="129"/>
    </row>
    <row r="248" spans="1:16">
      <c r="A248" s="126" t="s">
        <v>99</v>
      </c>
      <c r="B248" s="127" t="s">
        <v>109</v>
      </c>
      <c r="C248" s="125"/>
      <c r="D248" s="125"/>
      <c r="E248" s="125"/>
      <c r="F248" s="128"/>
      <c r="G248" s="80"/>
      <c r="H248" s="80"/>
      <c r="I248" s="81"/>
      <c r="J248" s="82"/>
      <c r="K248" s="128"/>
      <c r="L248" s="80"/>
      <c r="M248" s="80"/>
      <c r="N248" s="81"/>
      <c r="O248" s="82"/>
      <c r="P248" s="129"/>
    </row>
    <row r="249" spans="1:16">
      <c r="A249" s="126" t="s">
        <v>99</v>
      </c>
      <c r="B249" s="127" t="s">
        <v>109</v>
      </c>
      <c r="C249" s="125">
        <v>44516</v>
      </c>
      <c r="D249" s="125">
        <v>44881</v>
      </c>
      <c r="E249" s="125"/>
      <c r="F249" s="128" t="s">
        <v>65</v>
      </c>
      <c r="G249" s="80">
        <v>225000000</v>
      </c>
      <c r="H249" s="80">
        <v>0</v>
      </c>
      <c r="I249" s="81">
        <v>7.5</v>
      </c>
      <c r="J249" s="82" t="s">
        <v>140</v>
      </c>
      <c r="K249" s="128" t="s">
        <v>65</v>
      </c>
      <c r="L249" s="80">
        <v>1500000000</v>
      </c>
      <c r="M249" s="80">
        <v>0</v>
      </c>
      <c r="N249" s="81">
        <v>7.5</v>
      </c>
      <c r="O249" s="82" t="s">
        <v>140</v>
      </c>
      <c r="P249" s="129"/>
    </row>
    <row r="250" spans="1:16">
      <c r="A250" s="126" t="s">
        <v>110</v>
      </c>
      <c r="B250" s="127" t="s">
        <v>186</v>
      </c>
      <c r="C250" s="125">
        <v>43831</v>
      </c>
      <c r="D250" s="125">
        <v>44196</v>
      </c>
      <c r="E250" s="125"/>
      <c r="F250" s="128" t="s">
        <v>65</v>
      </c>
      <c r="G250" s="80">
        <v>300000000</v>
      </c>
      <c r="H250" s="80"/>
      <c r="I250" s="81">
        <v>13.5</v>
      </c>
      <c r="J250" s="82"/>
      <c r="K250" s="128" t="s">
        <v>65</v>
      </c>
      <c r="L250" s="80">
        <v>3000000000</v>
      </c>
      <c r="M250" s="80">
        <v>0</v>
      </c>
      <c r="N250" s="81">
        <v>13.5</v>
      </c>
      <c r="O250" s="82" t="s">
        <v>140</v>
      </c>
      <c r="P250" s="129"/>
    </row>
    <row r="251" spans="1:16">
      <c r="A251" s="126" t="s">
        <v>110</v>
      </c>
      <c r="B251" s="127" t="s">
        <v>186</v>
      </c>
      <c r="C251" s="125">
        <v>43831</v>
      </c>
      <c r="D251" s="125">
        <v>44196</v>
      </c>
      <c r="E251" s="125"/>
      <c r="F251" s="128" t="s">
        <v>65</v>
      </c>
      <c r="G251" s="80">
        <v>330000000</v>
      </c>
      <c r="H251" s="80">
        <v>20000000</v>
      </c>
      <c r="I251" s="81">
        <v>5</v>
      </c>
      <c r="J251" s="82"/>
      <c r="K251" s="128" t="s">
        <v>65</v>
      </c>
      <c r="L251" s="80">
        <v>50000000</v>
      </c>
      <c r="M251" s="80"/>
      <c r="N251" s="81">
        <v>5</v>
      </c>
      <c r="O251" s="82" t="s">
        <v>140</v>
      </c>
      <c r="P251" s="129"/>
    </row>
    <row r="252" spans="1:16">
      <c r="A252" s="126" t="s">
        <v>110</v>
      </c>
      <c r="B252" s="127" t="s">
        <v>186</v>
      </c>
      <c r="C252" s="125">
        <v>44197</v>
      </c>
      <c r="D252" s="125">
        <v>44561</v>
      </c>
      <c r="E252" s="125"/>
      <c r="F252" s="128" t="s">
        <v>65</v>
      </c>
      <c r="G252" s="80">
        <v>300000000</v>
      </c>
      <c r="H252" s="80"/>
      <c r="I252" s="81">
        <v>11.5</v>
      </c>
      <c r="J252" s="82"/>
      <c r="K252" s="128" t="s">
        <v>65</v>
      </c>
      <c r="L252" s="80">
        <v>3000000000</v>
      </c>
      <c r="M252" s="80">
        <v>0</v>
      </c>
      <c r="N252" s="81">
        <v>11.5</v>
      </c>
      <c r="O252" s="82" t="s">
        <v>140</v>
      </c>
      <c r="P252" s="129"/>
    </row>
    <row r="253" spans="1:16">
      <c r="A253" s="126" t="s">
        <v>110</v>
      </c>
      <c r="B253" s="127" t="s">
        <v>186</v>
      </c>
      <c r="C253" s="125">
        <v>44197</v>
      </c>
      <c r="D253" s="125">
        <v>44561</v>
      </c>
      <c r="E253" s="125"/>
      <c r="F253" s="128" t="s">
        <v>65</v>
      </c>
      <c r="G253" s="80">
        <v>330000000</v>
      </c>
      <c r="H253" s="80">
        <v>20000000</v>
      </c>
      <c r="I253" s="81">
        <v>5</v>
      </c>
      <c r="J253" s="82"/>
      <c r="K253" s="128" t="s">
        <v>65</v>
      </c>
      <c r="L253" s="80">
        <v>50000000</v>
      </c>
      <c r="M253" s="80"/>
      <c r="N253" s="81">
        <v>5</v>
      </c>
      <c r="O253" s="82" t="s">
        <v>140</v>
      </c>
      <c r="P253" s="129"/>
    </row>
    <row r="254" spans="1:16">
      <c r="A254" s="126" t="s">
        <v>110</v>
      </c>
      <c r="B254" s="127" t="s">
        <v>186</v>
      </c>
      <c r="C254" s="125">
        <v>44562</v>
      </c>
      <c r="D254" s="125">
        <v>44926</v>
      </c>
      <c r="E254" s="125"/>
      <c r="F254" s="128" t="s">
        <v>65</v>
      </c>
      <c r="G254" s="80">
        <v>300000000</v>
      </c>
      <c r="H254" s="80"/>
      <c r="I254" s="81">
        <v>11.5</v>
      </c>
      <c r="J254" s="82"/>
      <c r="K254" s="128" t="s">
        <v>65</v>
      </c>
      <c r="L254" s="80">
        <v>3000000000</v>
      </c>
      <c r="M254" s="80">
        <v>0</v>
      </c>
      <c r="N254" s="81">
        <v>11.5</v>
      </c>
      <c r="O254" s="82" t="s">
        <v>140</v>
      </c>
      <c r="P254" s="129"/>
    </row>
    <row r="255" spans="1:16">
      <c r="A255" s="126" t="s">
        <v>110</v>
      </c>
      <c r="B255" s="127" t="s">
        <v>186</v>
      </c>
      <c r="C255" s="125">
        <v>44562</v>
      </c>
      <c r="D255" s="125">
        <v>44926</v>
      </c>
      <c r="E255" s="125"/>
      <c r="F255" s="128" t="s">
        <v>65</v>
      </c>
      <c r="G255" s="80">
        <v>330000000</v>
      </c>
      <c r="H255" s="80">
        <v>20000000</v>
      </c>
      <c r="I255" s="81">
        <v>5</v>
      </c>
      <c r="J255" s="82"/>
      <c r="K255" s="128" t="s">
        <v>65</v>
      </c>
      <c r="L255" s="80">
        <v>50000000</v>
      </c>
      <c r="M255" s="80"/>
      <c r="N255" s="81">
        <v>5</v>
      </c>
      <c r="O255" s="82" t="s">
        <v>140</v>
      </c>
      <c r="P255" s="129"/>
    </row>
    <row r="256" spans="1:16">
      <c r="A256" s="126" t="s">
        <v>110</v>
      </c>
      <c r="B256" s="127" t="s">
        <v>186</v>
      </c>
      <c r="C256" s="125"/>
      <c r="D256" s="125"/>
      <c r="E256" s="125"/>
      <c r="F256" s="128"/>
      <c r="G256" s="80"/>
      <c r="H256" s="80"/>
      <c r="I256" s="81"/>
      <c r="J256" s="82"/>
      <c r="K256" s="128"/>
      <c r="L256" s="80"/>
      <c r="M256" s="80"/>
      <c r="N256" s="81"/>
      <c r="O256" s="82"/>
      <c r="P256" s="129"/>
    </row>
    <row r="257" spans="1:16">
      <c r="A257" s="126" t="s">
        <v>110</v>
      </c>
      <c r="B257" s="127" t="s">
        <v>111</v>
      </c>
      <c r="C257" s="125">
        <v>43556</v>
      </c>
      <c r="D257" s="125">
        <v>43921</v>
      </c>
      <c r="E257" s="125"/>
      <c r="F257" s="128" t="s">
        <v>1</v>
      </c>
      <c r="G257" s="80">
        <v>100000000</v>
      </c>
      <c r="H257" s="80"/>
      <c r="I257" s="81">
        <v>4.5</v>
      </c>
      <c r="J257" s="82"/>
      <c r="K257" s="128" t="s">
        <v>65</v>
      </c>
      <c r="L257" s="80">
        <v>1500000000</v>
      </c>
      <c r="M257" s="80">
        <v>0</v>
      </c>
      <c r="N257" s="81">
        <v>4.5</v>
      </c>
      <c r="O257" s="82" t="s">
        <v>140</v>
      </c>
      <c r="P257" s="129"/>
    </row>
    <row r="258" spans="1:16">
      <c r="A258" s="126" t="s">
        <v>110</v>
      </c>
      <c r="B258" s="127" t="s">
        <v>111</v>
      </c>
      <c r="C258" s="125">
        <v>43922</v>
      </c>
      <c r="D258" s="125">
        <v>44286</v>
      </c>
      <c r="E258" s="125"/>
      <c r="F258" s="128" t="s">
        <v>1</v>
      </c>
      <c r="G258" s="80">
        <v>100000000</v>
      </c>
      <c r="H258" s="80"/>
      <c r="I258" s="81">
        <v>4.5</v>
      </c>
      <c r="J258" s="82"/>
      <c r="K258" s="128" t="s">
        <v>65</v>
      </c>
      <c r="L258" s="80">
        <v>1500000000</v>
      </c>
      <c r="M258" s="80">
        <v>0</v>
      </c>
      <c r="N258" s="81">
        <v>4.5</v>
      </c>
      <c r="O258" s="82" t="s">
        <v>140</v>
      </c>
      <c r="P258" s="129"/>
    </row>
    <row r="259" spans="1:16">
      <c r="A259" s="126" t="s">
        <v>110</v>
      </c>
      <c r="B259" s="127" t="s">
        <v>111</v>
      </c>
      <c r="C259" s="125">
        <v>44287</v>
      </c>
      <c r="D259" s="125">
        <v>44651</v>
      </c>
      <c r="E259" s="125"/>
      <c r="F259" s="128" t="s">
        <v>1</v>
      </c>
      <c r="G259" s="80">
        <v>110000000</v>
      </c>
      <c r="H259" s="80"/>
      <c r="I259" s="81">
        <v>4.5</v>
      </c>
      <c r="J259" s="82"/>
      <c r="K259" s="128" t="s">
        <v>65</v>
      </c>
      <c r="L259" s="80">
        <v>1500000000</v>
      </c>
      <c r="M259" s="80">
        <v>0</v>
      </c>
      <c r="N259" s="81">
        <v>4.5</v>
      </c>
      <c r="O259" s="82" t="s">
        <v>140</v>
      </c>
      <c r="P259" s="129"/>
    </row>
    <row r="260" spans="1:16">
      <c r="A260" s="126" t="s">
        <v>110</v>
      </c>
      <c r="B260" s="127" t="s">
        <v>112</v>
      </c>
      <c r="C260" s="125">
        <v>43647</v>
      </c>
      <c r="D260" s="125">
        <v>44012</v>
      </c>
      <c r="E260" s="125"/>
      <c r="F260" s="128" t="s">
        <v>65</v>
      </c>
      <c r="G260" s="80">
        <v>400000000</v>
      </c>
      <c r="H260" s="80">
        <v>0</v>
      </c>
      <c r="I260" s="81">
        <v>14.5</v>
      </c>
      <c r="J260" s="82" t="s">
        <v>140</v>
      </c>
      <c r="K260" s="128" t="s">
        <v>65</v>
      </c>
      <c r="L260" s="80">
        <v>2250000000</v>
      </c>
      <c r="M260" s="80">
        <v>0</v>
      </c>
      <c r="N260" s="81">
        <v>14.5</v>
      </c>
      <c r="O260" s="82" t="s">
        <v>140</v>
      </c>
      <c r="P260" s="129"/>
    </row>
    <row r="261" spans="1:16">
      <c r="A261" s="126" t="s">
        <v>110</v>
      </c>
      <c r="B261" s="127" t="s">
        <v>112</v>
      </c>
      <c r="C261" s="125">
        <v>43647</v>
      </c>
      <c r="D261" s="125">
        <v>44012</v>
      </c>
      <c r="E261" s="125"/>
      <c r="F261" s="128"/>
      <c r="G261" s="80"/>
      <c r="H261" s="80"/>
      <c r="I261" s="81"/>
      <c r="J261" s="82"/>
      <c r="K261" s="128" t="s">
        <v>65</v>
      </c>
      <c r="L261" s="80">
        <v>500000000</v>
      </c>
      <c r="M261" s="80">
        <v>2250000000</v>
      </c>
      <c r="N261" s="81">
        <v>1.5</v>
      </c>
      <c r="O261" s="82" t="s">
        <v>140</v>
      </c>
      <c r="P261" s="129"/>
    </row>
    <row r="262" spans="1:16">
      <c r="A262" s="126" t="s">
        <v>110</v>
      </c>
      <c r="B262" s="127" t="s">
        <v>112</v>
      </c>
      <c r="C262" s="125">
        <v>44013</v>
      </c>
      <c r="D262" s="125">
        <v>44377</v>
      </c>
      <c r="E262" s="125"/>
      <c r="F262" s="128" t="s">
        <v>65</v>
      </c>
      <c r="G262" s="80">
        <v>400000000</v>
      </c>
      <c r="H262" s="80">
        <v>0</v>
      </c>
      <c r="I262" s="81">
        <v>13</v>
      </c>
      <c r="J262" s="82" t="s">
        <v>140</v>
      </c>
      <c r="K262" s="128" t="s">
        <v>65</v>
      </c>
      <c r="L262" s="80">
        <v>2250000000</v>
      </c>
      <c r="M262" s="80">
        <v>0</v>
      </c>
      <c r="N262" s="81">
        <v>14.5</v>
      </c>
      <c r="O262" s="82" t="s">
        <v>140</v>
      </c>
      <c r="P262" s="129"/>
    </row>
    <row r="263" spans="1:16">
      <c r="A263" s="126" t="s">
        <v>110</v>
      </c>
      <c r="B263" s="127" t="s">
        <v>112</v>
      </c>
      <c r="C263" s="125">
        <v>44013</v>
      </c>
      <c r="D263" s="125">
        <v>44377</v>
      </c>
      <c r="E263" s="125"/>
      <c r="F263" s="128"/>
      <c r="G263" s="80"/>
      <c r="H263" s="80"/>
      <c r="I263" s="81"/>
      <c r="J263" s="82"/>
      <c r="K263" s="128" t="s">
        <v>65</v>
      </c>
      <c r="L263" s="80">
        <v>500000000</v>
      </c>
      <c r="M263" s="80">
        <v>2250000000</v>
      </c>
      <c r="N263" s="81">
        <v>1.5</v>
      </c>
      <c r="O263" s="82" t="s">
        <v>140</v>
      </c>
      <c r="P263" s="129"/>
    </row>
    <row r="264" spans="1:16">
      <c r="A264" s="126" t="s">
        <v>110</v>
      </c>
      <c r="B264" s="127" t="s">
        <v>112</v>
      </c>
      <c r="C264" s="125">
        <v>44378</v>
      </c>
      <c r="D264" s="125">
        <v>44742</v>
      </c>
      <c r="E264" s="125"/>
      <c r="F264" s="128" t="s">
        <v>65</v>
      </c>
      <c r="G264" s="80">
        <v>400000000</v>
      </c>
      <c r="H264" s="80">
        <v>0</v>
      </c>
      <c r="I264" s="81">
        <v>13</v>
      </c>
      <c r="J264" s="82" t="s">
        <v>140</v>
      </c>
      <c r="K264" s="128" t="s">
        <v>65</v>
      </c>
      <c r="L264" s="80">
        <v>2250000000</v>
      </c>
      <c r="M264" s="80">
        <v>0</v>
      </c>
      <c r="N264" s="81">
        <v>14.5</v>
      </c>
      <c r="O264" s="82"/>
      <c r="P264" s="129"/>
    </row>
    <row r="265" spans="1:16">
      <c r="A265" s="126" t="s">
        <v>110</v>
      </c>
      <c r="B265" s="127" t="s">
        <v>112</v>
      </c>
      <c r="C265" s="125">
        <v>44013</v>
      </c>
      <c r="D265" s="125">
        <v>44377</v>
      </c>
      <c r="E265" s="125"/>
      <c r="F265" s="128"/>
      <c r="G265" s="80"/>
      <c r="H265" s="80"/>
      <c r="I265" s="81"/>
      <c r="J265" s="82"/>
      <c r="K265" s="128" t="s">
        <v>65</v>
      </c>
      <c r="L265" s="80">
        <v>500000000</v>
      </c>
      <c r="M265" s="80">
        <v>2250000000</v>
      </c>
      <c r="N265" s="81">
        <v>7.5</v>
      </c>
      <c r="O265" s="82"/>
      <c r="P265" s="129"/>
    </row>
    <row r="266" spans="1:16">
      <c r="A266" s="126" t="s">
        <v>110</v>
      </c>
      <c r="B266" s="127" t="s">
        <v>113</v>
      </c>
      <c r="C266" s="125">
        <v>43814</v>
      </c>
      <c r="D266" s="125">
        <v>44179</v>
      </c>
      <c r="E266" s="125"/>
      <c r="F266" s="128" t="s">
        <v>65</v>
      </c>
      <c r="G266" s="80">
        <v>100000000</v>
      </c>
      <c r="H266" s="80">
        <v>0</v>
      </c>
      <c r="I266" s="81">
        <v>10.5</v>
      </c>
      <c r="J266" s="82" t="s">
        <v>140</v>
      </c>
      <c r="K266" s="128" t="s">
        <v>65</v>
      </c>
      <c r="L266" s="80">
        <v>1500000000</v>
      </c>
      <c r="M266" s="80">
        <v>0</v>
      </c>
      <c r="N266" s="81">
        <v>10.5</v>
      </c>
      <c r="O266" s="82" t="s">
        <v>140</v>
      </c>
      <c r="P266" s="129"/>
    </row>
    <row r="267" spans="1:16">
      <c r="A267" s="126" t="s">
        <v>110</v>
      </c>
      <c r="B267" s="127" t="s">
        <v>113</v>
      </c>
      <c r="C267" s="125">
        <v>44180</v>
      </c>
      <c r="D267" s="125">
        <v>44544</v>
      </c>
      <c r="E267" s="125"/>
      <c r="F267" s="128" t="s">
        <v>65</v>
      </c>
      <c r="G267" s="80">
        <v>100000000</v>
      </c>
      <c r="H267" s="80">
        <v>0</v>
      </c>
      <c r="I267" s="81">
        <v>9</v>
      </c>
      <c r="J267" s="82" t="s">
        <v>140</v>
      </c>
      <c r="K267" s="128" t="s">
        <v>65</v>
      </c>
      <c r="L267" s="80">
        <v>1500000000</v>
      </c>
      <c r="M267" s="80">
        <v>0</v>
      </c>
      <c r="N267" s="81">
        <v>9</v>
      </c>
      <c r="O267" s="82" t="s">
        <v>140</v>
      </c>
      <c r="P267" s="129"/>
    </row>
    <row r="268" spans="1:16">
      <c r="A268" s="126" t="s">
        <v>110</v>
      </c>
      <c r="B268" s="127" t="s">
        <v>113</v>
      </c>
      <c r="C268" s="125">
        <v>44545</v>
      </c>
      <c r="D268" s="125">
        <v>44909</v>
      </c>
      <c r="E268" s="125"/>
      <c r="F268" s="128" t="s">
        <v>65</v>
      </c>
      <c r="G268" s="80">
        <v>100000000</v>
      </c>
      <c r="H268" s="80">
        <v>0</v>
      </c>
      <c r="I268" s="81">
        <v>9</v>
      </c>
      <c r="J268" s="82" t="s">
        <v>140</v>
      </c>
      <c r="K268" s="128" t="s">
        <v>65</v>
      </c>
      <c r="L268" s="80">
        <v>1500000000</v>
      </c>
      <c r="M268" s="80">
        <v>0</v>
      </c>
      <c r="N268" s="81">
        <v>9</v>
      </c>
      <c r="O268" s="82" t="s">
        <v>140</v>
      </c>
      <c r="P268" s="129"/>
    </row>
    <row r="269" spans="1:16">
      <c r="A269" s="126" t="s">
        <v>110</v>
      </c>
      <c r="B269" s="127" t="s">
        <v>114</v>
      </c>
      <c r="C269" s="125">
        <v>43647</v>
      </c>
      <c r="D269" s="125">
        <v>44104</v>
      </c>
      <c r="E269" s="125"/>
      <c r="F269" s="128" t="s">
        <v>6</v>
      </c>
      <c r="G269" s="80">
        <v>150000000</v>
      </c>
      <c r="H269" s="80">
        <v>0</v>
      </c>
      <c r="I269" s="81">
        <v>12</v>
      </c>
      <c r="J269" s="82"/>
      <c r="K269" s="128" t="s">
        <v>6</v>
      </c>
      <c r="L269" s="80">
        <v>1000000000</v>
      </c>
      <c r="M269" s="80">
        <v>0</v>
      </c>
      <c r="N269" s="81">
        <v>12</v>
      </c>
      <c r="O269" s="82" t="s">
        <v>140</v>
      </c>
      <c r="P269" s="129"/>
    </row>
    <row r="270" spans="1:16">
      <c r="A270" s="126" t="s">
        <v>110</v>
      </c>
      <c r="B270" s="127" t="s">
        <v>114</v>
      </c>
      <c r="C270" s="125">
        <v>43647</v>
      </c>
      <c r="D270" s="125">
        <v>44104</v>
      </c>
      <c r="E270" s="125"/>
      <c r="F270" s="128"/>
      <c r="G270" s="80"/>
      <c r="H270" s="80"/>
      <c r="I270" s="81"/>
      <c r="J270" s="82"/>
      <c r="K270" s="128" t="s">
        <v>65</v>
      </c>
      <c r="L270" s="80">
        <v>500000000</v>
      </c>
      <c r="M270" s="80">
        <v>1000000000</v>
      </c>
      <c r="N270" s="81">
        <v>14.95</v>
      </c>
      <c r="O270" s="82" t="s">
        <v>140</v>
      </c>
      <c r="P270" s="129"/>
    </row>
    <row r="271" spans="1:16">
      <c r="A271" s="126" t="s">
        <v>110</v>
      </c>
      <c r="B271" s="127" t="s">
        <v>114</v>
      </c>
      <c r="C271" s="125">
        <v>44105</v>
      </c>
      <c r="D271" s="125">
        <v>44470</v>
      </c>
      <c r="E271" s="125"/>
      <c r="F271" s="128" t="s">
        <v>6</v>
      </c>
      <c r="G271" s="80">
        <v>150000000</v>
      </c>
      <c r="H271" s="80">
        <v>0</v>
      </c>
      <c r="I271" s="81">
        <v>12</v>
      </c>
      <c r="J271" s="82"/>
      <c r="K271" s="128" t="s">
        <v>6</v>
      </c>
      <c r="L271" s="80">
        <v>1000000000</v>
      </c>
      <c r="M271" s="80">
        <v>0</v>
      </c>
      <c r="N271" s="81">
        <v>12</v>
      </c>
      <c r="O271" s="82" t="s">
        <v>140</v>
      </c>
      <c r="P271" s="129"/>
    </row>
    <row r="272" spans="1:16">
      <c r="A272" s="126" t="s">
        <v>110</v>
      </c>
      <c r="B272" s="127" t="s">
        <v>114</v>
      </c>
      <c r="C272" s="125">
        <v>44105</v>
      </c>
      <c r="D272" s="125">
        <v>44470</v>
      </c>
      <c r="E272" s="125"/>
      <c r="F272" s="128"/>
      <c r="G272" s="80"/>
      <c r="H272" s="80"/>
      <c r="I272" s="81"/>
      <c r="J272" s="82"/>
      <c r="K272" s="128" t="s">
        <v>65</v>
      </c>
      <c r="L272" s="80">
        <v>500000000</v>
      </c>
      <c r="M272" s="80">
        <v>1000000000</v>
      </c>
      <c r="N272" s="81">
        <v>12</v>
      </c>
      <c r="O272" s="82" t="s">
        <v>140</v>
      </c>
      <c r="P272" s="129"/>
    </row>
    <row r="273" spans="1:16">
      <c r="A273" s="126" t="s">
        <v>110</v>
      </c>
      <c r="B273" s="127" t="s">
        <v>114</v>
      </c>
      <c r="C273" s="125">
        <v>44470</v>
      </c>
      <c r="D273" s="125">
        <v>44835</v>
      </c>
      <c r="E273" s="125"/>
      <c r="F273" s="128" t="s">
        <v>6</v>
      </c>
      <c r="G273" s="80">
        <v>150000000</v>
      </c>
      <c r="H273" s="80">
        <v>0</v>
      </c>
      <c r="I273" s="81">
        <v>12</v>
      </c>
      <c r="J273" s="82"/>
      <c r="K273" s="128" t="s">
        <v>6</v>
      </c>
      <c r="L273" s="80">
        <v>1000000000</v>
      </c>
      <c r="M273" s="80">
        <v>0</v>
      </c>
      <c r="N273" s="81">
        <v>12</v>
      </c>
      <c r="O273" s="82" t="s">
        <v>140</v>
      </c>
      <c r="P273" s="129"/>
    </row>
    <row r="274" spans="1:16">
      <c r="A274" s="126" t="s">
        <v>110</v>
      </c>
      <c r="B274" s="127" t="s">
        <v>114</v>
      </c>
      <c r="C274" s="125">
        <v>44470</v>
      </c>
      <c r="D274" s="125">
        <v>44835</v>
      </c>
      <c r="E274" s="125"/>
      <c r="F274" s="128"/>
      <c r="G274" s="80"/>
      <c r="H274" s="80"/>
      <c r="I274" s="81"/>
      <c r="J274" s="82"/>
      <c r="K274" s="128" t="s">
        <v>65</v>
      </c>
      <c r="L274" s="80">
        <v>500000000</v>
      </c>
      <c r="M274" s="80">
        <v>1000000000</v>
      </c>
      <c r="N274" s="81">
        <v>12</v>
      </c>
      <c r="O274" s="82" t="s">
        <v>140</v>
      </c>
      <c r="P274" s="129"/>
    </row>
    <row r="275" spans="1:16">
      <c r="A275" s="126" t="s">
        <v>110</v>
      </c>
      <c r="B275" s="127" t="s">
        <v>114</v>
      </c>
      <c r="C275" s="125"/>
      <c r="D275" s="125"/>
      <c r="E275" s="125"/>
      <c r="F275" s="128"/>
      <c r="G275" s="80"/>
      <c r="H275" s="80"/>
      <c r="I275" s="81"/>
      <c r="J275" s="82"/>
      <c r="K275" s="128"/>
      <c r="L275" s="80"/>
      <c r="M275" s="80"/>
      <c r="N275" s="81"/>
      <c r="O275" s="82"/>
      <c r="P275" s="129"/>
    </row>
    <row r="276" spans="1:16">
      <c r="A276" s="126" t="s">
        <v>110</v>
      </c>
      <c r="B276" s="127" t="s">
        <v>115</v>
      </c>
      <c r="C276" s="125">
        <v>43678</v>
      </c>
      <c r="D276" s="125">
        <v>44043</v>
      </c>
      <c r="E276" s="125"/>
      <c r="F276" s="128" t="s">
        <v>65</v>
      </c>
      <c r="G276" s="80">
        <v>150000000</v>
      </c>
      <c r="H276" s="80">
        <v>0</v>
      </c>
      <c r="I276" s="81">
        <v>15</v>
      </c>
      <c r="J276" s="82" t="s">
        <v>140</v>
      </c>
      <c r="K276" s="128" t="s">
        <v>65</v>
      </c>
      <c r="L276" s="80">
        <v>1500000000</v>
      </c>
      <c r="M276" s="80">
        <v>0</v>
      </c>
      <c r="N276" s="81">
        <v>15</v>
      </c>
      <c r="O276" s="82" t="s">
        <v>140</v>
      </c>
      <c r="P276" s="129"/>
    </row>
    <row r="277" spans="1:16">
      <c r="A277" s="126" t="s">
        <v>110</v>
      </c>
      <c r="B277" s="127" t="s">
        <v>115</v>
      </c>
      <c r="C277" s="125">
        <v>44044</v>
      </c>
      <c r="D277" s="125">
        <v>44408</v>
      </c>
      <c r="E277" s="125"/>
      <c r="F277" s="128" t="s">
        <v>65</v>
      </c>
      <c r="G277" s="80">
        <v>150000000</v>
      </c>
      <c r="H277" s="80">
        <v>0</v>
      </c>
      <c r="I277" s="81">
        <v>15</v>
      </c>
      <c r="J277" s="82" t="s">
        <v>140</v>
      </c>
      <c r="K277" s="128" t="s">
        <v>65</v>
      </c>
      <c r="L277" s="80">
        <v>1500000000</v>
      </c>
      <c r="M277" s="80">
        <v>0</v>
      </c>
      <c r="N277" s="81">
        <v>15</v>
      </c>
      <c r="O277" s="82" t="s">
        <v>140</v>
      </c>
      <c r="P277" s="129"/>
    </row>
    <row r="278" spans="1:16">
      <c r="A278" s="126" t="s">
        <v>110</v>
      </c>
      <c r="B278" s="127" t="s">
        <v>115</v>
      </c>
      <c r="C278" s="125">
        <v>44409</v>
      </c>
      <c r="D278" s="125">
        <v>44773</v>
      </c>
      <c r="E278" s="125"/>
      <c r="F278" s="128" t="s">
        <v>65</v>
      </c>
      <c r="G278" s="80">
        <v>150000000</v>
      </c>
      <c r="H278" s="80">
        <v>0</v>
      </c>
      <c r="I278" s="81">
        <v>15</v>
      </c>
      <c r="J278" s="82" t="s">
        <v>140</v>
      </c>
      <c r="K278" s="128" t="s">
        <v>65</v>
      </c>
      <c r="L278" s="80">
        <v>1500000000</v>
      </c>
      <c r="M278" s="80">
        <v>0</v>
      </c>
      <c r="N278" s="81">
        <v>15</v>
      </c>
      <c r="O278" s="82" t="s">
        <v>140</v>
      </c>
      <c r="P278" s="129"/>
    </row>
    <row r="279" spans="1:16">
      <c r="A279" s="126" t="s">
        <v>110</v>
      </c>
      <c r="B279" s="127" t="s">
        <v>116</v>
      </c>
      <c r="C279" s="125">
        <v>43770</v>
      </c>
      <c r="D279" s="125">
        <v>44135</v>
      </c>
      <c r="E279" s="125"/>
      <c r="F279" s="128" t="s">
        <v>65</v>
      </c>
      <c r="G279" s="80">
        <v>100000000</v>
      </c>
      <c r="H279" s="80">
        <v>0</v>
      </c>
      <c r="I279" s="81">
        <v>2.5</v>
      </c>
      <c r="J279" s="82" t="s">
        <v>140</v>
      </c>
      <c r="K279" s="128" t="s">
        <v>65</v>
      </c>
      <c r="L279" s="80">
        <v>1000000000</v>
      </c>
      <c r="M279" s="80">
        <v>0</v>
      </c>
      <c r="N279" s="81">
        <v>2.5</v>
      </c>
      <c r="O279" s="82" t="s">
        <v>140</v>
      </c>
      <c r="P279" s="129"/>
    </row>
    <row r="280" spans="1:16">
      <c r="A280" s="126" t="s">
        <v>110</v>
      </c>
      <c r="B280" s="127" t="s">
        <v>116</v>
      </c>
      <c r="C280" s="125">
        <v>43770</v>
      </c>
      <c r="D280" s="125">
        <v>44135</v>
      </c>
      <c r="E280" s="125"/>
      <c r="F280" s="128"/>
      <c r="G280" s="80"/>
      <c r="H280" s="80"/>
      <c r="I280" s="81"/>
      <c r="J280" s="82"/>
      <c r="K280" s="128"/>
      <c r="L280" s="80">
        <v>500000000</v>
      </c>
      <c r="M280" s="80">
        <v>1000000000</v>
      </c>
      <c r="N280" s="81">
        <v>2.5</v>
      </c>
      <c r="O280" s="82" t="s">
        <v>140</v>
      </c>
      <c r="P280" s="129"/>
    </row>
    <row r="281" spans="1:16">
      <c r="A281" s="126" t="s">
        <v>110</v>
      </c>
      <c r="B281" s="127" t="s">
        <v>116</v>
      </c>
      <c r="C281" s="125"/>
      <c r="D281" s="125"/>
      <c r="E281" s="125"/>
      <c r="F281" s="128"/>
      <c r="G281" s="80"/>
      <c r="H281" s="80"/>
      <c r="I281" s="81"/>
      <c r="J281" s="82"/>
      <c r="K281" s="128"/>
      <c r="L281" s="80"/>
      <c r="M281" s="80"/>
      <c r="N281" s="81"/>
      <c r="O281" s="82"/>
      <c r="P281" s="129"/>
    </row>
    <row r="282" spans="1:16">
      <c r="A282" s="126" t="s">
        <v>110</v>
      </c>
      <c r="B282" s="127" t="s">
        <v>116</v>
      </c>
      <c r="C282" s="125">
        <v>44501</v>
      </c>
      <c r="D282" s="125">
        <v>44865</v>
      </c>
      <c r="E282" s="125"/>
      <c r="F282" s="128" t="s">
        <v>65</v>
      </c>
      <c r="G282" s="80">
        <v>120000000</v>
      </c>
      <c r="H282" s="80">
        <v>0</v>
      </c>
      <c r="I282" s="81">
        <v>2.75</v>
      </c>
      <c r="J282" s="82" t="s">
        <v>140</v>
      </c>
      <c r="K282" s="128" t="s">
        <v>65</v>
      </c>
      <c r="L282" s="80">
        <v>1500000000</v>
      </c>
      <c r="M282" s="80">
        <v>0</v>
      </c>
      <c r="N282" s="81">
        <v>2.75</v>
      </c>
      <c r="O282" s="82" t="s">
        <v>140</v>
      </c>
      <c r="P282" s="129"/>
    </row>
    <row r="283" spans="1:16">
      <c r="A283" s="126" t="s">
        <v>110</v>
      </c>
      <c r="B283" s="127" t="s">
        <v>117</v>
      </c>
      <c r="C283" s="125">
        <v>43754</v>
      </c>
      <c r="D283" s="125">
        <v>44119</v>
      </c>
      <c r="E283" s="125"/>
      <c r="F283" s="128" t="s">
        <v>65</v>
      </c>
      <c r="G283" s="80">
        <v>250000000</v>
      </c>
      <c r="H283" s="80">
        <v>0</v>
      </c>
      <c r="I283" s="81">
        <v>14.2</v>
      </c>
      <c r="J283" s="82" t="s">
        <v>140</v>
      </c>
      <c r="K283" s="128" t="s">
        <v>65</v>
      </c>
      <c r="L283" s="80">
        <v>2500000000</v>
      </c>
      <c r="M283" s="80">
        <v>0</v>
      </c>
      <c r="N283" s="81">
        <v>14.2</v>
      </c>
      <c r="O283" s="82" t="s">
        <v>140</v>
      </c>
      <c r="P283" s="129"/>
    </row>
    <row r="284" spans="1:16">
      <c r="A284" s="126" t="s">
        <v>110</v>
      </c>
      <c r="B284" s="127" t="s">
        <v>117</v>
      </c>
      <c r="C284" s="125">
        <v>43754</v>
      </c>
      <c r="D284" s="125">
        <v>44119</v>
      </c>
      <c r="E284" s="125"/>
      <c r="F284" s="128"/>
      <c r="G284" s="80"/>
      <c r="H284" s="80"/>
      <c r="I284" s="81"/>
      <c r="J284" s="82"/>
      <c r="K284" s="128" t="s">
        <v>65</v>
      </c>
      <c r="L284" s="80">
        <v>500000000</v>
      </c>
      <c r="M284" s="80">
        <v>2500000000</v>
      </c>
      <c r="N284" s="81">
        <v>15.17</v>
      </c>
      <c r="O284" s="82" t="s">
        <v>140</v>
      </c>
      <c r="P284" s="129"/>
    </row>
    <row r="285" spans="1:16">
      <c r="A285" s="126" t="s">
        <v>110</v>
      </c>
      <c r="B285" s="127" t="s">
        <v>117</v>
      </c>
      <c r="C285" s="125">
        <v>43754</v>
      </c>
      <c r="D285" s="125">
        <v>44119</v>
      </c>
      <c r="E285" s="125"/>
      <c r="F285" s="128"/>
      <c r="G285" s="80"/>
      <c r="H285" s="80"/>
      <c r="I285" s="81"/>
      <c r="J285" s="82"/>
      <c r="K285" s="128" t="s">
        <v>65</v>
      </c>
      <c r="L285" s="80">
        <v>500000000</v>
      </c>
      <c r="M285" s="80">
        <v>3000000000</v>
      </c>
      <c r="N285" s="81">
        <v>15</v>
      </c>
      <c r="O285" s="82" t="s">
        <v>140</v>
      </c>
      <c r="P285" s="129"/>
    </row>
    <row r="286" spans="1:16">
      <c r="A286" s="126" t="s">
        <v>110</v>
      </c>
      <c r="B286" s="127" t="s">
        <v>117</v>
      </c>
      <c r="C286" s="125">
        <v>44120</v>
      </c>
      <c r="D286" s="125">
        <v>44484</v>
      </c>
      <c r="E286" s="125"/>
      <c r="F286" s="128" t="s">
        <v>65</v>
      </c>
      <c r="G286" s="80">
        <v>250000000</v>
      </c>
      <c r="H286" s="80">
        <v>0</v>
      </c>
      <c r="I286" s="81">
        <v>12.5</v>
      </c>
      <c r="J286" s="82" t="s">
        <v>140</v>
      </c>
      <c r="K286" s="128" t="s">
        <v>65</v>
      </c>
      <c r="L286" s="80">
        <v>2500000000</v>
      </c>
      <c r="M286" s="80">
        <v>0</v>
      </c>
      <c r="N286" s="81">
        <v>12.5</v>
      </c>
      <c r="O286" s="82" t="s">
        <v>140</v>
      </c>
      <c r="P286" s="129"/>
    </row>
    <row r="287" spans="1:16">
      <c r="A287" s="126" t="s">
        <v>110</v>
      </c>
      <c r="B287" s="127" t="s">
        <v>117</v>
      </c>
      <c r="C287" s="125">
        <v>44120</v>
      </c>
      <c r="D287" s="125">
        <v>44484</v>
      </c>
      <c r="E287" s="125"/>
      <c r="F287" s="128"/>
      <c r="G287" s="80"/>
      <c r="H287" s="80"/>
      <c r="I287" s="81" t="s">
        <v>34</v>
      </c>
      <c r="J287" s="82"/>
      <c r="K287" s="128" t="s">
        <v>65</v>
      </c>
      <c r="L287" s="80">
        <v>500000000</v>
      </c>
      <c r="M287" s="80">
        <v>2500000000</v>
      </c>
      <c r="N287" s="81">
        <v>12.5</v>
      </c>
      <c r="O287" s="82" t="s">
        <v>140</v>
      </c>
      <c r="P287" s="129"/>
    </row>
    <row r="288" spans="1:16">
      <c r="A288" s="126" t="s">
        <v>110</v>
      </c>
      <c r="B288" s="127" t="s">
        <v>117</v>
      </c>
      <c r="C288" s="125">
        <v>44120</v>
      </c>
      <c r="D288" s="125">
        <v>44484</v>
      </c>
      <c r="E288" s="125"/>
      <c r="F288" s="128"/>
      <c r="G288" s="80"/>
      <c r="H288" s="80"/>
      <c r="I288" s="81" t="s">
        <v>34</v>
      </c>
      <c r="J288" s="82"/>
      <c r="K288" s="128" t="s">
        <v>65</v>
      </c>
      <c r="L288" s="80">
        <v>500000000</v>
      </c>
      <c r="M288" s="80">
        <v>3000000000</v>
      </c>
      <c r="N288" s="81">
        <v>12.5</v>
      </c>
      <c r="O288" s="82" t="s">
        <v>140</v>
      </c>
      <c r="P288" s="129"/>
    </row>
    <row r="289" spans="1:17">
      <c r="A289" s="126" t="s">
        <v>110</v>
      </c>
      <c r="B289" s="127" t="s">
        <v>117</v>
      </c>
      <c r="C289" s="125">
        <v>44485</v>
      </c>
      <c r="D289" s="125">
        <v>44849</v>
      </c>
      <c r="E289" s="125"/>
      <c r="F289" s="128" t="s">
        <v>65</v>
      </c>
      <c r="G289" s="80">
        <v>250000000</v>
      </c>
      <c r="H289" s="80">
        <v>0</v>
      </c>
      <c r="I289" s="81">
        <v>12.5</v>
      </c>
      <c r="J289" s="82" t="s">
        <v>140</v>
      </c>
      <c r="K289" s="128" t="s">
        <v>65</v>
      </c>
      <c r="L289" s="80">
        <v>2500000000</v>
      </c>
      <c r="M289" s="80">
        <v>0</v>
      </c>
      <c r="N289" s="81">
        <v>12.5</v>
      </c>
      <c r="O289" s="82" t="s">
        <v>140</v>
      </c>
      <c r="P289" s="129"/>
    </row>
    <row r="290" spans="1:17">
      <c r="A290" s="126" t="s">
        <v>110</v>
      </c>
      <c r="B290" s="127" t="s">
        <v>117</v>
      </c>
      <c r="C290" s="125">
        <v>44485</v>
      </c>
      <c r="D290" s="125">
        <v>44849</v>
      </c>
      <c r="E290" s="125"/>
      <c r="F290" s="128"/>
      <c r="G290" s="80"/>
      <c r="H290" s="80"/>
      <c r="I290" s="81" t="s">
        <v>34</v>
      </c>
      <c r="J290" s="82"/>
      <c r="K290" s="128" t="s">
        <v>65</v>
      </c>
      <c r="L290" s="80">
        <v>500000000</v>
      </c>
      <c r="M290" s="80">
        <v>2500000000</v>
      </c>
      <c r="N290" s="81">
        <v>12.5</v>
      </c>
      <c r="O290" s="82" t="s">
        <v>140</v>
      </c>
      <c r="P290" s="129"/>
    </row>
    <row r="291" spans="1:17">
      <c r="A291" s="126" t="s">
        <v>110</v>
      </c>
      <c r="B291" s="127" t="s">
        <v>117</v>
      </c>
      <c r="C291" s="125">
        <v>44485</v>
      </c>
      <c r="D291" s="125">
        <v>44849</v>
      </c>
      <c r="E291" s="125"/>
      <c r="F291" s="128"/>
      <c r="G291" s="80"/>
      <c r="H291" s="80"/>
      <c r="I291" s="81" t="s">
        <v>34</v>
      </c>
      <c r="J291" s="82"/>
      <c r="K291" s="128" t="s">
        <v>65</v>
      </c>
      <c r="L291" s="80">
        <v>500000000</v>
      </c>
      <c r="M291" s="80">
        <v>3000000000</v>
      </c>
      <c r="N291" s="81">
        <v>12.5</v>
      </c>
      <c r="O291" s="82" t="s">
        <v>140</v>
      </c>
      <c r="P291" s="129"/>
    </row>
    <row r="292" spans="1:17">
      <c r="A292" s="126" t="s">
        <v>110</v>
      </c>
      <c r="B292" s="127" t="s">
        <v>118</v>
      </c>
      <c r="C292" s="125">
        <v>43783</v>
      </c>
      <c r="D292" s="125">
        <v>44148</v>
      </c>
      <c r="E292" s="125"/>
      <c r="F292" s="128"/>
      <c r="G292" s="80"/>
      <c r="H292" s="80"/>
      <c r="I292" s="81"/>
      <c r="J292" s="82"/>
      <c r="K292" s="128" t="s">
        <v>65</v>
      </c>
      <c r="L292" s="80">
        <v>2000000000</v>
      </c>
      <c r="M292" s="80">
        <v>0</v>
      </c>
      <c r="N292" s="81">
        <v>10</v>
      </c>
      <c r="O292" s="82" t="s">
        <v>140</v>
      </c>
      <c r="P292" s="129"/>
    </row>
    <row r="293" spans="1:17">
      <c r="A293" s="126" t="s">
        <v>110</v>
      </c>
      <c r="B293" s="127" t="s">
        <v>118</v>
      </c>
      <c r="C293" s="125">
        <v>44149</v>
      </c>
      <c r="D293" s="125">
        <v>44513</v>
      </c>
      <c r="E293" s="125"/>
      <c r="F293" s="128"/>
      <c r="G293" s="80"/>
      <c r="H293" s="80"/>
      <c r="I293" s="81"/>
      <c r="J293" s="82"/>
      <c r="K293" s="128" t="s">
        <v>65</v>
      </c>
      <c r="L293" s="80">
        <v>2000000000</v>
      </c>
      <c r="M293" s="80">
        <v>0</v>
      </c>
      <c r="N293" s="81">
        <v>10</v>
      </c>
      <c r="O293" s="82" t="s">
        <v>140</v>
      </c>
      <c r="P293" s="129"/>
    </row>
    <row r="294" spans="1:17">
      <c r="A294" s="126" t="s">
        <v>110</v>
      </c>
      <c r="B294" s="127" t="s">
        <v>118</v>
      </c>
      <c r="C294" s="125">
        <v>44514</v>
      </c>
      <c r="D294" s="125">
        <v>44878</v>
      </c>
      <c r="E294" s="125"/>
      <c r="F294" s="128"/>
      <c r="G294" s="80"/>
      <c r="H294" s="80"/>
      <c r="I294" s="81"/>
      <c r="J294" s="82"/>
      <c r="K294" s="128" t="s">
        <v>65</v>
      </c>
      <c r="L294" s="80">
        <v>2000000000</v>
      </c>
      <c r="M294" s="80">
        <v>0</v>
      </c>
      <c r="N294" s="81">
        <v>10</v>
      </c>
      <c r="O294" s="82" t="s">
        <v>140</v>
      </c>
      <c r="P294" s="129"/>
    </row>
    <row r="295" spans="1:17">
      <c r="A295" s="126" t="s">
        <v>110</v>
      </c>
      <c r="B295" s="127" t="s">
        <v>119</v>
      </c>
      <c r="C295" s="125">
        <v>43647</v>
      </c>
      <c r="D295" s="125">
        <v>44012</v>
      </c>
      <c r="E295" s="125"/>
      <c r="F295" s="128" t="s">
        <v>65</v>
      </c>
      <c r="G295" s="80">
        <v>150000000</v>
      </c>
      <c r="H295" s="80">
        <v>0</v>
      </c>
      <c r="I295" s="81">
        <v>10.5</v>
      </c>
      <c r="J295" s="82"/>
      <c r="K295" s="128" t="s">
        <v>65</v>
      </c>
      <c r="L295" s="80">
        <v>1250000000</v>
      </c>
      <c r="M295" s="80">
        <v>0</v>
      </c>
      <c r="N295" s="81">
        <v>10.5</v>
      </c>
      <c r="O295" s="82" t="s">
        <v>140</v>
      </c>
      <c r="P295" s="129"/>
    </row>
    <row r="296" spans="1:17">
      <c r="A296" s="126" t="s">
        <v>110</v>
      </c>
      <c r="B296" s="127" t="s">
        <v>119</v>
      </c>
      <c r="C296" s="125">
        <v>44013</v>
      </c>
      <c r="D296" s="125">
        <v>44377</v>
      </c>
      <c r="E296" s="125"/>
      <c r="F296" s="128" t="s">
        <v>65</v>
      </c>
      <c r="G296" s="80">
        <v>150000000</v>
      </c>
      <c r="H296" s="80">
        <v>0</v>
      </c>
      <c r="I296" s="81">
        <v>10.5</v>
      </c>
      <c r="J296" s="82"/>
      <c r="K296" s="128" t="s">
        <v>65</v>
      </c>
      <c r="L296" s="80">
        <v>1250000000</v>
      </c>
      <c r="M296" s="80">
        <v>0</v>
      </c>
      <c r="N296" s="81">
        <v>10.5</v>
      </c>
      <c r="O296" s="82" t="s">
        <v>140</v>
      </c>
      <c r="P296" s="129"/>
    </row>
    <row r="297" spans="1:17">
      <c r="A297" s="126" t="s">
        <v>110</v>
      </c>
      <c r="B297" s="127" t="s">
        <v>119</v>
      </c>
      <c r="C297" s="125">
        <v>44378</v>
      </c>
      <c r="D297" s="125">
        <v>44742</v>
      </c>
      <c r="E297" s="125"/>
      <c r="F297" s="128" t="s">
        <v>65</v>
      </c>
      <c r="G297" s="80">
        <v>150000000</v>
      </c>
      <c r="H297" s="80">
        <v>0</v>
      </c>
      <c r="I297" s="81">
        <v>10.5</v>
      </c>
      <c r="J297" s="82"/>
      <c r="K297" s="128" t="s">
        <v>65</v>
      </c>
      <c r="L297" s="80">
        <v>1250000000</v>
      </c>
      <c r="M297" s="80">
        <v>0</v>
      </c>
      <c r="N297" s="81">
        <v>10.5</v>
      </c>
      <c r="O297" s="82" t="s">
        <v>140</v>
      </c>
      <c r="P297" s="129"/>
    </row>
    <row r="298" spans="1:17">
      <c r="A298" s="126" t="s">
        <v>110</v>
      </c>
      <c r="B298" s="127" t="s">
        <v>175</v>
      </c>
      <c r="C298" s="125">
        <v>43642</v>
      </c>
      <c r="D298" s="125">
        <v>44196</v>
      </c>
      <c r="E298" s="125"/>
      <c r="F298" s="128" t="s">
        <v>65</v>
      </c>
      <c r="G298" s="80">
        <v>100000000</v>
      </c>
      <c r="H298" s="80">
        <v>0</v>
      </c>
      <c r="I298" s="81">
        <v>5</v>
      </c>
      <c r="J298" s="82" t="s">
        <v>140</v>
      </c>
      <c r="K298" s="128" t="s">
        <v>65</v>
      </c>
      <c r="L298" s="80">
        <v>1500000000</v>
      </c>
      <c r="M298" s="80">
        <v>0</v>
      </c>
      <c r="N298" s="81">
        <v>5</v>
      </c>
      <c r="O298" s="82" t="s">
        <v>140</v>
      </c>
      <c r="P298" s="129"/>
      <c r="Q298" s="161">
        <v>15</v>
      </c>
    </row>
    <row r="299" spans="1:17">
      <c r="A299" s="126" t="s">
        <v>110</v>
      </c>
      <c r="B299" s="127" t="s">
        <v>175</v>
      </c>
      <c r="C299" s="125">
        <v>44197</v>
      </c>
      <c r="D299" s="125">
        <v>44562</v>
      </c>
      <c r="E299" s="125"/>
      <c r="F299" s="128" t="s">
        <v>65</v>
      </c>
      <c r="G299" s="80">
        <v>100000000</v>
      </c>
      <c r="H299" s="80">
        <v>0</v>
      </c>
      <c r="I299" s="81">
        <v>5</v>
      </c>
      <c r="J299" s="82" t="s">
        <v>140</v>
      </c>
      <c r="K299" s="128" t="s">
        <v>65</v>
      </c>
      <c r="L299" s="80">
        <v>1500000000</v>
      </c>
      <c r="M299" s="80">
        <v>0</v>
      </c>
      <c r="N299" s="81">
        <v>5</v>
      </c>
      <c r="O299" s="82" t="s">
        <v>140</v>
      </c>
      <c r="P299" s="129"/>
    </row>
    <row r="300" spans="1:17">
      <c r="A300" s="126" t="s">
        <v>110</v>
      </c>
      <c r="B300" s="127" t="s">
        <v>175</v>
      </c>
      <c r="C300" s="125">
        <v>44562</v>
      </c>
      <c r="D300" s="125">
        <v>44927</v>
      </c>
      <c r="E300" s="125"/>
      <c r="F300" s="128" t="s">
        <v>65</v>
      </c>
      <c r="G300" s="80">
        <v>100000000</v>
      </c>
      <c r="H300" s="80">
        <v>0</v>
      </c>
      <c r="I300" s="81">
        <v>5</v>
      </c>
      <c r="J300" s="82" t="s">
        <v>140</v>
      </c>
      <c r="K300" s="128" t="s">
        <v>65</v>
      </c>
      <c r="L300" s="80">
        <v>1500000000</v>
      </c>
      <c r="M300" s="80">
        <v>0</v>
      </c>
      <c r="N300" s="81">
        <v>5</v>
      </c>
      <c r="O300" s="82" t="s">
        <v>140</v>
      </c>
      <c r="P300" s="129"/>
    </row>
    <row r="301" spans="1:17">
      <c r="A301" s="126" t="s">
        <v>110</v>
      </c>
      <c r="B301" s="127" t="s">
        <v>192</v>
      </c>
      <c r="C301" s="125">
        <v>43678</v>
      </c>
      <c r="D301" s="125">
        <v>44043</v>
      </c>
      <c r="E301" s="125"/>
      <c r="F301" s="128" t="s">
        <v>65</v>
      </c>
      <c r="G301" s="80">
        <v>150000000</v>
      </c>
      <c r="H301" s="80">
        <v>0</v>
      </c>
      <c r="I301" s="81">
        <v>6</v>
      </c>
      <c r="J301" s="82" t="s">
        <v>140</v>
      </c>
      <c r="K301" s="128" t="s">
        <v>6</v>
      </c>
      <c r="L301" s="80">
        <v>1500000000</v>
      </c>
      <c r="M301" s="80">
        <v>0</v>
      </c>
      <c r="N301" s="81">
        <v>6</v>
      </c>
      <c r="O301" s="82" t="s">
        <v>140</v>
      </c>
      <c r="P301" s="129"/>
    </row>
    <row r="302" spans="1:17">
      <c r="A302" s="126" t="s">
        <v>110</v>
      </c>
      <c r="B302" s="127" t="s">
        <v>192</v>
      </c>
      <c r="C302" s="125">
        <v>44044</v>
      </c>
      <c r="D302" s="125">
        <v>44408</v>
      </c>
      <c r="E302" s="125"/>
      <c r="F302" s="128" t="s">
        <v>65</v>
      </c>
      <c r="G302" s="80">
        <v>150000000</v>
      </c>
      <c r="H302" s="80">
        <v>0</v>
      </c>
      <c r="I302" s="81">
        <v>8</v>
      </c>
      <c r="J302" s="82" t="s">
        <v>140</v>
      </c>
      <c r="K302" s="128" t="s">
        <v>6</v>
      </c>
      <c r="L302" s="80">
        <v>1500000000</v>
      </c>
      <c r="M302" s="80">
        <v>0</v>
      </c>
      <c r="N302" s="81">
        <v>8</v>
      </c>
      <c r="O302" s="82" t="s">
        <v>140</v>
      </c>
      <c r="P302" s="129"/>
    </row>
    <row r="303" spans="1:17">
      <c r="A303" s="126" t="s">
        <v>110</v>
      </c>
      <c r="B303" s="127" t="s">
        <v>192</v>
      </c>
      <c r="C303" s="125">
        <v>44409</v>
      </c>
      <c r="D303" s="125">
        <v>44773</v>
      </c>
      <c r="E303" s="125"/>
      <c r="F303" s="128" t="s">
        <v>65</v>
      </c>
      <c r="G303" s="80">
        <v>150000000</v>
      </c>
      <c r="H303" s="80">
        <v>0</v>
      </c>
      <c r="I303" s="81">
        <v>6.5</v>
      </c>
      <c r="J303" s="82" t="s">
        <v>140</v>
      </c>
      <c r="K303" s="128" t="s">
        <v>6</v>
      </c>
      <c r="L303" s="80">
        <v>1500000000</v>
      </c>
      <c r="M303" s="80">
        <v>0</v>
      </c>
      <c r="N303" s="81">
        <v>6.5</v>
      </c>
      <c r="O303" s="82" t="s">
        <v>140</v>
      </c>
      <c r="P303" s="129"/>
    </row>
    <row r="304" spans="1:17">
      <c r="A304" s="126" t="s">
        <v>110</v>
      </c>
      <c r="B304" s="127" t="s">
        <v>120</v>
      </c>
      <c r="C304" s="125">
        <v>43617</v>
      </c>
      <c r="D304" s="125">
        <v>43982</v>
      </c>
      <c r="E304" s="125"/>
      <c r="F304" s="128" t="s">
        <v>65</v>
      </c>
      <c r="G304" s="80">
        <v>175000000</v>
      </c>
      <c r="H304" s="80">
        <v>0</v>
      </c>
      <c r="I304" s="81">
        <v>6</v>
      </c>
      <c r="J304" s="82" t="s">
        <v>140</v>
      </c>
      <c r="K304" s="128" t="s">
        <v>65</v>
      </c>
      <c r="L304" s="80">
        <v>2000000000</v>
      </c>
      <c r="M304" s="80">
        <v>0</v>
      </c>
      <c r="N304" s="81">
        <v>8</v>
      </c>
      <c r="O304" s="82" t="s">
        <v>140</v>
      </c>
      <c r="P304" s="129"/>
    </row>
    <row r="305" spans="1:17">
      <c r="A305" s="126" t="s">
        <v>110</v>
      </c>
      <c r="B305" s="127" t="s">
        <v>120</v>
      </c>
      <c r="C305" s="125">
        <v>43983</v>
      </c>
      <c r="D305" s="125">
        <v>44347</v>
      </c>
      <c r="E305" s="125"/>
      <c r="F305" s="128" t="s">
        <v>65</v>
      </c>
      <c r="G305" s="80">
        <v>175000000</v>
      </c>
      <c r="H305" s="80">
        <v>0</v>
      </c>
      <c r="I305" s="81">
        <v>5</v>
      </c>
      <c r="J305" s="82" t="s">
        <v>140</v>
      </c>
      <c r="K305" s="128" t="s">
        <v>65</v>
      </c>
      <c r="L305" s="80">
        <v>2000000000</v>
      </c>
      <c r="M305" s="80">
        <v>0</v>
      </c>
      <c r="N305" s="81">
        <v>5</v>
      </c>
      <c r="O305" s="82" t="s">
        <v>140</v>
      </c>
      <c r="P305" s="129"/>
    </row>
    <row r="306" spans="1:17">
      <c r="A306" s="126" t="s">
        <v>110</v>
      </c>
      <c r="B306" s="127" t="s">
        <v>120</v>
      </c>
      <c r="C306" s="125">
        <v>44348</v>
      </c>
      <c r="D306" s="125">
        <v>44712</v>
      </c>
      <c r="E306" s="125"/>
      <c r="F306" s="128" t="s">
        <v>65</v>
      </c>
      <c r="G306" s="80">
        <v>175000000</v>
      </c>
      <c r="H306" s="80">
        <v>0</v>
      </c>
      <c r="I306" s="81">
        <v>5</v>
      </c>
      <c r="J306" s="82" t="s">
        <v>140</v>
      </c>
      <c r="K306" s="128" t="s">
        <v>65</v>
      </c>
      <c r="L306" s="80">
        <v>2000000000</v>
      </c>
      <c r="M306" s="80">
        <v>0</v>
      </c>
      <c r="N306" s="81">
        <v>5</v>
      </c>
      <c r="O306" s="82" t="s">
        <v>140</v>
      </c>
      <c r="P306" s="129"/>
    </row>
    <row r="307" spans="1:17">
      <c r="A307" s="126" t="s">
        <v>110</v>
      </c>
      <c r="B307" s="127" t="s">
        <v>120</v>
      </c>
      <c r="C307" s="125">
        <v>44348</v>
      </c>
      <c r="D307" s="125">
        <v>44712</v>
      </c>
      <c r="E307" s="125"/>
      <c r="F307" s="128"/>
      <c r="G307" s="80"/>
      <c r="H307" s="80"/>
      <c r="I307" s="81"/>
      <c r="J307" s="82" t="s">
        <v>140</v>
      </c>
      <c r="K307" s="128" t="s">
        <v>65</v>
      </c>
      <c r="L307" s="80">
        <v>500000000</v>
      </c>
      <c r="M307" s="80">
        <v>2000000000</v>
      </c>
      <c r="N307" s="81">
        <v>5</v>
      </c>
      <c r="O307" s="82" t="s">
        <v>140</v>
      </c>
      <c r="P307" s="129"/>
    </row>
    <row r="308" spans="1:17">
      <c r="A308" s="126" t="s">
        <v>110</v>
      </c>
      <c r="B308" s="127" t="s">
        <v>121</v>
      </c>
      <c r="C308" s="125">
        <v>43677</v>
      </c>
      <c r="D308" s="125">
        <v>44042</v>
      </c>
      <c r="E308" s="125"/>
      <c r="F308" s="128" t="s">
        <v>65</v>
      </c>
      <c r="G308" s="80">
        <v>275000000</v>
      </c>
      <c r="H308" s="80">
        <v>0</v>
      </c>
      <c r="I308" s="81">
        <v>11.5</v>
      </c>
      <c r="J308" s="82" t="s">
        <v>140</v>
      </c>
      <c r="K308" s="128" t="s">
        <v>65</v>
      </c>
      <c r="L308" s="80">
        <v>2250000000</v>
      </c>
      <c r="M308" s="80">
        <v>0</v>
      </c>
      <c r="N308" s="81">
        <v>11.5</v>
      </c>
      <c r="O308" s="82" t="s">
        <v>140</v>
      </c>
      <c r="P308" s="129"/>
    </row>
    <row r="309" spans="1:17">
      <c r="A309" s="126" t="s">
        <v>110</v>
      </c>
      <c r="B309" s="127" t="s">
        <v>121</v>
      </c>
      <c r="C309" s="125">
        <v>44043</v>
      </c>
      <c r="D309" s="125">
        <v>44407</v>
      </c>
      <c r="E309" s="125"/>
      <c r="F309" s="128" t="s">
        <v>65</v>
      </c>
      <c r="G309" s="80">
        <v>275000000</v>
      </c>
      <c r="H309" s="80">
        <v>0</v>
      </c>
      <c r="I309" s="81">
        <v>11.5</v>
      </c>
      <c r="J309" s="82" t="s">
        <v>140</v>
      </c>
      <c r="K309" s="128" t="s">
        <v>65</v>
      </c>
      <c r="L309" s="80">
        <v>2250000000</v>
      </c>
      <c r="M309" s="80">
        <v>0</v>
      </c>
      <c r="N309" s="81">
        <v>11.5</v>
      </c>
      <c r="O309" s="82" t="s">
        <v>140</v>
      </c>
      <c r="P309" s="129"/>
    </row>
    <row r="310" spans="1:17">
      <c r="A310" s="126" t="s">
        <v>110</v>
      </c>
      <c r="B310" s="127" t="s">
        <v>121</v>
      </c>
      <c r="C310" s="125">
        <v>44408</v>
      </c>
      <c r="D310" s="125">
        <v>44772</v>
      </c>
      <c r="E310" s="125"/>
      <c r="F310" s="128" t="s">
        <v>65</v>
      </c>
      <c r="G310" s="80">
        <v>275000000</v>
      </c>
      <c r="H310" s="80">
        <v>0</v>
      </c>
      <c r="I310" s="81">
        <v>11.5</v>
      </c>
      <c r="J310" s="82" t="s">
        <v>140</v>
      </c>
      <c r="K310" s="128" t="s">
        <v>65</v>
      </c>
      <c r="L310" s="80">
        <v>2250000000</v>
      </c>
      <c r="M310" s="80">
        <v>0</v>
      </c>
      <c r="N310" s="81">
        <v>11.5</v>
      </c>
      <c r="O310" s="82" t="s">
        <v>140</v>
      </c>
      <c r="P310" s="129"/>
    </row>
    <row r="311" spans="1:17">
      <c r="A311" s="126" t="s">
        <v>110</v>
      </c>
      <c r="B311" s="127" t="s">
        <v>123</v>
      </c>
      <c r="C311" s="125">
        <v>43647</v>
      </c>
      <c r="D311" s="125">
        <v>44012</v>
      </c>
      <c r="E311" s="125"/>
      <c r="F311" s="128"/>
      <c r="G311" s="80"/>
      <c r="H311" s="80"/>
      <c r="I311" s="81"/>
      <c r="J311" s="82"/>
      <c r="K311" s="128" t="s">
        <v>65</v>
      </c>
      <c r="L311" s="80">
        <v>1500000000</v>
      </c>
      <c r="M311" s="80">
        <v>0</v>
      </c>
      <c r="N311" s="81">
        <v>14.5</v>
      </c>
      <c r="O311" s="82" t="s">
        <v>140</v>
      </c>
      <c r="P311" s="129"/>
    </row>
    <row r="312" spans="1:17">
      <c r="A312" s="126" t="s">
        <v>110</v>
      </c>
      <c r="B312" s="127" t="s">
        <v>123</v>
      </c>
      <c r="C312" s="125">
        <v>43647</v>
      </c>
      <c r="D312" s="125">
        <v>44012</v>
      </c>
      <c r="E312" s="125"/>
      <c r="F312" s="128"/>
      <c r="G312" s="80"/>
      <c r="H312" s="80"/>
      <c r="I312" s="81"/>
      <c r="J312" s="82"/>
      <c r="K312" s="128" t="s">
        <v>65</v>
      </c>
      <c r="L312" s="80">
        <v>500000000</v>
      </c>
      <c r="M312" s="80">
        <v>1500000000</v>
      </c>
      <c r="N312" s="81">
        <v>16.5</v>
      </c>
      <c r="O312" s="82" t="s">
        <v>140</v>
      </c>
      <c r="P312" s="129"/>
    </row>
    <row r="313" spans="1:17">
      <c r="A313" s="126" t="s">
        <v>110</v>
      </c>
      <c r="B313" s="127" t="s">
        <v>123</v>
      </c>
      <c r="C313" s="125">
        <v>44013</v>
      </c>
      <c r="D313" s="125">
        <v>44377</v>
      </c>
      <c r="E313" s="125"/>
      <c r="F313" s="128"/>
      <c r="G313" s="80"/>
      <c r="H313" s="80"/>
      <c r="I313" s="81"/>
      <c r="J313" s="82"/>
      <c r="K313" s="128" t="s">
        <v>65</v>
      </c>
      <c r="L313" s="80">
        <v>1500000000</v>
      </c>
      <c r="M313" s="80">
        <v>0</v>
      </c>
      <c r="N313" s="81">
        <v>14.5</v>
      </c>
      <c r="O313" s="82" t="s">
        <v>140</v>
      </c>
      <c r="P313" s="129"/>
    </row>
    <row r="314" spans="1:17">
      <c r="A314" s="126" t="s">
        <v>110</v>
      </c>
      <c r="B314" s="127" t="s">
        <v>123</v>
      </c>
      <c r="C314" s="125">
        <v>44013</v>
      </c>
      <c r="D314" s="125">
        <v>44377</v>
      </c>
      <c r="E314" s="125"/>
      <c r="F314" s="128"/>
      <c r="G314" s="80"/>
      <c r="H314" s="80"/>
      <c r="I314" s="81"/>
      <c r="J314" s="82"/>
      <c r="K314" s="128" t="s">
        <v>65</v>
      </c>
      <c r="L314" s="80">
        <v>500000000</v>
      </c>
      <c r="M314" s="80">
        <v>1500000000</v>
      </c>
      <c r="N314" s="81">
        <v>16.5</v>
      </c>
      <c r="O314" s="82" t="s">
        <v>140</v>
      </c>
      <c r="P314" s="129"/>
    </row>
    <row r="315" spans="1:17">
      <c r="A315" s="126" t="s">
        <v>110</v>
      </c>
      <c r="B315" s="127" t="s">
        <v>123</v>
      </c>
      <c r="C315" s="125">
        <v>44378</v>
      </c>
      <c r="D315" s="125">
        <v>44742</v>
      </c>
      <c r="E315" s="125"/>
      <c r="F315" s="128"/>
      <c r="G315" s="80"/>
      <c r="H315" s="80"/>
      <c r="I315" s="81"/>
      <c r="J315" s="82"/>
      <c r="K315" s="128" t="s">
        <v>65</v>
      </c>
      <c r="L315" s="80">
        <v>1500000000</v>
      </c>
      <c r="M315" s="80">
        <v>0</v>
      </c>
      <c r="N315" s="81">
        <v>14.5</v>
      </c>
      <c r="O315" s="82" t="s">
        <v>140</v>
      </c>
      <c r="P315" s="129"/>
    </row>
    <row r="316" spans="1:17">
      <c r="A316" s="126" t="s">
        <v>110</v>
      </c>
      <c r="B316" s="127" t="s">
        <v>123</v>
      </c>
      <c r="C316" s="125">
        <v>44378</v>
      </c>
      <c r="D316" s="125">
        <v>44742</v>
      </c>
      <c r="E316" s="125"/>
      <c r="F316" s="128"/>
      <c r="G316" s="80"/>
      <c r="H316" s="80"/>
      <c r="I316" s="81"/>
      <c r="J316" s="82"/>
      <c r="K316" s="128" t="s">
        <v>65</v>
      </c>
      <c r="L316" s="80">
        <v>500000000</v>
      </c>
      <c r="M316" s="80">
        <v>1500000000</v>
      </c>
      <c r="N316" s="81">
        <v>16.5</v>
      </c>
      <c r="O316" s="82" t="s">
        <v>140</v>
      </c>
      <c r="P316" s="129"/>
    </row>
    <row r="317" spans="1:17">
      <c r="A317" s="126" t="s">
        <v>110</v>
      </c>
      <c r="B317" s="127" t="s">
        <v>124</v>
      </c>
      <c r="C317" s="125">
        <v>43586</v>
      </c>
      <c r="D317" s="125">
        <v>43951</v>
      </c>
      <c r="E317" s="125"/>
      <c r="F317" s="128" t="s">
        <v>65</v>
      </c>
      <c r="G317" s="80">
        <v>150000000</v>
      </c>
      <c r="H317" s="80">
        <v>0</v>
      </c>
      <c r="I317" s="81">
        <v>12.5</v>
      </c>
      <c r="J317" s="82" t="s">
        <v>140</v>
      </c>
      <c r="K317" s="128" t="s">
        <v>65</v>
      </c>
      <c r="L317" s="80">
        <v>2000000000</v>
      </c>
      <c r="M317" s="80">
        <v>0</v>
      </c>
      <c r="N317" s="81">
        <v>12.5</v>
      </c>
      <c r="O317" s="82" t="s">
        <v>140</v>
      </c>
      <c r="P317" s="129"/>
    </row>
    <row r="318" spans="1:17">
      <c r="A318" s="126" t="s">
        <v>110</v>
      </c>
      <c r="B318" s="127" t="s">
        <v>124</v>
      </c>
      <c r="C318" s="125">
        <v>43586</v>
      </c>
      <c r="D318" s="125">
        <v>43951</v>
      </c>
      <c r="E318" s="125"/>
      <c r="F318" s="128"/>
      <c r="G318" s="80"/>
      <c r="H318" s="80"/>
      <c r="I318" s="81"/>
      <c r="J318" s="82"/>
      <c r="K318" s="128" t="s">
        <v>65</v>
      </c>
      <c r="L318" s="80">
        <v>500000000</v>
      </c>
      <c r="M318" s="80">
        <v>2000000000</v>
      </c>
      <c r="N318" s="81">
        <v>12.5</v>
      </c>
      <c r="O318" s="82" t="s">
        <v>140</v>
      </c>
      <c r="P318" s="129"/>
    </row>
    <row r="319" spans="1:17">
      <c r="A319" s="126" t="s">
        <v>110</v>
      </c>
      <c r="B319" s="127" t="s">
        <v>124</v>
      </c>
      <c r="C319" s="125">
        <v>43952</v>
      </c>
      <c r="D319" s="125">
        <v>44135</v>
      </c>
      <c r="E319" s="125"/>
      <c r="F319" s="128" t="s">
        <v>65</v>
      </c>
      <c r="G319" s="80">
        <v>150000000</v>
      </c>
      <c r="H319" s="80">
        <v>0</v>
      </c>
      <c r="I319" s="81">
        <v>12.5</v>
      </c>
      <c r="J319" s="82" t="s">
        <v>140</v>
      </c>
      <c r="K319" s="128" t="s">
        <v>65</v>
      </c>
      <c r="L319" s="80">
        <v>2000000000</v>
      </c>
      <c r="M319" s="80">
        <v>0</v>
      </c>
      <c r="N319" s="81">
        <v>12.5</v>
      </c>
      <c r="O319" s="82" t="s">
        <v>140</v>
      </c>
      <c r="P319" s="129"/>
    </row>
    <row r="320" spans="1:17">
      <c r="A320" s="126" t="s">
        <v>110</v>
      </c>
      <c r="B320" s="127" t="s">
        <v>124</v>
      </c>
      <c r="C320" s="125">
        <v>43952</v>
      </c>
      <c r="D320" s="125">
        <v>44135</v>
      </c>
      <c r="E320" s="125"/>
      <c r="F320" s="128"/>
      <c r="G320" s="80"/>
      <c r="H320" s="80"/>
      <c r="I320" s="81"/>
      <c r="J320" s="82"/>
      <c r="K320" s="128" t="s">
        <v>65</v>
      </c>
      <c r="L320" s="80">
        <v>500000000</v>
      </c>
      <c r="M320" s="80">
        <v>2000000000</v>
      </c>
      <c r="N320" s="81">
        <v>12.5</v>
      </c>
      <c r="O320" s="82" t="s">
        <v>140</v>
      </c>
      <c r="P320" s="129"/>
      <c r="Q320" s="161">
        <v>16</v>
      </c>
    </row>
    <row r="321" spans="1:16">
      <c r="A321" s="126" t="s">
        <v>110</v>
      </c>
      <c r="B321" s="127" t="s">
        <v>125</v>
      </c>
      <c r="C321" s="125">
        <v>43819</v>
      </c>
      <c r="D321" s="125">
        <v>44184</v>
      </c>
      <c r="E321" s="125"/>
      <c r="F321" s="128" t="s">
        <v>65</v>
      </c>
      <c r="G321" s="80">
        <v>50000000</v>
      </c>
      <c r="H321" s="80">
        <v>0</v>
      </c>
      <c r="I321" s="81">
        <v>5</v>
      </c>
      <c r="J321" s="82" t="s">
        <v>140</v>
      </c>
      <c r="K321" s="128" t="s">
        <v>65</v>
      </c>
      <c r="L321" s="80">
        <v>2000000000</v>
      </c>
      <c r="M321" s="80">
        <v>0</v>
      </c>
      <c r="N321" s="81">
        <v>7.5</v>
      </c>
      <c r="O321" s="82" t="s">
        <v>140</v>
      </c>
      <c r="P321" s="129"/>
    </row>
    <row r="322" spans="1:16">
      <c r="A322" s="126" t="s">
        <v>110</v>
      </c>
      <c r="B322" s="127" t="s">
        <v>125</v>
      </c>
      <c r="C322" s="125">
        <v>43819</v>
      </c>
      <c r="D322" s="125">
        <v>44184</v>
      </c>
      <c r="E322" s="125"/>
      <c r="F322" s="128"/>
      <c r="G322" s="80"/>
      <c r="H322" s="80"/>
      <c r="I322" s="81"/>
      <c r="J322" s="82"/>
      <c r="K322" s="128" t="s">
        <v>65</v>
      </c>
      <c r="L322" s="80">
        <v>1000000000</v>
      </c>
      <c r="M322" s="80">
        <v>2000000000</v>
      </c>
      <c r="N322" s="81">
        <v>21</v>
      </c>
      <c r="O322" s="82" t="s">
        <v>140</v>
      </c>
      <c r="P322" s="129"/>
    </row>
    <row r="323" spans="1:16">
      <c r="A323" s="126" t="s">
        <v>110</v>
      </c>
      <c r="B323" s="127" t="s">
        <v>125</v>
      </c>
      <c r="C323" s="125">
        <v>44185</v>
      </c>
      <c r="D323" s="125">
        <v>44549</v>
      </c>
      <c r="E323" s="125"/>
      <c r="F323" s="128" t="s">
        <v>65</v>
      </c>
      <c r="G323" s="80">
        <v>50000000</v>
      </c>
      <c r="H323" s="80">
        <v>0</v>
      </c>
      <c r="I323" s="81">
        <v>6</v>
      </c>
      <c r="J323" s="82" t="s">
        <v>140</v>
      </c>
      <c r="K323" s="128" t="s">
        <v>65</v>
      </c>
      <c r="L323" s="80">
        <v>750000000</v>
      </c>
      <c r="M323" s="80">
        <v>0</v>
      </c>
      <c r="N323" s="81">
        <v>6</v>
      </c>
      <c r="O323" s="82" t="s">
        <v>140</v>
      </c>
      <c r="P323" s="129"/>
    </row>
    <row r="324" spans="1:16">
      <c r="A324" s="126" t="s">
        <v>110</v>
      </c>
      <c r="B324" s="127" t="s">
        <v>125</v>
      </c>
      <c r="C324" s="125">
        <v>44185</v>
      </c>
      <c r="D324" s="125">
        <v>44549</v>
      </c>
      <c r="E324" s="125"/>
      <c r="F324" s="128"/>
      <c r="G324" s="80"/>
      <c r="H324" s="80"/>
      <c r="I324" s="81" t="s">
        <v>34</v>
      </c>
      <c r="J324" s="82"/>
      <c r="K324" s="128" t="s">
        <v>65</v>
      </c>
      <c r="L324" s="80">
        <v>1250000000</v>
      </c>
      <c r="M324" s="80">
        <v>750000000</v>
      </c>
      <c r="N324" s="81">
        <v>6</v>
      </c>
      <c r="O324" s="82" t="s">
        <v>140</v>
      </c>
      <c r="P324" s="129"/>
    </row>
    <row r="325" spans="1:16">
      <c r="A325" s="126" t="s">
        <v>110</v>
      </c>
      <c r="B325" s="127" t="s">
        <v>125</v>
      </c>
      <c r="C325" s="125">
        <v>44550</v>
      </c>
      <c r="D325" s="125">
        <v>44914</v>
      </c>
      <c r="E325" s="125"/>
      <c r="F325" s="128" t="s">
        <v>65</v>
      </c>
      <c r="G325" s="80">
        <v>50000000</v>
      </c>
      <c r="H325" s="80">
        <v>0</v>
      </c>
      <c r="I325" s="81">
        <v>6</v>
      </c>
      <c r="J325" s="82" t="s">
        <v>140</v>
      </c>
      <c r="K325" s="128" t="s">
        <v>65</v>
      </c>
      <c r="L325" s="80">
        <v>975000000</v>
      </c>
      <c r="M325" s="80">
        <v>25000000</v>
      </c>
      <c r="N325" s="81">
        <v>6</v>
      </c>
      <c r="O325" s="82" t="s">
        <v>140</v>
      </c>
      <c r="P325" s="129"/>
    </row>
    <row r="326" spans="1:16">
      <c r="A326" s="126" t="s">
        <v>110</v>
      </c>
      <c r="B326" s="127" t="s">
        <v>125</v>
      </c>
      <c r="C326" s="125">
        <v>44550</v>
      </c>
      <c r="D326" s="125">
        <v>44914</v>
      </c>
      <c r="E326" s="125"/>
      <c r="F326" s="128"/>
      <c r="G326" s="80"/>
      <c r="H326" s="80"/>
      <c r="I326" s="81" t="s">
        <v>34</v>
      </c>
      <c r="J326" s="82"/>
      <c r="K326" s="128" t="s">
        <v>65</v>
      </c>
      <c r="L326" s="80">
        <v>1000000000</v>
      </c>
      <c r="M326" s="80">
        <v>1000000000</v>
      </c>
      <c r="N326" s="81">
        <v>6</v>
      </c>
      <c r="O326" s="82" t="s">
        <v>140</v>
      </c>
      <c r="P326" s="129"/>
    </row>
    <row r="327" spans="1:16">
      <c r="A327" s="126" t="s">
        <v>110</v>
      </c>
      <c r="B327" s="127" t="s">
        <v>125</v>
      </c>
      <c r="C327" s="125"/>
      <c r="D327" s="125"/>
      <c r="E327" s="125"/>
      <c r="F327" s="128"/>
      <c r="G327" s="80"/>
      <c r="H327" s="80"/>
      <c r="I327" s="81"/>
      <c r="J327" s="82"/>
      <c r="K327" s="128"/>
      <c r="L327" s="80"/>
      <c r="M327" s="80"/>
      <c r="N327" s="81"/>
      <c r="O327" s="82"/>
      <c r="P327" s="129"/>
    </row>
    <row r="328" spans="1:16">
      <c r="A328" s="126" t="s">
        <v>110</v>
      </c>
      <c r="B328" s="127" t="s">
        <v>126</v>
      </c>
      <c r="C328" s="125">
        <v>43799</v>
      </c>
      <c r="D328" s="125">
        <v>44164</v>
      </c>
      <c r="E328" s="125"/>
      <c r="F328" s="128" t="s">
        <v>65</v>
      </c>
      <c r="G328" s="80">
        <v>100000000</v>
      </c>
      <c r="H328" s="80">
        <v>0</v>
      </c>
      <c r="I328" s="81">
        <v>18.399999999999999</v>
      </c>
      <c r="J328" s="82" t="s">
        <v>140</v>
      </c>
      <c r="K328" s="128" t="s">
        <v>65</v>
      </c>
      <c r="L328" s="80">
        <v>2000000000</v>
      </c>
      <c r="M328" s="80">
        <v>0</v>
      </c>
      <c r="N328" s="81">
        <v>20</v>
      </c>
      <c r="O328" s="82" t="s">
        <v>140</v>
      </c>
      <c r="P328" s="129"/>
    </row>
    <row r="329" spans="1:16">
      <c r="A329" s="126" t="s">
        <v>110</v>
      </c>
      <c r="B329" s="127" t="s">
        <v>126</v>
      </c>
      <c r="C329" s="125">
        <v>43799</v>
      </c>
      <c r="D329" s="125">
        <v>44164</v>
      </c>
      <c r="E329" s="125"/>
      <c r="F329" s="128"/>
      <c r="G329" s="80"/>
      <c r="H329" s="80"/>
      <c r="I329" s="81"/>
      <c r="J329" s="82"/>
      <c r="K329" s="128" t="s">
        <v>65</v>
      </c>
      <c r="L329" s="80">
        <v>500000000</v>
      </c>
      <c r="M329" s="80">
        <v>2000000000</v>
      </c>
      <c r="N329" s="81">
        <v>25</v>
      </c>
      <c r="O329" s="82" t="s">
        <v>140</v>
      </c>
      <c r="P329" s="129"/>
    </row>
    <row r="330" spans="1:16">
      <c r="A330" s="126" t="s">
        <v>110</v>
      </c>
      <c r="B330" s="127" t="s">
        <v>126</v>
      </c>
      <c r="C330" s="125">
        <v>44165</v>
      </c>
      <c r="D330" s="125">
        <v>44529</v>
      </c>
      <c r="E330" s="125"/>
      <c r="F330" s="128" t="s">
        <v>65</v>
      </c>
      <c r="G330" s="80">
        <v>100000000</v>
      </c>
      <c r="H330" s="80">
        <v>0</v>
      </c>
      <c r="I330" s="81">
        <v>18.399999999999999</v>
      </c>
      <c r="J330" s="82" t="s">
        <v>140</v>
      </c>
      <c r="K330" s="128" t="s">
        <v>65</v>
      </c>
      <c r="L330" s="80">
        <v>2000000000</v>
      </c>
      <c r="M330" s="80">
        <v>0</v>
      </c>
      <c r="N330" s="81">
        <v>20</v>
      </c>
      <c r="O330" s="82" t="s">
        <v>140</v>
      </c>
      <c r="P330" s="129"/>
    </row>
    <row r="331" spans="1:16">
      <c r="A331" s="126" t="s">
        <v>110</v>
      </c>
      <c r="B331" s="127" t="s">
        <v>126</v>
      </c>
      <c r="C331" s="125">
        <v>44165</v>
      </c>
      <c r="D331" s="125">
        <v>44529</v>
      </c>
      <c r="E331" s="125"/>
      <c r="F331" s="128"/>
      <c r="G331" s="80"/>
      <c r="H331" s="80"/>
      <c r="I331" s="81"/>
      <c r="J331" s="82"/>
      <c r="K331" s="128" t="s">
        <v>65</v>
      </c>
      <c r="L331" s="80">
        <v>500000000</v>
      </c>
      <c r="M331" s="80">
        <v>2000000000</v>
      </c>
      <c r="N331" s="81">
        <v>25</v>
      </c>
      <c r="O331" s="82" t="s">
        <v>140</v>
      </c>
      <c r="P331" s="129"/>
    </row>
    <row r="332" spans="1:16">
      <c r="A332" s="126" t="s">
        <v>110</v>
      </c>
      <c r="B332" s="127" t="s">
        <v>126</v>
      </c>
      <c r="C332" s="125">
        <v>44530</v>
      </c>
      <c r="D332" s="125">
        <v>44894</v>
      </c>
      <c r="E332" s="125"/>
      <c r="F332" s="128" t="s">
        <v>65</v>
      </c>
      <c r="G332" s="80">
        <v>100000000</v>
      </c>
      <c r="H332" s="80">
        <v>0</v>
      </c>
      <c r="I332" s="81">
        <v>18.399999999999999</v>
      </c>
      <c r="J332" s="82" t="s">
        <v>140</v>
      </c>
      <c r="K332" s="128" t="s">
        <v>65</v>
      </c>
      <c r="L332" s="80">
        <v>2000000000</v>
      </c>
      <c r="M332" s="80">
        <v>0</v>
      </c>
      <c r="N332" s="81">
        <v>20</v>
      </c>
      <c r="O332" s="82" t="s">
        <v>140</v>
      </c>
      <c r="P332" s="129"/>
    </row>
    <row r="333" spans="1:16">
      <c r="A333" s="126" t="s">
        <v>110</v>
      </c>
      <c r="B333" s="127" t="s">
        <v>126</v>
      </c>
      <c r="C333" s="125">
        <v>44530</v>
      </c>
      <c r="D333" s="125">
        <v>44894</v>
      </c>
      <c r="E333" s="125"/>
      <c r="F333" s="128"/>
      <c r="G333" s="80"/>
      <c r="H333" s="80"/>
      <c r="I333" s="81"/>
      <c r="J333" s="82"/>
      <c r="K333" s="128" t="s">
        <v>65</v>
      </c>
      <c r="L333" s="80">
        <v>500000000</v>
      </c>
      <c r="M333" s="80">
        <v>2000000000</v>
      </c>
      <c r="N333" s="81">
        <v>20</v>
      </c>
      <c r="O333" s="82" t="s">
        <v>140</v>
      </c>
      <c r="P333" s="129"/>
    </row>
    <row r="334" spans="1:16">
      <c r="A334" s="126" t="s">
        <v>110</v>
      </c>
      <c r="B334" s="127" t="s">
        <v>127</v>
      </c>
      <c r="C334" s="125">
        <v>43556</v>
      </c>
      <c r="D334" s="125">
        <v>43922</v>
      </c>
      <c r="E334" s="125"/>
      <c r="F334" s="128" t="s">
        <v>65</v>
      </c>
      <c r="G334" s="80"/>
      <c r="H334" s="80"/>
      <c r="I334" s="81"/>
      <c r="J334" s="82" t="s">
        <v>140</v>
      </c>
      <c r="K334" s="128" t="s">
        <v>65</v>
      </c>
      <c r="L334" s="80">
        <v>1000000000</v>
      </c>
      <c r="M334" s="80">
        <v>0</v>
      </c>
      <c r="N334" s="81">
        <v>2.5</v>
      </c>
      <c r="O334" s="82" t="s">
        <v>140</v>
      </c>
      <c r="P334" s="129"/>
    </row>
    <row r="335" spans="1:16">
      <c r="A335" s="126" t="s">
        <v>110</v>
      </c>
      <c r="B335" s="127" t="s">
        <v>127</v>
      </c>
      <c r="C335" s="125" t="s">
        <v>310</v>
      </c>
      <c r="D335" s="125"/>
      <c r="E335" s="125"/>
      <c r="F335" s="128"/>
      <c r="G335" s="80"/>
      <c r="H335" s="80"/>
      <c r="I335" s="81"/>
      <c r="J335" s="82"/>
      <c r="K335" s="128"/>
      <c r="L335" s="80"/>
      <c r="M335" s="80"/>
      <c r="N335" s="81"/>
      <c r="O335" s="82"/>
      <c r="P335" s="129"/>
    </row>
    <row r="336" spans="1:16">
      <c r="A336" s="126" t="s">
        <v>110</v>
      </c>
      <c r="B336" s="127" t="s">
        <v>176</v>
      </c>
      <c r="C336" s="125">
        <v>43830</v>
      </c>
      <c r="D336" s="125">
        <v>44195</v>
      </c>
      <c r="E336" s="125"/>
      <c r="F336" s="128" t="s">
        <v>6</v>
      </c>
      <c r="G336" s="80">
        <v>80000000</v>
      </c>
      <c r="H336" s="80">
        <v>0</v>
      </c>
      <c r="I336" s="81">
        <v>13</v>
      </c>
      <c r="J336" s="82" t="s">
        <v>140</v>
      </c>
      <c r="K336" s="128" t="s">
        <v>65</v>
      </c>
      <c r="L336" s="80">
        <v>2000000000</v>
      </c>
      <c r="M336" s="80">
        <v>0</v>
      </c>
      <c r="N336" s="81">
        <v>15</v>
      </c>
      <c r="O336" s="82" t="s">
        <v>140</v>
      </c>
      <c r="P336" s="129"/>
    </row>
    <row r="337" spans="1:18">
      <c r="A337" s="126" t="s">
        <v>110</v>
      </c>
      <c r="B337" s="127" t="s">
        <v>176</v>
      </c>
      <c r="C337" s="125">
        <v>44196</v>
      </c>
      <c r="D337" s="125">
        <v>44560</v>
      </c>
      <c r="E337" s="125"/>
      <c r="F337" s="128" t="s">
        <v>6</v>
      </c>
      <c r="G337" s="80">
        <v>80000000</v>
      </c>
      <c r="H337" s="80">
        <v>0</v>
      </c>
      <c r="I337" s="81">
        <v>10</v>
      </c>
      <c r="J337" s="82" t="s">
        <v>140</v>
      </c>
      <c r="K337" s="128" t="s">
        <v>65</v>
      </c>
      <c r="L337" s="80">
        <v>2000000000</v>
      </c>
      <c r="M337" s="80">
        <v>0</v>
      </c>
      <c r="N337" s="81">
        <v>10</v>
      </c>
      <c r="O337" s="82" t="s">
        <v>140</v>
      </c>
      <c r="P337" s="129"/>
    </row>
    <row r="338" spans="1:18">
      <c r="A338" s="126" t="s">
        <v>110</v>
      </c>
      <c r="B338" s="127" t="s">
        <v>176</v>
      </c>
      <c r="C338" s="125">
        <v>44561</v>
      </c>
      <c r="D338" s="125">
        <v>44925</v>
      </c>
      <c r="E338" s="125"/>
      <c r="F338" s="128" t="s">
        <v>6</v>
      </c>
      <c r="G338" s="80">
        <v>80000000</v>
      </c>
      <c r="H338" s="80">
        <v>0</v>
      </c>
      <c r="I338" s="81">
        <v>10</v>
      </c>
      <c r="J338" s="82" t="s">
        <v>140</v>
      </c>
      <c r="K338" s="128" t="s">
        <v>65</v>
      </c>
      <c r="L338" s="80">
        <v>2000000000</v>
      </c>
      <c r="M338" s="80">
        <v>0</v>
      </c>
      <c r="N338" s="81">
        <v>10</v>
      </c>
      <c r="O338" s="82" t="s">
        <v>140</v>
      </c>
      <c r="P338" s="129"/>
    </row>
    <row r="339" spans="1:18" s="225" customFormat="1">
      <c r="A339" s="216" t="s">
        <v>110</v>
      </c>
      <c r="B339" s="217" t="s">
        <v>128</v>
      </c>
      <c r="C339" s="218">
        <v>43647</v>
      </c>
      <c r="D339" s="218">
        <v>44012</v>
      </c>
      <c r="E339" s="218"/>
      <c r="F339" s="219" t="s">
        <v>65</v>
      </c>
      <c r="G339" s="220">
        <v>100000000</v>
      </c>
      <c r="H339" s="220">
        <v>0</v>
      </c>
      <c r="I339" s="221">
        <v>10</v>
      </c>
      <c r="J339" s="222" t="s">
        <v>140</v>
      </c>
      <c r="K339" s="219" t="s">
        <v>65</v>
      </c>
      <c r="L339" s="220">
        <v>2500000000</v>
      </c>
      <c r="M339" s="220">
        <v>0</v>
      </c>
      <c r="N339" s="221">
        <v>10</v>
      </c>
      <c r="O339" s="222" t="s">
        <v>140</v>
      </c>
      <c r="P339" s="223"/>
      <c r="Q339" s="224"/>
      <c r="R339" s="227">
        <f>N339/100</f>
        <v>0.1</v>
      </c>
    </row>
    <row r="340" spans="1:18" s="225" customFormat="1">
      <c r="A340" s="216" t="s">
        <v>110</v>
      </c>
      <c r="B340" s="217" t="s">
        <v>128</v>
      </c>
      <c r="C340" s="218">
        <v>43647</v>
      </c>
      <c r="D340" s="218">
        <v>44012</v>
      </c>
      <c r="E340" s="218"/>
      <c r="F340" s="219"/>
      <c r="G340" s="220"/>
      <c r="H340" s="220"/>
      <c r="I340" s="221"/>
      <c r="J340" s="222"/>
      <c r="K340" s="219" t="s">
        <v>65</v>
      </c>
      <c r="L340" s="220">
        <v>1500000000</v>
      </c>
      <c r="M340" s="220">
        <v>2500000000</v>
      </c>
      <c r="N340" s="221">
        <v>14.4575</v>
      </c>
      <c r="O340" s="222" t="s">
        <v>140</v>
      </c>
      <c r="P340" s="223"/>
      <c r="Q340" s="224"/>
      <c r="R340" s="227">
        <f t="shared" ref="R340:R347" si="0">N340/100</f>
        <v>0.14457500000000001</v>
      </c>
    </row>
    <row r="341" spans="1:18" s="225" customFormat="1">
      <c r="A341" s="216" t="s">
        <v>110</v>
      </c>
      <c r="B341" s="217" t="s">
        <v>128</v>
      </c>
      <c r="C341" s="218">
        <v>43647</v>
      </c>
      <c r="D341" s="218">
        <v>44012</v>
      </c>
      <c r="E341" s="218"/>
      <c r="F341" s="219"/>
      <c r="G341" s="220"/>
      <c r="H341" s="220"/>
      <c r="I341" s="221"/>
      <c r="J341" s="222"/>
      <c r="K341" s="219" t="s">
        <v>65</v>
      </c>
      <c r="L341" s="220">
        <v>250000000</v>
      </c>
      <c r="M341" s="220">
        <v>4000000000</v>
      </c>
      <c r="N341" s="221">
        <v>15</v>
      </c>
      <c r="O341" s="222" t="s">
        <v>140</v>
      </c>
      <c r="P341" s="223"/>
      <c r="Q341" s="224"/>
      <c r="R341" s="227">
        <f t="shared" si="0"/>
        <v>0.15</v>
      </c>
    </row>
    <row r="342" spans="1:18" s="225" customFormat="1">
      <c r="A342" s="216" t="s">
        <v>110</v>
      </c>
      <c r="B342" s="217" t="s">
        <v>128</v>
      </c>
      <c r="C342" s="218">
        <v>44013</v>
      </c>
      <c r="D342" s="218">
        <v>44377</v>
      </c>
      <c r="E342" s="218"/>
      <c r="F342" s="219" t="s">
        <v>65</v>
      </c>
      <c r="G342" s="220">
        <v>100000000</v>
      </c>
      <c r="H342" s="220">
        <v>0</v>
      </c>
      <c r="I342" s="221">
        <v>10</v>
      </c>
      <c r="J342" s="222" t="s">
        <v>140</v>
      </c>
      <c r="K342" s="219" t="s">
        <v>65</v>
      </c>
      <c r="L342" s="220">
        <v>2500000000</v>
      </c>
      <c r="M342" s="220">
        <v>0</v>
      </c>
      <c r="N342" s="221">
        <v>10</v>
      </c>
      <c r="O342" s="222" t="s">
        <v>140</v>
      </c>
      <c r="P342" s="223"/>
      <c r="Q342" s="224"/>
      <c r="R342" s="227">
        <f t="shared" si="0"/>
        <v>0.1</v>
      </c>
    </row>
    <row r="343" spans="1:18" s="225" customFormat="1">
      <c r="A343" s="216" t="s">
        <v>110</v>
      </c>
      <c r="B343" s="217" t="s">
        <v>128</v>
      </c>
      <c r="C343" s="218">
        <v>44013</v>
      </c>
      <c r="D343" s="218">
        <v>44377</v>
      </c>
      <c r="E343" s="218"/>
      <c r="F343" s="219"/>
      <c r="G343" s="220"/>
      <c r="H343" s="220"/>
      <c r="I343" s="221"/>
      <c r="J343" s="222"/>
      <c r="K343" s="219" t="s">
        <v>65</v>
      </c>
      <c r="L343" s="220">
        <v>1500000000</v>
      </c>
      <c r="M343" s="220">
        <v>2500000000</v>
      </c>
      <c r="N343" s="221">
        <v>14.4575</v>
      </c>
      <c r="O343" s="222" t="s">
        <v>140</v>
      </c>
      <c r="P343" s="223"/>
      <c r="Q343" s="224"/>
      <c r="R343" s="227">
        <f t="shared" si="0"/>
        <v>0.14457500000000001</v>
      </c>
    </row>
    <row r="344" spans="1:18" s="225" customFormat="1">
      <c r="A344" s="216" t="s">
        <v>110</v>
      </c>
      <c r="B344" s="217" t="s">
        <v>128</v>
      </c>
      <c r="C344" s="218">
        <v>44013</v>
      </c>
      <c r="D344" s="218">
        <v>44377</v>
      </c>
      <c r="E344" s="218"/>
      <c r="F344" s="219"/>
      <c r="G344" s="220"/>
      <c r="H344" s="220"/>
      <c r="I344" s="221"/>
      <c r="J344" s="222"/>
      <c r="K344" s="219" t="s">
        <v>65</v>
      </c>
      <c r="L344" s="220">
        <v>250000000</v>
      </c>
      <c r="M344" s="220">
        <v>4000000000</v>
      </c>
      <c r="N344" s="221">
        <v>15</v>
      </c>
      <c r="O344" s="222" t="s">
        <v>140</v>
      </c>
      <c r="P344" s="223"/>
      <c r="Q344" s="226">
        <f>SUMPRODUCT(L342:L344,R342:R344)</f>
        <v>504362500</v>
      </c>
      <c r="R344" s="227">
        <f t="shared" si="0"/>
        <v>0.15</v>
      </c>
    </row>
    <row r="345" spans="1:18" s="238" customFormat="1">
      <c r="A345" s="228" t="s">
        <v>110</v>
      </c>
      <c r="B345" s="229" t="s">
        <v>331</v>
      </c>
      <c r="C345" s="230">
        <v>44378</v>
      </c>
      <c r="D345" s="230">
        <v>44742</v>
      </c>
      <c r="E345" s="230"/>
      <c r="F345" s="231" t="s">
        <v>65</v>
      </c>
      <c r="G345" s="232">
        <v>100000000</v>
      </c>
      <c r="H345" s="232">
        <v>0</v>
      </c>
      <c r="I345" s="233">
        <v>10</v>
      </c>
      <c r="J345" s="234" t="s">
        <v>140</v>
      </c>
      <c r="K345" s="231" t="s">
        <v>65</v>
      </c>
      <c r="L345" s="232">
        <v>2500000000</v>
      </c>
      <c r="M345" s="232">
        <v>0</v>
      </c>
      <c r="N345" s="233">
        <v>10</v>
      </c>
      <c r="O345" s="234" t="s">
        <v>140</v>
      </c>
      <c r="P345" s="235"/>
      <c r="Q345" s="236"/>
      <c r="R345" s="237">
        <f t="shared" si="0"/>
        <v>0.1</v>
      </c>
    </row>
    <row r="346" spans="1:18" s="225" customFormat="1" ht="12.6" customHeight="1">
      <c r="A346" s="216" t="s">
        <v>110</v>
      </c>
      <c r="B346" s="217" t="s">
        <v>331</v>
      </c>
      <c r="C346" s="218">
        <v>44378</v>
      </c>
      <c r="D346" s="218">
        <v>44742</v>
      </c>
      <c r="E346" s="218"/>
      <c r="F346" s="219"/>
      <c r="G346" s="220"/>
      <c r="H346" s="220"/>
      <c r="I346" s="221"/>
      <c r="J346" s="222"/>
      <c r="K346" s="219" t="s">
        <v>65</v>
      </c>
      <c r="L346" s="220">
        <v>1500000000</v>
      </c>
      <c r="M346" s="220">
        <v>2500000000</v>
      </c>
      <c r="N346" s="221">
        <v>12.5</v>
      </c>
      <c r="O346" s="222" t="s">
        <v>140</v>
      </c>
      <c r="P346" s="223"/>
      <c r="Q346" s="224"/>
      <c r="R346" s="227">
        <f t="shared" si="0"/>
        <v>0.125</v>
      </c>
    </row>
    <row r="347" spans="1:18" s="225" customFormat="1">
      <c r="A347" s="216" t="s">
        <v>110</v>
      </c>
      <c r="B347" s="217" t="s">
        <v>331</v>
      </c>
      <c r="C347" s="218">
        <v>44378</v>
      </c>
      <c r="D347" s="218">
        <v>44742</v>
      </c>
      <c r="E347" s="218"/>
      <c r="F347" s="219"/>
      <c r="G347" s="220"/>
      <c r="H347" s="220"/>
      <c r="I347" s="221"/>
      <c r="J347" s="222"/>
      <c r="K347" s="219" t="s">
        <v>65</v>
      </c>
      <c r="L347" s="220">
        <v>250000000</v>
      </c>
      <c r="M347" s="220">
        <v>4000000000</v>
      </c>
      <c r="N347" s="221">
        <v>12.5</v>
      </c>
      <c r="O347" s="222" t="s">
        <v>140</v>
      </c>
      <c r="P347" s="223"/>
      <c r="Q347" s="226">
        <f>SUMPRODUCT(L345:L347,R345:R347)</f>
        <v>468750000</v>
      </c>
      <c r="R347" s="227">
        <f t="shared" si="0"/>
        <v>0.125</v>
      </c>
    </row>
  </sheetData>
  <autoFilter ref="A16:XFA347" xr:uid="{00000000-0009-0000-0000-00000A000000}"/>
  <mergeCells count="3">
    <mergeCell ref="A2:P2"/>
    <mergeCell ref="A4:P4"/>
    <mergeCell ref="A5:P5"/>
  </mergeCells>
  <conditionalFormatting sqref="B17:B22 B57:B58 B146:B147 B32:B34 B41:B43 B47 B82:B84 B115:B117 B121:B123 B130:B132 B185:B187 B62:B75 B155:B156 B198:B324 B92:B108">
    <cfRule type="expression" dxfId="163" priority="42" stopIfTrue="1">
      <formula>AND(B17&lt;&gt;OFFSET(B17,1,0),VLOOKUP(B17,AN_List,1,FALSE)=B17)</formula>
    </cfRule>
    <cfRule type="expression" dxfId="162" priority="43" stopIfTrue="1">
      <formula>B17&lt;&gt;OFFSET(B17,1,0)</formula>
    </cfRule>
    <cfRule type="expression" dxfId="161" priority="44" stopIfTrue="1">
      <formula>VLOOKUP(B17,AN_List,1,FALSE)=B17</formula>
    </cfRule>
  </conditionalFormatting>
  <conditionalFormatting sqref="C18:P19 A18:A19 A21:A22 C21:P22 A33:A34 C33:P34 A42:A43 C42:P43 A74:A75 C74:P75 A82 C82:P82 A116:A117 A122:A123 C122:P123 A130:A132 A146:A147 C146:P147 A84 C84:P84 A57:A58 C57:P58 A64:A72 C62:P62 C130:P132 C116:P117 A93:A108 A185:A187 C185:P187 A62 A155:A156 C155:P156 A198:A324 C199:P203 C93:P108 C64:P72 A48:A52 C48:P52 C205:P324 G85">
    <cfRule type="expression" dxfId="160" priority="41" stopIfTrue="1">
      <formula>+$B18&lt;&gt;$B19</formula>
    </cfRule>
  </conditionalFormatting>
  <conditionalFormatting sqref="A20 C20:P20 A32 C32:P32 A41 C41:P41 A47 C47:P47 A63 P63 A73 C73:P73 A115 C115:P115 A121 C121:P121 A145 C145:P145 A154 C154:P154">
    <cfRule type="expression" dxfId="159" priority="40" stopIfTrue="1">
      <formula>+$B20&lt;&gt;$B22</formula>
    </cfRule>
  </conditionalFormatting>
  <conditionalFormatting sqref="B48:B53">
    <cfRule type="expression" dxfId="158" priority="37" stopIfTrue="1">
      <formula>AND(B48&lt;&gt;OFFSET(B48,1,0),VLOOKUP(B48,AN_List,1,FALSE)=B48)</formula>
    </cfRule>
    <cfRule type="expression" dxfId="157" priority="38" stopIfTrue="1">
      <formula>B48&lt;&gt;OFFSET(B48,1,0)</formula>
    </cfRule>
    <cfRule type="expression" dxfId="156" priority="39" stopIfTrue="1">
      <formula>VLOOKUP(B48,AN_List,1,FALSE)=B48</formula>
    </cfRule>
  </conditionalFormatting>
  <conditionalFormatting sqref="B145 B154">
    <cfRule type="expression" dxfId="155" priority="34" stopIfTrue="1">
      <formula>AND(B145&lt;&gt;OFFSET(B145,1,0),VLOOKUP(B145,AN_List,1,FALSE)=B145)</formula>
    </cfRule>
    <cfRule type="expression" dxfId="154" priority="35" stopIfTrue="1">
      <formula>B145&lt;&gt;OFFSET(B145,1,0)</formula>
    </cfRule>
    <cfRule type="expression" dxfId="153" priority="36" stopIfTrue="1">
      <formula>VLOOKUP(B145,AN_List,1,FALSE)=B145</formula>
    </cfRule>
  </conditionalFormatting>
  <conditionalFormatting sqref="A17 C17:P17">
    <cfRule type="expression" dxfId="152" priority="45" stopIfTrue="1">
      <formula>+$B17&lt;&gt;$B19</formula>
    </cfRule>
  </conditionalFormatting>
  <conditionalFormatting sqref="B50">
    <cfRule type="expression" dxfId="151" priority="31" stopIfTrue="1">
      <formula>AND(B50&lt;&gt;OFFSET(B50,1,0),VLOOKUP(B50,AN_List,1,FALSE)=B50)</formula>
    </cfRule>
    <cfRule type="expression" dxfId="150" priority="32" stopIfTrue="1">
      <formula>B50&lt;&gt;OFFSET(B50,1,0)</formula>
    </cfRule>
    <cfRule type="expression" dxfId="149" priority="33" stopIfTrue="1">
      <formula>VLOOKUP(B50,AN_List,1,FALSE)=B50</formula>
    </cfRule>
  </conditionalFormatting>
  <conditionalFormatting sqref="O20">
    <cfRule type="expression" dxfId="148" priority="30" stopIfTrue="1">
      <formula>+$B20&lt;&gt;$B22</formula>
    </cfRule>
  </conditionalFormatting>
  <conditionalFormatting sqref="A83 C83:P83">
    <cfRule type="expression" dxfId="147" priority="46" stopIfTrue="1">
      <formula>+$B83&lt;&gt;$B86</formula>
    </cfRule>
  </conditionalFormatting>
  <conditionalFormatting sqref="A92 P92">
    <cfRule type="expression" dxfId="146" priority="47" stopIfTrue="1">
      <formula>+$B92&lt;&gt;#REF!</formula>
    </cfRule>
  </conditionalFormatting>
  <conditionalFormatting sqref="C63:O63">
    <cfRule type="expression" dxfId="145" priority="29" stopIfTrue="1">
      <formula>+$B63&lt;&gt;$B64</formula>
    </cfRule>
  </conditionalFormatting>
  <conditionalFormatting sqref="C92:O92">
    <cfRule type="expression" dxfId="144" priority="28" stopIfTrue="1">
      <formula>+$B92&lt;&gt;$B93</formula>
    </cfRule>
  </conditionalFormatting>
  <conditionalFormatting sqref="B23:B31 B35:B40 B44:B46 B54:B56 B59:B61 B76:B81 B109:B114 B118:B120 B124:B129 B133:B144 B148:B153 B181:B184 B188">
    <cfRule type="expression" dxfId="143" priority="25" stopIfTrue="1">
      <formula>AND(B23&lt;&gt;OFFSET(B23,1,0),VLOOKUP(B23,AN_List,1,FALSE)=B23)</formula>
    </cfRule>
    <cfRule type="expression" dxfId="142" priority="26" stopIfTrue="1">
      <formula>B23&lt;&gt;OFFSET(B23,1,0)</formula>
    </cfRule>
    <cfRule type="expression" dxfId="141" priority="27" stopIfTrue="1">
      <formula>VLOOKUP(B23,AN_List,1,FALSE)=B23</formula>
    </cfRule>
  </conditionalFormatting>
  <conditionalFormatting sqref="A23:A31 C23:P31 A35:A40 C35:P40 A44:A46 C44:P46 A54:A56 C54:P56 A59:A61 C59:P61 A76:A81 C76:P81 A109:A114 C109:P110 A118:A120 C118:P120 A124:A129 C124:P129 A133:A144 A148:A153 C148:P153 A181:A184 C181:P184 A188 C188:P188 C112:P114 P111 C133:P144">
    <cfRule type="expression" dxfId="140" priority="24" stopIfTrue="1">
      <formula>+$B23&lt;&gt;$B24</formula>
    </cfRule>
  </conditionalFormatting>
  <conditionalFormatting sqref="A85:A91 C86:P91 C85:F85 H85:P85">
    <cfRule type="expression" dxfId="139" priority="20" stopIfTrue="1">
      <formula>+$B85&lt;&gt;$B86</formula>
    </cfRule>
  </conditionalFormatting>
  <conditionalFormatting sqref="C111:O111">
    <cfRule type="expression" dxfId="138" priority="19" stopIfTrue="1">
      <formula>+$B111&lt;&gt;$B112</formula>
    </cfRule>
  </conditionalFormatting>
  <conditionalFormatting sqref="B85:B91">
    <cfRule type="expression" dxfId="137" priority="21" stopIfTrue="1">
      <formula>AND(B85&lt;&gt;OFFSET(B85,1,0),VLOOKUP(B85,AN_List,1,FALSE)=B85)</formula>
    </cfRule>
    <cfRule type="expression" dxfId="136" priority="22" stopIfTrue="1">
      <formula>B85&lt;&gt;OFFSET(B85,1,0)</formula>
    </cfRule>
    <cfRule type="expression" dxfId="135" priority="23" stopIfTrue="1">
      <formula>VLOOKUP(B85,AN_List,1,FALSE)=B85</formula>
    </cfRule>
  </conditionalFormatting>
  <conditionalFormatting sqref="A53 C53:P53">
    <cfRule type="expression" dxfId="134" priority="48" stopIfTrue="1">
      <formula>+$B53&lt;&gt;#REF!</formula>
    </cfRule>
  </conditionalFormatting>
  <conditionalFormatting sqref="C50:P50 A50">
    <cfRule type="expression" dxfId="133" priority="49" stopIfTrue="1">
      <formula>+$B50&lt;&gt;#REF!</formula>
    </cfRule>
  </conditionalFormatting>
  <conditionalFormatting sqref="B157:B173">
    <cfRule type="expression" dxfId="132" priority="16" stopIfTrue="1">
      <formula>AND(B157&lt;&gt;OFFSET(B157,1,0),VLOOKUP(B157,AN_List,1,FALSE)=B157)</formula>
    </cfRule>
    <cfRule type="expression" dxfId="131" priority="17" stopIfTrue="1">
      <formula>B157&lt;&gt;OFFSET(B157,1,0)</formula>
    </cfRule>
    <cfRule type="expression" dxfId="130" priority="18" stopIfTrue="1">
      <formula>VLOOKUP(B157,AN_List,1,FALSE)=B157</formula>
    </cfRule>
  </conditionalFormatting>
  <conditionalFormatting sqref="A157:A173 C157:P173">
    <cfRule type="expression" dxfId="129" priority="15" stopIfTrue="1">
      <formula>+$B157&lt;&gt;$B158</formula>
    </cfRule>
  </conditionalFormatting>
  <conditionalFormatting sqref="B174:B180">
    <cfRule type="expression" dxfId="128" priority="12" stopIfTrue="1">
      <formula>AND(B174&lt;&gt;OFFSET(B174,1,0),VLOOKUP(B174,AN_List,1,FALSE)=B174)</formula>
    </cfRule>
    <cfRule type="expression" dxfId="127" priority="13" stopIfTrue="1">
      <formula>B174&lt;&gt;OFFSET(B174,1,0)</formula>
    </cfRule>
    <cfRule type="expression" dxfId="126" priority="14" stopIfTrue="1">
      <formula>VLOOKUP(B174,AN_List,1,FALSE)=B174</formula>
    </cfRule>
  </conditionalFormatting>
  <conditionalFormatting sqref="A174:A180 C174:P180">
    <cfRule type="expression" dxfId="125" priority="11" stopIfTrue="1">
      <formula>+$B174&lt;&gt;$B175</formula>
    </cfRule>
  </conditionalFormatting>
  <conditionalFormatting sqref="B189:B197">
    <cfRule type="expression" dxfId="124" priority="8" stopIfTrue="1">
      <formula>AND(B189&lt;&gt;OFFSET(B189,1,0),VLOOKUP(B189,AN_List,1,FALSE)=B189)</formula>
    </cfRule>
    <cfRule type="expression" dxfId="123" priority="9" stopIfTrue="1">
      <formula>B189&lt;&gt;OFFSET(B189,1,0)</formula>
    </cfRule>
    <cfRule type="expression" dxfId="122" priority="10" stopIfTrue="1">
      <formula>VLOOKUP(B189,AN_List,1,FALSE)=B189</formula>
    </cfRule>
  </conditionalFormatting>
  <conditionalFormatting sqref="A189:A197 C189:P197">
    <cfRule type="expression" dxfId="121" priority="7" stopIfTrue="1">
      <formula>+$B189&lt;&gt;$B190</formula>
    </cfRule>
  </conditionalFormatting>
  <conditionalFormatting sqref="C198:P198">
    <cfRule type="expression" dxfId="120" priority="6" stopIfTrue="1">
      <formula>+$B198&lt;&gt;$B199</formula>
    </cfRule>
  </conditionalFormatting>
  <conditionalFormatting sqref="C204:P204">
    <cfRule type="expression" dxfId="119" priority="5" stopIfTrue="1">
      <formula>+$B204&lt;&gt;$B205</formula>
    </cfRule>
  </conditionalFormatting>
  <conditionalFormatting sqref="B325:B347">
    <cfRule type="expression" dxfId="118" priority="2" stopIfTrue="1">
      <formula>AND(B325&lt;&gt;OFFSET(B325,1,0),VLOOKUP(B325,AN_List,1,FALSE)=B325)</formula>
    </cfRule>
    <cfRule type="expression" dxfId="117" priority="3" stopIfTrue="1">
      <formula>B325&lt;&gt;OFFSET(B325,1,0)</formula>
    </cfRule>
    <cfRule type="expression" dxfId="116" priority="4" stopIfTrue="1">
      <formula>VLOOKUP(B325,AN_List,1,FALSE)=B325</formula>
    </cfRule>
  </conditionalFormatting>
  <conditionalFormatting sqref="A325:A347 C325:P347">
    <cfRule type="expression" dxfId="115" priority="1" stopIfTrue="1">
      <formula>+$B325&lt;&gt;$B326</formula>
    </cfRule>
  </conditionalFormatting>
  <dataValidations disablePrompts="1" count="9">
    <dataValidation type="list" allowBlank="1" showInputMessage="1" showErrorMessage="1" sqref="O17:O338" xr:uid="{00000000-0002-0000-0A00-000000000000}">
      <formula1>$O$74:$O$75</formula1>
    </dataValidation>
    <dataValidation type="list" showInputMessage="1" showErrorMessage="1" sqref="B17:B336" xr:uid="{00000000-0002-0000-0A00-000001000000}">
      <formula1>Insured_List</formula1>
    </dataValidation>
    <dataValidation type="list" allowBlank="1" showInputMessage="1" showErrorMessage="1" sqref="F17:F336 K17:K336" xr:uid="{00000000-0002-0000-0A00-000002000000}">
      <formula1>$E$94:$E$102</formula1>
    </dataValidation>
    <dataValidation type="list" allowBlank="1" showInputMessage="1" showErrorMessage="1" sqref="P65176:P65521 IT65176:IT65521 SP65176:SP65521 ACL65176:ACL65521 AMH65176:AMH65521 AWD65176:AWD65521 BFZ65176:BFZ65521 BPV65176:BPV65521 BZR65176:BZR65521 CJN65176:CJN65521 CTJ65176:CTJ65521 DDF65176:DDF65521 DNB65176:DNB65521 DWX65176:DWX65521 EGT65176:EGT65521 EQP65176:EQP65521 FAL65176:FAL65521 FKH65176:FKH65521 FUD65176:FUD65521 GDZ65176:GDZ65521 GNV65176:GNV65521 GXR65176:GXR65521 HHN65176:HHN65521 HRJ65176:HRJ65521 IBF65176:IBF65521 ILB65176:ILB65521 IUX65176:IUX65521 JET65176:JET65521 JOP65176:JOP65521 JYL65176:JYL65521 KIH65176:KIH65521 KSD65176:KSD65521 LBZ65176:LBZ65521 LLV65176:LLV65521 LVR65176:LVR65521 MFN65176:MFN65521 MPJ65176:MPJ65521 MZF65176:MZF65521 NJB65176:NJB65521 NSX65176:NSX65521 OCT65176:OCT65521 OMP65176:OMP65521 OWL65176:OWL65521 PGH65176:PGH65521 PQD65176:PQD65521 PZZ65176:PZZ65521 QJV65176:QJV65521 QTR65176:QTR65521 RDN65176:RDN65521 RNJ65176:RNJ65521 RXF65176:RXF65521 SHB65176:SHB65521 SQX65176:SQX65521 TAT65176:TAT65521 TKP65176:TKP65521 TUL65176:TUL65521 UEH65176:UEH65521 UOD65176:UOD65521 UXZ65176:UXZ65521 VHV65176:VHV65521 VRR65176:VRR65521 WBN65176:WBN65521 WLJ65176:WLJ65521 WVF65176:WVF65521 P130712:P131057 IT130712:IT131057 SP130712:SP131057 ACL130712:ACL131057 AMH130712:AMH131057 AWD130712:AWD131057 BFZ130712:BFZ131057 BPV130712:BPV131057 BZR130712:BZR131057 CJN130712:CJN131057 CTJ130712:CTJ131057 DDF130712:DDF131057 DNB130712:DNB131057 DWX130712:DWX131057 EGT130712:EGT131057 EQP130712:EQP131057 FAL130712:FAL131057 FKH130712:FKH131057 FUD130712:FUD131057 GDZ130712:GDZ131057 GNV130712:GNV131057 GXR130712:GXR131057 HHN130712:HHN131057 HRJ130712:HRJ131057 IBF130712:IBF131057 ILB130712:ILB131057 IUX130712:IUX131057 JET130712:JET131057 JOP130712:JOP131057 JYL130712:JYL131057 KIH130712:KIH131057 KSD130712:KSD131057 LBZ130712:LBZ131057 LLV130712:LLV131057 LVR130712:LVR131057 MFN130712:MFN131057 MPJ130712:MPJ131057 MZF130712:MZF131057 NJB130712:NJB131057 NSX130712:NSX131057 OCT130712:OCT131057 OMP130712:OMP131057 OWL130712:OWL131057 PGH130712:PGH131057 PQD130712:PQD131057 PZZ130712:PZZ131057 QJV130712:QJV131057 QTR130712:QTR131057 RDN130712:RDN131057 RNJ130712:RNJ131057 RXF130712:RXF131057 SHB130712:SHB131057 SQX130712:SQX131057 TAT130712:TAT131057 TKP130712:TKP131057 TUL130712:TUL131057 UEH130712:UEH131057 UOD130712:UOD131057 UXZ130712:UXZ131057 VHV130712:VHV131057 VRR130712:VRR131057 WBN130712:WBN131057 WLJ130712:WLJ131057 WVF130712:WVF131057 P196248:P196593 IT196248:IT196593 SP196248:SP196593 ACL196248:ACL196593 AMH196248:AMH196593 AWD196248:AWD196593 BFZ196248:BFZ196593 BPV196248:BPV196593 BZR196248:BZR196593 CJN196248:CJN196593 CTJ196248:CTJ196593 DDF196248:DDF196593 DNB196248:DNB196593 DWX196248:DWX196593 EGT196248:EGT196593 EQP196248:EQP196593 FAL196248:FAL196593 FKH196248:FKH196593 FUD196248:FUD196593 GDZ196248:GDZ196593 GNV196248:GNV196593 GXR196248:GXR196593 HHN196248:HHN196593 HRJ196248:HRJ196593 IBF196248:IBF196593 ILB196248:ILB196593 IUX196248:IUX196593 JET196248:JET196593 JOP196248:JOP196593 JYL196248:JYL196593 KIH196248:KIH196593 KSD196248:KSD196593 LBZ196248:LBZ196593 LLV196248:LLV196593 LVR196248:LVR196593 MFN196248:MFN196593 MPJ196248:MPJ196593 MZF196248:MZF196593 NJB196248:NJB196593 NSX196248:NSX196593 OCT196248:OCT196593 OMP196248:OMP196593 OWL196248:OWL196593 PGH196248:PGH196593 PQD196248:PQD196593 PZZ196248:PZZ196593 QJV196248:QJV196593 QTR196248:QTR196593 RDN196248:RDN196593 RNJ196248:RNJ196593 RXF196248:RXF196593 SHB196248:SHB196593 SQX196248:SQX196593 TAT196248:TAT196593 TKP196248:TKP196593 TUL196248:TUL196593 UEH196248:UEH196593 UOD196248:UOD196593 UXZ196248:UXZ196593 VHV196248:VHV196593 VRR196248:VRR196593 WBN196248:WBN196593 WLJ196248:WLJ196593 WVF196248:WVF196593 P261784:P262129 IT261784:IT262129 SP261784:SP262129 ACL261784:ACL262129 AMH261784:AMH262129 AWD261784:AWD262129 BFZ261784:BFZ262129 BPV261784:BPV262129 BZR261784:BZR262129 CJN261784:CJN262129 CTJ261784:CTJ262129 DDF261784:DDF262129 DNB261784:DNB262129 DWX261784:DWX262129 EGT261784:EGT262129 EQP261784:EQP262129 FAL261784:FAL262129 FKH261784:FKH262129 FUD261784:FUD262129 GDZ261784:GDZ262129 GNV261784:GNV262129 GXR261784:GXR262129 HHN261784:HHN262129 HRJ261784:HRJ262129 IBF261784:IBF262129 ILB261784:ILB262129 IUX261784:IUX262129 JET261784:JET262129 JOP261784:JOP262129 JYL261784:JYL262129 KIH261784:KIH262129 KSD261784:KSD262129 LBZ261784:LBZ262129 LLV261784:LLV262129 LVR261784:LVR262129 MFN261784:MFN262129 MPJ261784:MPJ262129 MZF261784:MZF262129 NJB261784:NJB262129 NSX261784:NSX262129 OCT261784:OCT262129 OMP261784:OMP262129 OWL261784:OWL262129 PGH261784:PGH262129 PQD261784:PQD262129 PZZ261784:PZZ262129 QJV261784:QJV262129 QTR261784:QTR262129 RDN261784:RDN262129 RNJ261784:RNJ262129 RXF261784:RXF262129 SHB261784:SHB262129 SQX261784:SQX262129 TAT261784:TAT262129 TKP261784:TKP262129 TUL261784:TUL262129 UEH261784:UEH262129 UOD261784:UOD262129 UXZ261784:UXZ262129 VHV261784:VHV262129 VRR261784:VRR262129 WBN261784:WBN262129 WLJ261784:WLJ262129 WVF261784:WVF262129 P327320:P327665 IT327320:IT327665 SP327320:SP327665 ACL327320:ACL327665 AMH327320:AMH327665 AWD327320:AWD327665 BFZ327320:BFZ327665 BPV327320:BPV327665 BZR327320:BZR327665 CJN327320:CJN327665 CTJ327320:CTJ327665 DDF327320:DDF327665 DNB327320:DNB327665 DWX327320:DWX327665 EGT327320:EGT327665 EQP327320:EQP327665 FAL327320:FAL327665 FKH327320:FKH327665 FUD327320:FUD327665 GDZ327320:GDZ327665 GNV327320:GNV327665 GXR327320:GXR327665 HHN327320:HHN327665 HRJ327320:HRJ327665 IBF327320:IBF327665 ILB327320:ILB327665 IUX327320:IUX327665 JET327320:JET327665 JOP327320:JOP327665 JYL327320:JYL327665 KIH327320:KIH327665 KSD327320:KSD327665 LBZ327320:LBZ327665 LLV327320:LLV327665 LVR327320:LVR327665 MFN327320:MFN327665 MPJ327320:MPJ327665 MZF327320:MZF327665 NJB327320:NJB327665 NSX327320:NSX327665 OCT327320:OCT327665 OMP327320:OMP327665 OWL327320:OWL327665 PGH327320:PGH327665 PQD327320:PQD327665 PZZ327320:PZZ327665 QJV327320:QJV327665 QTR327320:QTR327665 RDN327320:RDN327665 RNJ327320:RNJ327665 RXF327320:RXF327665 SHB327320:SHB327665 SQX327320:SQX327665 TAT327320:TAT327665 TKP327320:TKP327665 TUL327320:TUL327665 UEH327320:UEH327665 UOD327320:UOD327665 UXZ327320:UXZ327665 VHV327320:VHV327665 VRR327320:VRR327665 WBN327320:WBN327665 WLJ327320:WLJ327665 WVF327320:WVF327665 P392856:P393201 IT392856:IT393201 SP392856:SP393201 ACL392856:ACL393201 AMH392856:AMH393201 AWD392856:AWD393201 BFZ392856:BFZ393201 BPV392856:BPV393201 BZR392856:BZR393201 CJN392856:CJN393201 CTJ392856:CTJ393201 DDF392856:DDF393201 DNB392856:DNB393201 DWX392856:DWX393201 EGT392856:EGT393201 EQP392856:EQP393201 FAL392856:FAL393201 FKH392856:FKH393201 FUD392856:FUD393201 GDZ392856:GDZ393201 GNV392856:GNV393201 GXR392856:GXR393201 HHN392856:HHN393201 HRJ392856:HRJ393201 IBF392856:IBF393201 ILB392856:ILB393201 IUX392856:IUX393201 JET392856:JET393201 JOP392856:JOP393201 JYL392856:JYL393201 KIH392856:KIH393201 KSD392856:KSD393201 LBZ392856:LBZ393201 LLV392856:LLV393201 LVR392856:LVR393201 MFN392856:MFN393201 MPJ392856:MPJ393201 MZF392856:MZF393201 NJB392856:NJB393201 NSX392856:NSX393201 OCT392856:OCT393201 OMP392856:OMP393201 OWL392856:OWL393201 PGH392856:PGH393201 PQD392856:PQD393201 PZZ392856:PZZ393201 QJV392856:QJV393201 QTR392856:QTR393201 RDN392856:RDN393201 RNJ392856:RNJ393201 RXF392856:RXF393201 SHB392856:SHB393201 SQX392856:SQX393201 TAT392856:TAT393201 TKP392856:TKP393201 TUL392856:TUL393201 UEH392856:UEH393201 UOD392856:UOD393201 UXZ392856:UXZ393201 VHV392856:VHV393201 VRR392856:VRR393201 WBN392856:WBN393201 WLJ392856:WLJ393201 WVF392856:WVF393201 P458392:P458737 IT458392:IT458737 SP458392:SP458737 ACL458392:ACL458737 AMH458392:AMH458737 AWD458392:AWD458737 BFZ458392:BFZ458737 BPV458392:BPV458737 BZR458392:BZR458737 CJN458392:CJN458737 CTJ458392:CTJ458737 DDF458392:DDF458737 DNB458392:DNB458737 DWX458392:DWX458737 EGT458392:EGT458737 EQP458392:EQP458737 FAL458392:FAL458737 FKH458392:FKH458737 FUD458392:FUD458737 GDZ458392:GDZ458737 GNV458392:GNV458737 GXR458392:GXR458737 HHN458392:HHN458737 HRJ458392:HRJ458737 IBF458392:IBF458737 ILB458392:ILB458737 IUX458392:IUX458737 JET458392:JET458737 JOP458392:JOP458737 JYL458392:JYL458737 KIH458392:KIH458737 KSD458392:KSD458737 LBZ458392:LBZ458737 LLV458392:LLV458737 LVR458392:LVR458737 MFN458392:MFN458737 MPJ458392:MPJ458737 MZF458392:MZF458737 NJB458392:NJB458737 NSX458392:NSX458737 OCT458392:OCT458737 OMP458392:OMP458737 OWL458392:OWL458737 PGH458392:PGH458737 PQD458392:PQD458737 PZZ458392:PZZ458737 QJV458392:QJV458737 QTR458392:QTR458737 RDN458392:RDN458737 RNJ458392:RNJ458737 RXF458392:RXF458737 SHB458392:SHB458737 SQX458392:SQX458737 TAT458392:TAT458737 TKP458392:TKP458737 TUL458392:TUL458737 UEH458392:UEH458737 UOD458392:UOD458737 UXZ458392:UXZ458737 VHV458392:VHV458737 VRR458392:VRR458737 WBN458392:WBN458737 WLJ458392:WLJ458737 WVF458392:WVF458737 P523928:P524273 IT523928:IT524273 SP523928:SP524273 ACL523928:ACL524273 AMH523928:AMH524273 AWD523928:AWD524273 BFZ523928:BFZ524273 BPV523928:BPV524273 BZR523928:BZR524273 CJN523928:CJN524273 CTJ523928:CTJ524273 DDF523928:DDF524273 DNB523928:DNB524273 DWX523928:DWX524273 EGT523928:EGT524273 EQP523928:EQP524273 FAL523928:FAL524273 FKH523928:FKH524273 FUD523928:FUD524273 GDZ523928:GDZ524273 GNV523928:GNV524273 GXR523928:GXR524273 HHN523928:HHN524273 HRJ523928:HRJ524273 IBF523928:IBF524273 ILB523928:ILB524273 IUX523928:IUX524273 JET523928:JET524273 JOP523928:JOP524273 JYL523928:JYL524273 KIH523928:KIH524273 KSD523928:KSD524273 LBZ523928:LBZ524273 LLV523928:LLV524273 LVR523928:LVR524273 MFN523928:MFN524273 MPJ523928:MPJ524273 MZF523928:MZF524273 NJB523928:NJB524273 NSX523928:NSX524273 OCT523928:OCT524273 OMP523928:OMP524273 OWL523928:OWL524273 PGH523928:PGH524273 PQD523928:PQD524273 PZZ523928:PZZ524273 QJV523928:QJV524273 QTR523928:QTR524273 RDN523928:RDN524273 RNJ523928:RNJ524273 RXF523928:RXF524273 SHB523928:SHB524273 SQX523928:SQX524273 TAT523928:TAT524273 TKP523928:TKP524273 TUL523928:TUL524273 UEH523928:UEH524273 UOD523928:UOD524273 UXZ523928:UXZ524273 VHV523928:VHV524273 VRR523928:VRR524273 WBN523928:WBN524273 WLJ523928:WLJ524273 WVF523928:WVF524273 P589464:P589809 IT589464:IT589809 SP589464:SP589809 ACL589464:ACL589809 AMH589464:AMH589809 AWD589464:AWD589809 BFZ589464:BFZ589809 BPV589464:BPV589809 BZR589464:BZR589809 CJN589464:CJN589809 CTJ589464:CTJ589809 DDF589464:DDF589809 DNB589464:DNB589809 DWX589464:DWX589809 EGT589464:EGT589809 EQP589464:EQP589809 FAL589464:FAL589809 FKH589464:FKH589809 FUD589464:FUD589809 GDZ589464:GDZ589809 GNV589464:GNV589809 GXR589464:GXR589809 HHN589464:HHN589809 HRJ589464:HRJ589809 IBF589464:IBF589809 ILB589464:ILB589809 IUX589464:IUX589809 JET589464:JET589809 JOP589464:JOP589809 JYL589464:JYL589809 KIH589464:KIH589809 KSD589464:KSD589809 LBZ589464:LBZ589809 LLV589464:LLV589809 LVR589464:LVR589809 MFN589464:MFN589809 MPJ589464:MPJ589809 MZF589464:MZF589809 NJB589464:NJB589809 NSX589464:NSX589809 OCT589464:OCT589809 OMP589464:OMP589809 OWL589464:OWL589809 PGH589464:PGH589809 PQD589464:PQD589809 PZZ589464:PZZ589809 QJV589464:QJV589809 QTR589464:QTR589809 RDN589464:RDN589809 RNJ589464:RNJ589809 RXF589464:RXF589809 SHB589464:SHB589809 SQX589464:SQX589809 TAT589464:TAT589809 TKP589464:TKP589809 TUL589464:TUL589809 UEH589464:UEH589809 UOD589464:UOD589809 UXZ589464:UXZ589809 VHV589464:VHV589809 VRR589464:VRR589809 WBN589464:WBN589809 WLJ589464:WLJ589809 WVF589464:WVF589809 P655000:P655345 IT655000:IT655345 SP655000:SP655345 ACL655000:ACL655345 AMH655000:AMH655345 AWD655000:AWD655345 BFZ655000:BFZ655345 BPV655000:BPV655345 BZR655000:BZR655345 CJN655000:CJN655345 CTJ655000:CTJ655345 DDF655000:DDF655345 DNB655000:DNB655345 DWX655000:DWX655345 EGT655000:EGT655345 EQP655000:EQP655345 FAL655000:FAL655345 FKH655000:FKH655345 FUD655000:FUD655345 GDZ655000:GDZ655345 GNV655000:GNV655345 GXR655000:GXR655345 HHN655000:HHN655345 HRJ655000:HRJ655345 IBF655000:IBF655345 ILB655000:ILB655345 IUX655000:IUX655345 JET655000:JET655345 JOP655000:JOP655345 JYL655000:JYL655345 KIH655000:KIH655345 KSD655000:KSD655345 LBZ655000:LBZ655345 LLV655000:LLV655345 LVR655000:LVR655345 MFN655000:MFN655345 MPJ655000:MPJ655345 MZF655000:MZF655345 NJB655000:NJB655345 NSX655000:NSX655345 OCT655000:OCT655345 OMP655000:OMP655345 OWL655000:OWL655345 PGH655000:PGH655345 PQD655000:PQD655345 PZZ655000:PZZ655345 QJV655000:QJV655345 QTR655000:QTR655345 RDN655000:RDN655345 RNJ655000:RNJ655345 RXF655000:RXF655345 SHB655000:SHB655345 SQX655000:SQX655345 TAT655000:TAT655345 TKP655000:TKP655345 TUL655000:TUL655345 UEH655000:UEH655345 UOD655000:UOD655345 UXZ655000:UXZ655345 VHV655000:VHV655345 VRR655000:VRR655345 WBN655000:WBN655345 WLJ655000:WLJ655345 WVF655000:WVF655345 P720536:P720881 IT720536:IT720881 SP720536:SP720881 ACL720536:ACL720881 AMH720536:AMH720881 AWD720536:AWD720881 BFZ720536:BFZ720881 BPV720536:BPV720881 BZR720536:BZR720881 CJN720536:CJN720881 CTJ720536:CTJ720881 DDF720536:DDF720881 DNB720536:DNB720881 DWX720536:DWX720881 EGT720536:EGT720881 EQP720536:EQP720881 FAL720536:FAL720881 FKH720536:FKH720881 FUD720536:FUD720881 GDZ720536:GDZ720881 GNV720536:GNV720881 GXR720536:GXR720881 HHN720536:HHN720881 HRJ720536:HRJ720881 IBF720536:IBF720881 ILB720536:ILB720881 IUX720536:IUX720881 JET720536:JET720881 JOP720536:JOP720881 JYL720536:JYL720881 KIH720536:KIH720881 KSD720536:KSD720881 LBZ720536:LBZ720881 LLV720536:LLV720881 LVR720536:LVR720881 MFN720536:MFN720881 MPJ720536:MPJ720881 MZF720536:MZF720881 NJB720536:NJB720881 NSX720536:NSX720881 OCT720536:OCT720881 OMP720536:OMP720881 OWL720536:OWL720881 PGH720536:PGH720881 PQD720536:PQD720881 PZZ720536:PZZ720881 QJV720536:QJV720881 QTR720536:QTR720881 RDN720536:RDN720881 RNJ720536:RNJ720881 RXF720536:RXF720881 SHB720536:SHB720881 SQX720536:SQX720881 TAT720536:TAT720881 TKP720536:TKP720881 TUL720536:TUL720881 UEH720536:UEH720881 UOD720536:UOD720881 UXZ720536:UXZ720881 VHV720536:VHV720881 VRR720536:VRR720881 WBN720536:WBN720881 WLJ720536:WLJ720881 WVF720536:WVF720881 P786072:P786417 IT786072:IT786417 SP786072:SP786417 ACL786072:ACL786417 AMH786072:AMH786417 AWD786072:AWD786417 BFZ786072:BFZ786417 BPV786072:BPV786417 BZR786072:BZR786417 CJN786072:CJN786417 CTJ786072:CTJ786417 DDF786072:DDF786417 DNB786072:DNB786417 DWX786072:DWX786417 EGT786072:EGT786417 EQP786072:EQP786417 FAL786072:FAL786417 FKH786072:FKH786417 FUD786072:FUD786417 GDZ786072:GDZ786417 GNV786072:GNV786417 GXR786072:GXR786417 HHN786072:HHN786417 HRJ786072:HRJ786417 IBF786072:IBF786417 ILB786072:ILB786417 IUX786072:IUX786417 JET786072:JET786417 JOP786072:JOP786417 JYL786072:JYL786417 KIH786072:KIH786417 KSD786072:KSD786417 LBZ786072:LBZ786417 LLV786072:LLV786417 LVR786072:LVR786417 MFN786072:MFN786417 MPJ786072:MPJ786417 MZF786072:MZF786417 NJB786072:NJB786417 NSX786072:NSX786417 OCT786072:OCT786417 OMP786072:OMP786417 OWL786072:OWL786417 PGH786072:PGH786417 PQD786072:PQD786417 PZZ786072:PZZ786417 QJV786072:QJV786417 QTR786072:QTR786417 RDN786072:RDN786417 RNJ786072:RNJ786417 RXF786072:RXF786417 SHB786072:SHB786417 SQX786072:SQX786417 TAT786072:TAT786417 TKP786072:TKP786417 TUL786072:TUL786417 UEH786072:UEH786417 UOD786072:UOD786417 UXZ786072:UXZ786417 VHV786072:VHV786417 VRR786072:VRR786417 WBN786072:WBN786417 WLJ786072:WLJ786417 WVF786072:WVF786417 P851608:P851953 IT851608:IT851953 SP851608:SP851953 ACL851608:ACL851953 AMH851608:AMH851953 AWD851608:AWD851953 BFZ851608:BFZ851953 BPV851608:BPV851953 BZR851608:BZR851953 CJN851608:CJN851953 CTJ851608:CTJ851953 DDF851608:DDF851953 DNB851608:DNB851953 DWX851608:DWX851953 EGT851608:EGT851953 EQP851608:EQP851953 FAL851608:FAL851953 FKH851608:FKH851953 FUD851608:FUD851953 GDZ851608:GDZ851953 GNV851608:GNV851953 GXR851608:GXR851953 HHN851608:HHN851953 HRJ851608:HRJ851953 IBF851608:IBF851953 ILB851608:ILB851953 IUX851608:IUX851953 JET851608:JET851953 JOP851608:JOP851953 JYL851608:JYL851953 KIH851608:KIH851953 KSD851608:KSD851953 LBZ851608:LBZ851953 LLV851608:LLV851953 LVR851608:LVR851953 MFN851608:MFN851953 MPJ851608:MPJ851953 MZF851608:MZF851953 NJB851608:NJB851953 NSX851608:NSX851953 OCT851608:OCT851953 OMP851608:OMP851953 OWL851608:OWL851953 PGH851608:PGH851953 PQD851608:PQD851953 PZZ851608:PZZ851953 QJV851608:QJV851953 QTR851608:QTR851953 RDN851608:RDN851953 RNJ851608:RNJ851953 RXF851608:RXF851953 SHB851608:SHB851953 SQX851608:SQX851953 TAT851608:TAT851953 TKP851608:TKP851953 TUL851608:TUL851953 UEH851608:UEH851953 UOD851608:UOD851953 UXZ851608:UXZ851953 VHV851608:VHV851953 VRR851608:VRR851953 WBN851608:WBN851953 WLJ851608:WLJ851953 WVF851608:WVF851953 P917144:P917489 IT917144:IT917489 SP917144:SP917489 ACL917144:ACL917489 AMH917144:AMH917489 AWD917144:AWD917489 BFZ917144:BFZ917489 BPV917144:BPV917489 BZR917144:BZR917489 CJN917144:CJN917489 CTJ917144:CTJ917489 DDF917144:DDF917489 DNB917144:DNB917489 DWX917144:DWX917489 EGT917144:EGT917489 EQP917144:EQP917489 FAL917144:FAL917489 FKH917144:FKH917489 FUD917144:FUD917489 GDZ917144:GDZ917489 GNV917144:GNV917489 GXR917144:GXR917489 HHN917144:HHN917489 HRJ917144:HRJ917489 IBF917144:IBF917489 ILB917144:ILB917489 IUX917144:IUX917489 JET917144:JET917489 JOP917144:JOP917489 JYL917144:JYL917489 KIH917144:KIH917489 KSD917144:KSD917489 LBZ917144:LBZ917489 LLV917144:LLV917489 LVR917144:LVR917489 MFN917144:MFN917489 MPJ917144:MPJ917489 MZF917144:MZF917489 NJB917144:NJB917489 NSX917144:NSX917489 OCT917144:OCT917489 OMP917144:OMP917489 OWL917144:OWL917489 PGH917144:PGH917489 PQD917144:PQD917489 PZZ917144:PZZ917489 QJV917144:QJV917489 QTR917144:QTR917489 RDN917144:RDN917489 RNJ917144:RNJ917489 RXF917144:RXF917489 SHB917144:SHB917489 SQX917144:SQX917489 TAT917144:TAT917489 TKP917144:TKP917489 TUL917144:TUL917489 UEH917144:UEH917489 UOD917144:UOD917489 UXZ917144:UXZ917489 VHV917144:VHV917489 VRR917144:VRR917489 WBN917144:WBN917489 WLJ917144:WLJ917489 WVF917144:WVF917489 P982680:P983025 IT982680:IT983025 SP982680:SP983025 ACL982680:ACL983025 AMH982680:AMH983025 AWD982680:AWD983025 BFZ982680:BFZ983025 BPV982680:BPV983025 BZR982680:BZR983025 CJN982680:CJN983025 CTJ982680:CTJ983025 DDF982680:DDF983025 DNB982680:DNB983025 DWX982680:DWX983025 EGT982680:EGT983025 EQP982680:EQP983025 FAL982680:FAL983025 FKH982680:FKH983025 FUD982680:FUD983025 GDZ982680:GDZ983025 GNV982680:GNV983025 GXR982680:GXR983025 HHN982680:HHN983025 HRJ982680:HRJ983025 IBF982680:IBF983025 ILB982680:ILB983025 IUX982680:IUX983025 JET982680:JET983025 JOP982680:JOP983025 JYL982680:JYL983025 KIH982680:KIH983025 KSD982680:KSD983025 LBZ982680:LBZ983025 LLV982680:LLV983025 LVR982680:LVR983025 MFN982680:MFN983025 MPJ982680:MPJ983025 MZF982680:MZF983025 NJB982680:NJB983025 NSX982680:NSX983025 OCT982680:OCT983025 OMP982680:OMP983025 OWL982680:OWL983025 PGH982680:PGH983025 PQD982680:PQD983025 PZZ982680:PZZ983025 QJV982680:QJV983025 QTR982680:QTR983025 RDN982680:RDN983025 RNJ982680:RNJ983025 RXF982680:RXF983025 SHB982680:SHB983025 SQX982680:SQX983025 TAT982680:TAT983025 TKP982680:TKP983025 TUL982680:TUL983025 UEH982680:UEH983025 UOD982680:UOD983025 UXZ982680:UXZ983025 VHV982680:VHV983025 VRR982680:VRR983025 WBN982680:WBN983025 WLJ982680:WLJ983025 WVF982680:WVF983025" xr:uid="{00000000-0002-0000-0A00-000003000000}">
      <formula1>Reg_List</formula1>
    </dataValidation>
    <dataValidation type="list" allowBlank="1" showInputMessage="1" showErrorMessage="1" sqref="A65176:A65521 IE65176:IE65521 SA65176:SA65521 ABW65176:ABW65521 ALS65176:ALS65521 AVO65176:AVO65521 BFK65176:BFK65521 BPG65176:BPG65521 BZC65176:BZC65521 CIY65176:CIY65521 CSU65176:CSU65521 DCQ65176:DCQ65521 DMM65176:DMM65521 DWI65176:DWI65521 EGE65176:EGE65521 EQA65176:EQA65521 EZW65176:EZW65521 FJS65176:FJS65521 FTO65176:FTO65521 GDK65176:GDK65521 GNG65176:GNG65521 GXC65176:GXC65521 HGY65176:HGY65521 HQU65176:HQU65521 IAQ65176:IAQ65521 IKM65176:IKM65521 IUI65176:IUI65521 JEE65176:JEE65521 JOA65176:JOA65521 JXW65176:JXW65521 KHS65176:KHS65521 KRO65176:KRO65521 LBK65176:LBK65521 LLG65176:LLG65521 LVC65176:LVC65521 MEY65176:MEY65521 MOU65176:MOU65521 MYQ65176:MYQ65521 NIM65176:NIM65521 NSI65176:NSI65521 OCE65176:OCE65521 OMA65176:OMA65521 OVW65176:OVW65521 PFS65176:PFS65521 PPO65176:PPO65521 PZK65176:PZK65521 QJG65176:QJG65521 QTC65176:QTC65521 RCY65176:RCY65521 RMU65176:RMU65521 RWQ65176:RWQ65521 SGM65176:SGM65521 SQI65176:SQI65521 TAE65176:TAE65521 TKA65176:TKA65521 TTW65176:TTW65521 UDS65176:UDS65521 UNO65176:UNO65521 UXK65176:UXK65521 VHG65176:VHG65521 VRC65176:VRC65521 WAY65176:WAY65521 WKU65176:WKU65521 WUQ65176:WUQ65521 A130712:A131057 IE130712:IE131057 SA130712:SA131057 ABW130712:ABW131057 ALS130712:ALS131057 AVO130712:AVO131057 BFK130712:BFK131057 BPG130712:BPG131057 BZC130712:BZC131057 CIY130712:CIY131057 CSU130712:CSU131057 DCQ130712:DCQ131057 DMM130712:DMM131057 DWI130712:DWI131057 EGE130712:EGE131057 EQA130712:EQA131057 EZW130712:EZW131057 FJS130712:FJS131057 FTO130712:FTO131057 GDK130712:GDK131057 GNG130712:GNG131057 GXC130712:GXC131057 HGY130712:HGY131057 HQU130712:HQU131057 IAQ130712:IAQ131057 IKM130712:IKM131057 IUI130712:IUI131057 JEE130712:JEE131057 JOA130712:JOA131057 JXW130712:JXW131057 KHS130712:KHS131057 KRO130712:KRO131057 LBK130712:LBK131057 LLG130712:LLG131057 LVC130712:LVC131057 MEY130712:MEY131057 MOU130712:MOU131057 MYQ130712:MYQ131057 NIM130712:NIM131057 NSI130712:NSI131057 OCE130712:OCE131057 OMA130712:OMA131057 OVW130712:OVW131057 PFS130712:PFS131057 PPO130712:PPO131057 PZK130712:PZK131057 QJG130712:QJG131057 QTC130712:QTC131057 RCY130712:RCY131057 RMU130712:RMU131057 RWQ130712:RWQ131057 SGM130712:SGM131057 SQI130712:SQI131057 TAE130712:TAE131057 TKA130712:TKA131057 TTW130712:TTW131057 UDS130712:UDS131057 UNO130712:UNO131057 UXK130712:UXK131057 VHG130712:VHG131057 VRC130712:VRC131057 WAY130712:WAY131057 WKU130712:WKU131057 WUQ130712:WUQ131057 A196248:A196593 IE196248:IE196593 SA196248:SA196593 ABW196248:ABW196593 ALS196248:ALS196593 AVO196248:AVO196593 BFK196248:BFK196593 BPG196248:BPG196593 BZC196248:BZC196593 CIY196248:CIY196593 CSU196248:CSU196593 DCQ196248:DCQ196593 DMM196248:DMM196593 DWI196248:DWI196593 EGE196248:EGE196593 EQA196248:EQA196593 EZW196248:EZW196593 FJS196248:FJS196593 FTO196248:FTO196593 GDK196248:GDK196593 GNG196248:GNG196593 GXC196248:GXC196593 HGY196248:HGY196593 HQU196248:HQU196593 IAQ196248:IAQ196593 IKM196248:IKM196593 IUI196248:IUI196593 JEE196248:JEE196593 JOA196248:JOA196593 JXW196248:JXW196593 KHS196248:KHS196593 KRO196248:KRO196593 LBK196248:LBK196593 LLG196248:LLG196593 LVC196248:LVC196593 MEY196248:MEY196593 MOU196248:MOU196593 MYQ196248:MYQ196593 NIM196248:NIM196593 NSI196248:NSI196593 OCE196248:OCE196593 OMA196248:OMA196593 OVW196248:OVW196593 PFS196248:PFS196593 PPO196248:PPO196593 PZK196248:PZK196593 QJG196248:QJG196593 QTC196248:QTC196593 RCY196248:RCY196593 RMU196248:RMU196593 RWQ196248:RWQ196593 SGM196248:SGM196593 SQI196248:SQI196593 TAE196248:TAE196593 TKA196248:TKA196593 TTW196248:TTW196593 UDS196248:UDS196593 UNO196248:UNO196593 UXK196248:UXK196593 VHG196248:VHG196593 VRC196248:VRC196593 WAY196248:WAY196593 WKU196248:WKU196593 WUQ196248:WUQ196593 A261784:A262129 IE261784:IE262129 SA261784:SA262129 ABW261784:ABW262129 ALS261784:ALS262129 AVO261784:AVO262129 BFK261784:BFK262129 BPG261784:BPG262129 BZC261784:BZC262129 CIY261784:CIY262129 CSU261784:CSU262129 DCQ261784:DCQ262129 DMM261784:DMM262129 DWI261784:DWI262129 EGE261784:EGE262129 EQA261784:EQA262129 EZW261784:EZW262129 FJS261784:FJS262129 FTO261784:FTO262129 GDK261784:GDK262129 GNG261784:GNG262129 GXC261784:GXC262129 HGY261784:HGY262129 HQU261784:HQU262129 IAQ261784:IAQ262129 IKM261784:IKM262129 IUI261784:IUI262129 JEE261784:JEE262129 JOA261784:JOA262129 JXW261784:JXW262129 KHS261784:KHS262129 KRO261784:KRO262129 LBK261784:LBK262129 LLG261784:LLG262129 LVC261784:LVC262129 MEY261784:MEY262129 MOU261784:MOU262129 MYQ261784:MYQ262129 NIM261784:NIM262129 NSI261784:NSI262129 OCE261784:OCE262129 OMA261784:OMA262129 OVW261784:OVW262129 PFS261784:PFS262129 PPO261784:PPO262129 PZK261784:PZK262129 QJG261784:QJG262129 QTC261784:QTC262129 RCY261784:RCY262129 RMU261784:RMU262129 RWQ261784:RWQ262129 SGM261784:SGM262129 SQI261784:SQI262129 TAE261784:TAE262129 TKA261784:TKA262129 TTW261784:TTW262129 UDS261784:UDS262129 UNO261784:UNO262129 UXK261784:UXK262129 VHG261784:VHG262129 VRC261784:VRC262129 WAY261784:WAY262129 WKU261784:WKU262129 WUQ261784:WUQ262129 A327320:A327665 IE327320:IE327665 SA327320:SA327665 ABW327320:ABW327665 ALS327320:ALS327665 AVO327320:AVO327665 BFK327320:BFK327665 BPG327320:BPG327665 BZC327320:BZC327665 CIY327320:CIY327665 CSU327320:CSU327665 DCQ327320:DCQ327665 DMM327320:DMM327665 DWI327320:DWI327665 EGE327320:EGE327665 EQA327320:EQA327665 EZW327320:EZW327665 FJS327320:FJS327665 FTO327320:FTO327665 GDK327320:GDK327665 GNG327320:GNG327665 GXC327320:GXC327665 HGY327320:HGY327665 HQU327320:HQU327665 IAQ327320:IAQ327665 IKM327320:IKM327665 IUI327320:IUI327665 JEE327320:JEE327665 JOA327320:JOA327665 JXW327320:JXW327665 KHS327320:KHS327665 KRO327320:KRO327665 LBK327320:LBK327665 LLG327320:LLG327665 LVC327320:LVC327665 MEY327320:MEY327665 MOU327320:MOU327665 MYQ327320:MYQ327665 NIM327320:NIM327665 NSI327320:NSI327665 OCE327320:OCE327665 OMA327320:OMA327665 OVW327320:OVW327665 PFS327320:PFS327665 PPO327320:PPO327665 PZK327320:PZK327665 QJG327320:QJG327665 QTC327320:QTC327665 RCY327320:RCY327665 RMU327320:RMU327665 RWQ327320:RWQ327665 SGM327320:SGM327665 SQI327320:SQI327665 TAE327320:TAE327665 TKA327320:TKA327665 TTW327320:TTW327665 UDS327320:UDS327665 UNO327320:UNO327665 UXK327320:UXK327665 VHG327320:VHG327665 VRC327320:VRC327665 WAY327320:WAY327665 WKU327320:WKU327665 WUQ327320:WUQ327665 A392856:A393201 IE392856:IE393201 SA392856:SA393201 ABW392856:ABW393201 ALS392856:ALS393201 AVO392856:AVO393201 BFK392856:BFK393201 BPG392856:BPG393201 BZC392856:BZC393201 CIY392856:CIY393201 CSU392856:CSU393201 DCQ392856:DCQ393201 DMM392856:DMM393201 DWI392856:DWI393201 EGE392856:EGE393201 EQA392856:EQA393201 EZW392856:EZW393201 FJS392856:FJS393201 FTO392856:FTO393201 GDK392856:GDK393201 GNG392856:GNG393201 GXC392856:GXC393201 HGY392856:HGY393201 HQU392856:HQU393201 IAQ392856:IAQ393201 IKM392856:IKM393201 IUI392856:IUI393201 JEE392856:JEE393201 JOA392856:JOA393201 JXW392856:JXW393201 KHS392856:KHS393201 KRO392856:KRO393201 LBK392856:LBK393201 LLG392856:LLG393201 LVC392856:LVC393201 MEY392856:MEY393201 MOU392856:MOU393201 MYQ392856:MYQ393201 NIM392856:NIM393201 NSI392856:NSI393201 OCE392856:OCE393201 OMA392856:OMA393201 OVW392856:OVW393201 PFS392856:PFS393201 PPO392856:PPO393201 PZK392856:PZK393201 QJG392856:QJG393201 QTC392856:QTC393201 RCY392856:RCY393201 RMU392856:RMU393201 RWQ392856:RWQ393201 SGM392856:SGM393201 SQI392856:SQI393201 TAE392856:TAE393201 TKA392856:TKA393201 TTW392856:TTW393201 UDS392856:UDS393201 UNO392856:UNO393201 UXK392856:UXK393201 VHG392856:VHG393201 VRC392856:VRC393201 WAY392856:WAY393201 WKU392856:WKU393201 WUQ392856:WUQ393201 A458392:A458737 IE458392:IE458737 SA458392:SA458737 ABW458392:ABW458737 ALS458392:ALS458737 AVO458392:AVO458737 BFK458392:BFK458737 BPG458392:BPG458737 BZC458392:BZC458737 CIY458392:CIY458737 CSU458392:CSU458737 DCQ458392:DCQ458737 DMM458392:DMM458737 DWI458392:DWI458737 EGE458392:EGE458737 EQA458392:EQA458737 EZW458392:EZW458737 FJS458392:FJS458737 FTO458392:FTO458737 GDK458392:GDK458737 GNG458392:GNG458737 GXC458392:GXC458737 HGY458392:HGY458737 HQU458392:HQU458737 IAQ458392:IAQ458737 IKM458392:IKM458737 IUI458392:IUI458737 JEE458392:JEE458737 JOA458392:JOA458737 JXW458392:JXW458737 KHS458392:KHS458737 KRO458392:KRO458737 LBK458392:LBK458737 LLG458392:LLG458737 LVC458392:LVC458737 MEY458392:MEY458737 MOU458392:MOU458737 MYQ458392:MYQ458737 NIM458392:NIM458737 NSI458392:NSI458737 OCE458392:OCE458737 OMA458392:OMA458737 OVW458392:OVW458737 PFS458392:PFS458737 PPO458392:PPO458737 PZK458392:PZK458737 QJG458392:QJG458737 QTC458392:QTC458737 RCY458392:RCY458737 RMU458392:RMU458737 RWQ458392:RWQ458737 SGM458392:SGM458737 SQI458392:SQI458737 TAE458392:TAE458737 TKA458392:TKA458737 TTW458392:TTW458737 UDS458392:UDS458737 UNO458392:UNO458737 UXK458392:UXK458737 VHG458392:VHG458737 VRC458392:VRC458737 WAY458392:WAY458737 WKU458392:WKU458737 WUQ458392:WUQ458737 A523928:A524273 IE523928:IE524273 SA523928:SA524273 ABW523928:ABW524273 ALS523928:ALS524273 AVO523928:AVO524273 BFK523928:BFK524273 BPG523928:BPG524273 BZC523928:BZC524273 CIY523928:CIY524273 CSU523928:CSU524273 DCQ523928:DCQ524273 DMM523928:DMM524273 DWI523928:DWI524273 EGE523928:EGE524273 EQA523928:EQA524273 EZW523928:EZW524273 FJS523928:FJS524273 FTO523928:FTO524273 GDK523928:GDK524273 GNG523928:GNG524273 GXC523928:GXC524273 HGY523928:HGY524273 HQU523928:HQU524273 IAQ523928:IAQ524273 IKM523928:IKM524273 IUI523928:IUI524273 JEE523928:JEE524273 JOA523928:JOA524273 JXW523928:JXW524273 KHS523928:KHS524273 KRO523928:KRO524273 LBK523928:LBK524273 LLG523928:LLG524273 LVC523928:LVC524273 MEY523928:MEY524273 MOU523928:MOU524273 MYQ523928:MYQ524273 NIM523928:NIM524273 NSI523928:NSI524273 OCE523928:OCE524273 OMA523928:OMA524273 OVW523928:OVW524273 PFS523928:PFS524273 PPO523928:PPO524273 PZK523928:PZK524273 QJG523928:QJG524273 QTC523928:QTC524273 RCY523928:RCY524273 RMU523928:RMU524273 RWQ523928:RWQ524273 SGM523928:SGM524273 SQI523928:SQI524273 TAE523928:TAE524273 TKA523928:TKA524273 TTW523928:TTW524273 UDS523928:UDS524273 UNO523928:UNO524273 UXK523928:UXK524273 VHG523928:VHG524273 VRC523928:VRC524273 WAY523928:WAY524273 WKU523928:WKU524273 WUQ523928:WUQ524273 A589464:A589809 IE589464:IE589809 SA589464:SA589809 ABW589464:ABW589809 ALS589464:ALS589809 AVO589464:AVO589809 BFK589464:BFK589809 BPG589464:BPG589809 BZC589464:BZC589809 CIY589464:CIY589809 CSU589464:CSU589809 DCQ589464:DCQ589809 DMM589464:DMM589809 DWI589464:DWI589809 EGE589464:EGE589809 EQA589464:EQA589809 EZW589464:EZW589809 FJS589464:FJS589809 FTO589464:FTO589809 GDK589464:GDK589809 GNG589464:GNG589809 GXC589464:GXC589809 HGY589464:HGY589809 HQU589464:HQU589809 IAQ589464:IAQ589809 IKM589464:IKM589809 IUI589464:IUI589809 JEE589464:JEE589809 JOA589464:JOA589809 JXW589464:JXW589809 KHS589464:KHS589809 KRO589464:KRO589809 LBK589464:LBK589809 LLG589464:LLG589809 LVC589464:LVC589809 MEY589464:MEY589809 MOU589464:MOU589809 MYQ589464:MYQ589809 NIM589464:NIM589809 NSI589464:NSI589809 OCE589464:OCE589809 OMA589464:OMA589809 OVW589464:OVW589809 PFS589464:PFS589809 PPO589464:PPO589809 PZK589464:PZK589809 QJG589464:QJG589809 QTC589464:QTC589809 RCY589464:RCY589809 RMU589464:RMU589809 RWQ589464:RWQ589809 SGM589464:SGM589809 SQI589464:SQI589809 TAE589464:TAE589809 TKA589464:TKA589809 TTW589464:TTW589809 UDS589464:UDS589809 UNO589464:UNO589809 UXK589464:UXK589809 VHG589464:VHG589809 VRC589464:VRC589809 WAY589464:WAY589809 WKU589464:WKU589809 WUQ589464:WUQ589809 A655000:A655345 IE655000:IE655345 SA655000:SA655345 ABW655000:ABW655345 ALS655000:ALS655345 AVO655000:AVO655345 BFK655000:BFK655345 BPG655000:BPG655345 BZC655000:BZC655345 CIY655000:CIY655345 CSU655000:CSU655345 DCQ655000:DCQ655345 DMM655000:DMM655345 DWI655000:DWI655345 EGE655000:EGE655345 EQA655000:EQA655345 EZW655000:EZW655345 FJS655000:FJS655345 FTO655000:FTO655345 GDK655000:GDK655345 GNG655000:GNG655345 GXC655000:GXC655345 HGY655000:HGY655345 HQU655000:HQU655345 IAQ655000:IAQ655345 IKM655000:IKM655345 IUI655000:IUI655345 JEE655000:JEE655345 JOA655000:JOA655345 JXW655000:JXW655345 KHS655000:KHS655345 KRO655000:KRO655345 LBK655000:LBK655345 LLG655000:LLG655345 LVC655000:LVC655345 MEY655000:MEY655345 MOU655000:MOU655345 MYQ655000:MYQ655345 NIM655000:NIM655345 NSI655000:NSI655345 OCE655000:OCE655345 OMA655000:OMA655345 OVW655000:OVW655345 PFS655000:PFS655345 PPO655000:PPO655345 PZK655000:PZK655345 QJG655000:QJG655345 QTC655000:QTC655345 RCY655000:RCY655345 RMU655000:RMU655345 RWQ655000:RWQ655345 SGM655000:SGM655345 SQI655000:SQI655345 TAE655000:TAE655345 TKA655000:TKA655345 TTW655000:TTW655345 UDS655000:UDS655345 UNO655000:UNO655345 UXK655000:UXK655345 VHG655000:VHG655345 VRC655000:VRC655345 WAY655000:WAY655345 WKU655000:WKU655345 WUQ655000:WUQ655345 A720536:A720881 IE720536:IE720881 SA720536:SA720881 ABW720536:ABW720881 ALS720536:ALS720881 AVO720536:AVO720881 BFK720536:BFK720881 BPG720536:BPG720881 BZC720536:BZC720881 CIY720536:CIY720881 CSU720536:CSU720881 DCQ720536:DCQ720881 DMM720536:DMM720881 DWI720536:DWI720881 EGE720536:EGE720881 EQA720536:EQA720881 EZW720536:EZW720881 FJS720536:FJS720881 FTO720536:FTO720881 GDK720536:GDK720881 GNG720536:GNG720881 GXC720536:GXC720881 HGY720536:HGY720881 HQU720536:HQU720881 IAQ720536:IAQ720881 IKM720536:IKM720881 IUI720536:IUI720881 JEE720536:JEE720881 JOA720536:JOA720881 JXW720536:JXW720881 KHS720536:KHS720881 KRO720536:KRO720881 LBK720536:LBK720881 LLG720536:LLG720881 LVC720536:LVC720881 MEY720536:MEY720881 MOU720536:MOU720881 MYQ720536:MYQ720881 NIM720536:NIM720881 NSI720536:NSI720881 OCE720536:OCE720881 OMA720536:OMA720881 OVW720536:OVW720881 PFS720536:PFS720881 PPO720536:PPO720881 PZK720536:PZK720881 QJG720536:QJG720881 QTC720536:QTC720881 RCY720536:RCY720881 RMU720536:RMU720881 RWQ720536:RWQ720881 SGM720536:SGM720881 SQI720536:SQI720881 TAE720536:TAE720881 TKA720536:TKA720881 TTW720536:TTW720881 UDS720536:UDS720881 UNO720536:UNO720881 UXK720536:UXK720881 VHG720536:VHG720881 VRC720536:VRC720881 WAY720536:WAY720881 WKU720536:WKU720881 WUQ720536:WUQ720881 A786072:A786417 IE786072:IE786417 SA786072:SA786417 ABW786072:ABW786417 ALS786072:ALS786417 AVO786072:AVO786417 BFK786072:BFK786417 BPG786072:BPG786417 BZC786072:BZC786417 CIY786072:CIY786417 CSU786072:CSU786417 DCQ786072:DCQ786417 DMM786072:DMM786417 DWI786072:DWI786417 EGE786072:EGE786417 EQA786072:EQA786417 EZW786072:EZW786417 FJS786072:FJS786417 FTO786072:FTO786417 GDK786072:GDK786417 GNG786072:GNG786417 GXC786072:GXC786417 HGY786072:HGY786417 HQU786072:HQU786417 IAQ786072:IAQ786417 IKM786072:IKM786417 IUI786072:IUI786417 JEE786072:JEE786417 JOA786072:JOA786417 JXW786072:JXW786417 KHS786072:KHS786417 KRO786072:KRO786417 LBK786072:LBK786417 LLG786072:LLG786417 LVC786072:LVC786417 MEY786072:MEY786417 MOU786072:MOU786417 MYQ786072:MYQ786417 NIM786072:NIM786417 NSI786072:NSI786417 OCE786072:OCE786417 OMA786072:OMA786417 OVW786072:OVW786417 PFS786072:PFS786417 PPO786072:PPO786417 PZK786072:PZK786417 QJG786072:QJG786417 QTC786072:QTC786417 RCY786072:RCY786417 RMU786072:RMU786417 RWQ786072:RWQ786417 SGM786072:SGM786417 SQI786072:SQI786417 TAE786072:TAE786417 TKA786072:TKA786417 TTW786072:TTW786417 UDS786072:UDS786417 UNO786072:UNO786417 UXK786072:UXK786417 VHG786072:VHG786417 VRC786072:VRC786417 WAY786072:WAY786417 WKU786072:WKU786417 WUQ786072:WUQ786417 A851608:A851953 IE851608:IE851953 SA851608:SA851953 ABW851608:ABW851953 ALS851608:ALS851953 AVO851608:AVO851953 BFK851608:BFK851953 BPG851608:BPG851953 BZC851608:BZC851953 CIY851608:CIY851953 CSU851608:CSU851953 DCQ851608:DCQ851953 DMM851608:DMM851953 DWI851608:DWI851953 EGE851608:EGE851953 EQA851608:EQA851953 EZW851608:EZW851953 FJS851608:FJS851953 FTO851608:FTO851953 GDK851608:GDK851953 GNG851608:GNG851953 GXC851608:GXC851953 HGY851608:HGY851953 HQU851608:HQU851953 IAQ851608:IAQ851953 IKM851608:IKM851953 IUI851608:IUI851953 JEE851608:JEE851953 JOA851608:JOA851953 JXW851608:JXW851953 KHS851608:KHS851953 KRO851608:KRO851953 LBK851608:LBK851953 LLG851608:LLG851953 LVC851608:LVC851953 MEY851608:MEY851953 MOU851608:MOU851953 MYQ851608:MYQ851953 NIM851608:NIM851953 NSI851608:NSI851953 OCE851608:OCE851953 OMA851608:OMA851953 OVW851608:OVW851953 PFS851608:PFS851953 PPO851608:PPO851953 PZK851608:PZK851953 QJG851608:QJG851953 QTC851608:QTC851953 RCY851608:RCY851953 RMU851608:RMU851953 RWQ851608:RWQ851953 SGM851608:SGM851953 SQI851608:SQI851953 TAE851608:TAE851953 TKA851608:TKA851953 TTW851608:TTW851953 UDS851608:UDS851953 UNO851608:UNO851953 UXK851608:UXK851953 VHG851608:VHG851953 VRC851608:VRC851953 WAY851608:WAY851953 WKU851608:WKU851953 WUQ851608:WUQ851953 A917144:A917489 IE917144:IE917489 SA917144:SA917489 ABW917144:ABW917489 ALS917144:ALS917489 AVO917144:AVO917489 BFK917144:BFK917489 BPG917144:BPG917489 BZC917144:BZC917489 CIY917144:CIY917489 CSU917144:CSU917489 DCQ917144:DCQ917489 DMM917144:DMM917489 DWI917144:DWI917489 EGE917144:EGE917489 EQA917144:EQA917489 EZW917144:EZW917489 FJS917144:FJS917489 FTO917144:FTO917489 GDK917144:GDK917489 GNG917144:GNG917489 GXC917144:GXC917489 HGY917144:HGY917489 HQU917144:HQU917489 IAQ917144:IAQ917489 IKM917144:IKM917489 IUI917144:IUI917489 JEE917144:JEE917489 JOA917144:JOA917489 JXW917144:JXW917489 KHS917144:KHS917489 KRO917144:KRO917489 LBK917144:LBK917489 LLG917144:LLG917489 LVC917144:LVC917489 MEY917144:MEY917489 MOU917144:MOU917489 MYQ917144:MYQ917489 NIM917144:NIM917489 NSI917144:NSI917489 OCE917144:OCE917489 OMA917144:OMA917489 OVW917144:OVW917489 PFS917144:PFS917489 PPO917144:PPO917489 PZK917144:PZK917489 QJG917144:QJG917489 QTC917144:QTC917489 RCY917144:RCY917489 RMU917144:RMU917489 RWQ917144:RWQ917489 SGM917144:SGM917489 SQI917144:SQI917489 TAE917144:TAE917489 TKA917144:TKA917489 TTW917144:TTW917489 UDS917144:UDS917489 UNO917144:UNO917489 UXK917144:UXK917489 VHG917144:VHG917489 VRC917144:VRC917489 WAY917144:WAY917489 WKU917144:WKU917489 WUQ917144:WUQ917489 A982680:A983025 IE982680:IE983025 SA982680:SA983025 ABW982680:ABW983025 ALS982680:ALS983025 AVO982680:AVO983025 BFK982680:BFK983025 BPG982680:BPG983025 BZC982680:BZC983025 CIY982680:CIY983025 CSU982680:CSU983025 DCQ982680:DCQ983025 DMM982680:DMM983025 DWI982680:DWI983025 EGE982680:EGE983025 EQA982680:EQA983025 EZW982680:EZW983025 FJS982680:FJS983025 FTO982680:FTO983025 GDK982680:GDK983025 GNG982680:GNG983025 GXC982680:GXC983025 HGY982680:HGY983025 HQU982680:HQU983025 IAQ982680:IAQ983025 IKM982680:IKM983025 IUI982680:IUI983025 JEE982680:JEE983025 JOA982680:JOA983025 JXW982680:JXW983025 KHS982680:KHS983025 KRO982680:KRO983025 LBK982680:LBK983025 LLG982680:LLG983025 LVC982680:LVC983025 MEY982680:MEY983025 MOU982680:MOU983025 MYQ982680:MYQ983025 NIM982680:NIM983025 NSI982680:NSI983025 OCE982680:OCE983025 OMA982680:OMA983025 OVW982680:OVW983025 PFS982680:PFS983025 PPO982680:PPO983025 PZK982680:PZK983025 QJG982680:QJG983025 QTC982680:QTC983025 RCY982680:RCY983025 RMU982680:RMU983025 RWQ982680:RWQ983025 SGM982680:SGM983025 SQI982680:SQI983025 TAE982680:TAE983025 TKA982680:TKA983025 TTW982680:TTW983025 UDS982680:UDS983025 UNO982680:UNO983025 UXK982680:UXK983025 VHG982680:VHG983025 VRC982680:VRC983025 WAY982680:WAY983025 WKU982680:WKU983025 WUQ982680:WUQ983025" xr:uid="{00000000-0002-0000-0A00-000004000000}">
      <formula1>Schedule_List</formula1>
    </dataValidation>
    <dataValidation type="list" allowBlank="1" showInputMessage="1" showErrorMessage="1" sqref="B65176:B65521 IF65176:IF65521 SB65176:SB65521 ABX65176:ABX65521 ALT65176:ALT65521 AVP65176:AVP65521 BFL65176:BFL65521 BPH65176:BPH65521 BZD65176:BZD65521 CIZ65176:CIZ65521 CSV65176:CSV65521 DCR65176:DCR65521 DMN65176:DMN65521 DWJ65176:DWJ65521 EGF65176:EGF65521 EQB65176:EQB65521 EZX65176:EZX65521 FJT65176:FJT65521 FTP65176:FTP65521 GDL65176:GDL65521 GNH65176:GNH65521 GXD65176:GXD65521 HGZ65176:HGZ65521 HQV65176:HQV65521 IAR65176:IAR65521 IKN65176:IKN65521 IUJ65176:IUJ65521 JEF65176:JEF65521 JOB65176:JOB65521 JXX65176:JXX65521 KHT65176:KHT65521 KRP65176:KRP65521 LBL65176:LBL65521 LLH65176:LLH65521 LVD65176:LVD65521 MEZ65176:MEZ65521 MOV65176:MOV65521 MYR65176:MYR65521 NIN65176:NIN65521 NSJ65176:NSJ65521 OCF65176:OCF65521 OMB65176:OMB65521 OVX65176:OVX65521 PFT65176:PFT65521 PPP65176:PPP65521 PZL65176:PZL65521 QJH65176:QJH65521 QTD65176:QTD65521 RCZ65176:RCZ65521 RMV65176:RMV65521 RWR65176:RWR65521 SGN65176:SGN65521 SQJ65176:SQJ65521 TAF65176:TAF65521 TKB65176:TKB65521 TTX65176:TTX65521 UDT65176:UDT65521 UNP65176:UNP65521 UXL65176:UXL65521 VHH65176:VHH65521 VRD65176:VRD65521 WAZ65176:WAZ65521 WKV65176:WKV65521 WUR65176:WUR65521 B130712:B131057 IF130712:IF131057 SB130712:SB131057 ABX130712:ABX131057 ALT130712:ALT131057 AVP130712:AVP131057 BFL130712:BFL131057 BPH130712:BPH131057 BZD130712:BZD131057 CIZ130712:CIZ131057 CSV130712:CSV131057 DCR130712:DCR131057 DMN130712:DMN131057 DWJ130712:DWJ131057 EGF130712:EGF131057 EQB130712:EQB131057 EZX130712:EZX131057 FJT130712:FJT131057 FTP130712:FTP131057 GDL130712:GDL131057 GNH130712:GNH131057 GXD130712:GXD131057 HGZ130712:HGZ131057 HQV130712:HQV131057 IAR130712:IAR131057 IKN130712:IKN131057 IUJ130712:IUJ131057 JEF130712:JEF131057 JOB130712:JOB131057 JXX130712:JXX131057 KHT130712:KHT131057 KRP130712:KRP131057 LBL130712:LBL131057 LLH130712:LLH131057 LVD130712:LVD131057 MEZ130712:MEZ131057 MOV130712:MOV131057 MYR130712:MYR131057 NIN130712:NIN131057 NSJ130712:NSJ131057 OCF130712:OCF131057 OMB130712:OMB131057 OVX130712:OVX131057 PFT130712:PFT131057 PPP130712:PPP131057 PZL130712:PZL131057 QJH130712:QJH131057 QTD130712:QTD131057 RCZ130712:RCZ131057 RMV130712:RMV131057 RWR130712:RWR131057 SGN130712:SGN131057 SQJ130712:SQJ131057 TAF130712:TAF131057 TKB130712:TKB131057 TTX130712:TTX131057 UDT130712:UDT131057 UNP130712:UNP131057 UXL130712:UXL131057 VHH130712:VHH131057 VRD130712:VRD131057 WAZ130712:WAZ131057 WKV130712:WKV131057 WUR130712:WUR131057 B196248:B196593 IF196248:IF196593 SB196248:SB196593 ABX196248:ABX196593 ALT196248:ALT196593 AVP196248:AVP196593 BFL196248:BFL196593 BPH196248:BPH196593 BZD196248:BZD196593 CIZ196248:CIZ196593 CSV196248:CSV196593 DCR196248:DCR196593 DMN196248:DMN196593 DWJ196248:DWJ196593 EGF196248:EGF196593 EQB196248:EQB196593 EZX196248:EZX196593 FJT196248:FJT196593 FTP196248:FTP196593 GDL196248:GDL196593 GNH196248:GNH196593 GXD196248:GXD196593 HGZ196248:HGZ196593 HQV196248:HQV196593 IAR196248:IAR196593 IKN196248:IKN196593 IUJ196248:IUJ196593 JEF196248:JEF196593 JOB196248:JOB196593 JXX196248:JXX196593 KHT196248:KHT196593 KRP196248:KRP196593 LBL196248:LBL196593 LLH196248:LLH196593 LVD196248:LVD196593 MEZ196248:MEZ196593 MOV196248:MOV196593 MYR196248:MYR196593 NIN196248:NIN196593 NSJ196248:NSJ196593 OCF196248:OCF196593 OMB196248:OMB196593 OVX196248:OVX196593 PFT196248:PFT196593 PPP196248:PPP196593 PZL196248:PZL196593 QJH196248:QJH196593 QTD196248:QTD196593 RCZ196248:RCZ196593 RMV196248:RMV196593 RWR196248:RWR196593 SGN196248:SGN196593 SQJ196248:SQJ196593 TAF196248:TAF196593 TKB196248:TKB196593 TTX196248:TTX196593 UDT196248:UDT196593 UNP196248:UNP196593 UXL196248:UXL196593 VHH196248:VHH196593 VRD196248:VRD196593 WAZ196248:WAZ196593 WKV196248:WKV196593 WUR196248:WUR196593 B261784:B262129 IF261784:IF262129 SB261784:SB262129 ABX261784:ABX262129 ALT261784:ALT262129 AVP261784:AVP262129 BFL261784:BFL262129 BPH261784:BPH262129 BZD261784:BZD262129 CIZ261784:CIZ262129 CSV261784:CSV262129 DCR261784:DCR262129 DMN261784:DMN262129 DWJ261784:DWJ262129 EGF261784:EGF262129 EQB261784:EQB262129 EZX261784:EZX262129 FJT261784:FJT262129 FTP261784:FTP262129 GDL261784:GDL262129 GNH261784:GNH262129 GXD261784:GXD262129 HGZ261784:HGZ262129 HQV261784:HQV262129 IAR261784:IAR262129 IKN261784:IKN262129 IUJ261784:IUJ262129 JEF261784:JEF262129 JOB261784:JOB262129 JXX261784:JXX262129 KHT261784:KHT262129 KRP261784:KRP262129 LBL261784:LBL262129 LLH261784:LLH262129 LVD261784:LVD262129 MEZ261784:MEZ262129 MOV261784:MOV262129 MYR261784:MYR262129 NIN261784:NIN262129 NSJ261784:NSJ262129 OCF261784:OCF262129 OMB261784:OMB262129 OVX261784:OVX262129 PFT261784:PFT262129 PPP261784:PPP262129 PZL261784:PZL262129 QJH261784:QJH262129 QTD261784:QTD262129 RCZ261784:RCZ262129 RMV261784:RMV262129 RWR261784:RWR262129 SGN261784:SGN262129 SQJ261784:SQJ262129 TAF261784:TAF262129 TKB261784:TKB262129 TTX261784:TTX262129 UDT261784:UDT262129 UNP261784:UNP262129 UXL261784:UXL262129 VHH261784:VHH262129 VRD261784:VRD262129 WAZ261784:WAZ262129 WKV261784:WKV262129 WUR261784:WUR262129 B327320:B327665 IF327320:IF327665 SB327320:SB327665 ABX327320:ABX327665 ALT327320:ALT327665 AVP327320:AVP327665 BFL327320:BFL327665 BPH327320:BPH327665 BZD327320:BZD327665 CIZ327320:CIZ327665 CSV327320:CSV327665 DCR327320:DCR327665 DMN327320:DMN327665 DWJ327320:DWJ327665 EGF327320:EGF327665 EQB327320:EQB327665 EZX327320:EZX327665 FJT327320:FJT327665 FTP327320:FTP327665 GDL327320:GDL327665 GNH327320:GNH327665 GXD327320:GXD327665 HGZ327320:HGZ327665 HQV327320:HQV327665 IAR327320:IAR327665 IKN327320:IKN327665 IUJ327320:IUJ327665 JEF327320:JEF327665 JOB327320:JOB327665 JXX327320:JXX327665 KHT327320:KHT327665 KRP327320:KRP327665 LBL327320:LBL327665 LLH327320:LLH327665 LVD327320:LVD327665 MEZ327320:MEZ327665 MOV327320:MOV327665 MYR327320:MYR327665 NIN327320:NIN327665 NSJ327320:NSJ327665 OCF327320:OCF327665 OMB327320:OMB327665 OVX327320:OVX327665 PFT327320:PFT327665 PPP327320:PPP327665 PZL327320:PZL327665 QJH327320:QJH327665 QTD327320:QTD327665 RCZ327320:RCZ327665 RMV327320:RMV327665 RWR327320:RWR327665 SGN327320:SGN327665 SQJ327320:SQJ327665 TAF327320:TAF327665 TKB327320:TKB327665 TTX327320:TTX327665 UDT327320:UDT327665 UNP327320:UNP327665 UXL327320:UXL327665 VHH327320:VHH327665 VRD327320:VRD327665 WAZ327320:WAZ327665 WKV327320:WKV327665 WUR327320:WUR327665 B392856:B393201 IF392856:IF393201 SB392856:SB393201 ABX392856:ABX393201 ALT392856:ALT393201 AVP392856:AVP393201 BFL392856:BFL393201 BPH392856:BPH393201 BZD392856:BZD393201 CIZ392856:CIZ393201 CSV392856:CSV393201 DCR392856:DCR393201 DMN392856:DMN393201 DWJ392856:DWJ393201 EGF392856:EGF393201 EQB392856:EQB393201 EZX392856:EZX393201 FJT392856:FJT393201 FTP392856:FTP393201 GDL392856:GDL393201 GNH392856:GNH393201 GXD392856:GXD393201 HGZ392856:HGZ393201 HQV392856:HQV393201 IAR392856:IAR393201 IKN392856:IKN393201 IUJ392856:IUJ393201 JEF392856:JEF393201 JOB392856:JOB393201 JXX392856:JXX393201 KHT392856:KHT393201 KRP392856:KRP393201 LBL392856:LBL393201 LLH392856:LLH393201 LVD392856:LVD393201 MEZ392856:MEZ393201 MOV392856:MOV393201 MYR392856:MYR393201 NIN392856:NIN393201 NSJ392856:NSJ393201 OCF392856:OCF393201 OMB392856:OMB393201 OVX392856:OVX393201 PFT392856:PFT393201 PPP392856:PPP393201 PZL392856:PZL393201 QJH392856:QJH393201 QTD392856:QTD393201 RCZ392856:RCZ393201 RMV392856:RMV393201 RWR392856:RWR393201 SGN392856:SGN393201 SQJ392856:SQJ393201 TAF392856:TAF393201 TKB392856:TKB393201 TTX392856:TTX393201 UDT392856:UDT393201 UNP392856:UNP393201 UXL392856:UXL393201 VHH392856:VHH393201 VRD392856:VRD393201 WAZ392856:WAZ393201 WKV392856:WKV393201 WUR392856:WUR393201 B458392:B458737 IF458392:IF458737 SB458392:SB458737 ABX458392:ABX458737 ALT458392:ALT458737 AVP458392:AVP458737 BFL458392:BFL458737 BPH458392:BPH458737 BZD458392:BZD458737 CIZ458392:CIZ458737 CSV458392:CSV458737 DCR458392:DCR458737 DMN458392:DMN458737 DWJ458392:DWJ458737 EGF458392:EGF458737 EQB458392:EQB458737 EZX458392:EZX458737 FJT458392:FJT458737 FTP458392:FTP458737 GDL458392:GDL458737 GNH458392:GNH458737 GXD458392:GXD458737 HGZ458392:HGZ458737 HQV458392:HQV458737 IAR458392:IAR458737 IKN458392:IKN458737 IUJ458392:IUJ458737 JEF458392:JEF458737 JOB458392:JOB458737 JXX458392:JXX458737 KHT458392:KHT458737 KRP458392:KRP458737 LBL458392:LBL458737 LLH458392:LLH458737 LVD458392:LVD458737 MEZ458392:MEZ458737 MOV458392:MOV458737 MYR458392:MYR458737 NIN458392:NIN458737 NSJ458392:NSJ458737 OCF458392:OCF458737 OMB458392:OMB458737 OVX458392:OVX458737 PFT458392:PFT458737 PPP458392:PPP458737 PZL458392:PZL458737 QJH458392:QJH458737 QTD458392:QTD458737 RCZ458392:RCZ458737 RMV458392:RMV458737 RWR458392:RWR458737 SGN458392:SGN458737 SQJ458392:SQJ458737 TAF458392:TAF458737 TKB458392:TKB458737 TTX458392:TTX458737 UDT458392:UDT458737 UNP458392:UNP458737 UXL458392:UXL458737 VHH458392:VHH458737 VRD458392:VRD458737 WAZ458392:WAZ458737 WKV458392:WKV458737 WUR458392:WUR458737 B523928:B524273 IF523928:IF524273 SB523928:SB524273 ABX523928:ABX524273 ALT523928:ALT524273 AVP523928:AVP524273 BFL523928:BFL524273 BPH523928:BPH524273 BZD523928:BZD524273 CIZ523928:CIZ524273 CSV523928:CSV524273 DCR523928:DCR524273 DMN523928:DMN524273 DWJ523928:DWJ524273 EGF523928:EGF524273 EQB523928:EQB524273 EZX523928:EZX524273 FJT523928:FJT524273 FTP523928:FTP524273 GDL523928:GDL524273 GNH523928:GNH524273 GXD523928:GXD524273 HGZ523928:HGZ524273 HQV523928:HQV524273 IAR523928:IAR524273 IKN523928:IKN524273 IUJ523928:IUJ524273 JEF523928:JEF524273 JOB523928:JOB524273 JXX523928:JXX524273 KHT523928:KHT524273 KRP523928:KRP524273 LBL523928:LBL524273 LLH523928:LLH524273 LVD523928:LVD524273 MEZ523928:MEZ524273 MOV523928:MOV524273 MYR523928:MYR524273 NIN523928:NIN524273 NSJ523928:NSJ524273 OCF523928:OCF524273 OMB523928:OMB524273 OVX523928:OVX524273 PFT523928:PFT524273 PPP523928:PPP524273 PZL523928:PZL524273 QJH523928:QJH524273 QTD523928:QTD524273 RCZ523928:RCZ524273 RMV523928:RMV524273 RWR523928:RWR524273 SGN523928:SGN524273 SQJ523928:SQJ524273 TAF523928:TAF524273 TKB523928:TKB524273 TTX523928:TTX524273 UDT523928:UDT524273 UNP523928:UNP524273 UXL523928:UXL524273 VHH523928:VHH524273 VRD523928:VRD524273 WAZ523928:WAZ524273 WKV523928:WKV524273 WUR523928:WUR524273 B589464:B589809 IF589464:IF589809 SB589464:SB589809 ABX589464:ABX589809 ALT589464:ALT589809 AVP589464:AVP589809 BFL589464:BFL589809 BPH589464:BPH589809 BZD589464:BZD589809 CIZ589464:CIZ589809 CSV589464:CSV589809 DCR589464:DCR589809 DMN589464:DMN589809 DWJ589464:DWJ589809 EGF589464:EGF589809 EQB589464:EQB589809 EZX589464:EZX589809 FJT589464:FJT589809 FTP589464:FTP589809 GDL589464:GDL589809 GNH589464:GNH589809 GXD589464:GXD589809 HGZ589464:HGZ589809 HQV589464:HQV589809 IAR589464:IAR589809 IKN589464:IKN589809 IUJ589464:IUJ589809 JEF589464:JEF589809 JOB589464:JOB589809 JXX589464:JXX589809 KHT589464:KHT589809 KRP589464:KRP589809 LBL589464:LBL589809 LLH589464:LLH589809 LVD589464:LVD589809 MEZ589464:MEZ589809 MOV589464:MOV589809 MYR589464:MYR589809 NIN589464:NIN589809 NSJ589464:NSJ589809 OCF589464:OCF589809 OMB589464:OMB589809 OVX589464:OVX589809 PFT589464:PFT589809 PPP589464:PPP589809 PZL589464:PZL589809 QJH589464:QJH589809 QTD589464:QTD589809 RCZ589464:RCZ589809 RMV589464:RMV589809 RWR589464:RWR589809 SGN589464:SGN589809 SQJ589464:SQJ589809 TAF589464:TAF589809 TKB589464:TKB589809 TTX589464:TTX589809 UDT589464:UDT589809 UNP589464:UNP589809 UXL589464:UXL589809 VHH589464:VHH589809 VRD589464:VRD589809 WAZ589464:WAZ589809 WKV589464:WKV589809 WUR589464:WUR589809 B655000:B655345 IF655000:IF655345 SB655000:SB655345 ABX655000:ABX655345 ALT655000:ALT655345 AVP655000:AVP655345 BFL655000:BFL655345 BPH655000:BPH655345 BZD655000:BZD655345 CIZ655000:CIZ655345 CSV655000:CSV655345 DCR655000:DCR655345 DMN655000:DMN655345 DWJ655000:DWJ655345 EGF655000:EGF655345 EQB655000:EQB655345 EZX655000:EZX655345 FJT655000:FJT655345 FTP655000:FTP655345 GDL655000:GDL655345 GNH655000:GNH655345 GXD655000:GXD655345 HGZ655000:HGZ655345 HQV655000:HQV655345 IAR655000:IAR655345 IKN655000:IKN655345 IUJ655000:IUJ655345 JEF655000:JEF655345 JOB655000:JOB655345 JXX655000:JXX655345 KHT655000:KHT655345 KRP655000:KRP655345 LBL655000:LBL655345 LLH655000:LLH655345 LVD655000:LVD655345 MEZ655000:MEZ655345 MOV655000:MOV655345 MYR655000:MYR655345 NIN655000:NIN655345 NSJ655000:NSJ655345 OCF655000:OCF655345 OMB655000:OMB655345 OVX655000:OVX655345 PFT655000:PFT655345 PPP655000:PPP655345 PZL655000:PZL655345 QJH655000:QJH655345 QTD655000:QTD655345 RCZ655000:RCZ655345 RMV655000:RMV655345 RWR655000:RWR655345 SGN655000:SGN655345 SQJ655000:SQJ655345 TAF655000:TAF655345 TKB655000:TKB655345 TTX655000:TTX655345 UDT655000:UDT655345 UNP655000:UNP655345 UXL655000:UXL655345 VHH655000:VHH655345 VRD655000:VRD655345 WAZ655000:WAZ655345 WKV655000:WKV655345 WUR655000:WUR655345 B720536:B720881 IF720536:IF720881 SB720536:SB720881 ABX720536:ABX720881 ALT720536:ALT720881 AVP720536:AVP720881 BFL720536:BFL720881 BPH720536:BPH720881 BZD720536:BZD720881 CIZ720536:CIZ720881 CSV720536:CSV720881 DCR720536:DCR720881 DMN720536:DMN720881 DWJ720536:DWJ720881 EGF720536:EGF720881 EQB720536:EQB720881 EZX720536:EZX720881 FJT720536:FJT720881 FTP720536:FTP720881 GDL720536:GDL720881 GNH720536:GNH720881 GXD720536:GXD720881 HGZ720536:HGZ720881 HQV720536:HQV720881 IAR720536:IAR720881 IKN720536:IKN720881 IUJ720536:IUJ720881 JEF720536:JEF720881 JOB720536:JOB720881 JXX720536:JXX720881 KHT720536:KHT720881 KRP720536:KRP720881 LBL720536:LBL720881 LLH720536:LLH720881 LVD720536:LVD720881 MEZ720536:MEZ720881 MOV720536:MOV720881 MYR720536:MYR720881 NIN720536:NIN720881 NSJ720536:NSJ720881 OCF720536:OCF720881 OMB720536:OMB720881 OVX720536:OVX720881 PFT720536:PFT720881 PPP720536:PPP720881 PZL720536:PZL720881 QJH720536:QJH720881 QTD720536:QTD720881 RCZ720536:RCZ720881 RMV720536:RMV720881 RWR720536:RWR720881 SGN720536:SGN720881 SQJ720536:SQJ720881 TAF720536:TAF720881 TKB720536:TKB720881 TTX720536:TTX720881 UDT720536:UDT720881 UNP720536:UNP720881 UXL720536:UXL720881 VHH720536:VHH720881 VRD720536:VRD720881 WAZ720536:WAZ720881 WKV720536:WKV720881 WUR720536:WUR720881 B786072:B786417 IF786072:IF786417 SB786072:SB786417 ABX786072:ABX786417 ALT786072:ALT786417 AVP786072:AVP786417 BFL786072:BFL786417 BPH786072:BPH786417 BZD786072:BZD786417 CIZ786072:CIZ786417 CSV786072:CSV786417 DCR786072:DCR786417 DMN786072:DMN786417 DWJ786072:DWJ786417 EGF786072:EGF786417 EQB786072:EQB786417 EZX786072:EZX786417 FJT786072:FJT786417 FTP786072:FTP786417 GDL786072:GDL786417 GNH786072:GNH786417 GXD786072:GXD786417 HGZ786072:HGZ786417 HQV786072:HQV786417 IAR786072:IAR786417 IKN786072:IKN786417 IUJ786072:IUJ786417 JEF786072:JEF786417 JOB786072:JOB786417 JXX786072:JXX786417 KHT786072:KHT786417 KRP786072:KRP786417 LBL786072:LBL786417 LLH786072:LLH786417 LVD786072:LVD786417 MEZ786072:MEZ786417 MOV786072:MOV786417 MYR786072:MYR786417 NIN786072:NIN786417 NSJ786072:NSJ786417 OCF786072:OCF786417 OMB786072:OMB786417 OVX786072:OVX786417 PFT786072:PFT786417 PPP786072:PPP786417 PZL786072:PZL786417 QJH786072:QJH786417 QTD786072:QTD786417 RCZ786072:RCZ786417 RMV786072:RMV786417 RWR786072:RWR786417 SGN786072:SGN786417 SQJ786072:SQJ786417 TAF786072:TAF786417 TKB786072:TKB786417 TTX786072:TTX786417 UDT786072:UDT786417 UNP786072:UNP786417 UXL786072:UXL786417 VHH786072:VHH786417 VRD786072:VRD786417 WAZ786072:WAZ786417 WKV786072:WKV786417 WUR786072:WUR786417 B851608:B851953 IF851608:IF851953 SB851608:SB851953 ABX851608:ABX851953 ALT851608:ALT851953 AVP851608:AVP851953 BFL851608:BFL851953 BPH851608:BPH851953 BZD851608:BZD851953 CIZ851608:CIZ851953 CSV851608:CSV851953 DCR851608:DCR851953 DMN851608:DMN851953 DWJ851608:DWJ851953 EGF851608:EGF851953 EQB851608:EQB851953 EZX851608:EZX851953 FJT851608:FJT851953 FTP851608:FTP851953 GDL851608:GDL851953 GNH851608:GNH851953 GXD851608:GXD851953 HGZ851608:HGZ851953 HQV851608:HQV851953 IAR851608:IAR851953 IKN851608:IKN851953 IUJ851608:IUJ851953 JEF851608:JEF851953 JOB851608:JOB851953 JXX851608:JXX851953 KHT851608:KHT851953 KRP851608:KRP851953 LBL851608:LBL851953 LLH851608:LLH851953 LVD851608:LVD851953 MEZ851608:MEZ851953 MOV851608:MOV851953 MYR851608:MYR851953 NIN851608:NIN851953 NSJ851608:NSJ851953 OCF851608:OCF851953 OMB851608:OMB851953 OVX851608:OVX851953 PFT851608:PFT851953 PPP851608:PPP851953 PZL851608:PZL851953 QJH851608:QJH851953 QTD851608:QTD851953 RCZ851608:RCZ851953 RMV851608:RMV851953 RWR851608:RWR851953 SGN851608:SGN851953 SQJ851608:SQJ851953 TAF851608:TAF851953 TKB851608:TKB851953 TTX851608:TTX851953 UDT851608:UDT851953 UNP851608:UNP851953 UXL851608:UXL851953 VHH851608:VHH851953 VRD851608:VRD851953 WAZ851608:WAZ851953 WKV851608:WKV851953 WUR851608:WUR851953 B917144:B917489 IF917144:IF917489 SB917144:SB917489 ABX917144:ABX917489 ALT917144:ALT917489 AVP917144:AVP917489 BFL917144:BFL917489 BPH917144:BPH917489 BZD917144:BZD917489 CIZ917144:CIZ917489 CSV917144:CSV917489 DCR917144:DCR917489 DMN917144:DMN917489 DWJ917144:DWJ917489 EGF917144:EGF917489 EQB917144:EQB917489 EZX917144:EZX917489 FJT917144:FJT917489 FTP917144:FTP917489 GDL917144:GDL917489 GNH917144:GNH917489 GXD917144:GXD917489 HGZ917144:HGZ917489 HQV917144:HQV917489 IAR917144:IAR917489 IKN917144:IKN917489 IUJ917144:IUJ917489 JEF917144:JEF917489 JOB917144:JOB917489 JXX917144:JXX917489 KHT917144:KHT917489 KRP917144:KRP917489 LBL917144:LBL917489 LLH917144:LLH917489 LVD917144:LVD917489 MEZ917144:MEZ917489 MOV917144:MOV917489 MYR917144:MYR917489 NIN917144:NIN917489 NSJ917144:NSJ917489 OCF917144:OCF917489 OMB917144:OMB917489 OVX917144:OVX917489 PFT917144:PFT917489 PPP917144:PPP917489 PZL917144:PZL917489 QJH917144:QJH917489 QTD917144:QTD917489 RCZ917144:RCZ917489 RMV917144:RMV917489 RWR917144:RWR917489 SGN917144:SGN917489 SQJ917144:SQJ917489 TAF917144:TAF917489 TKB917144:TKB917489 TTX917144:TTX917489 UDT917144:UDT917489 UNP917144:UNP917489 UXL917144:UXL917489 VHH917144:VHH917489 VRD917144:VRD917489 WAZ917144:WAZ917489 WKV917144:WKV917489 WUR917144:WUR917489 B982680:B983025 IF982680:IF983025 SB982680:SB983025 ABX982680:ABX983025 ALT982680:ALT983025 AVP982680:AVP983025 BFL982680:BFL983025 BPH982680:BPH983025 BZD982680:BZD983025 CIZ982680:CIZ983025 CSV982680:CSV983025 DCR982680:DCR983025 DMN982680:DMN983025 DWJ982680:DWJ983025 EGF982680:EGF983025 EQB982680:EQB983025 EZX982680:EZX983025 FJT982680:FJT983025 FTP982680:FTP983025 GDL982680:GDL983025 GNH982680:GNH983025 GXD982680:GXD983025 HGZ982680:HGZ983025 HQV982680:HQV983025 IAR982680:IAR983025 IKN982680:IKN983025 IUJ982680:IUJ983025 JEF982680:JEF983025 JOB982680:JOB983025 JXX982680:JXX983025 KHT982680:KHT983025 KRP982680:KRP983025 LBL982680:LBL983025 LLH982680:LLH983025 LVD982680:LVD983025 MEZ982680:MEZ983025 MOV982680:MOV983025 MYR982680:MYR983025 NIN982680:NIN983025 NSJ982680:NSJ983025 OCF982680:OCF983025 OMB982680:OMB983025 OVX982680:OVX983025 PFT982680:PFT983025 PPP982680:PPP983025 PZL982680:PZL983025 QJH982680:QJH983025 QTD982680:QTD983025 RCZ982680:RCZ983025 RMV982680:RMV983025 RWR982680:RWR983025 SGN982680:SGN983025 SQJ982680:SQJ983025 TAF982680:TAF983025 TKB982680:TKB983025 TTX982680:TTX983025 UDT982680:UDT983025 UNP982680:UNP983025 UXL982680:UXL983025 VHH982680:VHH983025 VRD982680:VRD983025 WAZ982680:WAZ983025 WKV982680:WKV983025 WUR982680:WUR983025" xr:uid="{00000000-0002-0000-0A00-000005000000}">
      <formula1>Insured_List</formula1>
    </dataValidation>
    <dataValidation type="list" allowBlank="1" showInputMessage="1" showErrorMessage="1" sqref="K65176:K65521 IO65176:IO65521 SK65176:SK65521 ACG65176:ACG65521 AMC65176:AMC65521 AVY65176:AVY65521 BFU65176:BFU65521 BPQ65176:BPQ65521 BZM65176:BZM65521 CJI65176:CJI65521 CTE65176:CTE65521 DDA65176:DDA65521 DMW65176:DMW65521 DWS65176:DWS65521 EGO65176:EGO65521 EQK65176:EQK65521 FAG65176:FAG65521 FKC65176:FKC65521 FTY65176:FTY65521 GDU65176:GDU65521 GNQ65176:GNQ65521 GXM65176:GXM65521 HHI65176:HHI65521 HRE65176:HRE65521 IBA65176:IBA65521 IKW65176:IKW65521 IUS65176:IUS65521 JEO65176:JEO65521 JOK65176:JOK65521 JYG65176:JYG65521 KIC65176:KIC65521 KRY65176:KRY65521 LBU65176:LBU65521 LLQ65176:LLQ65521 LVM65176:LVM65521 MFI65176:MFI65521 MPE65176:MPE65521 MZA65176:MZA65521 NIW65176:NIW65521 NSS65176:NSS65521 OCO65176:OCO65521 OMK65176:OMK65521 OWG65176:OWG65521 PGC65176:PGC65521 PPY65176:PPY65521 PZU65176:PZU65521 QJQ65176:QJQ65521 QTM65176:QTM65521 RDI65176:RDI65521 RNE65176:RNE65521 RXA65176:RXA65521 SGW65176:SGW65521 SQS65176:SQS65521 TAO65176:TAO65521 TKK65176:TKK65521 TUG65176:TUG65521 UEC65176:UEC65521 UNY65176:UNY65521 UXU65176:UXU65521 VHQ65176:VHQ65521 VRM65176:VRM65521 WBI65176:WBI65521 WLE65176:WLE65521 WVA65176:WVA65521 K130712:K131057 IO130712:IO131057 SK130712:SK131057 ACG130712:ACG131057 AMC130712:AMC131057 AVY130712:AVY131057 BFU130712:BFU131057 BPQ130712:BPQ131057 BZM130712:BZM131057 CJI130712:CJI131057 CTE130712:CTE131057 DDA130712:DDA131057 DMW130712:DMW131057 DWS130712:DWS131057 EGO130712:EGO131057 EQK130712:EQK131057 FAG130712:FAG131057 FKC130712:FKC131057 FTY130712:FTY131057 GDU130712:GDU131057 GNQ130712:GNQ131057 GXM130712:GXM131057 HHI130712:HHI131057 HRE130712:HRE131057 IBA130712:IBA131057 IKW130712:IKW131057 IUS130712:IUS131057 JEO130712:JEO131057 JOK130712:JOK131057 JYG130712:JYG131057 KIC130712:KIC131057 KRY130712:KRY131057 LBU130712:LBU131057 LLQ130712:LLQ131057 LVM130712:LVM131057 MFI130712:MFI131057 MPE130712:MPE131057 MZA130712:MZA131057 NIW130712:NIW131057 NSS130712:NSS131057 OCO130712:OCO131057 OMK130712:OMK131057 OWG130712:OWG131057 PGC130712:PGC131057 PPY130712:PPY131057 PZU130712:PZU131057 QJQ130712:QJQ131057 QTM130712:QTM131057 RDI130712:RDI131057 RNE130712:RNE131057 RXA130712:RXA131057 SGW130712:SGW131057 SQS130712:SQS131057 TAO130712:TAO131057 TKK130712:TKK131057 TUG130712:TUG131057 UEC130712:UEC131057 UNY130712:UNY131057 UXU130712:UXU131057 VHQ130712:VHQ131057 VRM130712:VRM131057 WBI130712:WBI131057 WLE130712:WLE131057 WVA130712:WVA131057 K196248:K196593 IO196248:IO196593 SK196248:SK196593 ACG196248:ACG196593 AMC196248:AMC196593 AVY196248:AVY196593 BFU196248:BFU196593 BPQ196248:BPQ196593 BZM196248:BZM196593 CJI196248:CJI196593 CTE196248:CTE196593 DDA196248:DDA196593 DMW196248:DMW196593 DWS196248:DWS196593 EGO196248:EGO196593 EQK196248:EQK196593 FAG196248:FAG196593 FKC196248:FKC196593 FTY196248:FTY196593 GDU196248:GDU196593 GNQ196248:GNQ196593 GXM196248:GXM196593 HHI196248:HHI196593 HRE196248:HRE196593 IBA196248:IBA196593 IKW196248:IKW196593 IUS196248:IUS196593 JEO196248:JEO196593 JOK196248:JOK196593 JYG196248:JYG196593 KIC196248:KIC196593 KRY196248:KRY196593 LBU196248:LBU196593 LLQ196248:LLQ196593 LVM196248:LVM196593 MFI196248:MFI196593 MPE196248:MPE196593 MZA196248:MZA196593 NIW196248:NIW196593 NSS196248:NSS196593 OCO196248:OCO196593 OMK196248:OMK196593 OWG196248:OWG196593 PGC196248:PGC196593 PPY196248:PPY196593 PZU196248:PZU196593 QJQ196248:QJQ196593 QTM196248:QTM196593 RDI196248:RDI196593 RNE196248:RNE196593 RXA196248:RXA196593 SGW196248:SGW196593 SQS196248:SQS196593 TAO196248:TAO196593 TKK196248:TKK196593 TUG196248:TUG196593 UEC196248:UEC196593 UNY196248:UNY196593 UXU196248:UXU196593 VHQ196248:VHQ196593 VRM196248:VRM196593 WBI196248:WBI196593 WLE196248:WLE196593 WVA196248:WVA196593 K261784:K262129 IO261784:IO262129 SK261784:SK262129 ACG261784:ACG262129 AMC261784:AMC262129 AVY261784:AVY262129 BFU261784:BFU262129 BPQ261784:BPQ262129 BZM261784:BZM262129 CJI261784:CJI262129 CTE261784:CTE262129 DDA261784:DDA262129 DMW261784:DMW262129 DWS261784:DWS262129 EGO261784:EGO262129 EQK261784:EQK262129 FAG261784:FAG262129 FKC261784:FKC262129 FTY261784:FTY262129 GDU261784:GDU262129 GNQ261784:GNQ262129 GXM261784:GXM262129 HHI261784:HHI262129 HRE261784:HRE262129 IBA261784:IBA262129 IKW261784:IKW262129 IUS261784:IUS262129 JEO261784:JEO262129 JOK261784:JOK262129 JYG261784:JYG262129 KIC261784:KIC262129 KRY261784:KRY262129 LBU261784:LBU262129 LLQ261784:LLQ262129 LVM261784:LVM262129 MFI261784:MFI262129 MPE261784:MPE262129 MZA261784:MZA262129 NIW261784:NIW262129 NSS261784:NSS262129 OCO261784:OCO262129 OMK261784:OMK262129 OWG261784:OWG262129 PGC261784:PGC262129 PPY261784:PPY262129 PZU261784:PZU262129 QJQ261784:QJQ262129 QTM261784:QTM262129 RDI261784:RDI262129 RNE261784:RNE262129 RXA261784:RXA262129 SGW261784:SGW262129 SQS261784:SQS262129 TAO261784:TAO262129 TKK261784:TKK262129 TUG261784:TUG262129 UEC261784:UEC262129 UNY261784:UNY262129 UXU261784:UXU262129 VHQ261784:VHQ262129 VRM261784:VRM262129 WBI261784:WBI262129 WLE261784:WLE262129 WVA261784:WVA262129 K327320:K327665 IO327320:IO327665 SK327320:SK327665 ACG327320:ACG327665 AMC327320:AMC327665 AVY327320:AVY327665 BFU327320:BFU327665 BPQ327320:BPQ327665 BZM327320:BZM327665 CJI327320:CJI327665 CTE327320:CTE327665 DDA327320:DDA327665 DMW327320:DMW327665 DWS327320:DWS327665 EGO327320:EGO327665 EQK327320:EQK327665 FAG327320:FAG327665 FKC327320:FKC327665 FTY327320:FTY327665 GDU327320:GDU327665 GNQ327320:GNQ327665 GXM327320:GXM327665 HHI327320:HHI327665 HRE327320:HRE327665 IBA327320:IBA327665 IKW327320:IKW327665 IUS327320:IUS327665 JEO327320:JEO327665 JOK327320:JOK327665 JYG327320:JYG327665 KIC327320:KIC327665 KRY327320:KRY327665 LBU327320:LBU327665 LLQ327320:LLQ327665 LVM327320:LVM327665 MFI327320:MFI327665 MPE327320:MPE327665 MZA327320:MZA327665 NIW327320:NIW327665 NSS327320:NSS327665 OCO327320:OCO327665 OMK327320:OMK327665 OWG327320:OWG327665 PGC327320:PGC327665 PPY327320:PPY327665 PZU327320:PZU327665 QJQ327320:QJQ327665 QTM327320:QTM327665 RDI327320:RDI327665 RNE327320:RNE327665 RXA327320:RXA327665 SGW327320:SGW327665 SQS327320:SQS327665 TAO327320:TAO327665 TKK327320:TKK327665 TUG327320:TUG327665 UEC327320:UEC327665 UNY327320:UNY327665 UXU327320:UXU327665 VHQ327320:VHQ327665 VRM327320:VRM327665 WBI327320:WBI327665 WLE327320:WLE327665 WVA327320:WVA327665 K392856:K393201 IO392856:IO393201 SK392856:SK393201 ACG392856:ACG393201 AMC392856:AMC393201 AVY392856:AVY393201 BFU392856:BFU393201 BPQ392856:BPQ393201 BZM392856:BZM393201 CJI392856:CJI393201 CTE392856:CTE393201 DDA392856:DDA393201 DMW392856:DMW393201 DWS392856:DWS393201 EGO392856:EGO393201 EQK392856:EQK393201 FAG392856:FAG393201 FKC392856:FKC393201 FTY392856:FTY393201 GDU392856:GDU393201 GNQ392856:GNQ393201 GXM392856:GXM393201 HHI392856:HHI393201 HRE392856:HRE393201 IBA392856:IBA393201 IKW392856:IKW393201 IUS392856:IUS393201 JEO392856:JEO393201 JOK392856:JOK393201 JYG392856:JYG393201 KIC392856:KIC393201 KRY392856:KRY393201 LBU392856:LBU393201 LLQ392856:LLQ393201 LVM392856:LVM393201 MFI392856:MFI393201 MPE392856:MPE393201 MZA392856:MZA393201 NIW392856:NIW393201 NSS392856:NSS393201 OCO392856:OCO393201 OMK392856:OMK393201 OWG392856:OWG393201 PGC392856:PGC393201 PPY392856:PPY393201 PZU392856:PZU393201 QJQ392856:QJQ393201 QTM392856:QTM393201 RDI392856:RDI393201 RNE392856:RNE393201 RXA392856:RXA393201 SGW392856:SGW393201 SQS392856:SQS393201 TAO392856:TAO393201 TKK392856:TKK393201 TUG392856:TUG393201 UEC392856:UEC393201 UNY392856:UNY393201 UXU392856:UXU393201 VHQ392856:VHQ393201 VRM392856:VRM393201 WBI392856:WBI393201 WLE392856:WLE393201 WVA392856:WVA393201 K458392:K458737 IO458392:IO458737 SK458392:SK458737 ACG458392:ACG458737 AMC458392:AMC458737 AVY458392:AVY458737 BFU458392:BFU458737 BPQ458392:BPQ458737 BZM458392:BZM458737 CJI458392:CJI458737 CTE458392:CTE458737 DDA458392:DDA458737 DMW458392:DMW458737 DWS458392:DWS458737 EGO458392:EGO458737 EQK458392:EQK458737 FAG458392:FAG458737 FKC458392:FKC458737 FTY458392:FTY458737 GDU458392:GDU458737 GNQ458392:GNQ458737 GXM458392:GXM458737 HHI458392:HHI458737 HRE458392:HRE458737 IBA458392:IBA458737 IKW458392:IKW458737 IUS458392:IUS458737 JEO458392:JEO458737 JOK458392:JOK458737 JYG458392:JYG458737 KIC458392:KIC458737 KRY458392:KRY458737 LBU458392:LBU458737 LLQ458392:LLQ458737 LVM458392:LVM458737 MFI458392:MFI458737 MPE458392:MPE458737 MZA458392:MZA458737 NIW458392:NIW458737 NSS458392:NSS458737 OCO458392:OCO458737 OMK458392:OMK458737 OWG458392:OWG458737 PGC458392:PGC458737 PPY458392:PPY458737 PZU458392:PZU458737 QJQ458392:QJQ458737 QTM458392:QTM458737 RDI458392:RDI458737 RNE458392:RNE458737 RXA458392:RXA458737 SGW458392:SGW458737 SQS458392:SQS458737 TAO458392:TAO458737 TKK458392:TKK458737 TUG458392:TUG458737 UEC458392:UEC458737 UNY458392:UNY458737 UXU458392:UXU458737 VHQ458392:VHQ458737 VRM458392:VRM458737 WBI458392:WBI458737 WLE458392:WLE458737 WVA458392:WVA458737 K523928:K524273 IO523928:IO524273 SK523928:SK524273 ACG523928:ACG524273 AMC523928:AMC524273 AVY523928:AVY524273 BFU523928:BFU524273 BPQ523928:BPQ524273 BZM523928:BZM524273 CJI523928:CJI524273 CTE523928:CTE524273 DDA523928:DDA524273 DMW523928:DMW524273 DWS523928:DWS524273 EGO523928:EGO524273 EQK523928:EQK524273 FAG523928:FAG524273 FKC523928:FKC524273 FTY523928:FTY524273 GDU523928:GDU524273 GNQ523928:GNQ524273 GXM523928:GXM524273 HHI523928:HHI524273 HRE523928:HRE524273 IBA523928:IBA524273 IKW523928:IKW524273 IUS523928:IUS524273 JEO523928:JEO524273 JOK523928:JOK524273 JYG523928:JYG524273 KIC523928:KIC524273 KRY523928:KRY524273 LBU523928:LBU524273 LLQ523928:LLQ524273 LVM523928:LVM524273 MFI523928:MFI524273 MPE523928:MPE524273 MZA523928:MZA524273 NIW523928:NIW524273 NSS523928:NSS524273 OCO523928:OCO524273 OMK523928:OMK524273 OWG523928:OWG524273 PGC523928:PGC524273 PPY523928:PPY524273 PZU523928:PZU524273 QJQ523928:QJQ524273 QTM523928:QTM524273 RDI523928:RDI524273 RNE523928:RNE524273 RXA523928:RXA524273 SGW523928:SGW524273 SQS523928:SQS524273 TAO523928:TAO524273 TKK523928:TKK524273 TUG523928:TUG524273 UEC523928:UEC524273 UNY523928:UNY524273 UXU523928:UXU524273 VHQ523928:VHQ524273 VRM523928:VRM524273 WBI523928:WBI524273 WLE523928:WLE524273 WVA523928:WVA524273 K589464:K589809 IO589464:IO589809 SK589464:SK589809 ACG589464:ACG589809 AMC589464:AMC589809 AVY589464:AVY589809 BFU589464:BFU589809 BPQ589464:BPQ589809 BZM589464:BZM589809 CJI589464:CJI589809 CTE589464:CTE589809 DDA589464:DDA589809 DMW589464:DMW589809 DWS589464:DWS589809 EGO589464:EGO589809 EQK589464:EQK589809 FAG589464:FAG589809 FKC589464:FKC589809 FTY589464:FTY589809 GDU589464:GDU589809 GNQ589464:GNQ589809 GXM589464:GXM589809 HHI589464:HHI589809 HRE589464:HRE589809 IBA589464:IBA589809 IKW589464:IKW589809 IUS589464:IUS589809 JEO589464:JEO589809 JOK589464:JOK589809 JYG589464:JYG589809 KIC589464:KIC589809 KRY589464:KRY589809 LBU589464:LBU589809 LLQ589464:LLQ589809 LVM589464:LVM589809 MFI589464:MFI589809 MPE589464:MPE589809 MZA589464:MZA589809 NIW589464:NIW589809 NSS589464:NSS589809 OCO589464:OCO589809 OMK589464:OMK589809 OWG589464:OWG589809 PGC589464:PGC589809 PPY589464:PPY589809 PZU589464:PZU589809 QJQ589464:QJQ589809 QTM589464:QTM589809 RDI589464:RDI589809 RNE589464:RNE589809 RXA589464:RXA589809 SGW589464:SGW589809 SQS589464:SQS589809 TAO589464:TAO589809 TKK589464:TKK589809 TUG589464:TUG589809 UEC589464:UEC589809 UNY589464:UNY589809 UXU589464:UXU589809 VHQ589464:VHQ589809 VRM589464:VRM589809 WBI589464:WBI589809 WLE589464:WLE589809 WVA589464:WVA589809 K655000:K655345 IO655000:IO655345 SK655000:SK655345 ACG655000:ACG655345 AMC655000:AMC655345 AVY655000:AVY655345 BFU655000:BFU655345 BPQ655000:BPQ655345 BZM655000:BZM655345 CJI655000:CJI655345 CTE655000:CTE655345 DDA655000:DDA655345 DMW655000:DMW655345 DWS655000:DWS655345 EGO655000:EGO655345 EQK655000:EQK655345 FAG655000:FAG655345 FKC655000:FKC655345 FTY655000:FTY655345 GDU655000:GDU655345 GNQ655000:GNQ655345 GXM655000:GXM655345 HHI655000:HHI655345 HRE655000:HRE655345 IBA655000:IBA655345 IKW655000:IKW655345 IUS655000:IUS655345 JEO655000:JEO655345 JOK655000:JOK655345 JYG655000:JYG655345 KIC655000:KIC655345 KRY655000:KRY655345 LBU655000:LBU655345 LLQ655000:LLQ655345 LVM655000:LVM655345 MFI655000:MFI655345 MPE655000:MPE655345 MZA655000:MZA655345 NIW655000:NIW655345 NSS655000:NSS655345 OCO655000:OCO655345 OMK655000:OMK655345 OWG655000:OWG655345 PGC655000:PGC655345 PPY655000:PPY655345 PZU655000:PZU655345 QJQ655000:QJQ655345 QTM655000:QTM655345 RDI655000:RDI655345 RNE655000:RNE655345 RXA655000:RXA655345 SGW655000:SGW655345 SQS655000:SQS655345 TAO655000:TAO655345 TKK655000:TKK655345 TUG655000:TUG655345 UEC655000:UEC655345 UNY655000:UNY655345 UXU655000:UXU655345 VHQ655000:VHQ655345 VRM655000:VRM655345 WBI655000:WBI655345 WLE655000:WLE655345 WVA655000:WVA655345 K720536:K720881 IO720536:IO720881 SK720536:SK720881 ACG720536:ACG720881 AMC720536:AMC720881 AVY720536:AVY720881 BFU720536:BFU720881 BPQ720536:BPQ720881 BZM720536:BZM720881 CJI720536:CJI720881 CTE720536:CTE720881 DDA720536:DDA720881 DMW720536:DMW720881 DWS720536:DWS720881 EGO720536:EGO720881 EQK720536:EQK720881 FAG720536:FAG720881 FKC720536:FKC720881 FTY720536:FTY720881 GDU720536:GDU720881 GNQ720536:GNQ720881 GXM720536:GXM720881 HHI720536:HHI720881 HRE720536:HRE720881 IBA720536:IBA720881 IKW720536:IKW720881 IUS720536:IUS720881 JEO720536:JEO720881 JOK720536:JOK720881 JYG720536:JYG720881 KIC720536:KIC720881 KRY720536:KRY720881 LBU720536:LBU720881 LLQ720536:LLQ720881 LVM720536:LVM720881 MFI720536:MFI720881 MPE720536:MPE720881 MZA720536:MZA720881 NIW720536:NIW720881 NSS720536:NSS720881 OCO720536:OCO720881 OMK720536:OMK720881 OWG720536:OWG720881 PGC720536:PGC720881 PPY720536:PPY720881 PZU720536:PZU720881 QJQ720536:QJQ720881 QTM720536:QTM720881 RDI720536:RDI720881 RNE720536:RNE720881 RXA720536:RXA720881 SGW720536:SGW720881 SQS720536:SQS720881 TAO720536:TAO720881 TKK720536:TKK720881 TUG720536:TUG720881 UEC720536:UEC720881 UNY720536:UNY720881 UXU720536:UXU720881 VHQ720536:VHQ720881 VRM720536:VRM720881 WBI720536:WBI720881 WLE720536:WLE720881 WVA720536:WVA720881 K786072:K786417 IO786072:IO786417 SK786072:SK786417 ACG786072:ACG786417 AMC786072:AMC786417 AVY786072:AVY786417 BFU786072:BFU786417 BPQ786072:BPQ786417 BZM786072:BZM786417 CJI786072:CJI786417 CTE786072:CTE786417 DDA786072:DDA786417 DMW786072:DMW786417 DWS786072:DWS786417 EGO786072:EGO786417 EQK786072:EQK786417 FAG786072:FAG786417 FKC786072:FKC786417 FTY786072:FTY786417 GDU786072:GDU786417 GNQ786072:GNQ786417 GXM786072:GXM786417 HHI786072:HHI786417 HRE786072:HRE786417 IBA786072:IBA786417 IKW786072:IKW786417 IUS786072:IUS786417 JEO786072:JEO786417 JOK786072:JOK786417 JYG786072:JYG786417 KIC786072:KIC786417 KRY786072:KRY786417 LBU786072:LBU786417 LLQ786072:LLQ786417 LVM786072:LVM786417 MFI786072:MFI786417 MPE786072:MPE786417 MZA786072:MZA786417 NIW786072:NIW786417 NSS786072:NSS786417 OCO786072:OCO786417 OMK786072:OMK786417 OWG786072:OWG786417 PGC786072:PGC786417 PPY786072:PPY786417 PZU786072:PZU786417 QJQ786072:QJQ786417 QTM786072:QTM786417 RDI786072:RDI786417 RNE786072:RNE786417 RXA786072:RXA786417 SGW786072:SGW786417 SQS786072:SQS786417 TAO786072:TAO786417 TKK786072:TKK786417 TUG786072:TUG786417 UEC786072:UEC786417 UNY786072:UNY786417 UXU786072:UXU786417 VHQ786072:VHQ786417 VRM786072:VRM786417 WBI786072:WBI786417 WLE786072:WLE786417 WVA786072:WVA786417 K851608:K851953 IO851608:IO851953 SK851608:SK851953 ACG851608:ACG851953 AMC851608:AMC851953 AVY851608:AVY851953 BFU851608:BFU851953 BPQ851608:BPQ851953 BZM851608:BZM851953 CJI851608:CJI851953 CTE851608:CTE851953 DDA851608:DDA851953 DMW851608:DMW851953 DWS851608:DWS851953 EGO851608:EGO851953 EQK851608:EQK851953 FAG851608:FAG851953 FKC851608:FKC851953 FTY851608:FTY851953 GDU851608:GDU851953 GNQ851608:GNQ851953 GXM851608:GXM851953 HHI851608:HHI851953 HRE851608:HRE851953 IBA851608:IBA851953 IKW851608:IKW851953 IUS851608:IUS851953 JEO851608:JEO851953 JOK851608:JOK851953 JYG851608:JYG851953 KIC851608:KIC851953 KRY851608:KRY851953 LBU851608:LBU851953 LLQ851608:LLQ851953 LVM851608:LVM851953 MFI851608:MFI851953 MPE851608:MPE851953 MZA851608:MZA851953 NIW851608:NIW851953 NSS851608:NSS851953 OCO851608:OCO851953 OMK851608:OMK851953 OWG851608:OWG851953 PGC851608:PGC851953 PPY851608:PPY851953 PZU851608:PZU851953 QJQ851608:QJQ851953 QTM851608:QTM851953 RDI851608:RDI851953 RNE851608:RNE851953 RXA851608:RXA851953 SGW851608:SGW851953 SQS851608:SQS851953 TAO851608:TAO851953 TKK851608:TKK851953 TUG851608:TUG851953 UEC851608:UEC851953 UNY851608:UNY851953 UXU851608:UXU851953 VHQ851608:VHQ851953 VRM851608:VRM851953 WBI851608:WBI851953 WLE851608:WLE851953 WVA851608:WVA851953 K917144:K917489 IO917144:IO917489 SK917144:SK917489 ACG917144:ACG917489 AMC917144:AMC917489 AVY917144:AVY917489 BFU917144:BFU917489 BPQ917144:BPQ917489 BZM917144:BZM917489 CJI917144:CJI917489 CTE917144:CTE917489 DDA917144:DDA917489 DMW917144:DMW917489 DWS917144:DWS917489 EGO917144:EGO917489 EQK917144:EQK917489 FAG917144:FAG917489 FKC917144:FKC917489 FTY917144:FTY917489 GDU917144:GDU917489 GNQ917144:GNQ917489 GXM917144:GXM917489 HHI917144:HHI917489 HRE917144:HRE917489 IBA917144:IBA917489 IKW917144:IKW917489 IUS917144:IUS917489 JEO917144:JEO917489 JOK917144:JOK917489 JYG917144:JYG917489 KIC917144:KIC917489 KRY917144:KRY917489 LBU917144:LBU917489 LLQ917144:LLQ917489 LVM917144:LVM917489 MFI917144:MFI917489 MPE917144:MPE917489 MZA917144:MZA917489 NIW917144:NIW917489 NSS917144:NSS917489 OCO917144:OCO917489 OMK917144:OMK917489 OWG917144:OWG917489 PGC917144:PGC917489 PPY917144:PPY917489 PZU917144:PZU917489 QJQ917144:QJQ917489 QTM917144:QTM917489 RDI917144:RDI917489 RNE917144:RNE917489 RXA917144:RXA917489 SGW917144:SGW917489 SQS917144:SQS917489 TAO917144:TAO917489 TKK917144:TKK917489 TUG917144:TUG917489 UEC917144:UEC917489 UNY917144:UNY917489 UXU917144:UXU917489 VHQ917144:VHQ917489 VRM917144:VRM917489 WBI917144:WBI917489 WLE917144:WLE917489 WVA917144:WVA917489 K982680:K983025 IO982680:IO983025 SK982680:SK983025 ACG982680:ACG983025 AMC982680:AMC983025 AVY982680:AVY983025 BFU982680:BFU983025 BPQ982680:BPQ983025 BZM982680:BZM983025 CJI982680:CJI983025 CTE982680:CTE983025 DDA982680:DDA983025 DMW982680:DMW983025 DWS982680:DWS983025 EGO982680:EGO983025 EQK982680:EQK983025 FAG982680:FAG983025 FKC982680:FKC983025 FTY982680:FTY983025 GDU982680:GDU983025 GNQ982680:GNQ983025 GXM982680:GXM983025 HHI982680:HHI983025 HRE982680:HRE983025 IBA982680:IBA983025 IKW982680:IKW983025 IUS982680:IUS983025 JEO982680:JEO983025 JOK982680:JOK983025 JYG982680:JYG983025 KIC982680:KIC983025 KRY982680:KRY983025 LBU982680:LBU983025 LLQ982680:LLQ983025 LVM982680:LVM983025 MFI982680:MFI983025 MPE982680:MPE983025 MZA982680:MZA983025 NIW982680:NIW983025 NSS982680:NSS983025 OCO982680:OCO983025 OMK982680:OMK983025 OWG982680:OWG983025 PGC982680:PGC983025 PPY982680:PPY983025 PZU982680:PZU983025 QJQ982680:QJQ983025 QTM982680:QTM983025 RDI982680:RDI983025 RNE982680:RNE983025 RXA982680:RXA983025 SGW982680:SGW983025 SQS982680:SQS983025 TAO982680:TAO983025 TKK982680:TKK983025 TUG982680:TUG983025 UEC982680:UEC983025 UNY982680:UNY983025 UXU982680:UXU983025 VHQ982680:VHQ983025 VRM982680:VRM983025 WBI982680:WBI983025 WLE982680:WLE983025 WVA982680:WVA983025 F65176:F65521 IJ65176:IJ65521 SF65176:SF65521 ACB65176:ACB65521 ALX65176:ALX65521 AVT65176:AVT65521 BFP65176:BFP65521 BPL65176:BPL65521 BZH65176:BZH65521 CJD65176:CJD65521 CSZ65176:CSZ65521 DCV65176:DCV65521 DMR65176:DMR65521 DWN65176:DWN65521 EGJ65176:EGJ65521 EQF65176:EQF65521 FAB65176:FAB65521 FJX65176:FJX65521 FTT65176:FTT65521 GDP65176:GDP65521 GNL65176:GNL65521 GXH65176:GXH65521 HHD65176:HHD65521 HQZ65176:HQZ65521 IAV65176:IAV65521 IKR65176:IKR65521 IUN65176:IUN65521 JEJ65176:JEJ65521 JOF65176:JOF65521 JYB65176:JYB65521 KHX65176:KHX65521 KRT65176:KRT65521 LBP65176:LBP65521 LLL65176:LLL65521 LVH65176:LVH65521 MFD65176:MFD65521 MOZ65176:MOZ65521 MYV65176:MYV65521 NIR65176:NIR65521 NSN65176:NSN65521 OCJ65176:OCJ65521 OMF65176:OMF65521 OWB65176:OWB65521 PFX65176:PFX65521 PPT65176:PPT65521 PZP65176:PZP65521 QJL65176:QJL65521 QTH65176:QTH65521 RDD65176:RDD65521 RMZ65176:RMZ65521 RWV65176:RWV65521 SGR65176:SGR65521 SQN65176:SQN65521 TAJ65176:TAJ65521 TKF65176:TKF65521 TUB65176:TUB65521 UDX65176:UDX65521 UNT65176:UNT65521 UXP65176:UXP65521 VHL65176:VHL65521 VRH65176:VRH65521 WBD65176:WBD65521 WKZ65176:WKZ65521 WUV65176:WUV65521 F130712:F131057 IJ130712:IJ131057 SF130712:SF131057 ACB130712:ACB131057 ALX130712:ALX131057 AVT130712:AVT131057 BFP130712:BFP131057 BPL130712:BPL131057 BZH130712:BZH131057 CJD130712:CJD131057 CSZ130712:CSZ131057 DCV130712:DCV131057 DMR130712:DMR131057 DWN130712:DWN131057 EGJ130712:EGJ131057 EQF130712:EQF131057 FAB130712:FAB131057 FJX130712:FJX131057 FTT130712:FTT131057 GDP130712:GDP131057 GNL130712:GNL131057 GXH130712:GXH131057 HHD130712:HHD131057 HQZ130712:HQZ131057 IAV130712:IAV131057 IKR130712:IKR131057 IUN130712:IUN131057 JEJ130712:JEJ131057 JOF130712:JOF131057 JYB130712:JYB131057 KHX130712:KHX131057 KRT130712:KRT131057 LBP130712:LBP131057 LLL130712:LLL131057 LVH130712:LVH131057 MFD130712:MFD131057 MOZ130712:MOZ131057 MYV130712:MYV131057 NIR130712:NIR131057 NSN130712:NSN131057 OCJ130712:OCJ131057 OMF130712:OMF131057 OWB130712:OWB131057 PFX130712:PFX131057 PPT130712:PPT131057 PZP130712:PZP131057 QJL130712:QJL131057 QTH130712:QTH131057 RDD130712:RDD131057 RMZ130712:RMZ131057 RWV130712:RWV131057 SGR130712:SGR131057 SQN130712:SQN131057 TAJ130712:TAJ131057 TKF130712:TKF131057 TUB130712:TUB131057 UDX130712:UDX131057 UNT130712:UNT131057 UXP130712:UXP131057 VHL130712:VHL131057 VRH130712:VRH131057 WBD130712:WBD131057 WKZ130712:WKZ131057 WUV130712:WUV131057 F196248:F196593 IJ196248:IJ196593 SF196248:SF196593 ACB196248:ACB196593 ALX196248:ALX196593 AVT196248:AVT196593 BFP196248:BFP196593 BPL196248:BPL196593 BZH196248:BZH196593 CJD196248:CJD196593 CSZ196248:CSZ196593 DCV196248:DCV196593 DMR196248:DMR196593 DWN196248:DWN196593 EGJ196248:EGJ196593 EQF196248:EQF196593 FAB196248:FAB196593 FJX196248:FJX196593 FTT196248:FTT196593 GDP196248:GDP196593 GNL196248:GNL196593 GXH196248:GXH196593 HHD196248:HHD196593 HQZ196248:HQZ196593 IAV196248:IAV196593 IKR196248:IKR196593 IUN196248:IUN196593 JEJ196248:JEJ196593 JOF196248:JOF196593 JYB196248:JYB196593 KHX196248:KHX196593 KRT196248:KRT196593 LBP196248:LBP196593 LLL196248:LLL196593 LVH196248:LVH196593 MFD196248:MFD196593 MOZ196248:MOZ196593 MYV196248:MYV196593 NIR196248:NIR196593 NSN196248:NSN196593 OCJ196248:OCJ196593 OMF196248:OMF196593 OWB196248:OWB196593 PFX196248:PFX196593 PPT196248:PPT196593 PZP196248:PZP196593 QJL196248:QJL196593 QTH196248:QTH196593 RDD196248:RDD196593 RMZ196248:RMZ196593 RWV196248:RWV196593 SGR196248:SGR196593 SQN196248:SQN196593 TAJ196248:TAJ196593 TKF196248:TKF196593 TUB196248:TUB196593 UDX196248:UDX196593 UNT196248:UNT196593 UXP196248:UXP196593 VHL196248:VHL196593 VRH196248:VRH196593 WBD196248:WBD196593 WKZ196248:WKZ196593 WUV196248:WUV196593 F261784:F262129 IJ261784:IJ262129 SF261784:SF262129 ACB261784:ACB262129 ALX261784:ALX262129 AVT261784:AVT262129 BFP261784:BFP262129 BPL261784:BPL262129 BZH261784:BZH262129 CJD261784:CJD262129 CSZ261784:CSZ262129 DCV261784:DCV262129 DMR261784:DMR262129 DWN261784:DWN262129 EGJ261784:EGJ262129 EQF261784:EQF262129 FAB261784:FAB262129 FJX261784:FJX262129 FTT261784:FTT262129 GDP261784:GDP262129 GNL261784:GNL262129 GXH261784:GXH262129 HHD261784:HHD262129 HQZ261784:HQZ262129 IAV261784:IAV262129 IKR261784:IKR262129 IUN261784:IUN262129 JEJ261784:JEJ262129 JOF261784:JOF262129 JYB261784:JYB262129 KHX261784:KHX262129 KRT261784:KRT262129 LBP261784:LBP262129 LLL261784:LLL262129 LVH261784:LVH262129 MFD261784:MFD262129 MOZ261784:MOZ262129 MYV261784:MYV262129 NIR261784:NIR262129 NSN261784:NSN262129 OCJ261784:OCJ262129 OMF261784:OMF262129 OWB261784:OWB262129 PFX261784:PFX262129 PPT261784:PPT262129 PZP261784:PZP262129 QJL261784:QJL262129 QTH261784:QTH262129 RDD261784:RDD262129 RMZ261784:RMZ262129 RWV261784:RWV262129 SGR261784:SGR262129 SQN261784:SQN262129 TAJ261784:TAJ262129 TKF261784:TKF262129 TUB261784:TUB262129 UDX261784:UDX262129 UNT261784:UNT262129 UXP261784:UXP262129 VHL261784:VHL262129 VRH261784:VRH262129 WBD261784:WBD262129 WKZ261784:WKZ262129 WUV261784:WUV262129 F327320:F327665 IJ327320:IJ327665 SF327320:SF327665 ACB327320:ACB327665 ALX327320:ALX327665 AVT327320:AVT327665 BFP327320:BFP327665 BPL327320:BPL327665 BZH327320:BZH327665 CJD327320:CJD327665 CSZ327320:CSZ327665 DCV327320:DCV327665 DMR327320:DMR327665 DWN327320:DWN327665 EGJ327320:EGJ327665 EQF327320:EQF327665 FAB327320:FAB327665 FJX327320:FJX327665 FTT327320:FTT327665 GDP327320:GDP327665 GNL327320:GNL327665 GXH327320:GXH327665 HHD327320:HHD327665 HQZ327320:HQZ327665 IAV327320:IAV327665 IKR327320:IKR327665 IUN327320:IUN327665 JEJ327320:JEJ327665 JOF327320:JOF327665 JYB327320:JYB327665 KHX327320:KHX327665 KRT327320:KRT327665 LBP327320:LBP327665 LLL327320:LLL327665 LVH327320:LVH327665 MFD327320:MFD327665 MOZ327320:MOZ327665 MYV327320:MYV327665 NIR327320:NIR327665 NSN327320:NSN327665 OCJ327320:OCJ327665 OMF327320:OMF327665 OWB327320:OWB327665 PFX327320:PFX327665 PPT327320:PPT327665 PZP327320:PZP327665 QJL327320:QJL327665 QTH327320:QTH327665 RDD327320:RDD327665 RMZ327320:RMZ327665 RWV327320:RWV327665 SGR327320:SGR327665 SQN327320:SQN327665 TAJ327320:TAJ327665 TKF327320:TKF327665 TUB327320:TUB327665 UDX327320:UDX327665 UNT327320:UNT327665 UXP327320:UXP327665 VHL327320:VHL327665 VRH327320:VRH327665 WBD327320:WBD327665 WKZ327320:WKZ327665 WUV327320:WUV327665 F392856:F393201 IJ392856:IJ393201 SF392856:SF393201 ACB392856:ACB393201 ALX392856:ALX393201 AVT392856:AVT393201 BFP392856:BFP393201 BPL392856:BPL393201 BZH392856:BZH393201 CJD392856:CJD393201 CSZ392856:CSZ393201 DCV392856:DCV393201 DMR392856:DMR393201 DWN392856:DWN393201 EGJ392856:EGJ393201 EQF392856:EQF393201 FAB392856:FAB393201 FJX392856:FJX393201 FTT392856:FTT393201 GDP392856:GDP393201 GNL392856:GNL393201 GXH392856:GXH393201 HHD392856:HHD393201 HQZ392856:HQZ393201 IAV392856:IAV393201 IKR392856:IKR393201 IUN392856:IUN393201 JEJ392856:JEJ393201 JOF392856:JOF393201 JYB392856:JYB393201 KHX392856:KHX393201 KRT392856:KRT393201 LBP392856:LBP393201 LLL392856:LLL393201 LVH392856:LVH393201 MFD392856:MFD393201 MOZ392856:MOZ393201 MYV392856:MYV393201 NIR392856:NIR393201 NSN392856:NSN393201 OCJ392856:OCJ393201 OMF392856:OMF393201 OWB392856:OWB393201 PFX392856:PFX393201 PPT392856:PPT393201 PZP392856:PZP393201 QJL392856:QJL393201 QTH392856:QTH393201 RDD392856:RDD393201 RMZ392856:RMZ393201 RWV392856:RWV393201 SGR392856:SGR393201 SQN392856:SQN393201 TAJ392856:TAJ393201 TKF392856:TKF393201 TUB392856:TUB393201 UDX392856:UDX393201 UNT392856:UNT393201 UXP392856:UXP393201 VHL392856:VHL393201 VRH392856:VRH393201 WBD392856:WBD393201 WKZ392856:WKZ393201 WUV392856:WUV393201 F458392:F458737 IJ458392:IJ458737 SF458392:SF458737 ACB458392:ACB458737 ALX458392:ALX458737 AVT458392:AVT458737 BFP458392:BFP458737 BPL458392:BPL458737 BZH458392:BZH458737 CJD458392:CJD458737 CSZ458392:CSZ458737 DCV458392:DCV458737 DMR458392:DMR458737 DWN458392:DWN458737 EGJ458392:EGJ458737 EQF458392:EQF458737 FAB458392:FAB458737 FJX458392:FJX458737 FTT458392:FTT458737 GDP458392:GDP458737 GNL458392:GNL458737 GXH458392:GXH458737 HHD458392:HHD458737 HQZ458392:HQZ458737 IAV458392:IAV458737 IKR458392:IKR458737 IUN458392:IUN458737 JEJ458392:JEJ458737 JOF458392:JOF458737 JYB458392:JYB458737 KHX458392:KHX458737 KRT458392:KRT458737 LBP458392:LBP458737 LLL458392:LLL458737 LVH458392:LVH458737 MFD458392:MFD458737 MOZ458392:MOZ458737 MYV458392:MYV458737 NIR458392:NIR458737 NSN458392:NSN458737 OCJ458392:OCJ458737 OMF458392:OMF458737 OWB458392:OWB458737 PFX458392:PFX458737 PPT458392:PPT458737 PZP458392:PZP458737 QJL458392:QJL458737 QTH458392:QTH458737 RDD458392:RDD458737 RMZ458392:RMZ458737 RWV458392:RWV458737 SGR458392:SGR458737 SQN458392:SQN458737 TAJ458392:TAJ458737 TKF458392:TKF458737 TUB458392:TUB458737 UDX458392:UDX458737 UNT458392:UNT458737 UXP458392:UXP458737 VHL458392:VHL458737 VRH458392:VRH458737 WBD458392:WBD458737 WKZ458392:WKZ458737 WUV458392:WUV458737 F523928:F524273 IJ523928:IJ524273 SF523928:SF524273 ACB523928:ACB524273 ALX523928:ALX524273 AVT523928:AVT524273 BFP523928:BFP524273 BPL523928:BPL524273 BZH523928:BZH524273 CJD523928:CJD524273 CSZ523928:CSZ524273 DCV523928:DCV524273 DMR523928:DMR524273 DWN523928:DWN524273 EGJ523928:EGJ524273 EQF523928:EQF524273 FAB523928:FAB524273 FJX523928:FJX524273 FTT523928:FTT524273 GDP523928:GDP524273 GNL523928:GNL524273 GXH523928:GXH524273 HHD523928:HHD524273 HQZ523928:HQZ524273 IAV523928:IAV524273 IKR523928:IKR524273 IUN523928:IUN524273 JEJ523928:JEJ524273 JOF523928:JOF524273 JYB523928:JYB524273 KHX523928:KHX524273 KRT523928:KRT524273 LBP523928:LBP524273 LLL523928:LLL524273 LVH523928:LVH524273 MFD523928:MFD524273 MOZ523928:MOZ524273 MYV523928:MYV524273 NIR523928:NIR524273 NSN523928:NSN524273 OCJ523928:OCJ524273 OMF523928:OMF524273 OWB523928:OWB524273 PFX523928:PFX524273 PPT523928:PPT524273 PZP523928:PZP524273 QJL523928:QJL524273 QTH523928:QTH524273 RDD523928:RDD524273 RMZ523928:RMZ524273 RWV523928:RWV524273 SGR523928:SGR524273 SQN523928:SQN524273 TAJ523928:TAJ524273 TKF523928:TKF524273 TUB523928:TUB524273 UDX523928:UDX524273 UNT523928:UNT524273 UXP523928:UXP524273 VHL523928:VHL524273 VRH523928:VRH524273 WBD523928:WBD524273 WKZ523928:WKZ524273 WUV523928:WUV524273 F589464:F589809 IJ589464:IJ589809 SF589464:SF589809 ACB589464:ACB589809 ALX589464:ALX589809 AVT589464:AVT589809 BFP589464:BFP589809 BPL589464:BPL589809 BZH589464:BZH589809 CJD589464:CJD589809 CSZ589464:CSZ589809 DCV589464:DCV589809 DMR589464:DMR589809 DWN589464:DWN589809 EGJ589464:EGJ589809 EQF589464:EQF589809 FAB589464:FAB589809 FJX589464:FJX589809 FTT589464:FTT589809 GDP589464:GDP589809 GNL589464:GNL589809 GXH589464:GXH589809 HHD589464:HHD589809 HQZ589464:HQZ589809 IAV589464:IAV589809 IKR589464:IKR589809 IUN589464:IUN589809 JEJ589464:JEJ589809 JOF589464:JOF589809 JYB589464:JYB589809 KHX589464:KHX589809 KRT589464:KRT589809 LBP589464:LBP589809 LLL589464:LLL589809 LVH589464:LVH589809 MFD589464:MFD589809 MOZ589464:MOZ589809 MYV589464:MYV589809 NIR589464:NIR589809 NSN589464:NSN589809 OCJ589464:OCJ589809 OMF589464:OMF589809 OWB589464:OWB589809 PFX589464:PFX589809 PPT589464:PPT589809 PZP589464:PZP589809 QJL589464:QJL589809 QTH589464:QTH589809 RDD589464:RDD589809 RMZ589464:RMZ589809 RWV589464:RWV589809 SGR589464:SGR589809 SQN589464:SQN589809 TAJ589464:TAJ589809 TKF589464:TKF589809 TUB589464:TUB589809 UDX589464:UDX589809 UNT589464:UNT589809 UXP589464:UXP589809 VHL589464:VHL589809 VRH589464:VRH589809 WBD589464:WBD589809 WKZ589464:WKZ589809 WUV589464:WUV589809 F655000:F655345 IJ655000:IJ655345 SF655000:SF655345 ACB655000:ACB655345 ALX655000:ALX655345 AVT655000:AVT655345 BFP655000:BFP655345 BPL655000:BPL655345 BZH655000:BZH655345 CJD655000:CJD655345 CSZ655000:CSZ655345 DCV655000:DCV655345 DMR655000:DMR655345 DWN655000:DWN655345 EGJ655000:EGJ655345 EQF655000:EQF655345 FAB655000:FAB655345 FJX655000:FJX655345 FTT655000:FTT655345 GDP655000:GDP655345 GNL655000:GNL655345 GXH655000:GXH655345 HHD655000:HHD655345 HQZ655000:HQZ655345 IAV655000:IAV655345 IKR655000:IKR655345 IUN655000:IUN655345 JEJ655000:JEJ655345 JOF655000:JOF655345 JYB655000:JYB655345 KHX655000:KHX655345 KRT655000:KRT655345 LBP655000:LBP655345 LLL655000:LLL655345 LVH655000:LVH655345 MFD655000:MFD655345 MOZ655000:MOZ655345 MYV655000:MYV655345 NIR655000:NIR655345 NSN655000:NSN655345 OCJ655000:OCJ655345 OMF655000:OMF655345 OWB655000:OWB655345 PFX655000:PFX655345 PPT655000:PPT655345 PZP655000:PZP655345 QJL655000:QJL655345 QTH655000:QTH655345 RDD655000:RDD655345 RMZ655000:RMZ655345 RWV655000:RWV655345 SGR655000:SGR655345 SQN655000:SQN655345 TAJ655000:TAJ655345 TKF655000:TKF655345 TUB655000:TUB655345 UDX655000:UDX655345 UNT655000:UNT655345 UXP655000:UXP655345 VHL655000:VHL655345 VRH655000:VRH655345 WBD655000:WBD655345 WKZ655000:WKZ655345 WUV655000:WUV655345 F720536:F720881 IJ720536:IJ720881 SF720536:SF720881 ACB720536:ACB720881 ALX720536:ALX720881 AVT720536:AVT720881 BFP720536:BFP720881 BPL720536:BPL720881 BZH720536:BZH720881 CJD720536:CJD720881 CSZ720536:CSZ720881 DCV720536:DCV720881 DMR720536:DMR720881 DWN720536:DWN720881 EGJ720536:EGJ720881 EQF720536:EQF720881 FAB720536:FAB720881 FJX720536:FJX720881 FTT720536:FTT720881 GDP720536:GDP720881 GNL720536:GNL720881 GXH720536:GXH720881 HHD720536:HHD720881 HQZ720536:HQZ720881 IAV720536:IAV720881 IKR720536:IKR720881 IUN720536:IUN720881 JEJ720536:JEJ720881 JOF720536:JOF720881 JYB720536:JYB720881 KHX720536:KHX720881 KRT720536:KRT720881 LBP720536:LBP720881 LLL720536:LLL720881 LVH720536:LVH720881 MFD720536:MFD720881 MOZ720536:MOZ720881 MYV720536:MYV720881 NIR720536:NIR720881 NSN720536:NSN720881 OCJ720536:OCJ720881 OMF720536:OMF720881 OWB720536:OWB720881 PFX720536:PFX720881 PPT720536:PPT720881 PZP720536:PZP720881 QJL720536:QJL720881 QTH720536:QTH720881 RDD720536:RDD720881 RMZ720536:RMZ720881 RWV720536:RWV720881 SGR720536:SGR720881 SQN720536:SQN720881 TAJ720536:TAJ720881 TKF720536:TKF720881 TUB720536:TUB720881 UDX720536:UDX720881 UNT720536:UNT720881 UXP720536:UXP720881 VHL720536:VHL720881 VRH720536:VRH720881 WBD720536:WBD720881 WKZ720536:WKZ720881 WUV720536:WUV720881 F786072:F786417 IJ786072:IJ786417 SF786072:SF786417 ACB786072:ACB786417 ALX786072:ALX786417 AVT786072:AVT786417 BFP786072:BFP786417 BPL786072:BPL786417 BZH786072:BZH786417 CJD786072:CJD786417 CSZ786072:CSZ786417 DCV786072:DCV786417 DMR786072:DMR786417 DWN786072:DWN786417 EGJ786072:EGJ786417 EQF786072:EQF786417 FAB786072:FAB786417 FJX786072:FJX786417 FTT786072:FTT786417 GDP786072:GDP786417 GNL786072:GNL786417 GXH786072:GXH786417 HHD786072:HHD786417 HQZ786072:HQZ786417 IAV786072:IAV786417 IKR786072:IKR786417 IUN786072:IUN786417 JEJ786072:JEJ786417 JOF786072:JOF786417 JYB786072:JYB786417 KHX786072:KHX786417 KRT786072:KRT786417 LBP786072:LBP786417 LLL786072:LLL786417 LVH786072:LVH786417 MFD786072:MFD786417 MOZ786072:MOZ786417 MYV786072:MYV786417 NIR786072:NIR786417 NSN786072:NSN786417 OCJ786072:OCJ786417 OMF786072:OMF786417 OWB786072:OWB786417 PFX786072:PFX786417 PPT786072:PPT786417 PZP786072:PZP786417 QJL786072:QJL786417 QTH786072:QTH786417 RDD786072:RDD786417 RMZ786072:RMZ786417 RWV786072:RWV786417 SGR786072:SGR786417 SQN786072:SQN786417 TAJ786072:TAJ786417 TKF786072:TKF786417 TUB786072:TUB786417 UDX786072:UDX786417 UNT786072:UNT786417 UXP786072:UXP786417 VHL786072:VHL786417 VRH786072:VRH786417 WBD786072:WBD786417 WKZ786072:WKZ786417 WUV786072:WUV786417 F851608:F851953 IJ851608:IJ851953 SF851608:SF851953 ACB851608:ACB851953 ALX851608:ALX851953 AVT851608:AVT851953 BFP851608:BFP851953 BPL851608:BPL851953 BZH851608:BZH851953 CJD851608:CJD851953 CSZ851608:CSZ851953 DCV851608:DCV851953 DMR851608:DMR851953 DWN851608:DWN851953 EGJ851608:EGJ851953 EQF851608:EQF851953 FAB851608:FAB851953 FJX851608:FJX851953 FTT851608:FTT851953 GDP851608:GDP851953 GNL851608:GNL851953 GXH851608:GXH851953 HHD851608:HHD851953 HQZ851608:HQZ851953 IAV851608:IAV851953 IKR851608:IKR851953 IUN851608:IUN851953 JEJ851608:JEJ851953 JOF851608:JOF851953 JYB851608:JYB851953 KHX851608:KHX851953 KRT851608:KRT851953 LBP851608:LBP851953 LLL851608:LLL851953 LVH851608:LVH851953 MFD851608:MFD851953 MOZ851608:MOZ851953 MYV851608:MYV851953 NIR851608:NIR851953 NSN851608:NSN851953 OCJ851608:OCJ851953 OMF851608:OMF851953 OWB851608:OWB851953 PFX851608:PFX851953 PPT851608:PPT851953 PZP851608:PZP851953 QJL851608:QJL851953 QTH851608:QTH851953 RDD851608:RDD851953 RMZ851608:RMZ851953 RWV851608:RWV851953 SGR851608:SGR851953 SQN851608:SQN851953 TAJ851608:TAJ851953 TKF851608:TKF851953 TUB851608:TUB851953 UDX851608:UDX851953 UNT851608:UNT851953 UXP851608:UXP851953 VHL851608:VHL851953 VRH851608:VRH851953 WBD851608:WBD851953 WKZ851608:WKZ851953 WUV851608:WUV851953 F917144:F917489 IJ917144:IJ917489 SF917144:SF917489 ACB917144:ACB917489 ALX917144:ALX917489 AVT917144:AVT917489 BFP917144:BFP917489 BPL917144:BPL917489 BZH917144:BZH917489 CJD917144:CJD917489 CSZ917144:CSZ917489 DCV917144:DCV917489 DMR917144:DMR917489 DWN917144:DWN917489 EGJ917144:EGJ917489 EQF917144:EQF917489 FAB917144:FAB917489 FJX917144:FJX917489 FTT917144:FTT917489 GDP917144:GDP917489 GNL917144:GNL917489 GXH917144:GXH917489 HHD917144:HHD917489 HQZ917144:HQZ917489 IAV917144:IAV917489 IKR917144:IKR917489 IUN917144:IUN917489 JEJ917144:JEJ917489 JOF917144:JOF917489 JYB917144:JYB917489 KHX917144:KHX917489 KRT917144:KRT917489 LBP917144:LBP917489 LLL917144:LLL917489 LVH917144:LVH917489 MFD917144:MFD917489 MOZ917144:MOZ917489 MYV917144:MYV917489 NIR917144:NIR917489 NSN917144:NSN917489 OCJ917144:OCJ917489 OMF917144:OMF917489 OWB917144:OWB917489 PFX917144:PFX917489 PPT917144:PPT917489 PZP917144:PZP917489 QJL917144:QJL917489 QTH917144:QTH917489 RDD917144:RDD917489 RMZ917144:RMZ917489 RWV917144:RWV917489 SGR917144:SGR917489 SQN917144:SQN917489 TAJ917144:TAJ917489 TKF917144:TKF917489 TUB917144:TUB917489 UDX917144:UDX917489 UNT917144:UNT917489 UXP917144:UXP917489 VHL917144:VHL917489 VRH917144:VRH917489 WBD917144:WBD917489 WKZ917144:WKZ917489 WUV917144:WUV917489 F982680:F983025 IJ982680:IJ983025 SF982680:SF983025 ACB982680:ACB983025 ALX982680:ALX983025 AVT982680:AVT983025 BFP982680:BFP983025 BPL982680:BPL983025 BZH982680:BZH983025 CJD982680:CJD983025 CSZ982680:CSZ983025 DCV982680:DCV983025 DMR982680:DMR983025 DWN982680:DWN983025 EGJ982680:EGJ983025 EQF982680:EQF983025 FAB982680:FAB983025 FJX982680:FJX983025 FTT982680:FTT983025 GDP982680:GDP983025 GNL982680:GNL983025 GXH982680:GXH983025 HHD982680:HHD983025 HQZ982680:HQZ983025 IAV982680:IAV983025 IKR982680:IKR983025 IUN982680:IUN983025 JEJ982680:JEJ983025 JOF982680:JOF983025 JYB982680:JYB983025 KHX982680:KHX983025 KRT982680:KRT983025 LBP982680:LBP983025 LLL982680:LLL983025 LVH982680:LVH983025 MFD982680:MFD983025 MOZ982680:MOZ983025 MYV982680:MYV983025 NIR982680:NIR983025 NSN982680:NSN983025 OCJ982680:OCJ983025 OMF982680:OMF983025 OWB982680:OWB983025 PFX982680:PFX983025 PPT982680:PPT983025 PZP982680:PZP983025 QJL982680:QJL983025 QTH982680:QTH983025 RDD982680:RDD983025 RMZ982680:RMZ983025 RWV982680:RWV983025 SGR982680:SGR983025 SQN982680:SQN983025 TAJ982680:TAJ983025 TKF982680:TKF983025 TUB982680:TUB983025 UDX982680:UDX983025 UNT982680:UNT983025 UXP982680:UXP983025 VHL982680:VHL983025 VRH982680:VRH983025 WBD982680:WBD983025 WKZ982680:WKZ983025 WUV982680:WUV983025" xr:uid="{00000000-0002-0000-0A00-000006000000}">
      <formula1>Currency_List</formula1>
    </dataValidation>
    <dataValidation type="list" allowBlank="1" showInputMessage="1" showErrorMessage="1" sqref="J65176:J65521 IN65176:IN65521 SJ65176:SJ65521 ACF65176:ACF65521 AMB65176:AMB65521 AVX65176:AVX65521 BFT65176:BFT65521 BPP65176:BPP65521 BZL65176:BZL65521 CJH65176:CJH65521 CTD65176:CTD65521 DCZ65176:DCZ65521 DMV65176:DMV65521 DWR65176:DWR65521 EGN65176:EGN65521 EQJ65176:EQJ65521 FAF65176:FAF65521 FKB65176:FKB65521 FTX65176:FTX65521 GDT65176:GDT65521 GNP65176:GNP65521 GXL65176:GXL65521 HHH65176:HHH65521 HRD65176:HRD65521 IAZ65176:IAZ65521 IKV65176:IKV65521 IUR65176:IUR65521 JEN65176:JEN65521 JOJ65176:JOJ65521 JYF65176:JYF65521 KIB65176:KIB65521 KRX65176:KRX65521 LBT65176:LBT65521 LLP65176:LLP65521 LVL65176:LVL65521 MFH65176:MFH65521 MPD65176:MPD65521 MYZ65176:MYZ65521 NIV65176:NIV65521 NSR65176:NSR65521 OCN65176:OCN65521 OMJ65176:OMJ65521 OWF65176:OWF65521 PGB65176:PGB65521 PPX65176:PPX65521 PZT65176:PZT65521 QJP65176:QJP65521 QTL65176:QTL65521 RDH65176:RDH65521 RND65176:RND65521 RWZ65176:RWZ65521 SGV65176:SGV65521 SQR65176:SQR65521 TAN65176:TAN65521 TKJ65176:TKJ65521 TUF65176:TUF65521 UEB65176:UEB65521 UNX65176:UNX65521 UXT65176:UXT65521 VHP65176:VHP65521 VRL65176:VRL65521 WBH65176:WBH65521 WLD65176:WLD65521 WUZ65176:WUZ65521 J130712:J131057 IN130712:IN131057 SJ130712:SJ131057 ACF130712:ACF131057 AMB130712:AMB131057 AVX130712:AVX131057 BFT130712:BFT131057 BPP130712:BPP131057 BZL130712:BZL131057 CJH130712:CJH131057 CTD130712:CTD131057 DCZ130712:DCZ131057 DMV130712:DMV131057 DWR130712:DWR131057 EGN130712:EGN131057 EQJ130712:EQJ131057 FAF130712:FAF131057 FKB130712:FKB131057 FTX130712:FTX131057 GDT130712:GDT131057 GNP130712:GNP131057 GXL130712:GXL131057 HHH130712:HHH131057 HRD130712:HRD131057 IAZ130712:IAZ131057 IKV130712:IKV131057 IUR130712:IUR131057 JEN130712:JEN131057 JOJ130712:JOJ131057 JYF130712:JYF131057 KIB130712:KIB131057 KRX130712:KRX131057 LBT130712:LBT131057 LLP130712:LLP131057 LVL130712:LVL131057 MFH130712:MFH131057 MPD130712:MPD131057 MYZ130712:MYZ131057 NIV130712:NIV131057 NSR130712:NSR131057 OCN130712:OCN131057 OMJ130712:OMJ131057 OWF130712:OWF131057 PGB130712:PGB131057 PPX130712:PPX131057 PZT130712:PZT131057 QJP130712:QJP131057 QTL130712:QTL131057 RDH130712:RDH131057 RND130712:RND131057 RWZ130712:RWZ131057 SGV130712:SGV131057 SQR130712:SQR131057 TAN130712:TAN131057 TKJ130712:TKJ131057 TUF130712:TUF131057 UEB130712:UEB131057 UNX130712:UNX131057 UXT130712:UXT131057 VHP130712:VHP131057 VRL130712:VRL131057 WBH130712:WBH131057 WLD130712:WLD131057 WUZ130712:WUZ131057 J196248:J196593 IN196248:IN196593 SJ196248:SJ196593 ACF196248:ACF196593 AMB196248:AMB196593 AVX196248:AVX196593 BFT196248:BFT196593 BPP196248:BPP196593 BZL196248:BZL196593 CJH196248:CJH196593 CTD196248:CTD196593 DCZ196248:DCZ196593 DMV196248:DMV196593 DWR196248:DWR196593 EGN196248:EGN196593 EQJ196248:EQJ196593 FAF196248:FAF196593 FKB196248:FKB196593 FTX196248:FTX196593 GDT196248:GDT196593 GNP196248:GNP196593 GXL196248:GXL196593 HHH196248:HHH196593 HRD196248:HRD196593 IAZ196248:IAZ196593 IKV196248:IKV196593 IUR196248:IUR196593 JEN196248:JEN196593 JOJ196248:JOJ196593 JYF196248:JYF196593 KIB196248:KIB196593 KRX196248:KRX196593 LBT196248:LBT196593 LLP196248:LLP196593 LVL196248:LVL196593 MFH196248:MFH196593 MPD196248:MPD196593 MYZ196248:MYZ196593 NIV196248:NIV196593 NSR196248:NSR196593 OCN196248:OCN196593 OMJ196248:OMJ196593 OWF196248:OWF196593 PGB196248:PGB196593 PPX196248:PPX196593 PZT196248:PZT196593 QJP196248:QJP196593 QTL196248:QTL196593 RDH196248:RDH196593 RND196248:RND196593 RWZ196248:RWZ196593 SGV196248:SGV196593 SQR196248:SQR196593 TAN196248:TAN196593 TKJ196248:TKJ196593 TUF196248:TUF196593 UEB196248:UEB196593 UNX196248:UNX196593 UXT196248:UXT196593 VHP196248:VHP196593 VRL196248:VRL196593 WBH196248:WBH196593 WLD196248:WLD196593 WUZ196248:WUZ196593 J261784:J262129 IN261784:IN262129 SJ261784:SJ262129 ACF261784:ACF262129 AMB261784:AMB262129 AVX261784:AVX262129 BFT261784:BFT262129 BPP261784:BPP262129 BZL261784:BZL262129 CJH261784:CJH262129 CTD261784:CTD262129 DCZ261784:DCZ262129 DMV261784:DMV262129 DWR261784:DWR262129 EGN261784:EGN262129 EQJ261784:EQJ262129 FAF261784:FAF262129 FKB261784:FKB262129 FTX261784:FTX262129 GDT261784:GDT262129 GNP261784:GNP262129 GXL261784:GXL262129 HHH261784:HHH262129 HRD261784:HRD262129 IAZ261784:IAZ262129 IKV261784:IKV262129 IUR261784:IUR262129 JEN261784:JEN262129 JOJ261784:JOJ262129 JYF261784:JYF262129 KIB261784:KIB262129 KRX261784:KRX262129 LBT261784:LBT262129 LLP261784:LLP262129 LVL261784:LVL262129 MFH261784:MFH262129 MPD261784:MPD262129 MYZ261784:MYZ262129 NIV261784:NIV262129 NSR261784:NSR262129 OCN261784:OCN262129 OMJ261784:OMJ262129 OWF261784:OWF262129 PGB261784:PGB262129 PPX261784:PPX262129 PZT261784:PZT262129 QJP261784:QJP262129 QTL261784:QTL262129 RDH261784:RDH262129 RND261784:RND262129 RWZ261784:RWZ262129 SGV261784:SGV262129 SQR261784:SQR262129 TAN261784:TAN262129 TKJ261784:TKJ262129 TUF261784:TUF262129 UEB261784:UEB262129 UNX261784:UNX262129 UXT261784:UXT262129 VHP261784:VHP262129 VRL261784:VRL262129 WBH261784:WBH262129 WLD261784:WLD262129 WUZ261784:WUZ262129 J327320:J327665 IN327320:IN327665 SJ327320:SJ327665 ACF327320:ACF327665 AMB327320:AMB327665 AVX327320:AVX327665 BFT327320:BFT327665 BPP327320:BPP327665 BZL327320:BZL327665 CJH327320:CJH327665 CTD327320:CTD327665 DCZ327320:DCZ327665 DMV327320:DMV327665 DWR327320:DWR327665 EGN327320:EGN327665 EQJ327320:EQJ327665 FAF327320:FAF327665 FKB327320:FKB327665 FTX327320:FTX327665 GDT327320:GDT327665 GNP327320:GNP327665 GXL327320:GXL327665 HHH327320:HHH327665 HRD327320:HRD327665 IAZ327320:IAZ327665 IKV327320:IKV327665 IUR327320:IUR327665 JEN327320:JEN327665 JOJ327320:JOJ327665 JYF327320:JYF327665 KIB327320:KIB327665 KRX327320:KRX327665 LBT327320:LBT327665 LLP327320:LLP327665 LVL327320:LVL327665 MFH327320:MFH327665 MPD327320:MPD327665 MYZ327320:MYZ327665 NIV327320:NIV327665 NSR327320:NSR327665 OCN327320:OCN327665 OMJ327320:OMJ327665 OWF327320:OWF327665 PGB327320:PGB327665 PPX327320:PPX327665 PZT327320:PZT327665 QJP327320:QJP327665 QTL327320:QTL327665 RDH327320:RDH327665 RND327320:RND327665 RWZ327320:RWZ327665 SGV327320:SGV327665 SQR327320:SQR327665 TAN327320:TAN327665 TKJ327320:TKJ327665 TUF327320:TUF327665 UEB327320:UEB327665 UNX327320:UNX327665 UXT327320:UXT327665 VHP327320:VHP327665 VRL327320:VRL327665 WBH327320:WBH327665 WLD327320:WLD327665 WUZ327320:WUZ327665 J392856:J393201 IN392856:IN393201 SJ392856:SJ393201 ACF392856:ACF393201 AMB392856:AMB393201 AVX392856:AVX393201 BFT392856:BFT393201 BPP392856:BPP393201 BZL392856:BZL393201 CJH392856:CJH393201 CTD392856:CTD393201 DCZ392856:DCZ393201 DMV392856:DMV393201 DWR392856:DWR393201 EGN392856:EGN393201 EQJ392856:EQJ393201 FAF392856:FAF393201 FKB392856:FKB393201 FTX392856:FTX393201 GDT392856:GDT393201 GNP392856:GNP393201 GXL392856:GXL393201 HHH392856:HHH393201 HRD392856:HRD393201 IAZ392856:IAZ393201 IKV392856:IKV393201 IUR392856:IUR393201 JEN392856:JEN393201 JOJ392856:JOJ393201 JYF392856:JYF393201 KIB392856:KIB393201 KRX392856:KRX393201 LBT392856:LBT393201 LLP392856:LLP393201 LVL392856:LVL393201 MFH392856:MFH393201 MPD392856:MPD393201 MYZ392856:MYZ393201 NIV392856:NIV393201 NSR392856:NSR393201 OCN392856:OCN393201 OMJ392856:OMJ393201 OWF392856:OWF393201 PGB392856:PGB393201 PPX392856:PPX393201 PZT392856:PZT393201 QJP392856:QJP393201 QTL392856:QTL393201 RDH392856:RDH393201 RND392856:RND393201 RWZ392856:RWZ393201 SGV392856:SGV393201 SQR392856:SQR393201 TAN392856:TAN393201 TKJ392856:TKJ393201 TUF392856:TUF393201 UEB392856:UEB393201 UNX392856:UNX393201 UXT392856:UXT393201 VHP392856:VHP393201 VRL392856:VRL393201 WBH392856:WBH393201 WLD392856:WLD393201 WUZ392856:WUZ393201 J458392:J458737 IN458392:IN458737 SJ458392:SJ458737 ACF458392:ACF458737 AMB458392:AMB458737 AVX458392:AVX458737 BFT458392:BFT458737 BPP458392:BPP458737 BZL458392:BZL458737 CJH458392:CJH458737 CTD458392:CTD458737 DCZ458392:DCZ458737 DMV458392:DMV458737 DWR458392:DWR458737 EGN458392:EGN458737 EQJ458392:EQJ458737 FAF458392:FAF458737 FKB458392:FKB458737 FTX458392:FTX458737 GDT458392:GDT458737 GNP458392:GNP458737 GXL458392:GXL458737 HHH458392:HHH458737 HRD458392:HRD458737 IAZ458392:IAZ458737 IKV458392:IKV458737 IUR458392:IUR458737 JEN458392:JEN458737 JOJ458392:JOJ458737 JYF458392:JYF458737 KIB458392:KIB458737 KRX458392:KRX458737 LBT458392:LBT458737 LLP458392:LLP458737 LVL458392:LVL458737 MFH458392:MFH458737 MPD458392:MPD458737 MYZ458392:MYZ458737 NIV458392:NIV458737 NSR458392:NSR458737 OCN458392:OCN458737 OMJ458392:OMJ458737 OWF458392:OWF458737 PGB458392:PGB458737 PPX458392:PPX458737 PZT458392:PZT458737 QJP458392:QJP458737 QTL458392:QTL458737 RDH458392:RDH458737 RND458392:RND458737 RWZ458392:RWZ458737 SGV458392:SGV458737 SQR458392:SQR458737 TAN458392:TAN458737 TKJ458392:TKJ458737 TUF458392:TUF458737 UEB458392:UEB458737 UNX458392:UNX458737 UXT458392:UXT458737 VHP458392:VHP458737 VRL458392:VRL458737 WBH458392:WBH458737 WLD458392:WLD458737 WUZ458392:WUZ458737 J523928:J524273 IN523928:IN524273 SJ523928:SJ524273 ACF523928:ACF524273 AMB523928:AMB524273 AVX523928:AVX524273 BFT523928:BFT524273 BPP523928:BPP524273 BZL523928:BZL524273 CJH523928:CJH524273 CTD523928:CTD524273 DCZ523928:DCZ524273 DMV523928:DMV524273 DWR523928:DWR524273 EGN523928:EGN524273 EQJ523928:EQJ524273 FAF523928:FAF524273 FKB523928:FKB524273 FTX523928:FTX524273 GDT523928:GDT524273 GNP523928:GNP524273 GXL523928:GXL524273 HHH523928:HHH524273 HRD523928:HRD524273 IAZ523928:IAZ524273 IKV523928:IKV524273 IUR523928:IUR524273 JEN523928:JEN524273 JOJ523928:JOJ524273 JYF523928:JYF524273 KIB523928:KIB524273 KRX523928:KRX524273 LBT523928:LBT524273 LLP523928:LLP524273 LVL523928:LVL524273 MFH523928:MFH524273 MPD523928:MPD524273 MYZ523928:MYZ524273 NIV523928:NIV524273 NSR523928:NSR524273 OCN523928:OCN524273 OMJ523928:OMJ524273 OWF523928:OWF524273 PGB523928:PGB524273 PPX523928:PPX524273 PZT523928:PZT524273 QJP523928:QJP524273 QTL523928:QTL524273 RDH523928:RDH524273 RND523928:RND524273 RWZ523928:RWZ524273 SGV523928:SGV524273 SQR523928:SQR524273 TAN523928:TAN524273 TKJ523928:TKJ524273 TUF523928:TUF524273 UEB523928:UEB524273 UNX523928:UNX524273 UXT523928:UXT524273 VHP523928:VHP524273 VRL523928:VRL524273 WBH523928:WBH524273 WLD523928:WLD524273 WUZ523928:WUZ524273 J589464:J589809 IN589464:IN589809 SJ589464:SJ589809 ACF589464:ACF589809 AMB589464:AMB589809 AVX589464:AVX589809 BFT589464:BFT589809 BPP589464:BPP589809 BZL589464:BZL589809 CJH589464:CJH589809 CTD589464:CTD589809 DCZ589464:DCZ589809 DMV589464:DMV589809 DWR589464:DWR589809 EGN589464:EGN589809 EQJ589464:EQJ589809 FAF589464:FAF589809 FKB589464:FKB589809 FTX589464:FTX589809 GDT589464:GDT589809 GNP589464:GNP589809 GXL589464:GXL589809 HHH589464:HHH589809 HRD589464:HRD589809 IAZ589464:IAZ589809 IKV589464:IKV589809 IUR589464:IUR589809 JEN589464:JEN589809 JOJ589464:JOJ589809 JYF589464:JYF589809 KIB589464:KIB589809 KRX589464:KRX589809 LBT589464:LBT589809 LLP589464:LLP589809 LVL589464:LVL589809 MFH589464:MFH589809 MPD589464:MPD589809 MYZ589464:MYZ589809 NIV589464:NIV589809 NSR589464:NSR589809 OCN589464:OCN589809 OMJ589464:OMJ589809 OWF589464:OWF589809 PGB589464:PGB589809 PPX589464:PPX589809 PZT589464:PZT589809 QJP589464:QJP589809 QTL589464:QTL589809 RDH589464:RDH589809 RND589464:RND589809 RWZ589464:RWZ589809 SGV589464:SGV589809 SQR589464:SQR589809 TAN589464:TAN589809 TKJ589464:TKJ589809 TUF589464:TUF589809 UEB589464:UEB589809 UNX589464:UNX589809 UXT589464:UXT589809 VHP589464:VHP589809 VRL589464:VRL589809 WBH589464:WBH589809 WLD589464:WLD589809 WUZ589464:WUZ589809 J655000:J655345 IN655000:IN655345 SJ655000:SJ655345 ACF655000:ACF655345 AMB655000:AMB655345 AVX655000:AVX655345 BFT655000:BFT655345 BPP655000:BPP655345 BZL655000:BZL655345 CJH655000:CJH655345 CTD655000:CTD655345 DCZ655000:DCZ655345 DMV655000:DMV655345 DWR655000:DWR655345 EGN655000:EGN655345 EQJ655000:EQJ655345 FAF655000:FAF655345 FKB655000:FKB655345 FTX655000:FTX655345 GDT655000:GDT655345 GNP655000:GNP655345 GXL655000:GXL655345 HHH655000:HHH655345 HRD655000:HRD655345 IAZ655000:IAZ655345 IKV655000:IKV655345 IUR655000:IUR655345 JEN655000:JEN655345 JOJ655000:JOJ655345 JYF655000:JYF655345 KIB655000:KIB655345 KRX655000:KRX655345 LBT655000:LBT655345 LLP655000:LLP655345 LVL655000:LVL655345 MFH655000:MFH655345 MPD655000:MPD655345 MYZ655000:MYZ655345 NIV655000:NIV655345 NSR655000:NSR655345 OCN655000:OCN655345 OMJ655000:OMJ655345 OWF655000:OWF655345 PGB655000:PGB655345 PPX655000:PPX655345 PZT655000:PZT655345 QJP655000:QJP655345 QTL655000:QTL655345 RDH655000:RDH655345 RND655000:RND655345 RWZ655000:RWZ655345 SGV655000:SGV655345 SQR655000:SQR655345 TAN655000:TAN655345 TKJ655000:TKJ655345 TUF655000:TUF655345 UEB655000:UEB655345 UNX655000:UNX655345 UXT655000:UXT655345 VHP655000:VHP655345 VRL655000:VRL655345 WBH655000:WBH655345 WLD655000:WLD655345 WUZ655000:WUZ655345 J720536:J720881 IN720536:IN720881 SJ720536:SJ720881 ACF720536:ACF720881 AMB720536:AMB720881 AVX720536:AVX720881 BFT720536:BFT720881 BPP720536:BPP720881 BZL720536:BZL720881 CJH720536:CJH720881 CTD720536:CTD720881 DCZ720536:DCZ720881 DMV720536:DMV720881 DWR720536:DWR720881 EGN720536:EGN720881 EQJ720536:EQJ720881 FAF720536:FAF720881 FKB720536:FKB720881 FTX720536:FTX720881 GDT720536:GDT720881 GNP720536:GNP720881 GXL720536:GXL720881 HHH720536:HHH720881 HRD720536:HRD720881 IAZ720536:IAZ720881 IKV720536:IKV720881 IUR720536:IUR720881 JEN720536:JEN720881 JOJ720536:JOJ720881 JYF720536:JYF720881 KIB720536:KIB720881 KRX720536:KRX720881 LBT720536:LBT720881 LLP720536:LLP720881 LVL720536:LVL720881 MFH720536:MFH720881 MPD720536:MPD720881 MYZ720536:MYZ720881 NIV720536:NIV720881 NSR720536:NSR720881 OCN720536:OCN720881 OMJ720536:OMJ720881 OWF720536:OWF720881 PGB720536:PGB720881 PPX720536:PPX720881 PZT720536:PZT720881 QJP720536:QJP720881 QTL720536:QTL720881 RDH720536:RDH720881 RND720536:RND720881 RWZ720536:RWZ720881 SGV720536:SGV720881 SQR720536:SQR720881 TAN720536:TAN720881 TKJ720536:TKJ720881 TUF720536:TUF720881 UEB720536:UEB720881 UNX720536:UNX720881 UXT720536:UXT720881 VHP720536:VHP720881 VRL720536:VRL720881 WBH720536:WBH720881 WLD720536:WLD720881 WUZ720536:WUZ720881 J786072:J786417 IN786072:IN786417 SJ786072:SJ786417 ACF786072:ACF786417 AMB786072:AMB786417 AVX786072:AVX786417 BFT786072:BFT786417 BPP786072:BPP786417 BZL786072:BZL786417 CJH786072:CJH786417 CTD786072:CTD786417 DCZ786072:DCZ786417 DMV786072:DMV786417 DWR786072:DWR786417 EGN786072:EGN786417 EQJ786072:EQJ786417 FAF786072:FAF786417 FKB786072:FKB786417 FTX786072:FTX786417 GDT786072:GDT786417 GNP786072:GNP786417 GXL786072:GXL786417 HHH786072:HHH786417 HRD786072:HRD786417 IAZ786072:IAZ786417 IKV786072:IKV786417 IUR786072:IUR786417 JEN786072:JEN786417 JOJ786072:JOJ786417 JYF786072:JYF786417 KIB786072:KIB786417 KRX786072:KRX786417 LBT786072:LBT786417 LLP786072:LLP786417 LVL786072:LVL786417 MFH786072:MFH786417 MPD786072:MPD786417 MYZ786072:MYZ786417 NIV786072:NIV786417 NSR786072:NSR786417 OCN786072:OCN786417 OMJ786072:OMJ786417 OWF786072:OWF786417 PGB786072:PGB786417 PPX786072:PPX786417 PZT786072:PZT786417 QJP786072:QJP786417 QTL786072:QTL786417 RDH786072:RDH786417 RND786072:RND786417 RWZ786072:RWZ786417 SGV786072:SGV786417 SQR786072:SQR786417 TAN786072:TAN786417 TKJ786072:TKJ786417 TUF786072:TUF786417 UEB786072:UEB786417 UNX786072:UNX786417 UXT786072:UXT786417 VHP786072:VHP786417 VRL786072:VRL786417 WBH786072:WBH786417 WLD786072:WLD786417 WUZ786072:WUZ786417 J851608:J851953 IN851608:IN851953 SJ851608:SJ851953 ACF851608:ACF851953 AMB851608:AMB851953 AVX851608:AVX851953 BFT851608:BFT851953 BPP851608:BPP851953 BZL851608:BZL851953 CJH851608:CJH851953 CTD851608:CTD851953 DCZ851608:DCZ851953 DMV851608:DMV851953 DWR851608:DWR851953 EGN851608:EGN851953 EQJ851608:EQJ851953 FAF851608:FAF851953 FKB851608:FKB851953 FTX851608:FTX851953 GDT851608:GDT851953 GNP851608:GNP851953 GXL851608:GXL851953 HHH851608:HHH851953 HRD851608:HRD851953 IAZ851608:IAZ851953 IKV851608:IKV851953 IUR851608:IUR851953 JEN851608:JEN851953 JOJ851608:JOJ851953 JYF851608:JYF851953 KIB851608:KIB851953 KRX851608:KRX851953 LBT851608:LBT851953 LLP851608:LLP851953 LVL851608:LVL851953 MFH851608:MFH851953 MPD851608:MPD851953 MYZ851608:MYZ851953 NIV851608:NIV851953 NSR851608:NSR851953 OCN851608:OCN851953 OMJ851608:OMJ851953 OWF851608:OWF851953 PGB851608:PGB851953 PPX851608:PPX851953 PZT851608:PZT851953 QJP851608:QJP851953 QTL851608:QTL851953 RDH851608:RDH851953 RND851608:RND851953 RWZ851608:RWZ851953 SGV851608:SGV851953 SQR851608:SQR851953 TAN851608:TAN851953 TKJ851608:TKJ851953 TUF851608:TUF851953 UEB851608:UEB851953 UNX851608:UNX851953 UXT851608:UXT851953 VHP851608:VHP851953 VRL851608:VRL851953 WBH851608:WBH851953 WLD851608:WLD851953 WUZ851608:WUZ851953 J917144:J917489 IN917144:IN917489 SJ917144:SJ917489 ACF917144:ACF917489 AMB917144:AMB917489 AVX917144:AVX917489 BFT917144:BFT917489 BPP917144:BPP917489 BZL917144:BZL917489 CJH917144:CJH917489 CTD917144:CTD917489 DCZ917144:DCZ917489 DMV917144:DMV917489 DWR917144:DWR917489 EGN917144:EGN917489 EQJ917144:EQJ917489 FAF917144:FAF917489 FKB917144:FKB917489 FTX917144:FTX917489 GDT917144:GDT917489 GNP917144:GNP917489 GXL917144:GXL917489 HHH917144:HHH917489 HRD917144:HRD917489 IAZ917144:IAZ917489 IKV917144:IKV917489 IUR917144:IUR917489 JEN917144:JEN917489 JOJ917144:JOJ917489 JYF917144:JYF917489 KIB917144:KIB917489 KRX917144:KRX917489 LBT917144:LBT917489 LLP917144:LLP917489 LVL917144:LVL917489 MFH917144:MFH917489 MPD917144:MPD917489 MYZ917144:MYZ917489 NIV917144:NIV917489 NSR917144:NSR917489 OCN917144:OCN917489 OMJ917144:OMJ917489 OWF917144:OWF917489 PGB917144:PGB917489 PPX917144:PPX917489 PZT917144:PZT917489 QJP917144:QJP917489 QTL917144:QTL917489 RDH917144:RDH917489 RND917144:RND917489 RWZ917144:RWZ917489 SGV917144:SGV917489 SQR917144:SQR917489 TAN917144:TAN917489 TKJ917144:TKJ917489 TUF917144:TUF917489 UEB917144:UEB917489 UNX917144:UNX917489 UXT917144:UXT917489 VHP917144:VHP917489 VRL917144:VRL917489 WBH917144:WBH917489 WLD917144:WLD917489 WUZ917144:WUZ917489 J982680:J983025 IN982680:IN983025 SJ982680:SJ983025 ACF982680:ACF983025 AMB982680:AMB983025 AVX982680:AVX983025 BFT982680:BFT983025 BPP982680:BPP983025 BZL982680:BZL983025 CJH982680:CJH983025 CTD982680:CTD983025 DCZ982680:DCZ983025 DMV982680:DMV983025 DWR982680:DWR983025 EGN982680:EGN983025 EQJ982680:EQJ983025 FAF982680:FAF983025 FKB982680:FKB983025 FTX982680:FTX983025 GDT982680:GDT983025 GNP982680:GNP983025 GXL982680:GXL983025 HHH982680:HHH983025 HRD982680:HRD983025 IAZ982680:IAZ983025 IKV982680:IKV983025 IUR982680:IUR983025 JEN982680:JEN983025 JOJ982680:JOJ983025 JYF982680:JYF983025 KIB982680:KIB983025 KRX982680:KRX983025 LBT982680:LBT983025 LLP982680:LLP983025 LVL982680:LVL983025 MFH982680:MFH983025 MPD982680:MPD983025 MYZ982680:MYZ983025 NIV982680:NIV983025 NSR982680:NSR983025 OCN982680:OCN983025 OMJ982680:OMJ983025 OWF982680:OWF983025 PGB982680:PGB983025 PPX982680:PPX983025 PZT982680:PZT983025 QJP982680:QJP983025 QTL982680:QTL983025 RDH982680:RDH983025 RND982680:RND983025 RWZ982680:RWZ983025 SGV982680:SGV983025 SQR982680:SQR983025 TAN982680:TAN983025 TKJ982680:TKJ983025 TUF982680:TUF983025 UEB982680:UEB983025 UNX982680:UNX983025 UXT982680:UXT983025 VHP982680:VHP983025 VRL982680:VRL983025 WBH982680:WBH983025 WLD982680:WLD983025 WUZ982680:WUZ983025 O65176:O65521 IS65176:IS65521 SO65176:SO65521 ACK65176:ACK65521 AMG65176:AMG65521 AWC65176:AWC65521 BFY65176:BFY65521 BPU65176:BPU65521 BZQ65176:BZQ65521 CJM65176:CJM65521 CTI65176:CTI65521 DDE65176:DDE65521 DNA65176:DNA65521 DWW65176:DWW65521 EGS65176:EGS65521 EQO65176:EQO65521 FAK65176:FAK65521 FKG65176:FKG65521 FUC65176:FUC65521 GDY65176:GDY65521 GNU65176:GNU65521 GXQ65176:GXQ65521 HHM65176:HHM65521 HRI65176:HRI65521 IBE65176:IBE65521 ILA65176:ILA65521 IUW65176:IUW65521 JES65176:JES65521 JOO65176:JOO65521 JYK65176:JYK65521 KIG65176:KIG65521 KSC65176:KSC65521 LBY65176:LBY65521 LLU65176:LLU65521 LVQ65176:LVQ65521 MFM65176:MFM65521 MPI65176:MPI65521 MZE65176:MZE65521 NJA65176:NJA65521 NSW65176:NSW65521 OCS65176:OCS65521 OMO65176:OMO65521 OWK65176:OWK65521 PGG65176:PGG65521 PQC65176:PQC65521 PZY65176:PZY65521 QJU65176:QJU65521 QTQ65176:QTQ65521 RDM65176:RDM65521 RNI65176:RNI65521 RXE65176:RXE65521 SHA65176:SHA65521 SQW65176:SQW65521 TAS65176:TAS65521 TKO65176:TKO65521 TUK65176:TUK65521 UEG65176:UEG65521 UOC65176:UOC65521 UXY65176:UXY65521 VHU65176:VHU65521 VRQ65176:VRQ65521 WBM65176:WBM65521 WLI65176:WLI65521 WVE65176:WVE65521 O130712:O131057 IS130712:IS131057 SO130712:SO131057 ACK130712:ACK131057 AMG130712:AMG131057 AWC130712:AWC131057 BFY130712:BFY131057 BPU130712:BPU131057 BZQ130712:BZQ131057 CJM130712:CJM131057 CTI130712:CTI131057 DDE130712:DDE131057 DNA130712:DNA131057 DWW130712:DWW131057 EGS130712:EGS131057 EQO130712:EQO131057 FAK130712:FAK131057 FKG130712:FKG131057 FUC130712:FUC131057 GDY130712:GDY131057 GNU130712:GNU131057 GXQ130712:GXQ131057 HHM130712:HHM131057 HRI130712:HRI131057 IBE130712:IBE131057 ILA130712:ILA131057 IUW130712:IUW131057 JES130712:JES131057 JOO130712:JOO131057 JYK130712:JYK131057 KIG130712:KIG131057 KSC130712:KSC131057 LBY130712:LBY131057 LLU130712:LLU131057 LVQ130712:LVQ131057 MFM130712:MFM131057 MPI130712:MPI131057 MZE130712:MZE131057 NJA130712:NJA131057 NSW130712:NSW131057 OCS130712:OCS131057 OMO130712:OMO131057 OWK130712:OWK131057 PGG130712:PGG131057 PQC130712:PQC131057 PZY130712:PZY131057 QJU130712:QJU131057 QTQ130712:QTQ131057 RDM130712:RDM131057 RNI130712:RNI131057 RXE130712:RXE131057 SHA130712:SHA131057 SQW130712:SQW131057 TAS130712:TAS131057 TKO130712:TKO131057 TUK130712:TUK131057 UEG130712:UEG131057 UOC130712:UOC131057 UXY130712:UXY131057 VHU130712:VHU131057 VRQ130712:VRQ131057 WBM130712:WBM131057 WLI130712:WLI131057 WVE130712:WVE131057 O196248:O196593 IS196248:IS196593 SO196248:SO196593 ACK196248:ACK196593 AMG196248:AMG196593 AWC196248:AWC196593 BFY196248:BFY196593 BPU196248:BPU196593 BZQ196248:BZQ196593 CJM196248:CJM196593 CTI196248:CTI196593 DDE196248:DDE196593 DNA196248:DNA196593 DWW196248:DWW196593 EGS196248:EGS196593 EQO196248:EQO196593 FAK196248:FAK196593 FKG196248:FKG196593 FUC196248:FUC196593 GDY196248:GDY196593 GNU196248:GNU196593 GXQ196248:GXQ196593 HHM196248:HHM196593 HRI196248:HRI196593 IBE196248:IBE196593 ILA196248:ILA196593 IUW196248:IUW196593 JES196248:JES196593 JOO196248:JOO196593 JYK196248:JYK196593 KIG196248:KIG196593 KSC196248:KSC196593 LBY196248:LBY196593 LLU196248:LLU196593 LVQ196248:LVQ196593 MFM196248:MFM196593 MPI196248:MPI196593 MZE196248:MZE196593 NJA196248:NJA196593 NSW196248:NSW196593 OCS196248:OCS196593 OMO196248:OMO196593 OWK196248:OWK196593 PGG196248:PGG196593 PQC196248:PQC196593 PZY196248:PZY196593 QJU196248:QJU196593 QTQ196248:QTQ196593 RDM196248:RDM196593 RNI196248:RNI196593 RXE196248:RXE196593 SHA196248:SHA196593 SQW196248:SQW196593 TAS196248:TAS196593 TKO196248:TKO196593 TUK196248:TUK196593 UEG196248:UEG196593 UOC196248:UOC196593 UXY196248:UXY196593 VHU196248:VHU196593 VRQ196248:VRQ196593 WBM196248:WBM196593 WLI196248:WLI196593 WVE196248:WVE196593 O261784:O262129 IS261784:IS262129 SO261784:SO262129 ACK261784:ACK262129 AMG261784:AMG262129 AWC261784:AWC262129 BFY261784:BFY262129 BPU261784:BPU262129 BZQ261784:BZQ262129 CJM261784:CJM262129 CTI261784:CTI262129 DDE261784:DDE262129 DNA261784:DNA262129 DWW261784:DWW262129 EGS261784:EGS262129 EQO261784:EQO262129 FAK261784:FAK262129 FKG261784:FKG262129 FUC261784:FUC262129 GDY261784:GDY262129 GNU261784:GNU262129 GXQ261784:GXQ262129 HHM261784:HHM262129 HRI261784:HRI262129 IBE261784:IBE262129 ILA261784:ILA262129 IUW261784:IUW262129 JES261784:JES262129 JOO261784:JOO262129 JYK261784:JYK262129 KIG261784:KIG262129 KSC261784:KSC262129 LBY261784:LBY262129 LLU261784:LLU262129 LVQ261784:LVQ262129 MFM261784:MFM262129 MPI261784:MPI262129 MZE261784:MZE262129 NJA261784:NJA262129 NSW261784:NSW262129 OCS261784:OCS262129 OMO261784:OMO262129 OWK261784:OWK262129 PGG261784:PGG262129 PQC261784:PQC262129 PZY261784:PZY262129 QJU261784:QJU262129 QTQ261784:QTQ262129 RDM261784:RDM262129 RNI261784:RNI262129 RXE261784:RXE262129 SHA261784:SHA262129 SQW261784:SQW262129 TAS261784:TAS262129 TKO261784:TKO262129 TUK261784:TUK262129 UEG261784:UEG262129 UOC261784:UOC262129 UXY261784:UXY262129 VHU261784:VHU262129 VRQ261784:VRQ262129 WBM261784:WBM262129 WLI261784:WLI262129 WVE261784:WVE262129 O327320:O327665 IS327320:IS327665 SO327320:SO327665 ACK327320:ACK327665 AMG327320:AMG327665 AWC327320:AWC327665 BFY327320:BFY327665 BPU327320:BPU327665 BZQ327320:BZQ327665 CJM327320:CJM327665 CTI327320:CTI327665 DDE327320:DDE327665 DNA327320:DNA327665 DWW327320:DWW327665 EGS327320:EGS327665 EQO327320:EQO327665 FAK327320:FAK327665 FKG327320:FKG327665 FUC327320:FUC327665 GDY327320:GDY327665 GNU327320:GNU327665 GXQ327320:GXQ327665 HHM327320:HHM327665 HRI327320:HRI327665 IBE327320:IBE327665 ILA327320:ILA327665 IUW327320:IUW327665 JES327320:JES327665 JOO327320:JOO327665 JYK327320:JYK327665 KIG327320:KIG327665 KSC327320:KSC327665 LBY327320:LBY327665 LLU327320:LLU327665 LVQ327320:LVQ327665 MFM327320:MFM327665 MPI327320:MPI327665 MZE327320:MZE327665 NJA327320:NJA327665 NSW327320:NSW327665 OCS327320:OCS327665 OMO327320:OMO327665 OWK327320:OWK327665 PGG327320:PGG327665 PQC327320:PQC327665 PZY327320:PZY327665 QJU327320:QJU327665 QTQ327320:QTQ327665 RDM327320:RDM327665 RNI327320:RNI327665 RXE327320:RXE327665 SHA327320:SHA327665 SQW327320:SQW327665 TAS327320:TAS327665 TKO327320:TKO327665 TUK327320:TUK327665 UEG327320:UEG327665 UOC327320:UOC327665 UXY327320:UXY327665 VHU327320:VHU327665 VRQ327320:VRQ327665 WBM327320:WBM327665 WLI327320:WLI327665 WVE327320:WVE327665 O392856:O393201 IS392856:IS393201 SO392856:SO393201 ACK392856:ACK393201 AMG392856:AMG393201 AWC392856:AWC393201 BFY392856:BFY393201 BPU392856:BPU393201 BZQ392856:BZQ393201 CJM392856:CJM393201 CTI392856:CTI393201 DDE392856:DDE393201 DNA392856:DNA393201 DWW392856:DWW393201 EGS392856:EGS393201 EQO392856:EQO393201 FAK392856:FAK393201 FKG392856:FKG393201 FUC392856:FUC393201 GDY392856:GDY393201 GNU392856:GNU393201 GXQ392856:GXQ393201 HHM392856:HHM393201 HRI392856:HRI393201 IBE392856:IBE393201 ILA392856:ILA393201 IUW392856:IUW393201 JES392856:JES393201 JOO392856:JOO393201 JYK392856:JYK393201 KIG392856:KIG393201 KSC392856:KSC393201 LBY392856:LBY393201 LLU392856:LLU393201 LVQ392856:LVQ393201 MFM392856:MFM393201 MPI392856:MPI393201 MZE392856:MZE393201 NJA392856:NJA393201 NSW392856:NSW393201 OCS392856:OCS393201 OMO392856:OMO393201 OWK392856:OWK393201 PGG392856:PGG393201 PQC392856:PQC393201 PZY392856:PZY393201 QJU392856:QJU393201 QTQ392856:QTQ393201 RDM392856:RDM393201 RNI392856:RNI393201 RXE392856:RXE393201 SHA392856:SHA393201 SQW392856:SQW393201 TAS392856:TAS393201 TKO392856:TKO393201 TUK392856:TUK393201 UEG392856:UEG393201 UOC392856:UOC393201 UXY392856:UXY393201 VHU392856:VHU393201 VRQ392856:VRQ393201 WBM392856:WBM393201 WLI392856:WLI393201 WVE392856:WVE393201 O458392:O458737 IS458392:IS458737 SO458392:SO458737 ACK458392:ACK458737 AMG458392:AMG458737 AWC458392:AWC458737 BFY458392:BFY458737 BPU458392:BPU458737 BZQ458392:BZQ458737 CJM458392:CJM458737 CTI458392:CTI458737 DDE458392:DDE458737 DNA458392:DNA458737 DWW458392:DWW458737 EGS458392:EGS458737 EQO458392:EQO458737 FAK458392:FAK458737 FKG458392:FKG458737 FUC458392:FUC458737 GDY458392:GDY458737 GNU458392:GNU458737 GXQ458392:GXQ458737 HHM458392:HHM458737 HRI458392:HRI458737 IBE458392:IBE458737 ILA458392:ILA458737 IUW458392:IUW458737 JES458392:JES458737 JOO458392:JOO458737 JYK458392:JYK458737 KIG458392:KIG458737 KSC458392:KSC458737 LBY458392:LBY458737 LLU458392:LLU458737 LVQ458392:LVQ458737 MFM458392:MFM458737 MPI458392:MPI458737 MZE458392:MZE458737 NJA458392:NJA458737 NSW458392:NSW458737 OCS458392:OCS458737 OMO458392:OMO458737 OWK458392:OWK458737 PGG458392:PGG458737 PQC458392:PQC458737 PZY458392:PZY458737 QJU458392:QJU458737 QTQ458392:QTQ458737 RDM458392:RDM458737 RNI458392:RNI458737 RXE458392:RXE458737 SHA458392:SHA458737 SQW458392:SQW458737 TAS458392:TAS458737 TKO458392:TKO458737 TUK458392:TUK458737 UEG458392:UEG458737 UOC458392:UOC458737 UXY458392:UXY458737 VHU458392:VHU458737 VRQ458392:VRQ458737 WBM458392:WBM458737 WLI458392:WLI458737 WVE458392:WVE458737 O523928:O524273 IS523928:IS524273 SO523928:SO524273 ACK523928:ACK524273 AMG523928:AMG524273 AWC523928:AWC524273 BFY523928:BFY524273 BPU523928:BPU524273 BZQ523928:BZQ524273 CJM523928:CJM524273 CTI523928:CTI524273 DDE523928:DDE524273 DNA523928:DNA524273 DWW523928:DWW524273 EGS523928:EGS524273 EQO523928:EQO524273 FAK523928:FAK524273 FKG523928:FKG524273 FUC523928:FUC524273 GDY523928:GDY524273 GNU523928:GNU524273 GXQ523928:GXQ524273 HHM523928:HHM524273 HRI523928:HRI524273 IBE523928:IBE524273 ILA523928:ILA524273 IUW523928:IUW524273 JES523928:JES524273 JOO523928:JOO524273 JYK523928:JYK524273 KIG523928:KIG524273 KSC523928:KSC524273 LBY523928:LBY524273 LLU523928:LLU524273 LVQ523928:LVQ524273 MFM523928:MFM524273 MPI523928:MPI524273 MZE523928:MZE524273 NJA523928:NJA524273 NSW523928:NSW524273 OCS523928:OCS524273 OMO523928:OMO524273 OWK523928:OWK524273 PGG523928:PGG524273 PQC523928:PQC524273 PZY523928:PZY524273 QJU523928:QJU524273 QTQ523928:QTQ524273 RDM523928:RDM524273 RNI523928:RNI524273 RXE523928:RXE524273 SHA523928:SHA524273 SQW523928:SQW524273 TAS523928:TAS524273 TKO523928:TKO524273 TUK523928:TUK524273 UEG523928:UEG524273 UOC523928:UOC524273 UXY523928:UXY524273 VHU523928:VHU524273 VRQ523928:VRQ524273 WBM523928:WBM524273 WLI523928:WLI524273 WVE523928:WVE524273 O589464:O589809 IS589464:IS589809 SO589464:SO589809 ACK589464:ACK589809 AMG589464:AMG589809 AWC589464:AWC589809 BFY589464:BFY589809 BPU589464:BPU589809 BZQ589464:BZQ589809 CJM589464:CJM589809 CTI589464:CTI589809 DDE589464:DDE589809 DNA589464:DNA589809 DWW589464:DWW589809 EGS589464:EGS589809 EQO589464:EQO589809 FAK589464:FAK589809 FKG589464:FKG589809 FUC589464:FUC589809 GDY589464:GDY589809 GNU589464:GNU589809 GXQ589464:GXQ589809 HHM589464:HHM589809 HRI589464:HRI589809 IBE589464:IBE589809 ILA589464:ILA589809 IUW589464:IUW589809 JES589464:JES589809 JOO589464:JOO589809 JYK589464:JYK589809 KIG589464:KIG589809 KSC589464:KSC589809 LBY589464:LBY589809 LLU589464:LLU589809 LVQ589464:LVQ589809 MFM589464:MFM589809 MPI589464:MPI589809 MZE589464:MZE589809 NJA589464:NJA589809 NSW589464:NSW589809 OCS589464:OCS589809 OMO589464:OMO589809 OWK589464:OWK589809 PGG589464:PGG589809 PQC589464:PQC589809 PZY589464:PZY589809 QJU589464:QJU589809 QTQ589464:QTQ589809 RDM589464:RDM589809 RNI589464:RNI589809 RXE589464:RXE589809 SHA589464:SHA589809 SQW589464:SQW589809 TAS589464:TAS589809 TKO589464:TKO589809 TUK589464:TUK589809 UEG589464:UEG589809 UOC589464:UOC589809 UXY589464:UXY589809 VHU589464:VHU589809 VRQ589464:VRQ589809 WBM589464:WBM589809 WLI589464:WLI589809 WVE589464:WVE589809 O655000:O655345 IS655000:IS655345 SO655000:SO655345 ACK655000:ACK655345 AMG655000:AMG655345 AWC655000:AWC655345 BFY655000:BFY655345 BPU655000:BPU655345 BZQ655000:BZQ655345 CJM655000:CJM655345 CTI655000:CTI655345 DDE655000:DDE655345 DNA655000:DNA655345 DWW655000:DWW655345 EGS655000:EGS655345 EQO655000:EQO655345 FAK655000:FAK655345 FKG655000:FKG655345 FUC655000:FUC655345 GDY655000:GDY655345 GNU655000:GNU655345 GXQ655000:GXQ655345 HHM655000:HHM655345 HRI655000:HRI655345 IBE655000:IBE655345 ILA655000:ILA655345 IUW655000:IUW655345 JES655000:JES655345 JOO655000:JOO655345 JYK655000:JYK655345 KIG655000:KIG655345 KSC655000:KSC655345 LBY655000:LBY655345 LLU655000:LLU655345 LVQ655000:LVQ655345 MFM655000:MFM655345 MPI655000:MPI655345 MZE655000:MZE655345 NJA655000:NJA655345 NSW655000:NSW655345 OCS655000:OCS655345 OMO655000:OMO655345 OWK655000:OWK655345 PGG655000:PGG655345 PQC655000:PQC655345 PZY655000:PZY655345 QJU655000:QJU655345 QTQ655000:QTQ655345 RDM655000:RDM655345 RNI655000:RNI655345 RXE655000:RXE655345 SHA655000:SHA655345 SQW655000:SQW655345 TAS655000:TAS655345 TKO655000:TKO655345 TUK655000:TUK655345 UEG655000:UEG655345 UOC655000:UOC655345 UXY655000:UXY655345 VHU655000:VHU655345 VRQ655000:VRQ655345 WBM655000:WBM655345 WLI655000:WLI655345 WVE655000:WVE655345 O720536:O720881 IS720536:IS720881 SO720536:SO720881 ACK720536:ACK720881 AMG720536:AMG720881 AWC720536:AWC720881 BFY720536:BFY720881 BPU720536:BPU720881 BZQ720536:BZQ720881 CJM720536:CJM720881 CTI720536:CTI720881 DDE720536:DDE720881 DNA720536:DNA720881 DWW720536:DWW720881 EGS720536:EGS720881 EQO720536:EQO720881 FAK720536:FAK720881 FKG720536:FKG720881 FUC720536:FUC720881 GDY720536:GDY720881 GNU720536:GNU720881 GXQ720536:GXQ720881 HHM720536:HHM720881 HRI720536:HRI720881 IBE720536:IBE720881 ILA720536:ILA720881 IUW720536:IUW720881 JES720536:JES720881 JOO720536:JOO720881 JYK720536:JYK720881 KIG720536:KIG720881 KSC720536:KSC720881 LBY720536:LBY720881 LLU720536:LLU720881 LVQ720536:LVQ720881 MFM720536:MFM720881 MPI720536:MPI720881 MZE720536:MZE720881 NJA720536:NJA720881 NSW720536:NSW720881 OCS720536:OCS720881 OMO720536:OMO720881 OWK720536:OWK720881 PGG720536:PGG720881 PQC720536:PQC720881 PZY720536:PZY720881 QJU720536:QJU720881 QTQ720536:QTQ720881 RDM720536:RDM720881 RNI720536:RNI720881 RXE720536:RXE720881 SHA720536:SHA720881 SQW720536:SQW720881 TAS720536:TAS720881 TKO720536:TKO720881 TUK720536:TUK720881 UEG720536:UEG720881 UOC720536:UOC720881 UXY720536:UXY720881 VHU720536:VHU720881 VRQ720536:VRQ720881 WBM720536:WBM720881 WLI720536:WLI720881 WVE720536:WVE720881 O786072:O786417 IS786072:IS786417 SO786072:SO786417 ACK786072:ACK786417 AMG786072:AMG786417 AWC786072:AWC786417 BFY786072:BFY786417 BPU786072:BPU786417 BZQ786072:BZQ786417 CJM786072:CJM786417 CTI786072:CTI786417 DDE786072:DDE786417 DNA786072:DNA786417 DWW786072:DWW786417 EGS786072:EGS786417 EQO786072:EQO786417 FAK786072:FAK786417 FKG786072:FKG786417 FUC786072:FUC786417 GDY786072:GDY786417 GNU786072:GNU786417 GXQ786072:GXQ786417 HHM786072:HHM786417 HRI786072:HRI786417 IBE786072:IBE786417 ILA786072:ILA786417 IUW786072:IUW786417 JES786072:JES786417 JOO786072:JOO786417 JYK786072:JYK786417 KIG786072:KIG786417 KSC786072:KSC786417 LBY786072:LBY786417 LLU786072:LLU786417 LVQ786072:LVQ786417 MFM786072:MFM786417 MPI786072:MPI786417 MZE786072:MZE786417 NJA786072:NJA786417 NSW786072:NSW786417 OCS786072:OCS786417 OMO786072:OMO786417 OWK786072:OWK786417 PGG786072:PGG786417 PQC786072:PQC786417 PZY786072:PZY786417 QJU786072:QJU786417 QTQ786072:QTQ786417 RDM786072:RDM786417 RNI786072:RNI786417 RXE786072:RXE786417 SHA786072:SHA786417 SQW786072:SQW786417 TAS786072:TAS786417 TKO786072:TKO786417 TUK786072:TUK786417 UEG786072:UEG786417 UOC786072:UOC786417 UXY786072:UXY786417 VHU786072:VHU786417 VRQ786072:VRQ786417 WBM786072:WBM786417 WLI786072:WLI786417 WVE786072:WVE786417 O851608:O851953 IS851608:IS851953 SO851608:SO851953 ACK851608:ACK851953 AMG851608:AMG851953 AWC851608:AWC851953 BFY851608:BFY851953 BPU851608:BPU851953 BZQ851608:BZQ851953 CJM851608:CJM851953 CTI851608:CTI851953 DDE851608:DDE851953 DNA851608:DNA851953 DWW851608:DWW851953 EGS851608:EGS851953 EQO851608:EQO851953 FAK851608:FAK851953 FKG851608:FKG851953 FUC851608:FUC851953 GDY851608:GDY851953 GNU851608:GNU851953 GXQ851608:GXQ851953 HHM851608:HHM851953 HRI851608:HRI851953 IBE851608:IBE851953 ILA851608:ILA851953 IUW851608:IUW851953 JES851608:JES851953 JOO851608:JOO851953 JYK851608:JYK851953 KIG851608:KIG851953 KSC851608:KSC851953 LBY851608:LBY851953 LLU851608:LLU851953 LVQ851608:LVQ851953 MFM851608:MFM851953 MPI851608:MPI851953 MZE851608:MZE851953 NJA851608:NJA851953 NSW851608:NSW851953 OCS851608:OCS851953 OMO851608:OMO851953 OWK851608:OWK851953 PGG851608:PGG851953 PQC851608:PQC851953 PZY851608:PZY851953 QJU851608:QJU851953 QTQ851608:QTQ851953 RDM851608:RDM851953 RNI851608:RNI851953 RXE851608:RXE851953 SHA851608:SHA851953 SQW851608:SQW851953 TAS851608:TAS851953 TKO851608:TKO851953 TUK851608:TUK851953 UEG851608:UEG851953 UOC851608:UOC851953 UXY851608:UXY851953 VHU851608:VHU851953 VRQ851608:VRQ851953 WBM851608:WBM851953 WLI851608:WLI851953 WVE851608:WVE851953 O917144:O917489 IS917144:IS917489 SO917144:SO917489 ACK917144:ACK917489 AMG917144:AMG917489 AWC917144:AWC917489 BFY917144:BFY917489 BPU917144:BPU917489 BZQ917144:BZQ917489 CJM917144:CJM917489 CTI917144:CTI917489 DDE917144:DDE917489 DNA917144:DNA917489 DWW917144:DWW917489 EGS917144:EGS917489 EQO917144:EQO917489 FAK917144:FAK917489 FKG917144:FKG917489 FUC917144:FUC917489 GDY917144:GDY917489 GNU917144:GNU917489 GXQ917144:GXQ917489 HHM917144:HHM917489 HRI917144:HRI917489 IBE917144:IBE917489 ILA917144:ILA917489 IUW917144:IUW917489 JES917144:JES917489 JOO917144:JOO917489 JYK917144:JYK917489 KIG917144:KIG917489 KSC917144:KSC917489 LBY917144:LBY917489 LLU917144:LLU917489 LVQ917144:LVQ917489 MFM917144:MFM917489 MPI917144:MPI917489 MZE917144:MZE917489 NJA917144:NJA917489 NSW917144:NSW917489 OCS917144:OCS917489 OMO917144:OMO917489 OWK917144:OWK917489 PGG917144:PGG917489 PQC917144:PQC917489 PZY917144:PZY917489 QJU917144:QJU917489 QTQ917144:QTQ917489 RDM917144:RDM917489 RNI917144:RNI917489 RXE917144:RXE917489 SHA917144:SHA917489 SQW917144:SQW917489 TAS917144:TAS917489 TKO917144:TKO917489 TUK917144:TUK917489 UEG917144:UEG917489 UOC917144:UOC917489 UXY917144:UXY917489 VHU917144:VHU917489 VRQ917144:VRQ917489 WBM917144:WBM917489 WLI917144:WLI917489 WVE917144:WVE917489 O982680:O983025 IS982680:IS983025 SO982680:SO983025 ACK982680:ACK983025 AMG982680:AMG983025 AWC982680:AWC983025 BFY982680:BFY983025 BPU982680:BPU983025 BZQ982680:BZQ983025 CJM982680:CJM983025 CTI982680:CTI983025 DDE982680:DDE983025 DNA982680:DNA983025 DWW982680:DWW983025 EGS982680:EGS983025 EQO982680:EQO983025 FAK982680:FAK983025 FKG982680:FKG983025 FUC982680:FUC983025 GDY982680:GDY983025 GNU982680:GNU983025 GXQ982680:GXQ983025 HHM982680:HHM983025 HRI982680:HRI983025 IBE982680:IBE983025 ILA982680:ILA983025 IUW982680:IUW983025 JES982680:JES983025 JOO982680:JOO983025 JYK982680:JYK983025 KIG982680:KIG983025 KSC982680:KSC983025 LBY982680:LBY983025 LLU982680:LLU983025 LVQ982680:LVQ983025 MFM982680:MFM983025 MPI982680:MPI983025 MZE982680:MZE983025 NJA982680:NJA983025 NSW982680:NSW983025 OCS982680:OCS983025 OMO982680:OMO983025 OWK982680:OWK983025 PGG982680:PGG983025 PQC982680:PQC983025 PZY982680:PZY983025 QJU982680:QJU983025 QTQ982680:QTQ983025 RDM982680:RDM983025 RNI982680:RNI983025 RXE982680:RXE983025 SHA982680:SHA983025 SQW982680:SQW983025 TAS982680:TAS983025 TKO982680:TKO983025 TUK982680:TUK983025 UEG982680:UEG983025 UOC982680:UOC983025 UXY982680:UXY983025 VHU982680:VHU983025 VRQ982680:VRQ983025 WBM982680:WBM983025 WLI982680:WLI983025 WVE982680:WVE983025" xr:uid="{00000000-0002-0000-0A00-000007000000}">
      <formula1>Status_List</formula1>
    </dataValidation>
    <dataValidation type="date" operator="greaterThan" allowBlank="1" showInputMessage="1" showErrorMessage="1" errorTitle="Date prior to inception" error="Expiry date must be after inception date." sqref="D65176:D65521 IH65176:IH65521 SD65176:SD65521 ABZ65176:ABZ65521 ALV65176:ALV65521 AVR65176:AVR65521 BFN65176:BFN65521 BPJ65176:BPJ65521 BZF65176:BZF65521 CJB65176:CJB65521 CSX65176:CSX65521 DCT65176:DCT65521 DMP65176:DMP65521 DWL65176:DWL65521 EGH65176:EGH65521 EQD65176:EQD65521 EZZ65176:EZZ65521 FJV65176:FJV65521 FTR65176:FTR65521 GDN65176:GDN65521 GNJ65176:GNJ65521 GXF65176:GXF65521 HHB65176:HHB65521 HQX65176:HQX65521 IAT65176:IAT65521 IKP65176:IKP65521 IUL65176:IUL65521 JEH65176:JEH65521 JOD65176:JOD65521 JXZ65176:JXZ65521 KHV65176:KHV65521 KRR65176:KRR65521 LBN65176:LBN65521 LLJ65176:LLJ65521 LVF65176:LVF65521 MFB65176:MFB65521 MOX65176:MOX65521 MYT65176:MYT65521 NIP65176:NIP65521 NSL65176:NSL65521 OCH65176:OCH65521 OMD65176:OMD65521 OVZ65176:OVZ65521 PFV65176:PFV65521 PPR65176:PPR65521 PZN65176:PZN65521 QJJ65176:QJJ65521 QTF65176:QTF65521 RDB65176:RDB65521 RMX65176:RMX65521 RWT65176:RWT65521 SGP65176:SGP65521 SQL65176:SQL65521 TAH65176:TAH65521 TKD65176:TKD65521 TTZ65176:TTZ65521 UDV65176:UDV65521 UNR65176:UNR65521 UXN65176:UXN65521 VHJ65176:VHJ65521 VRF65176:VRF65521 WBB65176:WBB65521 WKX65176:WKX65521 WUT65176:WUT65521 D130712:D131057 IH130712:IH131057 SD130712:SD131057 ABZ130712:ABZ131057 ALV130712:ALV131057 AVR130712:AVR131057 BFN130712:BFN131057 BPJ130712:BPJ131057 BZF130712:BZF131057 CJB130712:CJB131057 CSX130712:CSX131057 DCT130712:DCT131057 DMP130712:DMP131057 DWL130712:DWL131057 EGH130712:EGH131057 EQD130712:EQD131057 EZZ130712:EZZ131057 FJV130712:FJV131057 FTR130712:FTR131057 GDN130712:GDN131057 GNJ130712:GNJ131057 GXF130712:GXF131057 HHB130712:HHB131057 HQX130712:HQX131057 IAT130712:IAT131057 IKP130712:IKP131057 IUL130712:IUL131057 JEH130712:JEH131057 JOD130712:JOD131057 JXZ130712:JXZ131057 KHV130712:KHV131057 KRR130712:KRR131057 LBN130712:LBN131057 LLJ130712:LLJ131057 LVF130712:LVF131057 MFB130712:MFB131057 MOX130712:MOX131057 MYT130712:MYT131057 NIP130712:NIP131057 NSL130712:NSL131057 OCH130712:OCH131057 OMD130712:OMD131057 OVZ130712:OVZ131057 PFV130712:PFV131057 PPR130712:PPR131057 PZN130712:PZN131057 QJJ130712:QJJ131057 QTF130712:QTF131057 RDB130712:RDB131057 RMX130712:RMX131057 RWT130712:RWT131057 SGP130712:SGP131057 SQL130712:SQL131057 TAH130712:TAH131057 TKD130712:TKD131057 TTZ130712:TTZ131057 UDV130712:UDV131057 UNR130712:UNR131057 UXN130712:UXN131057 VHJ130712:VHJ131057 VRF130712:VRF131057 WBB130712:WBB131057 WKX130712:WKX131057 WUT130712:WUT131057 D196248:D196593 IH196248:IH196593 SD196248:SD196593 ABZ196248:ABZ196593 ALV196248:ALV196593 AVR196248:AVR196593 BFN196248:BFN196593 BPJ196248:BPJ196593 BZF196248:BZF196593 CJB196248:CJB196593 CSX196248:CSX196593 DCT196248:DCT196593 DMP196248:DMP196593 DWL196248:DWL196593 EGH196248:EGH196593 EQD196248:EQD196593 EZZ196248:EZZ196593 FJV196248:FJV196593 FTR196248:FTR196593 GDN196248:GDN196593 GNJ196248:GNJ196593 GXF196248:GXF196593 HHB196248:HHB196593 HQX196248:HQX196593 IAT196248:IAT196593 IKP196248:IKP196593 IUL196248:IUL196593 JEH196248:JEH196593 JOD196248:JOD196593 JXZ196248:JXZ196593 KHV196248:KHV196593 KRR196248:KRR196593 LBN196248:LBN196593 LLJ196248:LLJ196593 LVF196248:LVF196593 MFB196248:MFB196593 MOX196248:MOX196593 MYT196248:MYT196593 NIP196248:NIP196593 NSL196248:NSL196593 OCH196248:OCH196593 OMD196248:OMD196593 OVZ196248:OVZ196593 PFV196248:PFV196593 PPR196248:PPR196593 PZN196248:PZN196593 QJJ196248:QJJ196593 QTF196248:QTF196593 RDB196248:RDB196593 RMX196248:RMX196593 RWT196248:RWT196593 SGP196248:SGP196593 SQL196248:SQL196593 TAH196248:TAH196593 TKD196248:TKD196593 TTZ196248:TTZ196593 UDV196248:UDV196593 UNR196248:UNR196593 UXN196248:UXN196593 VHJ196248:VHJ196593 VRF196248:VRF196593 WBB196248:WBB196593 WKX196248:WKX196593 WUT196248:WUT196593 D261784:D262129 IH261784:IH262129 SD261784:SD262129 ABZ261784:ABZ262129 ALV261784:ALV262129 AVR261784:AVR262129 BFN261784:BFN262129 BPJ261784:BPJ262129 BZF261784:BZF262129 CJB261784:CJB262129 CSX261784:CSX262129 DCT261784:DCT262129 DMP261784:DMP262129 DWL261784:DWL262129 EGH261784:EGH262129 EQD261784:EQD262129 EZZ261784:EZZ262129 FJV261784:FJV262129 FTR261784:FTR262129 GDN261784:GDN262129 GNJ261784:GNJ262129 GXF261784:GXF262129 HHB261784:HHB262129 HQX261784:HQX262129 IAT261784:IAT262129 IKP261784:IKP262129 IUL261784:IUL262129 JEH261784:JEH262129 JOD261784:JOD262129 JXZ261784:JXZ262129 KHV261784:KHV262129 KRR261784:KRR262129 LBN261784:LBN262129 LLJ261784:LLJ262129 LVF261784:LVF262129 MFB261784:MFB262129 MOX261784:MOX262129 MYT261784:MYT262129 NIP261784:NIP262129 NSL261784:NSL262129 OCH261784:OCH262129 OMD261784:OMD262129 OVZ261784:OVZ262129 PFV261784:PFV262129 PPR261784:PPR262129 PZN261784:PZN262129 QJJ261784:QJJ262129 QTF261784:QTF262129 RDB261784:RDB262129 RMX261784:RMX262129 RWT261784:RWT262129 SGP261784:SGP262129 SQL261784:SQL262129 TAH261784:TAH262129 TKD261784:TKD262129 TTZ261784:TTZ262129 UDV261784:UDV262129 UNR261784:UNR262129 UXN261784:UXN262129 VHJ261784:VHJ262129 VRF261784:VRF262129 WBB261784:WBB262129 WKX261784:WKX262129 WUT261784:WUT262129 D327320:D327665 IH327320:IH327665 SD327320:SD327665 ABZ327320:ABZ327665 ALV327320:ALV327665 AVR327320:AVR327665 BFN327320:BFN327665 BPJ327320:BPJ327665 BZF327320:BZF327665 CJB327320:CJB327665 CSX327320:CSX327665 DCT327320:DCT327665 DMP327320:DMP327665 DWL327320:DWL327665 EGH327320:EGH327665 EQD327320:EQD327665 EZZ327320:EZZ327665 FJV327320:FJV327665 FTR327320:FTR327665 GDN327320:GDN327665 GNJ327320:GNJ327665 GXF327320:GXF327665 HHB327320:HHB327665 HQX327320:HQX327665 IAT327320:IAT327665 IKP327320:IKP327665 IUL327320:IUL327665 JEH327320:JEH327665 JOD327320:JOD327665 JXZ327320:JXZ327665 KHV327320:KHV327665 KRR327320:KRR327665 LBN327320:LBN327665 LLJ327320:LLJ327665 LVF327320:LVF327665 MFB327320:MFB327665 MOX327320:MOX327665 MYT327320:MYT327665 NIP327320:NIP327665 NSL327320:NSL327665 OCH327320:OCH327665 OMD327320:OMD327665 OVZ327320:OVZ327665 PFV327320:PFV327665 PPR327320:PPR327665 PZN327320:PZN327665 QJJ327320:QJJ327665 QTF327320:QTF327665 RDB327320:RDB327665 RMX327320:RMX327665 RWT327320:RWT327665 SGP327320:SGP327665 SQL327320:SQL327665 TAH327320:TAH327665 TKD327320:TKD327665 TTZ327320:TTZ327665 UDV327320:UDV327665 UNR327320:UNR327665 UXN327320:UXN327665 VHJ327320:VHJ327665 VRF327320:VRF327665 WBB327320:WBB327665 WKX327320:WKX327665 WUT327320:WUT327665 D392856:D393201 IH392856:IH393201 SD392856:SD393201 ABZ392856:ABZ393201 ALV392856:ALV393201 AVR392856:AVR393201 BFN392856:BFN393201 BPJ392856:BPJ393201 BZF392856:BZF393201 CJB392856:CJB393201 CSX392856:CSX393201 DCT392856:DCT393201 DMP392856:DMP393201 DWL392856:DWL393201 EGH392856:EGH393201 EQD392856:EQD393201 EZZ392856:EZZ393201 FJV392856:FJV393201 FTR392856:FTR393201 GDN392856:GDN393201 GNJ392856:GNJ393201 GXF392856:GXF393201 HHB392856:HHB393201 HQX392856:HQX393201 IAT392856:IAT393201 IKP392856:IKP393201 IUL392856:IUL393201 JEH392856:JEH393201 JOD392856:JOD393201 JXZ392856:JXZ393201 KHV392856:KHV393201 KRR392856:KRR393201 LBN392856:LBN393201 LLJ392856:LLJ393201 LVF392856:LVF393201 MFB392856:MFB393201 MOX392856:MOX393201 MYT392856:MYT393201 NIP392856:NIP393201 NSL392856:NSL393201 OCH392856:OCH393201 OMD392856:OMD393201 OVZ392856:OVZ393201 PFV392856:PFV393201 PPR392856:PPR393201 PZN392856:PZN393201 QJJ392856:QJJ393201 QTF392856:QTF393201 RDB392856:RDB393201 RMX392856:RMX393201 RWT392856:RWT393201 SGP392856:SGP393201 SQL392856:SQL393201 TAH392856:TAH393201 TKD392856:TKD393201 TTZ392856:TTZ393201 UDV392856:UDV393201 UNR392856:UNR393201 UXN392856:UXN393201 VHJ392856:VHJ393201 VRF392856:VRF393201 WBB392856:WBB393201 WKX392856:WKX393201 WUT392856:WUT393201 D458392:D458737 IH458392:IH458737 SD458392:SD458737 ABZ458392:ABZ458737 ALV458392:ALV458737 AVR458392:AVR458737 BFN458392:BFN458737 BPJ458392:BPJ458737 BZF458392:BZF458737 CJB458392:CJB458737 CSX458392:CSX458737 DCT458392:DCT458737 DMP458392:DMP458737 DWL458392:DWL458737 EGH458392:EGH458737 EQD458392:EQD458737 EZZ458392:EZZ458737 FJV458392:FJV458737 FTR458392:FTR458737 GDN458392:GDN458737 GNJ458392:GNJ458737 GXF458392:GXF458737 HHB458392:HHB458737 HQX458392:HQX458737 IAT458392:IAT458737 IKP458392:IKP458737 IUL458392:IUL458737 JEH458392:JEH458737 JOD458392:JOD458737 JXZ458392:JXZ458737 KHV458392:KHV458737 KRR458392:KRR458737 LBN458392:LBN458737 LLJ458392:LLJ458737 LVF458392:LVF458737 MFB458392:MFB458737 MOX458392:MOX458737 MYT458392:MYT458737 NIP458392:NIP458737 NSL458392:NSL458737 OCH458392:OCH458737 OMD458392:OMD458737 OVZ458392:OVZ458737 PFV458392:PFV458737 PPR458392:PPR458737 PZN458392:PZN458737 QJJ458392:QJJ458737 QTF458392:QTF458737 RDB458392:RDB458737 RMX458392:RMX458737 RWT458392:RWT458737 SGP458392:SGP458737 SQL458392:SQL458737 TAH458392:TAH458737 TKD458392:TKD458737 TTZ458392:TTZ458737 UDV458392:UDV458737 UNR458392:UNR458737 UXN458392:UXN458737 VHJ458392:VHJ458737 VRF458392:VRF458737 WBB458392:WBB458737 WKX458392:WKX458737 WUT458392:WUT458737 D523928:D524273 IH523928:IH524273 SD523928:SD524273 ABZ523928:ABZ524273 ALV523928:ALV524273 AVR523928:AVR524273 BFN523928:BFN524273 BPJ523928:BPJ524273 BZF523928:BZF524273 CJB523928:CJB524273 CSX523928:CSX524273 DCT523928:DCT524273 DMP523928:DMP524273 DWL523928:DWL524273 EGH523928:EGH524273 EQD523928:EQD524273 EZZ523928:EZZ524273 FJV523928:FJV524273 FTR523928:FTR524273 GDN523928:GDN524273 GNJ523928:GNJ524273 GXF523928:GXF524273 HHB523928:HHB524273 HQX523928:HQX524273 IAT523928:IAT524273 IKP523928:IKP524273 IUL523928:IUL524273 JEH523928:JEH524273 JOD523928:JOD524273 JXZ523928:JXZ524273 KHV523928:KHV524273 KRR523928:KRR524273 LBN523928:LBN524273 LLJ523928:LLJ524273 LVF523928:LVF524273 MFB523928:MFB524273 MOX523928:MOX524273 MYT523928:MYT524273 NIP523928:NIP524273 NSL523928:NSL524273 OCH523928:OCH524273 OMD523928:OMD524273 OVZ523928:OVZ524273 PFV523928:PFV524273 PPR523928:PPR524273 PZN523928:PZN524273 QJJ523928:QJJ524273 QTF523928:QTF524273 RDB523928:RDB524273 RMX523928:RMX524273 RWT523928:RWT524273 SGP523928:SGP524273 SQL523928:SQL524273 TAH523928:TAH524273 TKD523928:TKD524273 TTZ523928:TTZ524273 UDV523928:UDV524273 UNR523928:UNR524273 UXN523928:UXN524273 VHJ523928:VHJ524273 VRF523928:VRF524273 WBB523928:WBB524273 WKX523928:WKX524273 WUT523928:WUT524273 D589464:D589809 IH589464:IH589809 SD589464:SD589809 ABZ589464:ABZ589809 ALV589464:ALV589809 AVR589464:AVR589809 BFN589464:BFN589809 BPJ589464:BPJ589809 BZF589464:BZF589809 CJB589464:CJB589809 CSX589464:CSX589809 DCT589464:DCT589809 DMP589464:DMP589809 DWL589464:DWL589809 EGH589464:EGH589809 EQD589464:EQD589809 EZZ589464:EZZ589809 FJV589464:FJV589809 FTR589464:FTR589809 GDN589464:GDN589809 GNJ589464:GNJ589809 GXF589464:GXF589809 HHB589464:HHB589809 HQX589464:HQX589809 IAT589464:IAT589809 IKP589464:IKP589809 IUL589464:IUL589809 JEH589464:JEH589809 JOD589464:JOD589809 JXZ589464:JXZ589809 KHV589464:KHV589809 KRR589464:KRR589809 LBN589464:LBN589809 LLJ589464:LLJ589809 LVF589464:LVF589809 MFB589464:MFB589809 MOX589464:MOX589809 MYT589464:MYT589809 NIP589464:NIP589809 NSL589464:NSL589809 OCH589464:OCH589809 OMD589464:OMD589809 OVZ589464:OVZ589809 PFV589464:PFV589809 PPR589464:PPR589809 PZN589464:PZN589809 QJJ589464:QJJ589809 QTF589464:QTF589809 RDB589464:RDB589809 RMX589464:RMX589809 RWT589464:RWT589809 SGP589464:SGP589809 SQL589464:SQL589809 TAH589464:TAH589809 TKD589464:TKD589809 TTZ589464:TTZ589809 UDV589464:UDV589809 UNR589464:UNR589809 UXN589464:UXN589809 VHJ589464:VHJ589809 VRF589464:VRF589809 WBB589464:WBB589809 WKX589464:WKX589809 WUT589464:WUT589809 D655000:D655345 IH655000:IH655345 SD655000:SD655345 ABZ655000:ABZ655345 ALV655000:ALV655345 AVR655000:AVR655345 BFN655000:BFN655345 BPJ655000:BPJ655345 BZF655000:BZF655345 CJB655000:CJB655345 CSX655000:CSX655345 DCT655000:DCT655345 DMP655000:DMP655345 DWL655000:DWL655345 EGH655000:EGH655345 EQD655000:EQD655345 EZZ655000:EZZ655345 FJV655000:FJV655345 FTR655000:FTR655345 GDN655000:GDN655345 GNJ655000:GNJ655345 GXF655000:GXF655345 HHB655000:HHB655345 HQX655000:HQX655345 IAT655000:IAT655345 IKP655000:IKP655345 IUL655000:IUL655345 JEH655000:JEH655345 JOD655000:JOD655345 JXZ655000:JXZ655345 KHV655000:KHV655345 KRR655000:KRR655345 LBN655000:LBN655345 LLJ655000:LLJ655345 LVF655000:LVF655345 MFB655000:MFB655345 MOX655000:MOX655345 MYT655000:MYT655345 NIP655000:NIP655345 NSL655000:NSL655345 OCH655000:OCH655345 OMD655000:OMD655345 OVZ655000:OVZ655345 PFV655000:PFV655345 PPR655000:PPR655345 PZN655000:PZN655345 QJJ655000:QJJ655345 QTF655000:QTF655345 RDB655000:RDB655345 RMX655000:RMX655345 RWT655000:RWT655345 SGP655000:SGP655345 SQL655000:SQL655345 TAH655000:TAH655345 TKD655000:TKD655345 TTZ655000:TTZ655345 UDV655000:UDV655345 UNR655000:UNR655345 UXN655000:UXN655345 VHJ655000:VHJ655345 VRF655000:VRF655345 WBB655000:WBB655345 WKX655000:WKX655345 WUT655000:WUT655345 D720536:D720881 IH720536:IH720881 SD720536:SD720881 ABZ720536:ABZ720881 ALV720536:ALV720881 AVR720536:AVR720881 BFN720536:BFN720881 BPJ720536:BPJ720881 BZF720536:BZF720881 CJB720536:CJB720881 CSX720536:CSX720881 DCT720536:DCT720881 DMP720536:DMP720881 DWL720536:DWL720881 EGH720536:EGH720881 EQD720536:EQD720881 EZZ720536:EZZ720881 FJV720536:FJV720881 FTR720536:FTR720881 GDN720536:GDN720881 GNJ720536:GNJ720881 GXF720536:GXF720881 HHB720536:HHB720881 HQX720536:HQX720881 IAT720536:IAT720881 IKP720536:IKP720881 IUL720536:IUL720881 JEH720536:JEH720881 JOD720536:JOD720881 JXZ720536:JXZ720881 KHV720536:KHV720881 KRR720536:KRR720881 LBN720536:LBN720881 LLJ720536:LLJ720881 LVF720536:LVF720881 MFB720536:MFB720881 MOX720536:MOX720881 MYT720536:MYT720881 NIP720536:NIP720881 NSL720536:NSL720881 OCH720536:OCH720881 OMD720536:OMD720881 OVZ720536:OVZ720881 PFV720536:PFV720881 PPR720536:PPR720881 PZN720536:PZN720881 QJJ720536:QJJ720881 QTF720536:QTF720881 RDB720536:RDB720881 RMX720536:RMX720881 RWT720536:RWT720881 SGP720536:SGP720881 SQL720536:SQL720881 TAH720536:TAH720881 TKD720536:TKD720881 TTZ720536:TTZ720881 UDV720536:UDV720881 UNR720536:UNR720881 UXN720536:UXN720881 VHJ720536:VHJ720881 VRF720536:VRF720881 WBB720536:WBB720881 WKX720536:WKX720881 WUT720536:WUT720881 D786072:D786417 IH786072:IH786417 SD786072:SD786417 ABZ786072:ABZ786417 ALV786072:ALV786417 AVR786072:AVR786417 BFN786072:BFN786417 BPJ786072:BPJ786417 BZF786072:BZF786417 CJB786072:CJB786417 CSX786072:CSX786417 DCT786072:DCT786417 DMP786072:DMP786417 DWL786072:DWL786417 EGH786072:EGH786417 EQD786072:EQD786417 EZZ786072:EZZ786417 FJV786072:FJV786417 FTR786072:FTR786417 GDN786072:GDN786417 GNJ786072:GNJ786417 GXF786072:GXF786417 HHB786072:HHB786417 HQX786072:HQX786417 IAT786072:IAT786417 IKP786072:IKP786417 IUL786072:IUL786417 JEH786072:JEH786417 JOD786072:JOD786417 JXZ786072:JXZ786417 KHV786072:KHV786417 KRR786072:KRR786417 LBN786072:LBN786417 LLJ786072:LLJ786417 LVF786072:LVF786417 MFB786072:MFB786417 MOX786072:MOX786417 MYT786072:MYT786417 NIP786072:NIP786417 NSL786072:NSL786417 OCH786072:OCH786417 OMD786072:OMD786417 OVZ786072:OVZ786417 PFV786072:PFV786417 PPR786072:PPR786417 PZN786072:PZN786417 QJJ786072:QJJ786417 QTF786072:QTF786417 RDB786072:RDB786417 RMX786072:RMX786417 RWT786072:RWT786417 SGP786072:SGP786417 SQL786072:SQL786417 TAH786072:TAH786417 TKD786072:TKD786417 TTZ786072:TTZ786417 UDV786072:UDV786417 UNR786072:UNR786417 UXN786072:UXN786417 VHJ786072:VHJ786417 VRF786072:VRF786417 WBB786072:WBB786417 WKX786072:WKX786417 WUT786072:WUT786417 D851608:D851953 IH851608:IH851953 SD851608:SD851953 ABZ851608:ABZ851953 ALV851608:ALV851953 AVR851608:AVR851953 BFN851608:BFN851953 BPJ851608:BPJ851953 BZF851608:BZF851953 CJB851608:CJB851953 CSX851608:CSX851953 DCT851608:DCT851953 DMP851608:DMP851953 DWL851608:DWL851953 EGH851608:EGH851953 EQD851608:EQD851953 EZZ851608:EZZ851953 FJV851608:FJV851953 FTR851608:FTR851953 GDN851608:GDN851953 GNJ851608:GNJ851953 GXF851608:GXF851953 HHB851608:HHB851953 HQX851608:HQX851953 IAT851608:IAT851953 IKP851608:IKP851953 IUL851608:IUL851953 JEH851608:JEH851953 JOD851608:JOD851953 JXZ851608:JXZ851953 KHV851608:KHV851953 KRR851608:KRR851953 LBN851608:LBN851953 LLJ851608:LLJ851953 LVF851608:LVF851953 MFB851608:MFB851953 MOX851608:MOX851953 MYT851608:MYT851953 NIP851608:NIP851953 NSL851608:NSL851953 OCH851608:OCH851953 OMD851608:OMD851953 OVZ851608:OVZ851953 PFV851608:PFV851953 PPR851608:PPR851953 PZN851608:PZN851953 QJJ851608:QJJ851953 QTF851608:QTF851953 RDB851608:RDB851953 RMX851608:RMX851953 RWT851608:RWT851953 SGP851608:SGP851953 SQL851608:SQL851953 TAH851608:TAH851953 TKD851608:TKD851953 TTZ851608:TTZ851953 UDV851608:UDV851953 UNR851608:UNR851953 UXN851608:UXN851953 VHJ851608:VHJ851953 VRF851608:VRF851953 WBB851608:WBB851953 WKX851608:WKX851953 WUT851608:WUT851953 D917144:D917489 IH917144:IH917489 SD917144:SD917489 ABZ917144:ABZ917489 ALV917144:ALV917489 AVR917144:AVR917489 BFN917144:BFN917489 BPJ917144:BPJ917489 BZF917144:BZF917489 CJB917144:CJB917489 CSX917144:CSX917489 DCT917144:DCT917489 DMP917144:DMP917489 DWL917144:DWL917489 EGH917144:EGH917489 EQD917144:EQD917489 EZZ917144:EZZ917489 FJV917144:FJV917489 FTR917144:FTR917489 GDN917144:GDN917489 GNJ917144:GNJ917489 GXF917144:GXF917489 HHB917144:HHB917489 HQX917144:HQX917489 IAT917144:IAT917489 IKP917144:IKP917489 IUL917144:IUL917489 JEH917144:JEH917489 JOD917144:JOD917489 JXZ917144:JXZ917489 KHV917144:KHV917489 KRR917144:KRR917489 LBN917144:LBN917489 LLJ917144:LLJ917489 LVF917144:LVF917489 MFB917144:MFB917489 MOX917144:MOX917489 MYT917144:MYT917489 NIP917144:NIP917489 NSL917144:NSL917489 OCH917144:OCH917489 OMD917144:OMD917489 OVZ917144:OVZ917489 PFV917144:PFV917489 PPR917144:PPR917489 PZN917144:PZN917489 QJJ917144:QJJ917489 QTF917144:QTF917489 RDB917144:RDB917489 RMX917144:RMX917489 RWT917144:RWT917489 SGP917144:SGP917489 SQL917144:SQL917489 TAH917144:TAH917489 TKD917144:TKD917489 TTZ917144:TTZ917489 UDV917144:UDV917489 UNR917144:UNR917489 UXN917144:UXN917489 VHJ917144:VHJ917489 VRF917144:VRF917489 WBB917144:WBB917489 WKX917144:WKX917489 WUT917144:WUT917489 D982680:D983025 IH982680:IH983025 SD982680:SD983025 ABZ982680:ABZ983025 ALV982680:ALV983025 AVR982680:AVR983025 BFN982680:BFN983025 BPJ982680:BPJ983025 BZF982680:BZF983025 CJB982680:CJB983025 CSX982680:CSX983025 DCT982680:DCT983025 DMP982680:DMP983025 DWL982680:DWL983025 EGH982680:EGH983025 EQD982680:EQD983025 EZZ982680:EZZ983025 FJV982680:FJV983025 FTR982680:FTR983025 GDN982680:GDN983025 GNJ982680:GNJ983025 GXF982680:GXF983025 HHB982680:HHB983025 HQX982680:HQX983025 IAT982680:IAT983025 IKP982680:IKP983025 IUL982680:IUL983025 JEH982680:JEH983025 JOD982680:JOD983025 JXZ982680:JXZ983025 KHV982680:KHV983025 KRR982680:KRR983025 LBN982680:LBN983025 LLJ982680:LLJ983025 LVF982680:LVF983025 MFB982680:MFB983025 MOX982680:MOX983025 MYT982680:MYT983025 NIP982680:NIP983025 NSL982680:NSL983025 OCH982680:OCH983025 OMD982680:OMD983025 OVZ982680:OVZ983025 PFV982680:PFV983025 PPR982680:PPR983025 PZN982680:PZN983025 QJJ982680:QJJ983025 QTF982680:QTF983025 RDB982680:RDB983025 RMX982680:RMX983025 RWT982680:RWT983025 SGP982680:SGP983025 SQL982680:SQL983025 TAH982680:TAH983025 TKD982680:TKD983025 TTZ982680:TTZ983025 UDV982680:UDV983025 UNR982680:UNR983025 UXN982680:UXN983025 VHJ982680:VHJ983025 VRF982680:VRF983025 WBB982680:WBB983025 WKX982680:WKX983025 WUT982680:WUT983025" xr:uid="{00000000-0002-0000-0A00-000008000000}">
      <formula1>C65176</formula1>
    </dataValidation>
  </dataValidations>
  <printOptions horizontalCentered="1"/>
  <pageMargins left="0.35433070866141736" right="0.35433070866141736" top="0.39370078740157483" bottom="0.43307086614173229" header="0.19685039370078741" footer="0.15748031496062992"/>
  <pageSetup paperSize="9" scale="83" fitToHeight="0" orientation="landscape" r:id="rId1"/>
  <headerFooter alignWithMargins="0">
    <oddFooter>&amp;C&amp;11Page &amp;P of &amp;N&amp;R&amp;G</oddFooter>
  </headerFooter>
  <rowBreaks count="8" manualBreakCount="8">
    <brk id="46" max="15" man="1"/>
    <brk id="90" max="15" man="1"/>
    <brk id="133" max="15" man="1"/>
    <brk id="177" max="15" man="1"/>
    <brk id="219" max="15" man="1"/>
    <brk id="259" max="15" man="1"/>
    <brk id="300" max="15" man="1"/>
    <brk id="338" max="15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A00-000009000000}">
          <x14:formula1>
            <xm:f>'Schedules A,B,C Audit Notes'!$G$74:$G$76</xm:f>
          </x14:formula1>
          <xm:sqref>A17:A336</xm:sqref>
        </x14:dataValidation>
        <x14:dataValidation type="list" allowBlank="1" showInputMessage="1" showErrorMessage="1" xr:uid="{00000000-0002-0000-0A00-00000A000000}">
          <x14:formula1>
            <xm:f>'Schedules A,B,C Audit Notes'!$O$74:$O$75</xm:f>
          </x14:formula1>
          <xm:sqref>J17:J336</xm:sqref>
        </x14:dataValidation>
        <x14:dataValidation type="list" allowBlank="1" showInputMessage="1" showErrorMessage="1" xr:uid="{00000000-0002-0000-0A00-00000B000000}">
          <x14:formula1>
            <xm:f>'Schedules A,B,C Audit Notes'!$P$74:$P$76</xm:f>
          </x14:formula1>
          <xm:sqref>P17:P336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185"/>
  <sheetViews>
    <sheetView showGridLines="0" zoomScale="80" zoomScaleNormal="80" workbookViewId="0">
      <selection sqref="A1:XFD1048576"/>
    </sheetView>
  </sheetViews>
  <sheetFormatPr defaultRowHeight="13.2"/>
  <cols>
    <col min="1" max="1" width="6.640625E-2" style="45" customWidth="1"/>
    <col min="2" max="2" width="2" style="54" customWidth="1"/>
    <col min="3" max="3" width="22.3984375" style="55" bestFit="1" customWidth="1"/>
    <col min="4" max="4" width="6.33203125" style="58" bestFit="1" customWidth="1"/>
    <col min="5" max="5" width="6.59765625" style="58" bestFit="1" customWidth="1"/>
    <col min="6" max="6" width="3.46484375" style="53" bestFit="1" customWidth="1"/>
    <col min="7" max="8" width="8.06640625" style="53" customWidth="1"/>
    <col min="9" max="9" width="5.46484375" style="53" customWidth="1"/>
    <col min="10" max="10" width="3.33203125" style="53" customWidth="1"/>
    <col min="11" max="11" width="3" style="53" bestFit="1" customWidth="1"/>
    <col min="12" max="13" width="8.06640625" style="53" customWidth="1"/>
    <col min="14" max="14" width="5.46484375" style="53" customWidth="1"/>
    <col min="15" max="15" width="3.33203125" style="53" customWidth="1"/>
    <col min="16" max="16" width="5.796875" style="45" customWidth="1"/>
    <col min="17" max="17" width="6.06640625" style="45" customWidth="1"/>
    <col min="18" max="18" width="5.73046875" style="45" bestFit="1" customWidth="1"/>
    <col min="19" max="19" width="8.6640625" style="45"/>
    <col min="20" max="20" width="7.796875" style="45" bestFit="1" customWidth="1"/>
    <col min="21" max="21" width="6.9296875" style="45" customWidth="1"/>
    <col min="22" max="22" width="8.6640625" style="45"/>
    <col min="23" max="23" width="7.796875" style="45" bestFit="1" customWidth="1"/>
    <col min="24" max="24" width="10.3984375" style="45" customWidth="1"/>
    <col min="25" max="255" width="8.6640625" style="45"/>
    <col min="256" max="256" width="6.640625E-2" style="45" customWidth="1"/>
    <col min="257" max="257" width="2" style="45" customWidth="1"/>
    <col min="258" max="258" width="20.46484375" style="45" customWidth="1"/>
    <col min="259" max="259" width="6.33203125" style="45" bestFit="1" customWidth="1"/>
    <col min="260" max="260" width="6.59765625" style="45" bestFit="1" customWidth="1"/>
    <col min="261" max="261" width="3.46484375" style="45" bestFit="1" customWidth="1"/>
    <col min="262" max="263" width="8.06640625" style="45" customWidth="1"/>
    <col min="264" max="264" width="5.46484375" style="45" customWidth="1"/>
    <col min="265" max="265" width="3.33203125" style="45" customWidth="1"/>
    <col min="266" max="266" width="3" style="45" bestFit="1" customWidth="1"/>
    <col min="267" max="268" width="8.06640625" style="45" customWidth="1"/>
    <col min="269" max="269" width="5.46484375" style="45" customWidth="1"/>
    <col min="270" max="270" width="3.33203125" style="45" customWidth="1"/>
    <col min="271" max="271" width="5.796875" style="45" customWidth="1"/>
    <col min="272" max="272" width="6.06640625" style="45" customWidth="1"/>
    <col min="273" max="273" width="5.73046875" style="45" bestFit="1" customWidth="1"/>
    <col min="274" max="274" width="8.6640625" style="45"/>
    <col min="275" max="275" width="7.796875" style="45" bestFit="1" customWidth="1"/>
    <col min="276" max="276" width="6.9296875" style="45" customWidth="1"/>
    <col min="277" max="278" width="8.6640625" style="45"/>
    <col min="279" max="279" width="7.796875" style="45" bestFit="1" customWidth="1"/>
    <col min="280" max="280" width="10.3984375" style="45" customWidth="1"/>
    <col min="281" max="511" width="8.6640625" style="45"/>
    <col min="512" max="512" width="6.640625E-2" style="45" customWidth="1"/>
    <col min="513" max="513" width="2" style="45" customWidth="1"/>
    <col min="514" max="514" width="20.46484375" style="45" customWidth="1"/>
    <col min="515" max="515" width="6.33203125" style="45" bestFit="1" customWidth="1"/>
    <col min="516" max="516" width="6.59765625" style="45" bestFit="1" customWidth="1"/>
    <col min="517" max="517" width="3.46484375" style="45" bestFit="1" customWidth="1"/>
    <col min="518" max="519" width="8.06640625" style="45" customWidth="1"/>
    <col min="520" max="520" width="5.46484375" style="45" customWidth="1"/>
    <col min="521" max="521" width="3.33203125" style="45" customWidth="1"/>
    <col min="522" max="522" width="3" style="45" bestFit="1" customWidth="1"/>
    <col min="523" max="524" width="8.06640625" style="45" customWidth="1"/>
    <col min="525" max="525" width="5.46484375" style="45" customWidth="1"/>
    <col min="526" max="526" width="3.33203125" style="45" customWidth="1"/>
    <col min="527" max="527" width="5.796875" style="45" customWidth="1"/>
    <col min="528" max="528" width="6.06640625" style="45" customWidth="1"/>
    <col min="529" max="529" width="5.73046875" style="45" bestFit="1" customWidth="1"/>
    <col min="530" max="530" width="8.6640625" style="45"/>
    <col min="531" max="531" width="7.796875" style="45" bestFit="1" customWidth="1"/>
    <col min="532" max="532" width="6.9296875" style="45" customWidth="1"/>
    <col min="533" max="534" width="8.6640625" style="45"/>
    <col min="535" max="535" width="7.796875" style="45" bestFit="1" customWidth="1"/>
    <col min="536" max="536" width="10.3984375" style="45" customWidth="1"/>
    <col min="537" max="767" width="8.6640625" style="45"/>
    <col min="768" max="768" width="6.640625E-2" style="45" customWidth="1"/>
    <col min="769" max="769" width="2" style="45" customWidth="1"/>
    <col min="770" max="770" width="20.46484375" style="45" customWidth="1"/>
    <col min="771" max="771" width="6.33203125" style="45" bestFit="1" customWidth="1"/>
    <col min="772" max="772" width="6.59765625" style="45" bestFit="1" customWidth="1"/>
    <col min="773" max="773" width="3.46484375" style="45" bestFit="1" customWidth="1"/>
    <col min="774" max="775" width="8.06640625" style="45" customWidth="1"/>
    <col min="776" max="776" width="5.46484375" style="45" customWidth="1"/>
    <col min="777" max="777" width="3.33203125" style="45" customWidth="1"/>
    <col min="778" max="778" width="3" style="45" bestFit="1" customWidth="1"/>
    <col min="779" max="780" width="8.06640625" style="45" customWidth="1"/>
    <col min="781" max="781" width="5.46484375" style="45" customWidth="1"/>
    <col min="782" max="782" width="3.33203125" style="45" customWidth="1"/>
    <col min="783" max="783" width="5.796875" style="45" customWidth="1"/>
    <col min="784" max="784" width="6.06640625" style="45" customWidth="1"/>
    <col min="785" max="785" width="5.73046875" style="45" bestFit="1" customWidth="1"/>
    <col min="786" max="786" width="8.6640625" style="45"/>
    <col min="787" max="787" width="7.796875" style="45" bestFit="1" customWidth="1"/>
    <col min="788" max="788" width="6.9296875" style="45" customWidth="1"/>
    <col min="789" max="790" width="8.6640625" style="45"/>
    <col min="791" max="791" width="7.796875" style="45" bestFit="1" customWidth="1"/>
    <col min="792" max="792" width="10.3984375" style="45" customWidth="1"/>
    <col min="793" max="1023" width="8.6640625" style="45"/>
    <col min="1024" max="1024" width="6.640625E-2" style="45" customWidth="1"/>
    <col min="1025" max="1025" width="2" style="45" customWidth="1"/>
    <col min="1026" max="1026" width="20.46484375" style="45" customWidth="1"/>
    <col min="1027" max="1027" width="6.33203125" style="45" bestFit="1" customWidth="1"/>
    <col min="1028" max="1028" width="6.59765625" style="45" bestFit="1" customWidth="1"/>
    <col min="1029" max="1029" width="3.46484375" style="45" bestFit="1" customWidth="1"/>
    <col min="1030" max="1031" width="8.06640625" style="45" customWidth="1"/>
    <col min="1032" max="1032" width="5.46484375" style="45" customWidth="1"/>
    <col min="1033" max="1033" width="3.33203125" style="45" customWidth="1"/>
    <col min="1034" max="1034" width="3" style="45" bestFit="1" customWidth="1"/>
    <col min="1035" max="1036" width="8.06640625" style="45" customWidth="1"/>
    <col min="1037" max="1037" width="5.46484375" style="45" customWidth="1"/>
    <col min="1038" max="1038" width="3.33203125" style="45" customWidth="1"/>
    <col min="1039" max="1039" width="5.796875" style="45" customWidth="1"/>
    <col min="1040" max="1040" width="6.06640625" style="45" customWidth="1"/>
    <col min="1041" max="1041" width="5.73046875" style="45" bestFit="1" customWidth="1"/>
    <col min="1042" max="1042" width="8.6640625" style="45"/>
    <col min="1043" max="1043" width="7.796875" style="45" bestFit="1" customWidth="1"/>
    <col min="1044" max="1044" width="6.9296875" style="45" customWidth="1"/>
    <col min="1045" max="1046" width="8.6640625" style="45"/>
    <col min="1047" max="1047" width="7.796875" style="45" bestFit="1" customWidth="1"/>
    <col min="1048" max="1048" width="10.3984375" style="45" customWidth="1"/>
    <col min="1049" max="1279" width="8.6640625" style="45"/>
    <col min="1280" max="1280" width="6.640625E-2" style="45" customWidth="1"/>
    <col min="1281" max="1281" width="2" style="45" customWidth="1"/>
    <col min="1282" max="1282" width="20.46484375" style="45" customWidth="1"/>
    <col min="1283" max="1283" width="6.33203125" style="45" bestFit="1" customWidth="1"/>
    <col min="1284" max="1284" width="6.59765625" style="45" bestFit="1" customWidth="1"/>
    <col min="1285" max="1285" width="3.46484375" style="45" bestFit="1" customWidth="1"/>
    <col min="1286" max="1287" width="8.06640625" style="45" customWidth="1"/>
    <col min="1288" max="1288" width="5.46484375" style="45" customWidth="1"/>
    <col min="1289" max="1289" width="3.33203125" style="45" customWidth="1"/>
    <col min="1290" max="1290" width="3" style="45" bestFit="1" customWidth="1"/>
    <col min="1291" max="1292" width="8.06640625" style="45" customWidth="1"/>
    <col min="1293" max="1293" width="5.46484375" style="45" customWidth="1"/>
    <col min="1294" max="1294" width="3.33203125" style="45" customWidth="1"/>
    <col min="1295" max="1295" width="5.796875" style="45" customWidth="1"/>
    <col min="1296" max="1296" width="6.06640625" style="45" customWidth="1"/>
    <col min="1297" max="1297" width="5.73046875" style="45" bestFit="1" customWidth="1"/>
    <col min="1298" max="1298" width="8.6640625" style="45"/>
    <col min="1299" max="1299" width="7.796875" style="45" bestFit="1" customWidth="1"/>
    <col min="1300" max="1300" width="6.9296875" style="45" customWidth="1"/>
    <col min="1301" max="1302" width="8.6640625" style="45"/>
    <col min="1303" max="1303" width="7.796875" style="45" bestFit="1" customWidth="1"/>
    <col min="1304" max="1304" width="10.3984375" style="45" customWidth="1"/>
    <col min="1305" max="1535" width="8.6640625" style="45"/>
    <col min="1536" max="1536" width="6.640625E-2" style="45" customWidth="1"/>
    <col min="1537" max="1537" width="2" style="45" customWidth="1"/>
    <col min="1538" max="1538" width="20.46484375" style="45" customWidth="1"/>
    <col min="1539" max="1539" width="6.33203125" style="45" bestFit="1" customWidth="1"/>
    <col min="1540" max="1540" width="6.59765625" style="45" bestFit="1" customWidth="1"/>
    <col min="1541" max="1541" width="3.46484375" style="45" bestFit="1" customWidth="1"/>
    <col min="1542" max="1543" width="8.06640625" style="45" customWidth="1"/>
    <col min="1544" max="1544" width="5.46484375" style="45" customWidth="1"/>
    <col min="1545" max="1545" width="3.33203125" style="45" customWidth="1"/>
    <col min="1546" max="1546" width="3" style="45" bestFit="1" customWidth="1"/>
    <col min="1547" max="1548" width="8.06640625" style="45" customWidth="1"/>
    <col min="1549" max="1549" width="5.46484375" style="45" customWidth="1"/>
    <col min="1550" max="1550" width="3.33203125" style="45" customWidth="1"/>
    <col min="1551" max="1551" width="5.796875" style="45" customWidth="1"/>
    <col min="1552" max="1552" width="6.06640625" style="45" customWidth="1"/>
    <col min="1553" max="1553" width="5.73046875" style="45" bestFit="1" customWidth="1"/>
    <col min="1554" max="1554" width="8.6640625" style="45"/>
    <col min="1555" max="1555" width="7.796875" style="45" bestFit="1" customWidth="1"/>
    <col min="1556" max="1556" width="6.9296875" style="45" customWidth="1"/>
    <col min="1557" max="1558" width="8.6640625" style="45"/>
    <col min="1559" max="1559" width="7.796875" style="45" bestFit="1" customWidth="1"/>
    <col min="1560" max="1560" width="10.3984375" style="45" customWidth="1"/>
    <col min="1561" max="1791" width="8.6640625" style="45"/>
    <col min="1792" max="1792" width="6.640625E-2" style="45" customWidth="1"/>
    <col min="1793" max="1793" width="2" style="45" customWidth="1"/>
    <col min="1794" max="1794" width="20.46484375" style="45" customWidth="1"/>
    <col min="1795" max="1795" width="6.33203125" style="45" bestFit="1" customWidth="1"/>
    <col min="1796" max="1796" width="6.59765625" style="45" bestFit="1" customWidth="1"/>
    <col min="1797" max="1797" width="3.46484375" style="45" bestFit="1" customWidth="1"/>
    <col min="1798" max="1799" width="8.06640625" style="45" customWidth="1"/>
    <col min="1800" max="1800" width="5.46484375" style="45" customWidth="1"/>
    <col min="1801" max="1801" width="3.33203125" style="45" customWidth="1"/>
    <col min="1802" max="1802" width="3" style="45" bestFit="1" customWidth="1"/>
    <col min="1803" max="1804" width="8.06640625" style="45" customWidth="1"/>
    <col min="1805" max="1805" width="5.46484375" style="45" customWidth="1"/>
    <col min="1806" max="1806" width="3.33203125" style="45" customWidth="1"/>
    <col min="1807" max="1807" width="5.796875" style="45" customWidth="1"/>
    <col min="1808" max="1808" width="6.06640625" style="45" customWidth="1"/>
    <col min="1809" max="1809" width="5.73046875" style="45" bestFit="1" customWidth="1"/>
    <col min="1810" max="1810" width="8.6640625" style="45"/>
    <col min="1811" max="1811" width="7.796875" style="45" bestFit="1" customWidth="1"/>
    <col min="1812" max="1812" width="6.9296875" style="45" customWidth="1"/>
    <col min="1813" max="1814" width="8.6640625" style="45"/>
    <col min="1815" max="1815" width="7.796875" style="45" bestFit="1" customWidth="1"/>
    <col min="1816" max="1816" width="10.3984375" style="45" customWidth="1"/>
    <col min="1817" max="2047" width="8.6640625" style="45"/>
    <col min="2048" max="2048" width="6.640625E-2" style="45" customWidth="1"/>
    <col min="2049" max="2049" width="2" style="45" customWidth="1"/>
    <col min="2050" max="2050" width="20.46484375" style="45" customWidth="1"/>
    <col min="2051" max="2051" width="6.33203125" style="45" bestFit="1" customWidth="1"/>
    <col min="2052" max="2052" width="6.59765625" style="45" bestFit="1" customWidth="1"/>
    <col min="2053" max="2053" width="3.46484375" style="45" bestFit="1" customWidth="1"/>
    <col min="2054" max="2055" width="8.06640625" style="45" customWidth="1"/>
    <col min="2056" max="2056" width="5.46484375" style="45" customWidth="1"/>
    <col min="2057" max="2057" width="3.33203125" style="45" customWidth="1"/>
    <col min="2058" max="2058" width="3" style="45" bestFit="1" customWidth="1"/>
    <col min="2059" max="2060" width="8.06640625" style="45" customWidth="1"/>
    <col min="2061" max="2061" width="5.46484375" style="45" customWidth="1"/>
    <col min="2062" max="2062" width="3.33203125" style="45" customWidth="1"/>
    <col min="2063" max="2063" width="5.796875" style="45" customWidth="1"/>
    <col min="2064" max="2064" width="6.06640625" style="45" customWidth="1"/>
    <col min="2065" max="2065" width="5.73046875" style="45" bestFit="1" customWidth="1"/>
    <col min="2066" max="2066" width="8.6640625" style="45"/>
    <col min="2067" max="2067" width="7.796875" style="45" bestFit="1" customWidth="1"/>
    <col min="2068" max="2068" width="6.9296875" style="45" customWidth="1"/>
    <col min="2069" max="2070" width="8.6640625" style="45"/>
    <col min="2071" max="2071" width="7.796875" style="45" bestFit="1" customWidth="1"/>
    <col min="2072" max="2072" width="10.3984375" style="45" customWidth="1"/>
    <col min="2073" max="2303" width="8.6640625" style="45"/>
    <col min="2304" max="2304" width="6.640625E-2" style="45" customWidth="1"/>
    <col min="2305" max="2305" width="2" style="45" customWidth="1"/>
    <col min="2306" max="2306" width="20.46484375" style="45" customWidth="1"/>
    <col min="2307" max="2307" width="6.33203125" style="45" bestFit="1" customWidth="1"/>
    <col min="2308" max="2308" width="6.59765625" style="45" bestFit="1" customWidth="1"/>
    <col min="2309" max="2309" width="3.46484375" style="45" bestFit="1" customWidth="1"/>
    <col min="2310" max="2311" width="8.06640625" style="45" customWidth="1"/>
    <col min="2312" max="2312" width="5.46484375" style="45" customWidth="1"/>
    <col min="2313" max="2313" width="3.33203125" style="45" customWidth="1"/>
    <col min="2314" max="2314" width="3" style="45" bestFit="1" customWidth="1"/>
    <col min="2315" max="2316" width="8.06640625" style="45" customWidth="1"/>
    <col min="2317" max="2317" width="5.46484375" style="45" customWidth="1"/>
    <col min="2318" max="2318" width="3.33203125" style="45" customWidth="1"/>
    <col min="2319" max="2319" width="5.796875" style="45" customWidth="1"/>
    <col min="2320" max="2320" width="6.06640625" style="45" customWidth="1"/>
    <col min="2321" max="2321" width="5.73046875" style="45" bestFit="1" customWidth="1"/>
    <col min="2322" max="2322" width="8.6640625" style="45"/>
    <col min="2323" max="2323" width="7.796875" style="45" bestFit="1" customWidth="1"/>
    <col min="2324" max="2324" width="6.9296875" style="45" customWidth="1"/>
    <col min="2325" max="2326" width="8.6640625" style="45"/>
    <col min="2327" max="2327" width="7.796875" style="45" bestFit="1" customWidth="1"/>
    <col min="2328" max="2328" width="10.3984375" style="45" customWidth="1"/>
    <col min="2329" max="2559" width="8.6640625" style="45"/>
    <col min="2560" max="2560" width="6.640625E-2" style="45" customWidth="1"/>
    <col min="2561" max="2561" width="2" style="45" customWidth="1"/>
    <col min="2562" max="2562" width="20.46484375" style="45" customWidth="1"/>
    <col min="2563" max="2563" width="6.33203125" style="45" bestFit="1" customWidth="1"/>
    <col min="2564" max="2564" width="6.59765625" style="45" bestFit="1" customWidth="1"/>
    <col min="2565" max="2565" width="3.46484375" style="45" bestFit="1" customWidth="1"/>
    <col min="2566" max="2567" width="8.06640625" style="45" customWidth="1"/>
    <col min="2568" max="2568" width="5.46484375" style="45" customWidth="1"/>
    <col min="2569" max="2569" width="3.33203125" style="45" customWidth="1"/>
    <col min="2570" max="2570" width="3" style="45" bestFit="1" customWidth="1"/>
    <col min="2571" max="2572" width="8.06640625" style="45" customWidth="1"/>
    <col min="2573" max="2573" width="5.46484375" style="45" customWidth="1"/>
    <col min="2574" max="2574" width="3.33203125" style="45" customWidth="1"/>
    <col min="2575" max="2575" width="5.796875" style="45" customWidth="1"/>
    <col min="2576" max="2576" width="6.06640625" style="45" customWidth="1"/>
    <col min="2577" max="2577" width="5.73046875" style="45" bestFit="1" customWidth="1"/>
    <col min="2578" max="2578" width="8.6640625" style="45"/>
    <col min="2579" max="2579" width="7.796875" style="45" bestFit="1" customWidth="1"/>
    <col min="2580" max="2580" width="6.9296875" style="45" customWidth="1"/>
    <col min="2581" max="2582" width="8.6640625" style="45"/>
    <col min="2583" max="2583" width="7.796875" style="45" bestFit="1" customWidth="1"/>
    <col min="2584" max="2584" width="10.3984375" style="45" customWidth="1"/>
    <col min="2585" max="2815" width="8.6640625" style="45"/>
    <col min="2816" max="2816" width="6.640625E-2" style="45" customWidth="1"/>
    <col min="2817" max="2817" width="2" style="45" customWidth="1"/>
    <col min="2818" max="2818" width="20.46484375" style="45" customWidth="1"/>
    <col min="2819" max="2819" width="6.33203125" style="45" bestFit="1" customWidth="1"/>
    <col min="2820" max="2820" width="6.59765625" style="45" bestFit="1" customWidth="1"/>
    <col min="2821" max="2821" width="3.46484375" style="45" bestFit="1" customWidth="1"/>
    <col min="2822" max="2823" width="8.06640625" style="45" customWidth="1"/>
    <col min="2824" max="2824" width="5.46484375" style="45" customWidth="1"/>
    <col min="2825" max="2825" width="3.33203125" style="45" customWidth="1"/>
    <col min="2826" max="2826" width="3" style="45" bestFit="1" customWidth="1"/>
    <col min="2827" max="2828" width="8.06640625" style="45" customWidth="1"/>
    <col min="2829" max="2829" width="5.46484375" style="45" customWidth="1"/>
    <col min="2830" max="2830" width="3.33203125" style="45" customWidth="1"/>
    <col min="2831" max="2831" width="5.796875" style="45" customWidth="1"/>
    <col min="2832" max="2832" width="6.06640625" style="45" customWidth="1"/>
    <col min="2833" max="2833" width="5.73046875" style="45" bestFit="1" customWidth="1"/>
    <col min="2834" max="2834" width="8.6640625" style="45"/>
    <col min="2835" max="2835" width="7.796875" style="45" bestFit="1" customWidth="1"/>
    <col min="2836" max="2836" width="6.9296875" style="45" customWidth="1"/>
    <col min="2837" max="2838" width="8.6640625" style="45"/>
    <col min="2839" max="2839" width="7.796875" style="45" bestFit="1" customWidth="1"/>
    <col min="2840" max="2840" width="10.3984375" style="45" customWidth="1"/>
    <col min="2841" max="3071" width="8.6640625" style="45"/>
    <col min="3072" max="3072" width="6.640625E-2" style="45" customWidth="1"/>
    <col min="3073" max="3073" width="2" style="45" customWidth="1"/>
    <col min="3074" max="3074" width="20.46484375" style="45" customWidth="1"/>
    <col min="3075" max="3075" width="6.33203125" style="45" bestFit="1" customWidth="1"/>
    <col min="3076" max="3076" width="6.59765625" style="45" bestFit="1" customWidth="1"/>
    <col min="3077" max="3077" width="3.46484375" style="45" bestFit="1" customWidth="1"/>
    <col min="3078" max="3079" width="8.06640625" style="45" customWidth="1"/>
    <col min="3080" max="3080" width="5.46484375" style="45" customWidth="1"/>
    <col min="3081" max="3081" width="3.33203125" style="45" customWidth="1"/>
    <col min="3082" max="3082" width="3" style="45" bestFit="1" customWidth="1"/>
    <col min="3083" max="3084" width="8.06640625" style="45" customWidth="1"/>
    <col min="3085" max="3085" width="5.46484375" style="45" customWidth="1"/>
    <col min="3086" max="3086" width="3.33203125" style="45" customWidth="1"/>
    <col min="3087" max="3087" width="5.796875" style="45" customWidth="1"/>
    <col min="3088" max="3088" width="6.06640625" style="45" customWidth="1"/>
    <col min="3089" max="3089" width="5.73046875" style="45" bestFit="1" customWidth="1"/>
    <col min="3090" max="3090" width="8.6640625" style="45"/>
    <col min="3091" max="3091" width="7.796875" style="45" bestFit="1" customWidth="1"/>
    <col min="3092" max="3092" width="6.9296875" style="45" customWidth="1"/>
    <col min="3093" max="3094" width="8.6640625" style="45"/>
    <col min="3095" max="3095" width="7.796875" style="45" bestFit="1" customWidth="1"/>
    <col min="3096" max="3096" width="10.3984375" style="45" customWidth="1"/>
    <col min="3097" max="3327" width="8.6640625" style="45"/>
    <col min="3328" max="3328" width="6.640625E-2" style="45" customWidth="1"/>
    <col min="3329" max="3329" width="2" style="45" customWidth="1"/>
    <col min="3330" max="3330" width="20.46484375" style="45" customWidth="1"/>
    <col min="3331" max="3331" width="6.33203125" style="45" bestFit="1" customWidth="1"/>
    <col min="3332" max="3332" width="6.59765625" style="45" bestFit="1" customWidth="1"/>
    <col min="3333" max="3333" width="3.46484375" style="45" bestFit="1" customWidth="1"/>
    <col min="3334" max="3335" width="8.06640625" style="45" customWidth="1"/>
    <col min="3336" max="3336" width="5.46484375" style="45" customWidth="1"/>
    <col min="3337" max="3337" width="3.33203125" style="45" customWidth="1"/>
    <col min="3338" max="3338" width="3" style="45" bestFit="1" customWidth="1"/>
    <col min="3339" max="3340" width="8.06640625" style="45" customWidth="1"/>
    <col min="3341" max="3341" width="5.46484375" style="45" customWidth="1"/>
    <col min="3342" max="3342" width="3.33203125" style="45" customWidth="1"/>
    <col min="3343" max="3343" width="5.796875" style="45" customWidth="1"/>
    <col min="3344" max="3344" width="6.06640625" style="45" customWidth="1"/>
    <col min="3345" max="3345" width="5.73046875" style="45" bestFit="1" customWidth="1"/>
    <col min="3346" max="3346" width="8.6640625" style="45"/>
    <col min="3347" max="3347" width="7.796875" style="45" bestFit="1" customWidth="1"/>
    <col min="3348" max="3348" width="6.9296875" style="45" customWidth="1"/>
    <col min="3349" max="3350" width="8.6640625" style="45"/>
    <col min="3351" max="3351" width="7.796875" style="45" bestFit="1" customWidth="1"/>
    <col min="3352" max="3352" width="10.3984375" style="45" customWidth="1"/>
    <col min="3353" max="3583" width="8.6640625" style="45"/>
    <col min="3584" max="3584" width="6.640625E-2" style="45" customWidth="1"/>
    <col min="3585" max="3585" width="2" style="45" customWidth="1"/>
    <col min="3586" max="3586" width="20.46484375" style="45" customWidth="1"/>
    <col min="3587" max="3587" width="6.33203125" style="45" bestFit="1" customWidth="1"/>
    <col min="3588" max="3588" width="6.59765625" style="45" bestFit="1" customWidth="1"/>
    <col min="3589" max="3589" width="3.46484375" style="45" bestFit="1" customWidth="1"/>
    <col min="3590" max="3591" width="8.06640625" style="45" customWidth="1"/>
    <col min="3592" max="3592" width="5.46484375" style="45" customWidth="1"/>
    <col min="3593" max="3593" width="3.33203125" style="45" customWidth="1"/>
    <col min="3594" max="3594" width="3" style="45" bestFit="1" customWidth="1"/>
    <col min="3595" max="3596" width="8.06640625" style="45" customWidth="1"/>
    <col min="3597" max="3597" width="5.46484375" style="45" customWidth="1"/>
    <col min="3598" max="3598" width="3.33203125" style="45" customWidth="1"/>
    <col min="3599" max="3599" width="5.796875" style="45" customWidth="1"/>
    <col min="3600" max="3600" width="6.06640625" style="45" customWidth="1"/>
    <col min="3601" max="3601" width="5.73046875" style="45" bestFit="1" customWidth="1"/>
    <col min="3602" max="3602" width="8.6640625" style="45"/>
    <col min="3603" max="3603" width="7.796875" style="45" bestFit="1" customWidth="1"/>
    <col min="3604" max="3604" width="6.9296875" style="45" customWidth="1"/>
    <col min="3605" max="3606" width="8.6640625" style="45"/>
    <col min="3607" max="3607" width="7.796875" style="45" bestFit="1" customWidth="1"/>
    <col min="3608" max="3608" width="10.3984375" style="45" customWidth="1"/>
    <col min="3609" max="3839" width="8.6640625" style="45"/>
    <col min="3840" max="3840" width="6.640625E-2" style="45" customWidth="1"/>
    <col min="3841" max="3841" width="2" style="45" customWidth="1"/>
    <col min="3842" max="3842" width="20.46484375" style="45" customWidth="1"/>
    <col min="3843" max="3843" width="6.33203125" style="45" bestFit="1" customWidth="1"/>
    <col min="3844" max="3844" width="6.59765625" style="45" bestFit="1" customWidth="1"/>
    <col min="3845" max="3845" width="3.46484375" style="45" bestFit="1" customWidth="1"/>
    <col min="3846" max="3847" width="8.06640625" style="45" customWidth="1"/>
    <col min="3848" max="3848" width="5.46484375" style="45" customWidth="1"/>
    <col min="3849" max="3849" width="3.33203125" style="45" customWidth="1"/>
    <col min="3850" max="3850" width="3" style="45" bestFit="1" customWidth="1"/>
    <col min="3851" max="3852" width="8.06640625" style="45" customWidth="1"/>
    <col min="3853" max="3853" width="5.46484375" style="45" customWidth="1"/>
    <col min="3854" max="3854" width="3.33203125" style="45" customWidth="1"/>
    <col min="3855" max="3855" width="5.796875" style="45" customWidth="1"/>
    <col min="3856" max="3856" width="6.06640625" style="45" customWidth="1"/>
    <col min="3857" max="3857" width="5.73046875" style="45" bestFit="1" customWidth="1"/>
    <col min="3858" max="3858" width="8.6640625" style="45"/>
    <col min="3859" max="3859" width="7.796875" style="45" bestFit="1" customWidth="1"/>
    <col min="3860" max="3860" width="6.9296875" style="45" customWidth="1"/>
    <col min="3861" max="3862" width="8.6640625" style="45"/>
    <col min="3863" max="3863" width="7.796875" style="45" bestFit="1" customWidth="1"/>
    <col min="3864" max="3864" width="10.3984375" style="45" customWidth="1"/>
    <col min="3865" max="4095" width="8.6640625" style="45"/>
    <col min="4096" max="4096" width="6.640625E-2" style="45" customWidth="1"/>
    <col min="4097" max="4097" width="2" style="45" customWidth="1"/>
    <col min="4098" max="4098" width="20.46484375" style="45" customWidth="1"/>
    <col min="4099" max="4099" width="6.33203125" style="45" bestFit="1" customWidth="1"/>
    <col min="4100" max="4100" width="6.59765625" style="45" bestFit="1" customWidth="1"/>
    <col min="4101" max="4101" width="3.46484375" style="45" bestFit="1" customWidth="1"/>
    <col min="4102" max="4103" width="8.06640625" style="45" customWidth="1"/>
    <col min="4104" max="4104" width="5.46484375" style="45" customWidth="1"/>
    <col min="4105" max="4105" width="3.33203125" style="45" customWidth="1"/>
    <col min="4106" max="4106" width="3" style="45" bestFit="1" customWidth="1"/>
    <col min="4107" max="4108" width="8.06640625" style="45" customWidth="1"/>
    <col min="4109" max="4109" width="5.46484375" style="45" customWidth="1"/>
    <col min="4110" max="4110" width="3.33203125" style="45" customWidth="1"/>
    <col min="4111" max="4111" width="5.796875" style="45" customWidth="1"/>
    <col min="4112" max="4112" width="6.06640625" style="45" customWidth="1"/>
    <col min="4113" max="4113" width="5.73046875" style="45" bestFit="1" customWidth="1"/>
    <col min="4114" max="4114" width="8.6640625" style="45"/>
    <col min="4115" max="4115" width="7.796875" style="45" bestFit="1" customWidth="1"/>
    <col min="4116" max="4116" width="6.9296875" style="45" customWidth="1"/>
    <col min="4117" max="4118" width="8.6640625" style="45"/>
    <col min="4119" max="4119" width="7.796875" style="45" bestFit="1" customWidth="1"/>
    <col min="4120" max="4120" width="10.3984375" style="45" customWidth="1"/>
    <col min="4121" max="4351" width="8.6640625" style="45"/>
    <col min="4352" max="4352" width="6.640625E-2" style="45" customWidth="1"/>
    <col min="4353" max="4353" width="2" style="45" customWidth="1"/>
    <col min="4354" max="4354" width="20.46484375" style="45" customWidth="1"/>
    <col min="4355" max="4355" width="6.33203125" style="45" bestFit="1" customWidth="1"/>
    <col min="4356" max="4356" width="6.59765625" style="45" bestFit="1" customWidth="1"/>
    <col min="4357" max="4357" width="3.46484375" style="45" bestFit="1" customWidth="1"/>
    <col min="4358" max="4359" width="8.06640625" style="45" customWidth="1"/>
    <col min="4360" max="4360" width="5.46484375" style="45" customWidth="1"/>
    <col min="4361" max="4361" width="3.33203125" style="45" customWidth="1"/>
    <col min="4362" max="4362" width="3" style="45" bestFit="1" customWidth="1"/>
    <col min="4363" max="4364" width="8.06640625" style="45" customWidth="1"/>
    <col min="4365" max="4365" width="5.46484375" style="45" customWidth="1"/>
    <col min="4366" max="4366" width="3.33203125" style="45" customWidth="1"/>
    <col min="4367" max="4367" width="5.796875" style="45" customWidth="1"/>
    <col min="4368" max="4368" width="6.06640625" style="45" customWidth="1"/>
    <col min="4369" max="4369" width="5.73046875" style="45" bestFit="1" customWidth="1"/>
    <col min="4370" max="4370" width="8.6640625" style="45"/>
    <col min="4371" max="4371" width="7.796875" style="45" bestFit="1" customWidth="1"/>
    <col min="4372" max="4372" width="6.9296875" style="45" customWidth="1"/>
    <col min="4373" max="4374" width="8.6640625" style="45"/>
    <col min="4375" max="4375" width="7.796875" style="45" bestFit="1" customWidth="1"/>
    <col min="4376" max="4376" width="10.3984375" style="45" customWidth="1"/>
    <col min="4377" max="4607" width="8.6640625" style="45"/>
    <col min="4608" max="4608" width="6.640625E-2" style="45" customWidth="1"/>
    <col min="4609" max="4609" width="2" style="45" customWidth="1"/>
    <col min="4610" max="4610" width="20.46484375" style="45" customWidth="1"/>
    <col min="4611" max="4611" width="6.33203125" style="45" bestFit="1" customWidth="1"/>
    <col min="4612" max="4612" width="6.59765625" style="45" bestFit="1" customWidth="1"/>
    <col min="4613" max="4613" width="3.46484375" style="45" bestFit="1" customWidth="1"/>
    <col min="4614" max="4615" width="8.06640625" style="45" customWidth="1"/>
    <col min="4616" max="4616" width="5.46484375" style="45" customWidth="1"/>
    <col min="4617" max="4617" width="3.33203125" style="45" customWidth="1"/>
    <col min="4618" max="4618" width="3" style="45" bestFit="1" customWidth="1"/>
    <col min="4619" max="4620" width="8.06640625" style="45" customWidth="1"/>
    <col min="4621" max="4621" width="5.46484375" style="45" customWidth="1"/>
    <col min="4622" max="4622" width="3.33203125" style="45" customWidth="1"/>
    <col min="4623" max="4623" width="5.796875" style="45" customWidth="1"/>
    <col min="4624" max="4624" width="6.06640625" style="45" customWidth="1"/>
    <col min="4625" max="4625" width="5.73046875" style="45" bestFit="1" customWidth="1"/>
    <col min="4626" max="4626" width="8.6640625" style="45"/>
    <col min="4627" max="4627" width="7.796875" style="45" bestFit="1" customWidth="1"/>
    <col min="4628" max="4628" width="6.9296875" style="45" customWidth="1"/>
    <col min="4629" max="4630" width="8.6640625" style="45"/>
    <col min="4631" max="4631" width="7.796875" style="45" bestFit="1" customWidth="1"/>
    <col min="4632" max="4632" width="10.3984375" style="45" customWidth="1"/>
    <col min="4633" max="4863" width="8.6640625" style="45"/>
    <col min="4864" max="4864" width="6.640625E-2" style="45" customWidth="1"/>
    <col min="4865" max="4865" width="2" style="45" customWidth="1"/>
    <col min="4866" max="4866" width="20.46484375" style="45" customWidth="1"/>
    <col min="4867" max="4867" width="6.33203125" style="45" bestFit="1" customWidth="1"/>
    <col min="4868" max="4868" width="6.59765625" style="45" bestFit="1" customWidth="1"/>
    <col min="4869" max="4869" width="3.46484375" style="45" bestFit="1" customWidth="1"/>
    <col min="4870" max="4871" width="8.06640625" style="45" customWidth="1"/>
    <col min="4872" max="4872" width="5.46484375" style="45" customWidth="1"/>
    <col min="4873" max="4873" width="3.33203125" style="45" customWidth="1"/>
    <col min="4874" max="4874" width="3" style="45" bestFit="1" customWidth="1"/>
    <col min="4875" max="4876" width="8.06640625" style="45" customWidth="1"/>
    <col min="4877" max="4877" width="5.46484375" style="45" customWidth="1"/>
    <col min="4878" max="4878" width="3.33203125" style="45" customWidth="1"/>
    <col min="4879" max="4879" width="5.796875" style="45" customWidth="1"/>
    <col min="4880" max="4880" width="6.06640625" style="45" customWidth="1"/>
    <col min="4881" max="4881" width="5.73046875" style="45" bestFit="1" customWidth="1"/>
    <col min="4882" max="4882" width="8.6640625" style="45"/>
    <col min="4883" max="4883" width="7.796875" style="45" bestFit="1" customWidth="1"/>
    <col min="4884" max="4884" width="6.9296875" style="45" customWidth="1"/>
    <col min="4885" max="4886" width="8.6640625" style="45"/>
    <col min="4887" max="4887" width="7.796875" style="45" bestFit="1" customWidth="1"/>
    <col min="4888" max="4888" width="10.3984375" style="45" customWidth="1"/>
    <col min="4889" max="5119" width="8.6640625" style="45"/>
    <col min="5120" max="5120" width="6.640625E-2" style="45" customWidth="1"/>
    <col min="5121" max="5121" width="2" style="45" customWidth="1"/>
    <col min="5122" max="5122" width="20.46484375" style="45" customWidth="1"/>
    <col min="5123" max="5123" width="6.33203125" style="45" bestFit="1" customWidth="1"/>
    <col min="5124" max="5124" width="6.59765625" style="45" bestFit="1" customWidth="1"/>
    <col min="5125" max="5125" width="3.46484375" style="45" bestFit="1" customWidth="1"/>
    <col min="5126" max="5127" width="8.06640625" style="45" customWidth="1"/>
    <col min="5128" max="5128" width="5.46484375" style="45" customWidth="1"/>
    <col min="5129" max="5129" width="3.33203125" style="45" customWidth="1"/>
    <col min="5130" max="5130" width="3" style="45" bestFit="1" customWidth="1"/>
    <col min="5131" max="5132" width="8.06640625" style="45" customWidth="1"/>
    <col min="5133" max="5133" width="5.46484375" style="45" customWidth="1"/>
    <col min="5134" max="5134" width="3.33203125" style="45" customWidth="1"/>
    <col min="5135" max="5135" width="5.796875" style="45" customWidth="1"/>
    <col min="5136" max="5136" width="6.06640625" style="45" customWidth="1"/>
    <col min="5137" max="5137" width="5.73046875" style="45" bestFit="1" customWidth="1"/>
    <col min="5138" max="5138" width="8.6640625" style="45"/>
    <col min="5139" max="5139" width="7.796875" style="45" bestFit="1" customWidth="1"/>
    <col min="5140" max="5140" width="6.9296875" style="45" customWidth="1"/>
    <col min="5141" max="5142" width="8.6640625" style="45"/>
    <col min="5143" max="5143" width="7.796875" style="45" bestFit="1" customWidth="1"/>
    <col min="5144" max="5144" width="10.3984375" style="45" customWidth="1"/>
    <col min="5145" max="5375" width="8.6640625" style="45"/>
    <col min="5376" max="5376" width="6.640625E-2" style="45" customWidth="1"/>
    <col min="5377" max="5377" width="2" style="45" customWidth="1"/>
    <col min="5378" max="5378" width="20.46484375" style="45" customWidth="1"/>
    <col min="5379" max="5379" width="6.33203125" style="45" bestFit="1" customWidth="1"/>
    <col min="5380" max="5380" width="6.59765625" style="45" bestFit="1" customWidth="1"/>
    <col min="5381" max="5381" width="3.46484375" style="45" bestFit="1" customWidth="1"/>
    <col min="5382" max="5383" width="8.06640625" style="45" customWidth="1"/>
    <col min="5384" max="5384" width="5.46484375" style="45" customWidth="1"/>
    <col min="5385" max="5385" width="3.33203125" style="45" customWidth="1"/>
    <col min="5386" max="5386" width="3" style="45" bestFit="1" customWidth="1"/>
    <col min="5387" max="5388" width="8.06640625" style="45" customWidth="1"/>
    <col min="5389" max="5389" width="5.46484375" style="45" customWidth="1"/>
    <col min="5390" max="5390" width="3.33203125" style="45" customWidth="1"/>
    <col min="5391" max="5391" width="5.796875" style="45" customWidth="1"/>
    <col min="5392" max="5392" width="6.06640625" style="45" customWidth="1"/>
    <col min="5393" max="5393" width="5.73046875" style="45" bestFit="1" customWidth="1"/>
    <col min="5394" max="5394" width="8.6640625" style="45"/>
    <col min="5395" max="5395" width="7.796875" style="45" bestFit="1" customWidth="1"/>
    <col min="5396" max="5396" width="6.9296875" style="45" customWidth="1"/>
    <col min="5397" max="5398" width="8.6640625" style="45"/>
    <col min="5399" max="5399" width="7.796875" style="45" bestFit="1" customWidth="1"/>
    <col min="5400" max="5400" width="10.3984375" style="45" customWidth="1"/>
    <col min="5401" max="5631" width="8.6640625" style="45"/>
    <col min="5632" max="5632" width="6.640625E-2" style="45" customWidth="1"/>
    <col min="5633" max="5633" width="2" style="45" customWidth="1"/>
    <col min="5634" max="5634" width="20.46484375" style="45" customWidth="1"/>
    <col min="5635" max="5635" width="6.33203125" style="45" bestFit="1" customWidth="1"/>
    <col min="5636" max="5636" width="6.59765625" style="45" bestFit="1" customWidth="1"/>
    <col min="5637" max="5637" width="3.46484375" style="45" bestFit="1" customWidth="1"/>
    <col min="5638" max="5639" width="8.06640625" style="45" customWidth="1"/>
    <col min="5640" max="5640" width="5.46484375" style="45" customWidth="1"/>
    <col min="5641" max="5641" width="3.33203125" style="45" customWidth="1"/>
    <col min="5642" max="5642" width="3" style="45" bestFit="1" customWidth="1"/>
    <col min="5643" max="5644" width="8.06640625" style="45" customWidth="1"/>
    <col min="5645" max="5645" width="5.46484375" style="45" customWidth="1"/>
    <col min="5646" max="5646" width="3.33203125" style="45" customWidth="1"/>
    <col min="5647" max="5647" width="5.796875" style="45" customWidth="1"/>
    <col min="5648" max="5648" width="6.06640625" style="45" customWidth="1"/>
    <col min="5649" max="5649" width="5.73046875" style="45" bestFit="1" customWidth="1"/>
    <col min="5650" max="5650" width="8.6640625" style="45"/>
    <col min="5651" max="5651" width="7.796875" style="45" bestFit="1" customWidth="1"/>
    <col min="5652" max="5652" width="6.9296875" style="45" customWidth="1"/>
    <col min="5653" max="5654" width="8.6640625" style="45"/>
    <col min="5655" max="5655" width="7.796875" style="45" bestFit="1" customWidth="1"/>
    <col min="5656" max="5656" width="10.3984375" style="45" customWidth="1"/>
    <col min="5657" max="5887" width="8.6640625" style="45"/>
    <col min="5888" max="5888" width="6.640625E-2" style="45" customWidth="1"/>
    <col min="5889" max="5889" width="2" style="45" customWidth="1"/>
    <col min="5890" max="5890" width="20.46484375" style="45" customWidth="1"/>
    <col min="5891" max="5891" width="6.33203125" style="45" bestFit="1" customWidth="1"/>
    <col min="5892" max="5892" width="6.59765625" style="45" bestFit="1" customWidth="1"/>
    <col min="5893" max="5893" width="3.46484375" style="45" bestFit="1" customWidth="1"/>
    <col min="5894" max="5895" width="8.06640625" style="45" customWidth="1"/>
    <col min="5896" max="5896" width="5.46484375" style="45" customWidth="1"/>
    <col min="5897" max="5897" width="3.33203125" style="45" customWidth="1"/>
    <col min="5898" max="5898" width="3" style="45" bestFit="1" customWidth="1"/>
    <col min="5899" max="5900" width="8.06640625" style="45" customWidth="1"/>
    <col min="5901" max="5901" width="5.46484375" style="45" customWidth="1"/>
    <col min="5902" max="5902" width="3.33203125" style="45" customWidth="1"/>
    <col min="5903" max="5903" width="5.796875" style="45" customWidth="1"/>
    <col min="5904" max="5904" width="6.06640625" style="45" customWidth="1"/>
    <col min="5905" max="5905" width="5.73046875" style="45" bestFit="1" customWidth="1"/>
    <col min="5906" max="5906" width="8.6640625" style="45"/>
    <col min="5907" max="5907" width="7.796875" style="45" bestFit="1" customWidth="1"/>
    <col min="5908" max="5908" width="6.9296875" style="45" customWidth="1"/>
    <col min="5909" max="5910" width="8.6640625" style="45"/>
    <col min="5911" max="5911" width="7.796875" style="45" bestFit="1" customWidth="1"/>
    <col min="5912" max="5912" width="10.3984375" style="45" customWidth="1"/>
    <col min="5913" max="6143" width="8.6640625" style="45"/>
    <col min="6144" max="6144" width="6.640625E-2" style="45" customWidth="1"/>
    <col min="6145" max="6145" width="2" style="45" customWidth="1"/>
    <col min="6146" max="6146" width="20.46484375" style="45" customWidth="1"/>
    <col min="6147" max="6147" width="6.33203125" style="45" bestFit="1" customWidth="1"/>
    <col min="6148" max="6148" width="6.59765625" style="45" bestFit="1" customWidth="1"/>
    <col min="6149" max="6149" width="3.46484375" style="45" bestFit="1" customWidth="1"/>
    <col min="6150" max="6151" width="8.06640625" style="45" customWidth="1"/>
    <col min="6152" max="6152" width="5.46484375" style="45" customWidth="1"/>
    <col min="6153" max="6153" width="3.33203125" style="45" customWidth="1"/>
    <col min="6154" max="6154" width="3" style="45" bestFit="1" customWidth="1"/>
    <col min="6155" max="6156" width="8.06640625" style="45" customWidth="1"/>
    <col min="6157" max="6157" width="5.46484375" style="45" customWidth="1"/>
    <col min="6158" max="6158" width="3.33203125" style="45" customWidth="1"/>
    <col min="6159" max="6159" width="5.796875" style="45" customWidth="1"/>
    <col min="6160" max="6160" width="6.06640625" style="45" customWidth="1"/>
    <col min="6161" max="6161" width="5.73046875" style="45" bestFit="1" customWidth="1"/>
    <col min="6162" max="6162" width="8.6640625" style="45"/>
    <col min="6163" max="6163" width="7.796875" style="45" bestFit="1" customWidth="1"/>
    <col min="6164" max="6164" width="6.9296875" style="45" customWidth="1"/>
    <col min="6165" max="6166" width="8.6640625" style="45"/>
    <col min="6167" max="6167" width="7.796875" style="45" bestFit="1" customWidth="1"/>
    <col min="6168" max="6168" width="10.3984375" style="45" customWidth="1"/>
    <col min="6169" max="6399" width="8.6640625" style="45"/>
    <col min="6400" max="6400" width="6.640625E-2" style="45" customWidth="1"/>
    <col min="6401" max="6401" width="2" style="45" customWidth="1"/>
    <col min="6402" max="6402" width="20.46484375" style="45" customWidth="1"/>
    <col min="6403" max="6403" width="6.33203125" style="45" bestFit="1" customWidth="1"/>
    <col min="6404" max="6404" width="6.59765625" style="45" bestFit="1" customWidth="1"/>
    <col min="6405" max="6405" width="3.46484375" style="45" bestFit="1" customWidth="1"/>
    <col min="6406" max="6407" width="8.06640625" style="45" customWidth="1"/>
    <col min="6408" max="6408" width="5.46484375" style="45" customWidth="1"/>
    <col min="6409" max="6409" width="3.33203125" style="45" customWidth="1"/>
    <col min="6410" max="6410" width="3" style="45" bestFit="1" customWidth="1"/>
    <col min="6411" max="6412" width="8.06640625" style="45" customWidth="1"/>
    <col min="6413" max="6413" width="5.46484375" style="45" customWidth="1"/>
    <col min="6414" max="6414" width="3.33203125" style="45" customWidth="1"/>
    <col min="6415" max="6415" width="5.796875" style="45" customWidth="1"/>
    <col min="6416" max="6416" width="6.06640625" style="45" customWidth="1"/>
    <col min="6417" max="6417" width="5.73046875" style="45" bestFit="1" customWidth="1"/>
    <col min="6418" max="6418" width="8.6640625" style="45"/>
    <col min="6419" max="6419" width="7.796875" style="45" bestFit="1" customWidth="1"/>
    <col min="6420" max="6420" width="6.9296875" style="45" customWidth="1"/>
    <col min="6421" max="6422" width="8.6640625" style="45"/>
    <col min="6423" max="6423" width="7.796875" style="45" bestFit="1" customWidth="1"/>
    <col min="6424" max="6424" width="10.3984375" style="45" customWidth="1"/>
    <col min="6425" max="6655" width="8.6640625" style="45"/>
    <col min="6656" max="6656" width="6.640625E-2" style="45" customWidth="1"/>
    <col min="6657" max="6657" width="2" style="45" customWidth="1"/>
    <col min="6658" max="6658" width="20.46484375" style="45" customWidth="1"/>
    <col min="6659" max="6659" width="6.33203125" style="45" bestFit="1" customWidth="1"/>
    <col min="6660" max="6660" width="6.59765625" style="45" bestFit="1" customWidth="1"/>
    <col min="6661" max="6661" width="3.46484375" style="45" bestFit="1" customWidth="1"/>
    <col min="6662" max="6663" width="8.06640625" style="45" customWidth="1"/>
    <col min="6664" max="6664" width="5.46484375" style="45" customWidth="1"/>
    <col min="6665" max="6665" width="3.33203125" style="45" customWidth="1"/>
    <col min="6666" max="6666" width="3" style="45" bestFit="1" customWidth="1"/>
    <col min="6667" max="6668" width="8.06640625" style="45" customWidth="1"/>
    <col min="6669" max="6669" width="5.46484375" style="45" customWidth="1"/>
    <col min="6670" max="6670" width="3.33203125" style="45" customWidth="1"/>
    <col min="6671" max="6671" width="5.796875" style="45" customWidth="1"/>
    <col min="6672" max="6672" width="6.06640625" style="45" customWidth="1"/>
    <col min="6673" max="6673" width="5.73046875" style="45" bestFit="1" customWidth="1"/>
    <col min="6674" max="6674" width="8.6640625" style="45"/>
    <col min="6675" max="6675" width="7.796875" style="45" bestFit="1" customWidth="1"/>
    <col min="6676" max="6676" width="6.9296875" style="45" customWidth="1"/>
    <col min="6677" max="6678" width="8.6640625" style="45"/>
    <col min="6679" max="6679" width="7.796875" style="45" bestFit="1" customWidth="1"/>
    <col min="6680" max="6680" width="10.3984375" style="45" customWidth="1"/>
    <col min="6681" max="6911" width="8.6640625" style="45"/>
    <col min="6912" max="6912" width="6.640625E-2" style="45" customWidth="1"/>
    <col min="6913" max="6913" width="2" style="45" customWidth="1"/>
    <col min="6914" max="6914" width="20.46484375" style="45" customWidth="1"/>
    <col min="6915" max="6915" width="6.33203125" style="45" bestFit="1" customWidth="1"/>
    <col min="6916" max="6916" width="6.59765625" style="45" bestFit="1" customWidth="1"/>
    <col min="6917" max="6917" width="3.46484375" style="45" bestFit="1" customWidth="1"/>
    <col min="6918" max="6919" width="8.06640625" style="45" customWidth="1"/>
    <col min="6920" max="6920" width="5.46484375" style="45" customWidth="1"/>
    <col min="6921" max="6921" width="3.33203125" style="45" customWidth="1"/>
    <col min="6922" max="6922" width="3" style="45" bestFit="1" customWidth="1"/>
    <col min="6923" max="6924" width="8.06640625" style="45" customWidth="1"/>
    <col min="6925" max="6925" width="5.46484375" style="45" customWidth="1"/>
    <col min="6926" max="6926" width="3.33203125" style="45" customWidth="1"/>
    <col min="6927" max="6927" width="5.796875" style="45" customWidth="1"/>
    <col min="6928" max="6928" width="6.06640625" style="45" customWidth="1"/>
    <col min="6929" max="6929" width="5.73046875" style="45" bestFit="1" customWidth="1"/>
    <col min="6930" max="6930" width="8.6640625" style="45"/>
    <col min="6931" max="6931" width="7.796875" style="45" bestFit="1" customWidth="1"/>
    <col min="6932" max="6932" width="6.9296875" style="45" customWidth="1"/>
    <col min="6933" max="6934" width="8.6640625" style="45"/>
    <col min="6935" max="6935" width="7.796875" style="45" bestFit="1" customWidth="1"/>
    <col min="6936" max="6936" width="10.3984375" style="45" customWidth="1"/>
    <col min="6937" max="7167" width="8.6640625" style="45"/>
    <col min="7168" max="7168" width="6.640625E-2" style="45" customWidth="1"/>
    <col min="7169" max="7169" width="2" style="45" customWidth="1"/>
    <col min="7170" max="7170" width="20.46484375" style="45" customWidth="1"/>
    <col min="7171" max="7171" width="6.33203125" style="45" bestFit="1" customWidth="1"/>
    <col min="7172" max="7172" width="6.59765625" style="45" bestFit="1" customWidth="1"/>
    <col min="7173" max="7173" width="3.46484375" style="45" bestFit="1" customWidth="1"/>
    <col min="7174" max="7175" width="8.06640625" style="45" customWidth="1"/>
    <col min="7176" max="7176" width="5.46484375" style="45" customWidth="1"/>
    <col min="7177" max="7177" width="3.33203125" style="45" customWidth="1"/>
    <col min="7178" max="7178" width="3" style="45" bestFit="1" customWidth="1"/>
    <col min="7179" max="7180" width="8.06640625" style="45" customWidth="1"/>
    <col min="7181" max="7181" width="5.46484375" style="45" customWidth="1"/>
    <col min="7182" max="7182" width="3.33203125" style="45" customWidth="1"/>
    <col min="7183" max="7183" width="5.796875" style="45" customWidth="1"/>
    <col min="7184" max="7184" width="6.06640625" style="45" customWidth="1"/>
    <col min="7185" max="7185" width="5.73046875" style="45" bestFit="1" customWidth="1"/>
    <col min="7186" max="7186" width="8.6640625" style="45"/>
    <col min="7187" max="7187" width="7.796875" style="45" bestFit="1" customWidth="1"/>
    <col min="7188" max="7188" width="6.9296875" style="45" customWidth="1"/>
    <col min="7189" max="7190" width="8.6640625" style="45"/>
    <col min="7191" max="7191" width="7.796875" style="45" bestFit="1" customWidth="1"/>
    <col min="7192" max="7192" width="10.3984375" style="45" customWidth="1"/>
    <col min="7193" max="7423" width="8.6640625" style="45"/>
    <col min="7424" max="7424" width="6.640625E-2" style="45" customWidth="1"/>
    <col min="7425" max="7425" width="2" style="45" customWidth="1"/>
    <col min="7426" max="7426" width="20.46484375" style="45" customWidth="1"/>
    <col min="7427" max="7427" width="6.33203125" style="45" bestFit="1" customWidth="1"/>
    <col min="7428" max="7428" width="6.59765625" style="45" bestFit="1" customWidth="1"/>
    <col min="7429" max="7429" width="3.46484375" style="45" bestFit="1" customWidth="1"/>
    <col min="7430" max="7431" width="8.06640625" style="45" customWidth="1"/>
    <col min="7432" max="7432" width="5.46484375" style="45" customWidth="1"/>
    <col min="7433" max="7433" width="3.33203125" style="45" customWidth="1"/>
    <col min="7434" max="7434" width="3" style="45" bestFit="1" customWidth="1"/>
    <col min="7435" max="7436" width="8.06640625" style="45" customWidth="1"/>
    <col min="7437" max="7437" width="5.46484375" style="45" customWidth="1"/>
    <col min="7438" max="7438" width="3.33203125" style="45" customWidth="1"/>
    <col min="7439" max="7439" width="5.796875" style="45" customWidth="1"/>
    <col min="7440" max="7440" width="6.06640625" style="45" customWidth="1"/>
    <col min="7441" max="7441" width="5.73046875" style="45" bestFit="1" customWidth="1"/>
    <col min="7442" max="7442" width="8.6640625" style="45"/>
    <col min="7443" max="7443" width="7.796875" style="45" bestFit="1" customWidth="1"/>
    <col min="7444" max="7444" width="6.9296875" style="45" customWidth="1"/>
    <col min="7445" max="7446" width="8.6640625" style="45"/>
    <col min="7447" max="7447" width="7.796875" style="45" bestFit="1" customWidth="1"/>
    <col min="7448" max="7448" width="10.3984375" style="45" customWidth="1"/>
    <col min="7449" max="7679" width="8.6640625" style="45"/>
    <col min="7680" max="7680" width="6.640625E-2" style="45" customWidth="1"/>
    <col min="7681" max="7681" width="2" style="45" customWidth="1"/>
    <col min="7682" max="7682" width="20.46484375" style="45" customWidth="1"/>
    <col min="7683" max="7683" width="6.33203125" style="45" bestFit="1" customWidth="1"/>
    <col min="7684" max="7684" width="6.59765625" style="45" bestFit="1" customWidth="1"/>
    <col min="7685" max="7685" width="3.46484375" style="45" bestFit="1" customWidth="1"/>
    <col min="7686" max="7687" width="8.06640625" style="45" customWidth="1"/>
    <col min="7688" max="7688" width="5.46484375" style="45" customWidth="1"/>
    <col min="7689" max="7689" width="3.33203125" style="45" customWidth="1"/>
    <col min="7690" max="7690" width="3" style="45" bestFit="1" customWidth="1"/>
    <col min="7691" max="7692" width="8.06640625" style="45" customWidth="1"/>
    <col min="7693" max="7693" width="5.46484375" style="45" customWidth="1"/>
    <col min="7694" max="7694" width="3.33203125" style="45" customWidth="1"/>
    <col min="7695" max="7695" width="5.796875" style="45" customWidth="1"/>
    <col min="7696" max="7696" width="6.06640625" style="45" customWidth="1"/>
    <col min="7697" max="7697" width="5.73046875" style="45" bestFit="1" customWidth="1"/>
    <col min="7698" max="7698" width="8.6640625" style="45"/>
    <col min="7699" max="7699" width="7.796875" style="45" bestFit="1" customWidth="1"/>
    <col min="7700" max="7700" width="6.9296875" style="45" customWidth="1"/>
    <col min="7701" max="7702" width="8.6640625" style="45"/>
    <col min="7703" max="7703" width="7.796875" style="45" bestFit="1" customWidth="1"/>
    <col min="7704" max="7704" width="10.3984375" style="45" customWidth="1"/>
    <col min="7705" max="7935" width="8.6640625" style="45"/>
    <col min="7936" max="7936" width="6.640625E-2" style="45" customWidth="1"/>
    <col min="7937" max="7937" width="2" style="45" customWidth="1"/>
    <col min="7938" max="7938" width="20.46484375" style="45" customWidth="1"/>
    <col min="7939" max="7939" width="6.33203125" style="45" bestFit="1" customWidth="1"/>
    <col min="7940" max="7940" width="6.59765625" style="45" bestFit="1" customWidth="1"/>
    <col min="7941" max="7941" width="3.46484375" style="45" bestFit="1" customWidth="1"/>
    <col min="7942" max="7943" width="8.06640625" style="45" customWidth="1"/>
    <col min="7944" max="7944" width="5.46484375" style="45" customWidth="1"/>
    <col min="7945" max="7945" width="3.33203125" style="45" customWidth="1"/>
    <col min="7946" max="7946" width="3" style="45" bestFit="1" customWidth="1"/>
    <col min="7947" max="7948" width="8.06640625" style="45" customWidth="1"/>
    <col min="7949" max="7949" width="5.46484375" style="45" customWidth="1"/>
    <col min="7950" max="7950" width="3.33203125" style="45" customWidth="1"/>
    <col min="7951" max="7951" width="5.796875" style="45" customWidth="1"/>
    <col min="7952" max="7952" width="6.06640625" style="45" customWidth="1"/>
    <col min="7953" max="7953" width="5.73046875" style="45" bestFit="1" customWidth="1"/>
    <col min="7954" max="7954" width="8.6640625" style="45"/>
    <col min="7955" max="7955" width="7.796875" style="45" bestFit="1" customWidth="1"/>
    <col min="7956" max="7956" width="6.9296875" style="45" customWidth="1"/>
    <col min="7957" max="7958" width="8.6640625" style="45"/>
    <col min="7959" max="7959" width="7.796875" style="45" bestFit="1" customWidth="1"/>
    <col min="7960" max="7960" width="10.3984375" style="45" customWidth="1"/>
    <col min="7961" max="8191" width="8.6640625" style="45"/>
    <col min="8192" max="8192" width="6.640625E-2" style="45" customWidth="1"/>
    <col min="8193" max="8193" width="2" style="45" customWidth="1"/>
    <col min="8194" max="8194" width="20.46484375" style="45" customWidth="1"/>
    <col min="8195" max="8195" width="6.33203125" style="45" bestFit="1" customWidth="1"/>
    <col min="8196" max="8196" width="6.59765625" style="45" bestFit="1" customWidth="1"/>
    <col min="8197" max="8197" width="3.46484375" style="45" bestFit="1" customWidth="1"/>
    <col min="8198" max="8199" width="8.06640625" style="45" customWidth="1"/>
    <col min="8200" max="8200" width="5.46484375" style="45" customWidth="1"/>
    <col min="8201" max="8201" width="3.33203125" style="45" customWidth="1"/>
    <col min="8202" max="8202" width="3" style="45" bestFit="1" customWidth="1"/>
    <col min="8203" max="8204" width="8.06640625" style="45" customWidth="1"/>
    <col min="8205" max="8205" width="5.46484375" style="45" customWidth="1"/>
    <col min="8206" max="8206" width="3.33203125" style="45" customWidth="1"/>
    <col min="8207" max="8207" width="5.796875" style="45" customWidth="1"/>
    <col min="8208" max="8208" width="6.06640625" style="45" customWidth="1"/>
    <col min="8209" max="8209" width="5.73046875" style="45" bestFit="1" customWidth="1"/>
    <col min="8210" max="8210" width="8.6640625" style="45"/>
    <col min="8211" max="8211" width="7.796875" style="45" bestFit="1" customWidth="1"/>
    <col min="8212" max="8212" width="6.9296875" style="45" customWidth="1"/>
    <col min="8213" max="8214" width="8.6640625" style="45"/>
    <col min="8215" max="8215" width="7.796875" style="45" bestFit="1" customWidth="1"/>
    <col min="8216" max="8216" width="10.3984375" style="45" customWidth="1"/>
    <col min="8217" max="8447" width="8.6640625" style="45"/>
    <col min="8448" max="8448" width="6.640625E-2" style="45" customWidth="1"/>
    <col min="8449" max="8449" width="2" style="45" customWidth="1"/>
    <col min="8450" max="8450" width="20.46484375" style="45" customWidth="1"/>
    <col min="8451" max="8451" width="6.33203125" style="45" bestFit="1" customWidth="1"/>
    <col min="8452" max="8452" width="6.59765625" style="45" bestFit="1" customWidth="1"/>
    <col min="8453" max="8453" width="3.46484375" style="45" bestFit="1" customWidth="1"/>
    <col min="8454" max="8455" width="8.06640625" style="45" customWidth="1"/>
    <col min="8456" max="8456" width="5.46484375" style="45" customWidth="1"/>
    <col min="8457" max="8457" width="3.33203125" style="45" customWidth="1"/>
    <col min="8458" max="8458" width="3" style="45" bestFit="1" customWidth="1"/>
    <col min="8459" max="8460" width="8.06640625" style="45" customWidth="1"/>
    <col min="8461" max="8461" width="5.46484375" style="45" customWidth="1"/>
    <col min="8462" max="8462" width="3.33203125" style="45" customWidth="1"/>
    <col min="8463" max="8463" width="5.796875" style="45" customWidth="1"/>
    <col min="8464" max="8464" width="6.06640625" style="45" customWidth="1"/>
    <col min="8465" max="8465" width="5.73046875" style="45" bestFit="1" customWidth="1"/>
    <col min="8466" max="8466" width="8.6640625" style="45"/>
    <col min="8467" max="8467" width="7.796875" style="45" bestFit="1" customWidth="1"/>
    <col min="8468" max="8468" width="6.9296875" style="45" customWidth="1"/>
    <col min="8469" max="8470" width="8.6640625" style="45"/>
    <col min="8471" max="8471" width="7.796875" style="45" bestFit="1" customWidth="1"/>
    <col min="8472" max="8472" width="10.3984375" style="45" customWidth="1"/>
    <col min="8473" max="8703" width="8.6640625" style="45"/>
    <col min="8704" max="8704" width="6.640625E-2" style="45" customWidth="1"/>
    <col min="8705" max="8705" width="2" style="45" customWidth="1"/>
    <col min="8706" max="8706" width="20.46484375" style="45" customWidth="1"/>
    <col min="8707" max="8707" width="6.33203125" style="45" bestFit="1" customWidth="1"/>
    <col min="8708" max="8708" width="6.59765625" style="45" bestFit="1" customWidth="1"/>
    <col min="8709" max="8709" width="3.46484375" style="45" bestFit="1" customWidth="1"/>
    <col min="8710" max="8711" width="8.06640625" style="45" customWidth="1"/>
    <col min="8712" max="8712" width="5.46484375" style="45" customWidth="1"/>
    <col min="8713" max="8713" width="3.33203125" style="45" customWidth="1"/>
    <col min="8714" max="8714" width="3" style="45" bestFit="1" customWidth="1"/>
    <col min="8715" max="8716" width="8.06640625" style="45" customWidth="1"/>
    <col min="8717" max="8717" width="5.46484375" style="45" customWidth="1"/>
    <col min="8718" max="8718" width="3.33203125" style="45" customWidth="1"/>
    <col min="8719" max="8719" width="5.796875" style="45" customWidth="1"/>
    <col min="8720" max="8720" width="6.06640625" style="45" customWidth="1"/>
    <col min="8721" max="8721" width="5.73046875" style="45" bestFit="1" customWidth="1"/>
    <col min="8722" max="8722" width="8.6640625" style="45"/>
    <col min="8723" max="8723" width="7.796875" style="45" bestFit="1" customWidth="1"/>
    <col min="8724" max="8724" width="6.9296875" style="45" customWidth="1"/>
    <col min="8725" max="8726" width="8.6640625" style="45"/>
    <col min="8727" max="8727" width="7.796875" style="45" bestFit="1" customWidth="1"/>
    <col min="8728" max="8728" width="10.3984375" style="45" customWidth="1"/>
    <col min="8729" max="8959" width="8.6640625" style="45"/>
    <col min="8960" max="8960" width="6.640625E-2" style="45" customWidth="1"/>
    <col min="8961" max="8961" width="2" style="45" customWidth="1"/>
    <col min="8962" max="8962" width="20.46484375" style="45" customWidth="1"/>
    <col min="8963" max="8963" width="6.33203125" style="45" bestFit="1" customWidth="1"/>
    <col min="8964" max="8964" width="6.59765625" style="45" bestFit="1" customWidth="1"/>
    <col min="8965" max="8965" width="3.46484375" style="45" bestFit="1" customWidth="1"/>
    <col min="8966" max="8967" width="8.06640625" style="45" customWidth="1"/>
    <col min="8968" max="8968" width="5.46484375" style="45" customWidth="1"/>
    <col min="8969" max="8969" width="3.33203125" style="45" customWidth="1"/>
    <col min="8970" max="8970" width="3" style="45" bestFit="1" customWidth="1"/>
    <col min="8971" max="8972" width="8.06640625" style="45" customWidth="1"/>
    <col min="8973" max="8973" width="5.46484375" style="45" customWidth="1"/>
    <col min="8974" max="8974" width="3.33203125" style="45" customWidth="1"/>
    <col min="8975" max="8975" width="5.796875" style="45" customWidth="1"/>
    <col min="8976" max="8976" width="6.06640625" style="45" customWidth="1"/>
    <col min="8977" max="8977" width="5.73046875" style="45" bestFit="1" customWidth="1"/>
    <col min="8978" max="8978" width="8.6640625" style="45"/>
    <col min="8979" max="8979" width="7.796875" style="45" bestFit="1" customWidth="1"/>
    <col min="8980" max="8980" width="6.9296875" style="45" customWidth="1"/>
    <col min="8981" max="8982" width="8.6640625" style="45"/>
    <col min="8983" max="8983" width="7.796875" style="45" bestFit="1" customWidth="1"/>
    <col min="8984" max="8984" width="10.3984375" style="45" customWidth="1"/>
    <col min="8985" max="9215" width="8.6640625" style="45"/>
    <col min="9216" max="9216" width="6.640625E-2" style="45" customWidth="1"/>
    <col min="9217" max="9217" width="2" style="45" customWidth="1"/>
    <col min="9218" max="9218" width="20.46484375" style="45" customWidth="1"/>
    <col min="9219" max="9219" width="6.33203125" style="45" bestFit="1" customWidth="1"/>
    <col min="9220" max="9220" width="6.59765625" style="45" bestFit="1" customWidth="1"/>
    <col min="9221" max="9221" width="3.46484375" style="45" bestFit="1" customWidth="1"/>
    <col min="9222" max="9223" width="8.06640625" style="45" customWidth="1"/>
    <col min="9224" max="9224" width="5.46484375" style="45" customWidth="1"/>
    <col min="9225" max="9225" width="3.33203125" style="45" customWidth="1"/>
    <col min="9226" max="9226" width="3" style="45" bestFit="1" customWidth="1"/>
    <col min="9227" max="9228" width="8.06640625" style="45" customWidth="1"/>
    <col min="9229" max="9229" width="5.46484375" style="45" customWidth="1"/>
    <col min="9230" max="9230" width="3.33203125" style="45" customWidth="1"/>
    <col min="9231" max="9231" width="5.796875" style="45" customWidth="1"/>
    <col min="9232" max="9232" width="6.06640625" style="45" customWidth="1"/>
    <col min="9233" max="9233" width="5.73046875" style="45" bestFit="1" customWidth="1"/>
    <col min="9234" max="9234" width="8.6640625" style="45"/>
    <col min="9235" max="9235" width="7.796875" style="45" bestFit="1" customWidth="1"/>
    <col min="9236" max="9236" width="6.9296875" style="45" customWidth="1"/>
    <col min="9237" max="9238" width="8.6640625" style="45"/>
    <col min="9239" max="9239" width="7.796875" style="45" bestFit="1" customWidth="1"/>
    <col min="9240" max="9240" width="10.3984375" style="45" customWidth="1"/>
    <col min="9241" max="9471" width="8.6640625" style="45"/>
    <col min="9472" max="9472" width="6.640625E-2" style="45" customWidth="1"/>
    <col min="9473" max="9473" width="2" style="45" customWidth="1"/>
    <col min="9474" max="9474" width="20.46484375" style="45" customWidth="1"/>
    <col min="9475" max="9475" width="6.33203125" style="45" bestFit="1" customWidth="1"/>
    <col min="9476" max="9476" width="6.59765625" style="45" bestFit="1" customWidth="1"/>
    <col min="9477" max="9477" width="3.46484375" style="45" bestFit="1" customWidth="1"/>
    <col min="9478" max="9479" width="8.06640625" style="45" customWidth="1"/>
    <col min="9480" max="9480" width="5.46484375" style="45" customWidth="1"/>
    <col min="9481" max="9481" width="3.33203125" style="45" customWidth="1"/>
    <col min="9482" max="9482" width="3" style="45" bestFit="1" customWidth="1"/>
    <col min="9483" max="9484" width="8.06640625" style="45" customWidth="1"/>
    <col min="9485" max="9485" width="5.46484375" style="45" customWidth="1"/>
    <col min="9486" max="9486" width="3.33203125" style="45" customWidth="1"/>
    <col min="9487" max="9487" width="5.796875" style="45" customWidth="1"/>
    <col min="9488" max="9488" width="6.06640625" style="45" customWidth="1"/>
    <col min="9489" max="9489" width="5.73046875" style="45" bestFit="1" customWidth="1"/>
    <col min="9490" max="9490" width="8.6640625" style="45"/>
    <col min="9491" max="9491" width="7.796875" style="45" bestFit="1" customWidth="1"/>
    <col min="9492" max="9492" width="6.9296875" style="45" customWidth="1"/>
    <col min="9493" max="9494" width="8.6640625" style="45"/>
    <col min="9495" max="9495" width="7.796875" style="45" bestFit="1" customWidth="1"/>
    <col min="9496" max="9496" width="10.3984375" style="45" customWidth="1"/>
    <col min="9497" max="9727" width="8.6640625" style="45"/>
    <col min="9728" max="9728" width="6.640625E-2" style="45" customWidth="1"/>
    <col min="9729" max="9729" width="2" style="45" customWidth="1"/>
    <col min="9730" max="9730" width="20.46484375" style="45" customWidth="1"/>
    <col min="9731" max="9731" width="6.33203125" style="45" bestFit="1" customWidth="1"/>
    <col min="9732" max="9732" width="6.59765625" style="45" bestFit="1" customWidth="1"/>
    <col min="9733" max="9733" width="3.46484375" style="45" bestFit="1" customWidth="1"/>
    <col min="9734" max="9735" width="8.06640625" style="45" customWidth="1"/>
    <col min="9736" max="9736" width="5.46484375" style="45" customWidth="1"/>
    <col min="9737" max="9737" width="3.33203125" style="45" customWidth="1"/>
    <col min="9738" max="9738" width="3" style="45" bestFit="1" customWidth="1"/>
    <col min="9739" max="9740" width="8.06640625" style="45" customWidth="1"/>
    <col min="9741" max="9741" width="5.46484375" style="45" customWidth="1"/>
    <col min="9742" max="9742" width="3.33203125" style="45" customWidth="1"/>
    <col min="9743" max="9743" width="5.796875" style="45" customWidth="1"/>
    <col min="9744" max="9744" width="6.06640625" style="45" customWidth="1"/>
    <col min="9745" max="9745" width="5.73046875" style="45" bestFit="1" customWidth="1"/>
    <col min="9746" max="9746" width="8.6640625" style="45"/>
    <col min="9747" max="9747" width="7.796875" style="45" bestFit="1" customWidth="1"/>
    <col min="9748" max="9748" width="6.9296875" style="45" customWidth="1"/>
    <col min="9749" max="9750" width="8.6640625" style="45"/>
    <col min="9751" max="9751" width="7.796875" style="45" bestFit="1" customWidth="1"/>
    <col min="9752" max="9752" width="10.3984375" style="45" customWidth="1"/>
    <col min="9753" max="9983" width="8.6640625" style="45"/>
    <col min="9984" max="9984" width="6.640625E-2" style="45" customWidth="1"/>
    <col min="9985" max="9985" width="2" style="45" customWidth="1"/>
    <col min="9986" max="9986" width="20.46484375" style="45" customWidth="1"/>
    <col min="9987" max="9987" width="6.33203125" style="45" bestFit="1" customWidth="1"/>
    <col min="9988" max="9988" width="6.59765625" style="45" bestFit="1" customWidth="1"/>
    <col min="9989" max="9989" width="3.46484375" style="45" bestFit="1" customWidth="1"/>
    <col min="9990" max="9991" width="8.06640625" style="45" customWidth="1"/>
    <col min="9992" max="9992" width="5.46484375" style="45" customWidth="1"/>
    <col min="9993" max="9993" width="3.33203125" style="45" customWidth="1"/>
    <col min="9994" max="9994" width="3" style="45" bestFit="1" customWidth="1"/>
    <col min="9995" max="9996" width="8.06640625" style="45" customWidth="1"/>
    <col min="9997" max="9997" width="5.46484375" style="45" customWidth="1"/>
    <col min="9998" max="9998" width="3.33203125" style="45" customWidth="1"/>
    <col min="9999" max="9999" width="5.796875" style="45" customWidth="1"/>
    <col min="10000" max="10000" width="6.06640625" style="45" customWidth="1"/>
    <col min="10001" max="10001" width="5.73046875" style="45" bestFit="1" customWidth="1"/>
    <col min="10002" max="10002" width="8.6640625" style="45"/>
    <col min="10003" max="10003" width="7.796875" style="45" bestFit="1" customWidth="1"/>
    <col min="10004" max="10004" width="6.9296875" style="45" customWidth="1"/>
    <col min="10005" max="10006" width="8.6640625" style="45"/>
    <col min="10007" max="10007" width="7.796875" style="45" bestFit="1" customWidth="1"/>
    <col min="10008" max="10008" width="10.3984375" style="45" customWidth="1"/>
    <col min="10009" max="10239" width="8.6640625" style="45"/>
    <col min="10240" max="10240" width="6.640625E-2" style="45" customWidth="1"/>
    <col min="10241" max="10241" width="2" style="45" customWidth="1"/>
    <col min="10242" max="10242" width="20.46484375" style="45" customWidth="1"/>
    <col min="10243" max="10243" width="6.33203125" style="45" bestFit="1" customWidth="1"/>
    <col min="10244" max="10244" width="6.59765625" style="45" bestFit="1" customWidth="1"/>
    <col min="10245" max="10245" width="3.46484375" style="45" bestFit="1" customWidth="1"/>
    <col min="10246" max="10247" width="8.06640625" style="45" customWidth="1"/>
    <col min="10248" max="10248" width="5.46484375" style="45" customWidth="1"/>
    <col min="10249" max="10249" width="3.33203125" style="45" customWidth="1"/>
    <col min="10250" max="10250" width="3" style="45" bestFit="1" customWidth="1"/>
    <col min="10251" max="10252" width="8.06640625" style="45" customWidth="1"/>
    <col min="10253" max="10253" width="5.46484375" style="45" customWidth="1"/>
    <col min="10254" max="10254" width="3.33203125" style="45" customWidth="1"/>
    <col min="10255" max="10255" width="5.796875" style="45" customWidth="1"/>
    <col min="10256" max="10256" width="6.06640625" style="45" customWidth="1"/>
    <col min="10257" max="10257" width="5.73046875" style="45" bestFit="1" customWidth="1"/>
    <col min="10258" max="10258" width="8.6640625" style="45"/>
    <col min="10259" max="10259" width="7.796875" style="45" bestFit="1" customWidth="1"/>
    <col min="10260" max="10260" width="6.9296875" style="45" customWidth="1"/>
    <col min="10261" max="10262" width="8.6640625" style="45"/>
    <col min="10263" max="10263" width="7.796875" style="45" bestFit="1" customWidth="1"/>
    <col min="10264" max="10264" width="10.3984375" style="45" customWidth="1"/>
    <col min="10265" max="10495" width="8.6640625" style="45"/>
    <col min="10496" max="10496" width="6.640625E-2" style="45" customWidth="1"/>
    <col min="10497" max="10497" width="2" style="45" customWidth="1"/>
    <col min="10498" max="10498" width="20.46484375" style="45" customWidth="1"/>
    <col min="10499" max="10499" width="6.33203125" style="45" bestFit="1" customWidth="1"/>
    <col min="10500" max="10500" width="6.59765625" style="45" bestFit="1" customWidth="1"/>
    <col min="10501" max="10501" width="3.46484375" style="45" bestFit="1" customWidth="1"/>
    <col min="10502" max="10503" width="8.06640625" style="45" customWidth="1"/>
    <col min="10504" max="10504" width="5.46484375" style="45" customWidth="1"/>
    <col min="10505" max="10505" width="3.33203125" style="45" customWidth="1"/>
    <col min="10506" max="10506" width="3" style="45" bestFit="1" customWidth="1"/>
    <col min="10507" max="10508" width="8.06640625" style="45" customWidth="1"/>
    <col min="10509" max="10509" width="5.46484375" style="45" customWidth="1"/>
    <col min="10510" max="10510" width="3.33203125" style="45" customWidth="1"/>
    <col min="10511" max="10511" width="5.796875" style="45" customWidth="1"/>
    <col min="10512" max="10512" width="6.06640625" style="45" customWidth="1"/>
    <col min="10513" max="10513" width="5.73046875" style="45" bestFit="1" customWidth="1"/>
    <col min="10514" max="10514" width="8.6640625" style="45"/>
    <col min="10515" max="10515" width="7.796875" style="45" bestFit="1" customWidth="1"/>
    <col min="10516" max="10516" width="6.9296875" style="45" customWidth="1"/>
    <col min="10517" max="10518" width="8.6640625" style="45"/>
    <col min="10519" max="10519" width="7.796875" style="45" bestFit="1" customWidth="1"/>
    <col min="10520" max="10520" width="10.3984375" style="45" customWidth="1"/>
    <col min="10521" max="10751" width="8.6640625" style="45"/>
    <col min="10752" max="10752" width="6.640625E-2" style="45" customWidth="1"/>
    <col min="10753" max="10753" width="2" style="45" customWidth="1"/>
    <col min="10754" max="10754" width="20.46484375" style="45" customWidth="1"/>
    <col min="10755" max="10755" width="6.33203125" style="45" bestFit="1" customWidth="1"/>
    <col min="10756" max="10756" width="6.59765625" style="45" bestFit="1" customWidth="1"/>
    <col min="10757" max="10757" width="3.46484375" style="45" bestFit="1" customWidth="1"/>
    <col min="10758" max="10759" width="8.06640625" style="45" customWidth="1"/>
    <col min="10760" max="10760" width="5.46484375" style="45" customWidth="1"/>
    <col min="10761" max="10761" width="3.33203125" style="45" customWidth="1"/>
    <col min="10762" max="10762" width="3" style="45" bestFit="1" customWidth="1"/>
    <col min="10763" max="10764" width="8.06640625" style="45" customWidth="1"/>
    <col min="10765" max="10765" width="5.46484375" style="45" customWidth="1"/>
    <col min="10766" max="10766" width="3.33203125" style="45" customWidth="1"/>
    <col min="10767" max="10767" width="5.796875" style="45" customWidth="1"/>
    <col min="10768" max="10768" width="6.06640625" style="45" customWidth="1"/>
    <col min="10769" max="10769" width="5.73046875" style="45" bestFit="1" customWidth="1"/>
    <col min="10770" max="10770" width="8.6640625" style="45"/>
    <col min="10771" max="10771" width="7.796875" style="45" bestFit="1" customWidth="1"/>
    <col min="10772" max="10772" width="6.9296875" style="45" customWidth="1"/>
    <col min="10773" max="10774" width="8.6640625" style="45"/>
    <col min="10775" max="10775" width="7.796875" style="45" bestFit="1" customWidth="1"/>
    <col min="10776" max="10776" width="10.3984375" style="45" customWidth="1"/>
    <col min="10777" max="11007" width="8.6640625" style="45"/>
    <col min="11008" max="11008" width="6.640625E-2" style="45" customWidth="1"/>
    <col min="11009" max="11009" width="2" style="45" customWidth="1"/>
    <col min="11010" max="11010" width="20.46484375" style="45" customWidth="1"/>
    <col min="11011" max="11011" width="6.33203125" style="45" bestFit="1" customWidth="1"/>
    <col min="11012" max="11012" width="6.59765625" style="45" bestFit="1" customWidth="1"/>
    <col min="11013" max="11013" width="3.46484375" style="45" bestFit="1" customWidth="1"/>
    <col min="11014" max="11015" width="8.06640625" style="45" customWidth="1"/>
    <col min="11016" max="11016" width="5.46484375" style="45" customWidth="1"/>
    <col min="11017" max="11017" width="3.33203125" style="45" customWidth="1"/>
    <col min="11018" max="11018" width="3" style="45" bestFit="1" customWidth="1"/>
    <col min="11019" max="11020" width="8.06640625" style="45" customWidth="1"/>
    <col min="11021" max="11021" width="5.46484375" style="45" customWidth="1"/>
    <col min="11022" max="11022" width="3.33203125" style="45" customWidth="1"/>
    <col min="11023" max="11023" width="5.796875" style="45" customWidth="1"/>
    <col min="11024" max="11024" width="6.06640625" style="45" customWidth="1"/>
    <col min="11025" max="11025" width="5.73046875" style="45" bestFit="1" customWidth="1"/>
    <col min="11026" max="11026" width="8.6640625" style="45"/>
    <col min="11027" max="11027" width="7.796875" style="45" bestFit="1" customWidth="1"/>
    <col min="11028" max="11028" width="6.9296875" style="45" customWidth="1"/>
    <col min="11029" max="11030" width="8.6640625" style="45"/>
    <col min="11031" max="11031" width="7.796875" style="45" bestFit="1" customWidth="1"/>
    <col min="11032" max="11032" width="10.3984375" style="45" customWidth="1"/>
    <col min="11033" max="11263" width="8.6640625" style="45"/>
    <col min="11264" max="11264" width="6.640625E-2" style="45" customWidth="1"/>
    <col min="11265" max="11265" width="2" style="45" customWidth="1"/>
    <col min="11266" max="11266" width="20.46484375" style="45" customWidth="1"/>
    <col min="11267" max="11267" width="6.33203125" style="45" bestFit="1" customWidth="1"/>
    <col min="11268" max="11268" width="6.59765625" style="45" bestFit="1" customWidth="1"/>
    <col min="11269" max="11269" width="3.46484375" style="45" bestFit="1" customWidth="1"/>
    <col min="11270" max="11271" width="8.06640625" style="45" customWidth="1"/>
    <col min="11272" max="11272" width="5.46484375" style="45" customWidth="1"/>
    <col min="11273" max="11273" width="3.33203125" style="45" customWidth="1"/>
    <col min="11274" max="11274" width="3" style="45" bestFit="1" customWidth="1"/>
    <col min="11275" max="11276" width="8.06640625" style="45" customWidth="1"/>
    <col min="11277" max="11277" width="5.46484375" style="45" customWidth="1"/>
    <col min="11278" max="11278" width="3.33203125" style="45" customWidth="1"/>
    <col min="11279" max="11279" width="5.796875" style="45" customWidth="1"/>
    <col min="11280" max="11280" width="6.06640625" style="45" customWidth="1"/>
    <col min="11281" max="11281" width="5.73046875" style="45" bestFit="1" customWidth="1"/>
    <col min="11282" max="11282" width="8.6640625" style="45"/>
    <col min="11283" max="11283" width="7.796875" style="45" bestFit="1" customWidth="1"/>
    <col min="11284" max="11284" width="6.9296875" style="45" customWidth="1"/>
    <col min="11285" max="11286" width="8.6640625" style="45"/>
    <col min="11287" max="11287" width="7.796875" style="45" bestFit="1" customWidth="1"/>
    <col min="11288" max="11288" width="10.3984375" style="45" customWidth="1"/>
    <col min="11289" max="11519" width="8.6640625" style="45"/>
    <col min="11520" max="11520" width="6.640625E-2" style="45" customWidth="1"/>
    <col min="11521" max="11521" width="2" style="45" customWidth="1"/>
    <col min="11522" max="11522" width="20.46484375" style="45" customWidth="1"/>
    <col min="11523" max="11523" width="6.33203125" style="45" bestFit="1" customWidth="1"/>
    <col min="11524" max="11524" width="6.59765625" style="45" bestFit="1" customWidth="1"/>
    <col min="11525" max="11525" width="3.46484375" style="45" bestFit="1" customWidth="1"/>
    <col min="11526" max="11527" width="8.06640625" style="45" customWidth="1"/>
    <col min="11528" max="11528" width="5.46484375" style="45" customWidth="1"/>
    <col min="11529" max="11529" width="3.33203125" style="45" customWidth="1"/>
    <col min="11530" max="11530" width="3" style="45" bestFit="1" customWidth="1"/>
    <col min="11531" max="11532" width="8.06640625" style="45" customWidth="1"/>
    <col min="11533" max="11533" width="5.46484375" style="45" customWidth="1"/>
    <col min="11534" max="11534" width="3.33203125" style="45" customWidth="1"/>
    <col min="11535" max="11535" width="5.796875" style="45" customWidth="1"/>
    <col min="11536" max="11536" width="6.06640625" style="45" customWidth="1"/>
    <col min="11537" max="11537" width="5.73046875" style="45" bestFit="1" customWidth="1"/>
    <col min="11538" max="11538" width="8.6640625" style="45"/>
    <col min="11539" max="11539" width="7.796875" style="45" bestFit="1" customWidth="1"/>
    <col min="11540" max="11540" width="6.9296875" style="45" customWidth="1"/>
    <col min="11541" max="11542" width="8.6640625" style="45"/>
    <col min="11543" max="11543" width="7.796875" style="45" bestFit="1" customWidth="1"/>
    <col min="11544" max="11544" width="10.3984375" style="45" customWidth="1"/>
    <col min="11545" max="11775" width="8.6640625" style="45"/>
    <col min="11776" max="11776" width="6.640625E-2" style="45" customWidth="1"/>
    <col min="11777" max="11777" width="2" style="45" customWidth="1"/>
    <col min="11778" max="11778" width="20.46484375" style="45" customWidth="1"/>
    <col min="11779" max="11779" width="6.33203125" style="45" bestFit="1" customWidth="1"/>
    <col min="11780" max="11780" width="6.59765625" style="45" bestFit="1" customWidth="1"/>
    <col min="11781" max="11781" width="3.46484375" style="45" bestFit="1" customWidth="1"/>
    <col min="11782" max="11783" width="8.06640625" style="45" customWidth="1"/>
    <col min="11784" max="11784" width="5.46484375" style="45" customWidth="1"/>
    <col min="11785" max="11785" width="3.33203125" style="45" customWidth="1"/>
    <col min="11786" max="11786" width="3" style="45" bestFit="1" customWidth="1"/>
    <col min="11787" max="11788" width="8.06640625" style="45" customWidth="1"/>
    <col min="11789" max="11789" width="5.46484375" style="45" customWidth="1"/>
    <col min="11790" max="11790" width="3.33203125" style="45" customWidth="1"/>
    <col min="11791" max="11791" width="5.796875" style="45" customWidth="1"/>
    <col min="11792" max="11792" width="6.06640625" style="45" customWidth="1"/>
    <col min="11793" max="11793" width="5.73046875" style="45" bestFit="1" customWidth="1"/>
    <col min="11794" max="11794" width="8.6640625" style="45"/>
    <col min="11795" max="11795" width="7.796875" style="45" bestFit="1" customWidth="1"/>
    <col min="11796" max="11796" width="6.9296875" style="45" customWidth="1"/>
    <col min="11797" max="11798" width="8.6640625" style="45"/>
    <col min="11799" max="11799" width="7.796875" style="45" bestFit="1" customWidth="1"/>
    <col min="11800" max="11800" width="10.3984375" style="45" customWidth="1"/>
    <col min="11801" max="12031" width="8.6640625" style="45"/>
    <col min="12032" max="12032" width="6.640625E-2" style="45" customWidth="1"/>
    <col min="12033" max="12033" width="2" style="45" customWidth="1"/>
    <col min="12034" max="12034" width="20.46484375" style="45" customWidth="1"/>
    <col min="12035" max="12035" width="6.33203125" style="45" bestFit="1" customWidth="1"/>
    <col min="12036" max="12036" width="6.59765625" style="45" bestFit="1" customWidth="1"/>
    <col min="12037" max="12037" width="3.46484375" style="45" bestFit="1" customWidth="1"/>
    <col min="12038" max="12039" width="8.06640625" style="45" customWidth="1"/>
    <col min="12040" max="12040" width="5.46484375" style="45" customWidth="1"/>
    <col min="12041" max="12041" width="3.33203125" style="45" customWidth="1"/>
    <col min="12042" max="12042" width="3" style="45" bestFit="1" customWidth="1"/>
    <col min="12043" max="12044" width="8.06640625" style="45" customWidth="1"/>
    <col min="12045" max="12045" width="5.46484375" style="45" customWidth="1"/>
    <col min="12046" max="12046" width="3.33203125" style="45" customWidth="1"/>
    <col min="12047" max="12047" width="5.796875" style="45" customWidth="1"/>
    <col min="12048" max="12048" width="6.06640625" style="45" customWidth="1"/>
    <col min="12049" max="12049" width="5.73046875" style="45" bestFit="1" customWidth="1"/>
    <col min="12050" max="12050" width="8.6640625" style="45"/>
    <col min="12051" max="12051" width="7.796875" style="45" bestFit="1" customWidth="1"/>
    <col min="12052" max="12052" width="6.9296875" style="45" customWidth="1"/>
    <col min="12053" max="12054" width="8.6640625" style="45"/>
    <col min="12055" max="12055" width="7.796875" style="45" bestFit="1" customWidth="1"/>
    <col min="12056" max="12056" width="10.3984375" style="45" customWidth="1"/>
    <col min="12057" max="12287" width="8.6640625" style="45"/>
    <col min="12288" max="12288" width="6.640625E-2" style="45" customWidth="1"/>
    <col min="12289" max="12289" width="2" style="45" customWidth="1"/>
    <col min="12290" max="12290" width="20.46484375" style="45" customWidth="1"/>
    <col min="12291" max="12291" width="6.33203125" style="45" bestFit="1" customWidth="1"/>
    <col min="12292" max="12292" width="6.59765625" style="45" bestFit="1" customWidth="1"/>
    <col min="12293" max="12293" width="3.46484375" style="45" bestFit="1" customWidth="1"/>
    <col min="12294" max="12295" width="8.06640625" style="45" customWidth="1"/>
    <col min="12296" max="12296" width="5.46484375" style="45" customWidth="1"/>
    <col min="12297" max="12297" width="3.33203125" style="45" customWidth="1"/>
    <col min="12298" max="12298" width="3" style="45" bestFit="1" customWidth="1"/>
    <col min="12299" max="12300" width="8.06640625" style="45" customWidth="1"/>
    <col min="12301" max="12301" width="5.46484375" style="45" customWidth="1"/>
    <col min="12302" max="12302" width="3.33203125" style="45" customWidth="1"/>
    <col min="12303" max="12303" width="5.796875" style="45" customWidth="1"/>
    <col min="12304" max="12304" width="6.06640625" style="45" customWidth="1"/>
    <col min="12305" max="12305" width="5.73046875" style="45" bestFit="1" customWidth="1"/>
    <col min="12306" max="12306" width="8.6640625" style="45"/>
    <col min="12307" max="12307" width="7.796875" style="45" bestFit="1" customWidth="1"/>
    <col min="12308" max="12308" width="6.9296875" style="45" customWidth="1"/>
    <col min="12309" max="12310" width="8.6640625" style="45"/>
    <col min="12311" max="12311" width="7.796875" style="45" bestFit="1" customWidth="1"/>
    <col min="12312" max="12312" width="10.3984375" style="45" customWidth="1"/>
    <col min="12313" max="12543" width="8.6640625" style="45"/>
    <col min="12544" max="12544" width="6.640625E-2" style="45" customWidth="1"/>
    <col min="12545" max="12545" width="2" style="45" customWidth="1"/>
    <col min="12546" max="12546" width="20.46484375" style="45" customWidth="1"/>
    <col min="12547" max="12547" width="6.33203125" style="45" bestFit="1" customWidth="1"/>
    <col min="12548" max="12548" width="6.59765625" style="45" bestFit="1" customWidth="1"/>
    <col min="12549" max="12549" width="3.46484375" style="45" bestFit="1" customWidth="1"/>
    <col min="12550" max="12551" width="8.06640625" style="45" customWidth="1"/>
    <col min="12552" max="12552" width="5.46484375" style="45" customWidth="1"/>
    <col min="12553" max="12553" width="3.33203125" style="45" customWidth="1"/>
    <col min="12554" max="12554" width="3" style="45" bestFit="1" customWidth="1"/>
    <col min="12555" max="12556" width="8.06640625" style="45" customWidth="1"/>
    <col min="12557" max="12557" width="5.46484375" style="45" customWidth="1"/>
    <col min="12558" max="12558" width="3.33203125" style="45" customWidth="1"/>
    <col min="12559" max="12559" width="5.796875" style="45" customWidth="1"/>
    <col min="12560" max="12560" width="6.06640625" style="45" customWidth="1"/>
    <col min="12561" max="12561" width="5.73046875" style="45" bestFit="1" customWidth="1"/>
    <col min="12562" max="12562" width="8.6640625" style="45"/>
    <col min="12563" max="12563" width="7.796875" style="45" bestFit="1" customWidth="1"/>
    <col min="12564" max="12564" width="6.9296875" style="45" customWidth="1"/>
    <col min="12565" max="12566" width="8.6640625" style="45"/>
    <col min="12567" max="12567" width="7.796875" style="45" bestFit="1" customWidth="1"/>
    <col min="12568" max="12568" width="10.3984375" style="45" customWidth="1"/>
    <col min="12569" max="12799" width="8.6640625" style="45"/>
    <col min="12800" max="12800" width="6.640625E-2" style="45" customWidth="1"/>
    <col min="12801" max="12801" width="2" style="45" customWidth="1"/>
    <col min="12802" max="12802" width="20.46484375" style="45" customWidth="1"/>
    <col min="12803" max="12803" width="6.33203125" style="45" bestFit="1" customWidth="1"/>
    <col min="12804" max="12804" width="6.59765625" style="45" bestFit="1" customWidth="1"/>
    <col min="12805" max="12805" width="3.46484375" style="45" bestFit="1" customWidth="1"/>
    <col min="12806" max="12807" width="8.06640625" style="45" customWidth="1"/>
    <col min="12808" max="12808" width="5.46484375" style="45" customWidth="1"/>
    <col min="12809" max="12809" width="3.33203125" style="45" customWidth="1"/>
    <col min="12810" max="12810" width="3" style="45" bestFit="1" customWidth="1"/>
    <col min="12811" max="12812" width="8.06640625" style="45" customWidth="1"/>
    <col min="12813" max="12813" width="5.46484375" style="45" customWidth="1"/>
    <col min="12814" max="12814" width="3.33203125" style="45" customWidth="1"/>
    <col min="12815" max="12815" width="5.796875" style="45" customWidth="1"/>
    <col min="12816" max="12816" width="6.06640625" style="45" customWidth="1"/>
    <col min="12817" max="12817" width="5.73046875" style="45" bestFit="1" customWidth="1"/>
    <col min="12818" max="12818" width="8.6640625" style="45"/>
    <col min="12819" max="12819" width="7.796875" style="45" bestFit="1" customWidth="1"/>
    <col min="12820" max="12820" width="6.9296875" style="45" customWidth="1"/>
    <col min="12821" max="12822" width="8.6640625" style="45"/>
    <col min="12823" max="12823" width="7.796875" style="45" bestFit="1" customWidth="1"/>
    <col min="12824" max="12824" width="10.3984375" style="45" customWidth="1"/>
    <col min="12825" max="13055" width="8.6640625" style="45"/>
    <col min="13056" max="13056" width="6.640625E-2" style="45" customWidth="1"/>
    <col min="13057" max="13057" width="2" style="45" customWidth="1"/>
    <col min="13058" max="13058" width="20.46484375" style="45" customWidth="1"/>
    <col min="13059" max="13059" width="6.33203125" style="45" bestFit="1" customWidth="1"/>
    <col min="13060" max="13060" width="6.59765625" style="45" bestFit="1" customWidth="1"/>
    <col min="13061" max="13061" width="3.46484375" style="45" bestFit="1" customWidth="1"/>
    <col min="13062" max="13063" width="8.06640625" style="45" customWidth="1"/>
    <col min="13064" max="13064" width="5.46484375" style="45" customWidth="1"/>
    <col min="13065" max="13065" width="3.33203125" style="45" customWidth="1"/>
    <col min="13066" max="13066" width="3" style="45" bestFit="1" customWidth="1"/>
    <col min="13067" max="13068" width="8.06640625" style="45" customWidth="1"/>
    <col min="13069" max="13069" width="5.46484375" style="45" customWidth="1"/>
    <col min="13070" max="13070" width="3.33203125" style="45" customWidth="1"/>
    <col min="13071" max="13071" width="5.796875" style="45" customWidth="1"/>
    <col min="13072" max="13072" width="6.06640625" style="45" customWidth="1"/>
    <col min="13073" max="13073" width="5.73046875" style="45" bestFit="1" customWidth="1"/>
    <col min="13074" max="13074" width="8.6640625" style="45"/>
    <col min="13075" max="13075" width="7.796875" style="45" bestFit="1" customWidth="1"/>
    <col min="13076" max="13076" width="6.9296875" style="45" customWidth="1"/>
    <col min="13077" max="13078" width="8.6640625" style="45"/>
    <col min="13079" max="13079" width="7.796875" style="45" bestFit="1" customWidth="1"/>
    <col min="13080" max="13080" width="10.3984375" style="45" customWidth="1"/>
    <col min="13081" max="13311" width="8.6640625" style="45"/>
    <col min="13312" max="13312" width="6.640625E-2" style="45" customWidth="1"/>
    <col min="13313" max="13313" width="2" style="45" customWidth="1"/>
    <col min="13314" max="13314" width="20.46484375" style="45" customWidth="1"/>
    <col min="13315" max="13315" width="6.33203125" style="45" bestFit="1" customWidth="1"/>
    <col min="13316" max="13316" width="6.59765625" style="45" bestFit="1" customWidth="1"/>
    <col min="13317" max="13317" width="3.46484375" style="45" bestFit="1" customWidth="1"/>
    <col min="13318" max="13319" width="8.06640625" style="45" customWidth="1"/>
    <col min="13320" max="13320" width="5.46484375" style="45" customWidth="1"/>
    <col min="13321" max="13321" width="3.33203125" style="45" customWidth="1"/>
    <col min="13322" max="13322" width="3" style="45" bestFit="1" customWidth="1"/>
    <col min="13323" max="13324" width="8.06640625" style="45" customWidth="1"/>
    <col min="13325" max="13325" width="5.46484375" style="45" customWidth="1"/>
    <col min="13326" max="13326" width="3.33203125" style="45" customWidth="1"/>
    <col min="13327" max="13327" width="5.796875" style="45" customWidth="1"/>
    <col min="13328" max="13328" width="6.06640625" style="45" customWidth="1"/>
    <col min="13329" max="13329" width="5.73046875" style="45" bestFit="1" customWidth="1"/>
    <col min="13330" max="13330" width="8.6640625" style="45"/>
    <col min="13331" max="13331" width="7.796875" style="45" bestFit="1" customWidth="1"/>
    <col min="13332" max="13332" width="6.9296875" style="45" customWidth="1"/>
    <col min="13333" max="13334" width="8.6640625" style="45"/>
    <col min="13335" max="13335" width="7.796875" style="45" bestFit="1" customWidth="1"/>
    <col min="13336" max="13336" width="10.3984375" style="45" customWidth="1"/>
    <col min="13337" max="13567" width="8.6640625" style="45"/>
    <col min="13568" max="13568" width="6.640625E-2" style="45" customWidth="1"/>
    <col min="13569" max="13569" width="2" style="45" customWidth="1"/>
    <col min="13570" max="13570" width="20.46484375" style="45" customWidth="1"/>
    <col min="13571" max="13571" width="6.33203125" style="45" bestFit="1" customWidth="1"/>
    <col min="13572" max="13572" width="6.59765625" style="45" bestFit="1" customWidth="1"/>
    <col min="13573" max="13573" width="3.46484375" style="45" bestFit="1" customWidth="1"/>
    <col min="13574" max="13575" width="8.06640625" style="45" customWidth="1"/>
    <col min="13576" max="13576" width="5.46484375" style="45" customWidth="1"/>
    <col min="13577" max="13577" width="3.33203125" style="45" customWidth="1"/>
    <col min="13578" max="13578" width="3" style="45" bestFit="1" customWidth="1"/>
    <col min="13579" max="13580" width="8.06640625" style="45" customWidth="1"/>
    <col min="13581" max="13581" width="5.46484375" style="45" customWidth="1"/>
    <col min="13582" max="13582" width="3.33203125" style="45" customWidth="1"/>
    <col min="13583" max="13583" width="5.796875" style="45" customWidth="1"/>
    <col min="13584" max="13584" width="6.06640625" style="45" customWidth="1"/>
    <col min="13585" max="13585" width="5.73046875" style="45" bestFit="1" customWidth="1"/>
    <col min="13586" max="13586" width="8.6640625" style="45"/>
    <col min="13587" max="13587" width="7.796875" style="45" bestFit="1" customWidth="1"/>
    <col min="13588" max="13588" width="6.9296875" style="45" customWidth="1"/>
    <col min="13589" max="13590" width="8.6640625" style="45"/>
    <col min="13591" max="13591" width="7.796875" style="45" bestFit="1" customWidth="1"/>
    <col min="13592" max="13592" width="10.3984375" style="45" customWidth="1"/>
    <col min="13593" max="13823" width="8.6640625" style="45"/>
    <col min="13824" max="13824" width="6.640625E-2" style="45" customWidth="1"/>
    <col min="13825" max="13825" width="2" style="45" customWidth="1"/>
    <col min="13826" max="13826" width="20.46484375" style="45" customWidth="1"/>
    <col min="13827" max="13827" width="6.33203125" style="45" bestFit="1" customWidth="1"/>
    <col min="13828" max="13828" width="6.59765625" style="45" bestFit="1" customWidth="1"/>
    <col min="13829" max="13829" width="3.46484375" style="45" bestFit="1" customWidth="1"/>
    <col min="13830" max="13831" width="8.06640625" style="45" customWidth="1"/>
    <col min="13832" max="13832" width="5.46484375" style="45" customWidth="1"/>
    <col min="13833" max="13833" width="3.33203125" style="45" customWidth="1"/>
    <col min="13834" max="13834" width="3" style="45" bestFit="1" customWidth="1"/>
    <col min="13835" max="13836" width="8.06640625" style="45" customWidth="1"/>
    <col min="13837" max="13837" width="5.46484375" style="45" customWidth="1"/>
    <col min="13838" max="13838" width="3.33203125" style="45" customWidth="1"/>
    <col min="13839" max="13839" width="5.796875" style="45" customWidth="1"/>
    <col min="13840" max="13840" width="6.06640625" style="45" customWidth="1"/>
    <col min="13841" max="13841" width="5.73046875" style="45" bestFit="1" customWidth="1"/>
    <col min="13842" max="13842" width="8.6640625" style="45"/>
    <col min="13843" max="13843" width="7.796875" style="45" bestFit="1" customWidth="1"/>
    <col min="13844" max="13844" width="6.9296875" style="45" customWidth="1"/>
    <col min="13845" max="13846" width="8.6640625" style="45"/>
    <col min="13847" max="13847" width="7.796875" style="45" bestFit="1" customWidth="1"/>
    <col min="13848" max="13848" width="10.3984375" style="45" customWidth="1"/>
    <col min="13849" max="14079" width="8.6640625" style="45"/>
    <col min="14080" max="14080" width="6.640625E-2" style="45" customWidth="1"/>
    <col min="14081" max="14081" width="2" style="45" customWidth="1"/>
    <col min="14082" max="14082" width="20.46484375" style="45" customWidth="1"/>
    <col min="14083" max="14083" width="6.33203125" style="45" bestFit="1" customWidth="1"/>
    <col min="14084" max="14084" width="6.59765625" style="45" bestFit="1" customWidth="1"/>
    <col min="14085" max="14085" width="3.46484375" style="45" bestFit="1" customWidth="1"/>
    <col min="14086" max="14087" width="8.06640625" style="45" customWidth="1"/>
    <col min="14088" max="14088" width="5.46484375" style="45" customWidth="1"/>
    <col min="14089" max="14089" width="3.33203125" style="45" customWidth="1"/>
    <col min="14090" max="14090" width="3" style="45" bestFit="1" customWidth="1"/>
    <col min="14091" max="14092" width="8.06640625" style="45" customWidth="1"/>
    <col min="14093" max="14093" width="5.46484375" style="45" customWidth="1"/>
    <col min="14094" max="14094" width="3.33203125" style="45" customWidth="1"/>
    <col min="14095" max="14095" width="5.796875" style="45" customWidth="1"/>
    <col min="14096" max="14096" width="6.06640625" style="45" customWidth="1"/>
    <col min="14097" max="14097" width="5.73046875" style="45" bestFit="1" customWidth="1"/>
    <col min="14098" max="14098" width="8.6640625" style="45"/>
    <col min="14099" max="14099" width="7.796875" style="45" bestFit="1" customWidth="1"/>
    <col min="14100" max="14100" width="6.9296875" style="45" customWidth="1"/>
    <col min="14101" max="14102" width="8.6640625" style="45"/>
    <col min="14103" max="14103" width="7.796875" style="45" bestFit="1" customWidth="1"/>
    <col min="14104" max="14104" width="10.3984375" style="45" customWidth="1"/>
    <col min="14105" max="14335" width="8.6640625" style="45"/>
    <col min="14336" max="14336" width="6.640625E-2" style="45" customWidth="1"/>
    <col min="14337" max="14337" width="2" style="45" customWidth="1"/>
    <col min="14338" max="14338" width="20.46484375" style="45" customWidth="1"/>
    <col min="14339" max="14339" width="6.33203125" style="45" bestFit="1" customWidth="1"/>
    <col min="14340" max="14340" width="6.59765625" style="45" bestFit="1" customWidth="1"/>
    <col min="14341" max="14341" width="3.46484375" style="45" bestFit="1" customWidth="1"/>
    <col min="14342" max="14343" width="8.06640625" style="45" customWidth="1"/>
    <col min="14344" max="14344" width="5.46484375" style="45" customWidth="1"/>
    <col min="14345" max="14345" width="3.33203125" style="45" customWidth="1"/>
    <col min="14346" max="14346" width="3" style="45" bestFit="1" customWidth="1"/>
    <col min="14347" max="14348" width="8.06640625" style="45" customWidth="1"/>
    <col min="14349" max="14349" width="5.46484375" style="45" customWidth="1"/>
    <col min="14350" max="14350" width="3.33203125" style="45" customWidth="1"/>
    <col min="14351" max="14351" width="5.796875" style="45" customWidth="1"/>
    <col min="14352" max="14352" width="6.06640625" style="45" customWidth="1"/>
    <col min="14353" max="14353" width="5.73046875" style="45" bestFit="1" customWidth="1"/>
    <col min="14354" max="14354" width="8.6640625" style="45"/>
    <col min="14355" max="14355" width="7.796875" style="45" bestFit="1" customWidth="1"/>
    <col min="14356" max="14356" width="6.9296875" style="45" customWidth="1"/>
    <col min="14357" max="14358" width="8.6640625" style="45"/>
    <col min="14359" max="14359" width="7.796875" style="45" bestFit="1" customWidth="1"/>
    <col min="14360" max="14360" width="10.3984375" style="45" customWidth="1"/>
    <col min="14361" max="14591" width="8.6640625" style="45"/>
    <col min="14592" max="14592" width="6.640625E-2" style="45" customWidth="1"/>
    <col min="14593" max="14593" width="2" style="45" customWidth="1"/>
    <col min="14594" max="14594" width="20.46484375" style="45" customWidth="1"/>
    <col min="14595" max="14595" width="6.33203125" style="45" bestFit="1" customWidth="1"/>
    <col min="14596" max="14596" width="6.59765625" style="45" bestFit="1" customWidth="1"/>
    <col min="14597" max="14597" width="3.46484375" style="45" bestFit="1" customWidth="1"/>
    <col min="14598" max="14599" width="8.06640625" style="45" customWidth="1"/>
    <col min="14600" max="14600" width="5.46484375" style="45" customWidth="1"/>
    <col min="14601" max="14601" width="3.33203125" style="45" customWidth="1"/>
    <col min="14602" max="14602" width="3" style="45" bestFit="1" customWidth="1"/>
    <col min="14603" max="14604" width="8.06640625" style="45" customWidth="1"/>
    <col min="14605" max="14605" width="5.46484375" style="45" customWidth="1"/>
    <col min="14606" max="14606" width="3.33203125" style="45" customWidth="1"/>
    <col min="14607" max="14607" width="5.796875" style="45" customWidth="1"/>
    <col min="14608" max="14608" width="6.06640625" style="45" customWidth="1"/>
    <col min="14609" max="14609" width="5.73046875" style="45" bestFit="1" customWidth="1"/>
    <col min="14610" max="14610" width="8.6640625" style="45"/>
    <col min="14611" max="14611" width="7.796875" style="45" bestFit="1" customWidth="1"/>
    <col min="14612" max="14612" width="6.9296875" style="45" customWidth="1"/>
    <col min="14613" max="14614" width="8.6640625" style="45"/>
    <col min="14615" max="14615" width="7.796875" style="45" bestFit="1" customWidth="1"/>
    <col min="14616" max="14616" width="10.3984375" style="45" customWidth="1"/>
    <col min="14617" max="14847" width="8.6640625" style="45"/>
    <col min="14848" max="14848" width="6.640625E-2" style="45" customWidth="1"/>
    <col min="14849" max="14849" width="2" style="45" customWidth="1"/>
    <col min="14850" max="14850" width="20.46484375" style="45" customWidth="1"/>
    <col min="14851" max="14851" width="6.33203125" style="45" bestFit="1" customWidth="1"/>
    <col min="14852" max="14852" width="6.59765625" style="45" bestFit="1" customWidth="1"/>
    <col min="14853" max="14853" width="3.46484375" style="45" bestFit="1" customWidth="1"/>
    <col min="14854" max="14855" width="8.06640625" style="45" customWidth="1"/>
    <col min="14856" max="14856" width="5.46484375" style="45" customWidth="1"/>
    <col min="14857" max="14857" width="3.33203125" style="45" customWidth="1"/>
    <col min="14858" max="14858" width="3" style="45" bestFit="1" customWidth="1"/>
    <col min="14859" max="14860" width="8.06640625" style="45" customWidth="1"/>
    <col min="14861" max="14861" width="5.46484375" style="45" customWidth="1"/>
    <col min="14862" max="14862" width="3.33203125" style="45" customWidth="1"/>
    <col min="14863" max="14863" width="5.796875" style="45" customWidth="1"/>
    <col min="14864" max="14864" width="6.06640625" style="45" customWidth="1"/>
    <col min="14865" max="14865" width="5.73046875" style="45" bestFit="1" customWidth="1"/>
    <col min="14866" max="14866" width="8.6640625" style="45"/>
    <col min="14867" max="14867" width="7.796875" style="45" bestFit="1" customWidth="1"/>
    <col min="14868" max="14868" width="6.9296875" style="45" customWidth="1"/>
    <col min="14869" max="14870" width="8.6640625" style="45"/>
    <col min="14871" max="14871" width="7.796875" style="45" bestFit="1" customWidth="1"/>
    <col min="14872" max="14872" width="10.3984375" style="45" customWidth="1"/>
    <col min="14873" max="15103" width="8.6640625" style="45"/>
    <col min="15104" max="15104" width="6.640625E-2" style="45" customWidth="1"/>
    <col min="15105" max="15105" width="2" style="45" customWidth="1"/>
    <col min="15106" max="15106" width="20.46484375" style="45" customWidth="1"/>
    <col min="15107" max="15107" width="6.33203125" style="45" bestFit="1" customWidth="1"/>
    <col min="15108" max="15108" width="6.59765625" style="45" bestFit="1" customWidth="1"/>
    <col min="15109" max="15109" width="3.46484375" style="45" bestFit="1" customWidth="1"/>
    <col min="15110" max="15111" width="8.06640625" style="45" customWidth="1"/>
    <col min="15112" max="15112" width="5.46484375" style="45" customWidth="1"/>
    <col min="15113" max="15113" width="3.33203125" style="45" customWidth="1"/>
    <col min="15114" max="15114" width="3" style="45" bestFit="1" customWidth="1"/>
    <col min="15115" max="15116" width="8.06640625" style="45" customWidth="1"/>
    <col min="15117" max="15117" width="5.46484375" style="45" customWidth="1"/>
    <col min="15118" max="15118" width="3.33203125" style="45" customWidth="1"/>
    <col min="15119" max="15119" width="5.796875" style="45" customWidth="1"/>
    <col min="15120" max="15120" width="6.06640625" style="45" customWidth="1"/>
    <col min="15121" max="15121" width="5.73046875" style="45" bestFit="1" customWidth="1"/>
    <col min="15122" max="15122" width="8.6640625" style="45"/>
    <col min="15123" max="15123" width="7.796875" style="45" bestFit="1" customWidth="1"/>
    <col min="15124" max="15124" width="6.9296875" style="45" customWidth="1"/>
    <col min="15125" max="15126" width="8.6640625" style="45"/>
    <col min="15127" max="15127" width="7.796875" style="45" bestFit="1" customWidth="1"/>
    <col min="15128" max="15128" width="10.3984375" style="45" customWidth="1"/>
    <col min="15129" max="15359" width="8.6640625" style="45"/>
    <col min="15360" max="15360" width="6.640625E-2" style="45" customWidth="1"/>
    <col min="15361" max="15361" width="2" style="45" customWidth="1"/>
    <col min="15362" max="15362" width="20.46484375" style="45" customWidth="1"/>
    <col min="15363" max="15363" width="6.33203125" style="45" bestFit="1" customWidth="1"/>
    <col min="15364" max="15364" width="6.59765625" style="45" bestFit="1" customWidth="1"/>
    <col min="15365" max="15365" width="3.46484375" style="45" bestFit="1" customWidth="1"/>
    <col min="15366" max="15367" width="8.06640625" style="45" customWidth="1"/>
    <col min="15368" max="15368" width="5.46484375" style="45" customWidth="1"/>
    <col min="15369" max="15369" width="3.33203125" style="45" customWidth="1"/>
    <col min="15370" max="15370" width="3" style="45" bestFit="1" customWidth="1"/>
    <col min="15371" max="15372" width="8.06640625" style="45" customWidth="1"/>
    <col min="15373" max="15373" width="5.46484375" style="45" customWidth="1"/>
    <col min="15374" max="15374" width="3.33203125" style="45" customWidth="1"/>
    <col min="15375" max="15375" width="5.796875" style="45" customWidth="1"/>
    <col min="15376" max="15376" width="6.06640625" style="45" customWidth="1"/>
    <col min="15377" max="15377" width="5.73046875" style="45" bestFit="1" customWidth="1"/>
    <col min="15378" max="15378" width="8.6640625" style="45"/>
    <col min="15379" max="15379" width="7.796875" style="45" bestFit="1" customWidth="1"/>
    <col min="15380" max="15380" width="6.9296875" style="45" customWidth="1"/>
    <col min="15381" max="15382" width="8.6640625" style="45"/>
    <col min="15383" max="15383" width="7.796875" style="45" bestFit="1" customWidth="1"/>
    <col min="15384" max="15384" width="10.3984375" style="45" customWidth="1"/>
    <col min="15385" max="15615" width="8.6640625" style="45"/>
    <col min="15616" max="15616" width="6.640625E-2" style="45" customWidth="1"/>
    <col min="15617" max="15617" width="2" style="45" customWidth="1"/>
    <col min="15618" max="15618" width="20.46484375" style="45" customWidth="1"/>
    <col min="15619" max="15619" width="6.33203125" style="45" bestFit="1" customWidth="1"/>
    <col min="15620" max="15620" width="6.59765625" style="45" bestFit="1" customWidth="1"/>
    <col min="15621" max="15621" width="3.46484375" style="45" bestFit="1" customWidth="1"/>
    <col min="15622" max="15623" width="8.06640625" style="45" customWidth="1"/>
    <col min="15624" max="15624" width="5.46484375" style="45" customWidth="1"/>
    <col min="15625" max="15625" width="3.33203125" style="45" customWidth="1"/>
    <col min="15626" max="15626" width="3" style="45" bestFit="1" customWidth="1"/>
    <col min="15627" max="15628" width="8.06640625" style="45" customWidth="1"/>
    <col min="15629" max="15629" width="5.46484375" style="45" customWidth="1"/>
    <col min="15630" max="15630" width="3.33203125" style="45" customWidth="1"/>
    <col min="15631" max="15631" width="5.796875" style="45" customWidth="1"/>
    <col min="15632" max="15632" width="6.06640625" style="45" customWidth="1"/>
    <col min="15633" max="15633" width="5.73046875" style="45" bestFit="1" customWidth="1"/>
    <col min="15634" max="15634" width="8.6640625" style="45"/>
    <col min="15635" max="15635" width="7.796875" style="45" bestFit="1" customWidth="1"/>
    <col min="15636" max="15636" width="6.9296875" style="45" customWidth="1"/>
    <col min="15637" max="15638" width="8.6640625" style="45"/>
    <col min="15639" max="15639" width="7.796875" style="45" bestFit="1" customWidth="1"/>
    <col min="15640" max="15640" width="10.3984375" style="45" customWidth="1"/>
    <col min="15641" max="15871" width="8.6640625" style="45"/>
    <col min="15872" max="15872" width="6.640625E-2" style="45" customWidth="1"/>
    <col min="15873" max="15873" width="2" style="45" customWidth="1"/>
    <col min="15874" max="15874" width="20.46484375" style="45" customWidth="1"/>
    <col min="15875" max="15875" width="6.33203125" style="45" bestFit="1" customWidth="1"/>
    <col min="15876" max="15876" width="6.59765625" style="45" bestFit="1" customWidth="1"/>
    <col min="15877" max="15877" width="3.46484375" style="45" bestFit="1" customWidth="1"/>
    <col min="15878" max="15879" width="8.06640625" style="45" customWidth="1"/>
    <col min="15880" max="15880" width="5.46484375" style="45" customWidth="1"/>
    <col min="15881" max="15881" width="3.33203125" style="45" customWidth="1"/>
    <col min="15882" max="15882" width="3" style="45" bestFit="1" customWidth="1"/>
    <col min="15883" max="15884" width="8.06640625" style="45" customWidth="1"/>
    <col min="15885" max="15885" width="5.46484375" style="45" customWidth="1"/>
    <col min="15886" max="15886" width="3.33203125" style="45" customWidth="1"/>
    <col min="15887" max="15887" width="5.796875" style="45" customWidth="1"/>
    <col min="15888" max="15888" width="6.06640625" style="45" customWidth="1"/>
    <col min="15889" max="15889" width="5.73046875" style="45" bestFit="1" customWidth="1"/>
    <col min="15890" max="15890" width="8.6640625" style="45"/>
    <col min="15891" max="15891" width="7.796875" style="45" bestFit="1" customWidth="1"/>
    <col min="15892" max="15892" width="6.9296875" style="45" customWidth="1"/>
    <col min="15893" max="15894" width="8.6640625" style="45"/>
    <col min="15895" max="15895" width="7.796875" style="45" bestFit="1" customWidth="1"/>
    <col min="15896" max="15896" width="10.3984375" style="45" customWidth="1"/>
    <col min="15897" max="16127" width="8.6640625" style="45"/>
    <col min="16128" max="16128" width="6.640625E-2" style="45" customWidth="1"/>
    <col min="16129" max="16129" width="2" style="45" customWidth="1"/>
    <col min="16130" max="16130" width="20.46484375" style="45" customWidth="1"/>
    <col min="16131" max="16131" width="6.33203125" style="45" bestFit="1" customWidth="1"/>
    <col min="16132" max="16132" width="6.59765625" style="45" bestFit="1" customWidth="1"/>
    <col min="16133" max="16133" width="3.46484375" style="45" bestFit="1" customWidth="1"/>
    <col min="16134" max="16135" width="8.06640625" style="45" customWidth="1"/>
    <col min="16136" max="16136" width="5.46484375" style="45" customWidth="1"/>
    <col min="16137" max="16137" width="3.33203125" style="45" customWidth="1"/>
    <col min="16138" max="16138" width="3" style="45" bestFit="1" customWidth="1"/>
    <col min="16139" max="16140" width="8.06640625" style="45" customWidth="1"/>
    <col min="16141" max="16141" width="5.46484375" style="45" customWidth="1"/>
    <col min="16142" max="16142" width="3.33203125" style="45" customWidth="1"/>
    <col min="16143" max="16143" width="5.796875" style="45" customWidth="1"/>
    <col min="16144" max="16144" width="6.06640625" style="45" customWidth="1"/>
    <col min="16145" max="16145" width="5.73046875" style="45" bestFit="1" customWidth="1"/>
    <col min="16146" max="16146" width="8.6640625" style="45"/>
    <col min="16147" max="16147" width="7.796875" style="45" bestFit="1" customWidth="1"/>
    <col min="16148" max="16148" width="6.9296875" style="45" customWidth="1"/>
    <col min="16149" max="16150" width="8.6640625" style="45"/>
    <col min="16151" max="16151" width="7.796875" style="45" bestFit="1" customWidth="1"/>
    <col min="16152" max="16152" width="10.3984375" style="45" customWidth="1"/>
    <col min="16153" max="16384" width="8.6640625" style="45"/>
  </cols>
  <sheetData>
    <row r="2" spans="2:16" ht="17.399999999999999">
      <c r="B2" s="204" t="s">
        <v>299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4" spans="2:16" s="115" customFormat="1" ht="15.6">
      <c r="B4" s="205" t="s">
        <v>129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2:16" s="115" customFormat="1" ht="15.6">
      <c r="B5" s="205" t="s">
        <v>130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2:16" ht="12.6"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spans="2:16">
      <c r="B7" s="47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</row>
    <row r="8" spans="2:16">
      <c r="B8" s="61" t="s">
        <v>131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3"/>
    </row>
    <row r="9" spans="2:16">
      <c r="B9" s="13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</row>
    <row r="10" spans="2:16">
      <c r="B10" s="130"/>
      <c r="C10" s="70" t="s">
        <v>163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3"/>
    </row>
    <row r="11" spans="2:16">
      <c r="B11" s="130">
        <v>1</v>
      </c>
      <c r="C11" s="131" t="s">
        <v>70</v>
      </c>
      <c r="D11" s="132" t="s">
        <v>333</v>
      </c>
      <c r="H11" s="62"/>
      <c r="I11" s="62"/>
      <c r="J11" s="62"/>
      <c r="K11" s="62"/>
      <c r="L11" s="62"/>
      <c r="M11" s="62"/>
      <c r="N11" s="62"/>
      <c r="O11" s="62"/>
      <c r="P11" s="63"/>
    </row>
    <row r="12" spans="2:16">
      <c r="B12" s="130">
        <v>2</v>
      </c>
      <c r="C12" s="131" t="s">
        <v>321</v>
      </c>
      <c r="D12" s="132" t="s">
        <v>322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3"/>
    </row>
    <row r="13" spans="2:16">
      <c r="B13" s="130">
        <v>3</v>
      </c>
      <c r="C13" s="131" t="s">
        <v>76</v>
      </c>
      <c r="D13" s="132" t="s">
        <v>312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3"/>
    </row>
    <row r="14" spans="2:16">
      <c r="B14" s="130">
        <v>4</v>
      </c>
      <c r="C14" s="131" t="s">
        <v>76</v>
      </c>
      <c r="D14" s="132" t="s">
        <v>313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3"/>
    </row>
    <row r="15" spans="2:16">
      <c r="B15" s="130">
        <v>5</v>
      </c>
      <c r="C15" s="131" t="s">
        <v>101</v>
      </c>
      <c r="D15" s="132" t="s">
        <v>334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3"/>
    </row>
    <row r="16" spans="2:16">
      <c r="B16" s="130">
        <v>6</v>
      </c>
      <c r="C16" s="131" t="s">
        <v>80</v>
      </c>
      <c r="D16" s="132" t="s">
        <v>318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</row>
    <row r="17" spans="2:16">
      <c r="B17" s="130">
        <v>7</v>
      </c>
      <c r="C17" s="131" t="s">
        <v>160</v>
      </c>
      <c r="D17" s="132" t="s">
        <v>335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3"/>
    </row>
    <row r="18" spans="2:16">
      <c r="B18" s="130">
        <v>8</v>
      </c>
      <c r="C18" s="131" t="s">
        <v>82</v>
      </c>
      <c r="D18" s="132" t="s">
        <v>314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3"/>
    </row>
    <row r="19" spans="2:16">
      <c r="B19" s="130">
        <v>9</v>
      </c>
      <c r="C19" s="131" t="s">
        <v>82</v>
      </c>
      <c r="D19" s="132" t="s">
        <v>315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</row>
    <row r="20" spans="2:16">
      <c r="B20" s="130">
        <v>10</v>
      </c>
      <c r="C20" s="131" t="s">
        <v>88</v>
      </c>
      <c r="D20" s="132" t="s">
        <v>335</v>
      </c>
      <c r="E20" s="62"/>
      <c r="F20" s="62"/>
      <c r="G20" s="62"/>
      <c r="M20" s="62"/>
      <c r="N20" s="62"/>
      <c r="O20" s="62"/>
      <c r="P20" s="63"/>
    </row>
    <row r="21" spans="2:16">
      <c r="B21" s="130">
        <v>11</v>
      </c>
      <c r="C21" s="131" t="s">
        <v>171</v>
      </c>
      <c r="D21" s="132" t="s">
        <v>336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2:16">
      <c r="B22" s="130">
        <v>12</v>
      </c>
      <c r="C22" s="131" t="s">
        <v>92</v>
      </c>
      <c r="D22" s="132" t="s">
        <v>319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3"/>
    </row>
    <row r="23" spans="2:16">
      <c r="B23" s="130">
        <v>13</v>
      </c>
      <c r="C23" s="131" t="s">
        <v>92</v>
      </c>
      <c r="D23" s="132" t="s">
        <v>320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3"/>
    </row>
    <row r="24" spans="2:16">
      <c r="B24" s="130">
        <v>14</v>
      </c>
      <c r="C24" s="131" t="s">
        <v>147</v>
      </c>
      <c r="D24" s="132" t="s">
        <v>337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</row>
    <row r="25" spans="2:16">
      <c r="B25" s="48"/>
      <c r="C25" s="131"/>
      <c r="D25" s="13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</row>
    <row r="26" spans="2:16">
      <c r="B26" s="130"/>
      <c r="C26" s="70" t="s">
        <v>196</v>
      </c>
      <c r="D26" s="13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3"/>
    </row>
    <row r="27" spans="2:16">
      <c r="B27" s="130"/>
      <c r="C27" s="131"/>
      <c r="D27" s="13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3"/>
    </row>
    <row r="28" spans="2:16">
      <c r="B28" s="130"/>
      <c r="C28" s="131"/>
      <c r="D28" s="13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3"/>
    </row>
    <row r="29" spans="2:16">
      <c r="B29" s="130"/>
      <c r="C29" s="131"/>
      <c r="D29" s="13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3"/>
    </row>
    <row r="30" spans="2:16">
      <c r="B30" s="130"/>
      <c r="C30" s="131"/>
      <c r="D30" s="13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  <row r="31" spans="2:16">
      <c r="B31" s="130"/>
      <c r="C31" s="131"/>
      <c r="D31" s="13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3"/>
    </row>
    <row r="32" spans="2:16">
      <c r="B32" s="130"/>
      <c r="C32" s="131"/>
      <c r="D32" s="13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</row>
    <row r="33" spans="2:16">
      <c r="B33" s="48"/>
      <c r="C33" s="131"/>
      <c r="D33" s="13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3"/>
    </row>
    <row r="34" spans="2:16">
      <c r="B34" s="130"/>
      <c r="C34" s="70" t="s">
        <v>169</v>
      </c>
      <c r="D34" s="13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</row>
    <row r="35" spans="2:16">
      <c r="B35" s="130">
        <v>13</v>
      </c>
      <c r="C35" s="131" t="s">
        <v>175</v>
      </c>
      <c r="D35" s="132" t="s">
        <v>316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3"/>
    </row>
    <row r="36" spans="2:16">
      <c r="B36" s="130">
        <v>14</v>
      </c>
      <c r="C36" s="131" t="s">
        <v>124</v>
      </c>
      <c r="D36" s="132" t="s">
        <v>323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</row>
    <row r="37" spans="2:16">
      <c r="B37" s="130">
        <v>15</v>
      </c>
      <c r="C37" s="131" t="s">
        <v>128</v>
      </c>
      <c r="D37" s="132" t="s">
        <v>324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3"/>
    </row>
    <row r="38" spans="2:16">
      <c r="B38" s="130">
        <v>16</v>
      </c>
      <c r="C38" s="131" t="s">
        <v>331</v>
      </c>
      <c r="D38" s="132" t="s">
        <v>332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</row>
    <row r="39" spans="2:16">
      <c r="B39" s="130"/>
      <c r="C39" s="131"/>
      <c r="D39" s="13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</row>
    <row r="40" spans="2:16">
      <c r="B40" s="154"/>
      <c r="C40" s="196"/>
      <c r="D40" s="197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55"/>
    </row>
    <row r="41" spans="2:16">
      <c r="B41" s="64"/>
      <c r="C41" s="73"/>
      <c r="D41" s="69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</row>
    <row r="42" spans="2:16">
      <c r="B42" s="64"/>
      <c r="C42" s="73"/>
      <c r="D42" s="69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</row>
    <row r="43" spans="2:16">
      <c r="B43" s="64"/>
      <c r="C43" s="73"/>
      <c r="D43" s="45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</row>
    <row r="44" spans="2:16">
      <c r="B44" s="64"/>
      <c r="C44" s="73"/>
      <c r="D44" s="69"/>
      <c r="E44" s="45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2:16">
      <c r="B45" s="64"/>
      <c r="C45" s="73"/>
      <c r="D45" s="45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2:16">
      <c r="B46" s="64"/>
      <c r="C46" s="73"/>
      <c r="D46" s="45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2:16">
      <c r="B47" s="64"/>
      <c r="C47" s="73"/>
      <c r="D47" s="69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2:16">
      <c r="B48" s="64"/>
      <c r="C48" s="73"/>
      <c r="D48" s="69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2:16">
      <c r="B49" s="64"/>
      <c r="C49" s="73"/>
      <c r="D49" s="69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</row>
    <row r="50" spans="2:16">
      <c r="B50" s="64"/>
      <c r="C50" s="73"/>
      <c r="D50" s="69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</row>
    <row r="51" spans="2:16">
      <c r="B51" s="64"/>
      <c r="C51" s="73"/>
      <c r="D51" s="69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2:16">
      <c r="B52" s="64"/>
      <c r="C52" s="73"/>
      <c r="D52" s="69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</row>
    <row r="53" spans="2:16">
      <c r="B53" s="64"/>
      <c r="C53" s="73"/>
      <c r="D53" s="69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</row>
    <row r="54" spans="2:16">
      <c r="B54" s="64"/>
      <c r="C54" s="73"/>
      <c r="D54" s="69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2:16">
      <c r="B55" s="64"/>
      <c r="C55" s="73"/>
      <c r="D55" s="69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</row>
    <row r="56" spans="2:16">
      <c r="B56" s="64"/>
      <c r="C56" s="73"/>
      <c r="D56" s="69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</row>
    <row r="57" spans="2:16">
      <c r="B57" s="64"/>
      <c r="C57" s="73"/>
      <c r="D57" s="69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</row>
    <row r="58" spans="2:16">
      <c r="B58" s="64"/>
      <c r="C58" s="73"/>
      <c r="D58" s="69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2:16">
      <c r="B59" s="64"/>
      <c r="C59" s="73"/>
      <c r="D59" s="69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</row>
    <row r="60" spans="2:16">
      <c r="B60" s="64"/>
      <c r="C60" s="73"/>
      <c r="D60" s="69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</row>
    <row r="61" spans="2:16">
      <c r="B61" s="64"/>
      <c r="C61" s="73"/>
      <c r="D61" s="69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2:16">
      <c r="B62" s="64"/>
      <c r="C62" s="73"/>
      <c r="D62" s="69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</row>
    <row r="63" spans="2:16">
      <c r="B63" s="64"/>
      <c r="C63" s="73"/>
      <c r="D63" s="69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</row>
    <row r="64" spans="2:16">
      <c r="B64" s="64"/>
      <c r="C64" s="73"/>
      <c r="D64" s="69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</row>
    <row r="65" spans="2:17">
      <c r="B65" s="64"/>
      <c r="C65" s="73"/>
      <c r="D65" s="69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2:17">
      <c r="B66" s="64"/>
      <c r="C66" s="73"/>
      <c r="D66" s="69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</row>
    <row r="67" spans="2:17">
      <c r="B67" s="64"/>
      <c r="C67" s="73"/>
      <c r="D67" s="69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2:17" ht="17.399999999999999">
      <c r="B68" s="206" t="s">
        <v>132</v>
      </c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8"/>
      <c r="Q68" s="48"/>
    </row>
    <row r="69" spans="2:17">
      <c r="B69" s="130"/>
      <c r="C69" s="73"/>
      <c r="D69" s="69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3"/>
      <c r="Q69" s="48"/>
    </row>
    <row r="70" spans="2:17">
      <c r="B70" s="49"/>
      <c r="C70" s="73"/>
      <c r="D70" s="69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3"/>
      <c r="Q70" s="48"/>
    </row>
    <row r="71" spans="2:17" ht="12.6">
      <c r="B71" s="50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2"/>
      <c r="Q71" s="48"/>
    </row>
    <row r="72" spans="2:17">
      <c r="B72" s="209" t="s">
        <v>62</v>
      </c>
      <c r="C72" s="74" t="s">
        <v>133</v>
      </c>
      <c r="D72" s="75"/>
      <c r="E72" s="76" t="s">
        <v>134</v>
      </c>
      <c r="F72" s="75"/>
      <c r="G72" s="76" t="s">
        <v>135</v>
      </c>
      <c r="J72" s="75"/>
      <c r="M72" s="51"/>
      <c r="O72" s="76" t="s">
        <v>136</v>
      </c>
      <c r="P72" s="76" t="s">
        <v>137</v>
      </c>
      <c r="Q72" s="48"/>
    </row>
    <row r="73" spans="2:17">
      <c r="B73" s="210"/>
      <c r="C73" s="156"/>
      <c r="D73" s="75"/>
      <c r="E73" s="157"/>
      <c r="F73" s="75"/>
      <c r="G73" s="157"/>
      <c r="J73" s="75"/>
      <c r="M73" s="51"/>
      <c r="O73" s="158" t="s">
        <v>138</v>
      </c>
      <c r="P73" s="158" t="s">
        <v>139</v>
      </c>
      <c r="Q73" s="48"/>
    </row>
    <row r="74" spans="2:17">
      <c r="B74" s="65" t="s">
        <v>63</v>
      </c>
      <c r="C74" s="66" t="s">
        <v>152</v>
      </c>
      <c r="D74" s="51"/>
      <c r="E74" s="77" t="s">
        <v>65</v>
      </c>
      <c r="F74" s="75"/>
      <c r="G74" s="77" t="s">
        <v>63</v>
      </c>
      <c r="J74" s="75"/>
      <c r="M74" s="51"/>
      <c r="O74" s="77" t="s">
        <v>140</v>
      </c>
      <c r="P74" s="67" t="s">
        <v>142</v>
      </c>
      <c r="Q74" s="48"/>
    </row>
    <row r="75" spans="2:17">
      <c r="B75" s="65" t="s">
        <v>63</v>
      </c>
      <c r="C75" s="66" t="s">
        <v>64</v>
      </c>
      <c r="D75" s="51"/>
      <c r="E75" s="77" t="s">
        <v>1</v>
      </c>
      <c r="F75" s="75"/>
      <c r="G75" s="77" t="s">
        <v>99</v>
      </c>
      <c r="J75" s="75"/>
      <c r="M75" s="51"/>
      <c r="O75" s="77" t="s">
        <v>141</v>
      </c>
      <c r="P75" s="67" t="s">
        <v>143</v>
      </c>
      <c r="Q75" s="48"/>
    </row>
    <row r="76" spans="2:17">
      <c r="B76" s="68" t="s">
        <v>63</v>
      </c>
      <c r="C76" s="66" t="s">
        <v>146</v>
      </c>
      <c r="D76" s="51"/>
      <c r="E76" s="77" t="s">
        <v>4</v>
      </c>
      <c r="F76" s="75"/>
      <c r="G76" s="77" t="s">
        <v>110</v>
      </c>
      <c r="J76" s="75"/>
      <c r="M76" s="51"/>
      <c r="O76" s="51"/>
      <c r="P76" s="67" t="s">
        <v>144</v>
      </c>
      <c r="Q76" s="48"/>
    </row>
    <row r="77" spans="2:17">
      <c r="B77" s="68" t="s">
        <v>63</v>
      </c>
      <c r="C77" s="66" t="s">
        <v>66</v>
      </c>
      <c r="D77" s="51"/>
      <c r="E77" s="77" t="s">
        <v>6</v>
      </c>
      <c r="F77" s="75"/>
      <c r="G77" s="75"/>
      <c r="J77" s="75"/>
      <c r="K77" s="75"/>
      <c r="M77" s="51"/>
      <c r="N77" s="51"/>
      <c r="O77" s="51"/>
      <c r="P77" s="52"/>
      <c r="Q77" s="48"/>
    </row>
    <row r="78" spans="2:17">
      <c r="B78" s="68" t="s">
        <v>63</v>
      </c>
      <c r="C78" s="66" t="s">
        <v>67</v>
      </c>
      <c r="D78" s="51"/>
      <c r="E78" s="77" t="s">
        <v>145</v>
      </c>
      <c r="F78" s="75"/>
      <c r="G78" s="75"/>
      <c r="H78" s="75"/>
      <c r="I78" s="75"/>
      <c r="J78" s="75"/>
      <c r="K78" s="75"/>
      <c r="L78" s="51"/>
      <c r="M78" s="51"/>
      <c r="N78" s="51"/>
      <c r="O78" s="51"/>
      <c r="P78" s="52"/>
      <c r="Q78" s="48"/>
    </row>
    <row r="79" spans="2:17">
      <c r="B79" s="68" t="s">
        <v>63</v>
      </c>
      <c r="C79" s="66" t="s">
        <v>185</v>
      </c>
      <c r="D79" s="51"/>
      <c r="E79" s="77" t="s">
        <v>72</v>
      </c>
      <c r="F79" s="75"/>
      <c r="G79" s="75"/>
      <c r="H79" s="75"/>
      <c r="I79" s="75"/>
      <c r="J79" s="75"/>
      <c r="K79" s="75"/>
      <c r="L79" s="51"/>
      <c r="M79" s="51"/>
      <c r="N79" s="51"/>
      <c r="O79" s="51"/>
      <c r="P79" s="52"/>
      <c r="Q79" s="48"/>
    </row>
    <row r="80" spans="2:17">
      <c r="B80" s="68" t="s">
        <v>63</v>
      </c>
      <c r="C80" s="66" t="s">
        <v>68</v>
      </c>
      <c r="D80" s="51"/>
      <c r="E80" s="75"/>
      <c r="F80" s="75"/>
      <c r="G80" s="75"/>
      <c r="H80" s="75"/>
      <c r="I80" s="75"/>
      <c r="J80" s="75"/>
      <c r="K80" s="75"/>
      <c r="L80" s="51"/>
      <c r="M80" s="51"/>
      <c r="N80" s="51"/>
      <c r="O80" s="51"/>
      <c r="P80" s="52"/>
      <c r="Q80" s="48"/>
    </row>
    <row r="81" spans="2:17">
      <c r="B81" s="68" t="s">
        <v>63</v>
      </c>
      <c r="C81" s="66" t="s">
        <v>0</v>
      </c>
      <c r="D81" s="51"/>
      <c r="E81" s="75"/>
      <c r="F81" s="75"/>
      <c r="G81" s="75"/>
      <c r="H81" s="75"/>
      <c r="I81" s="75"/>
      <c r="J81" s="75"/>
      <c r="K81" s="75"/>
      <c r="L81" s="51"/>
      <c r="M81" s="51"/>
      <c r="N81" s="51"/>
      <c r="O81" s="51"/>
      <c r="P81" s="52"/>
      <c r="Q81" s="48"/>
    </row>
    <row r="82" spans="2:17">
      <c r="B82" s="68" t="s">
        <v>63</v>
      </c>
      <c r="C82" s="66" t="s">
        <v>187</v>
      </c>
      <c r="D82" s="51"/>
      <c r="E82" s="75"/>
      <c r="F82" s="75"/>
      <c r="G82" s="75"/>
      <c r="H82" s="75"/>
      <c r="I82" s="75"/>
      <c r="J82" s="75"/>
      <c r="K82" s="75"/>
      <c r="L82" s="51"/>
      <c r="M82" s="51"/>
      <c r="N82" s="51"/>
      <c r="O82" s="51"/>
      <c r="P82" s="52"/>
      <c r="Q82" s="48"/>
    </row>
    <row r="83" spans="2:17">
      <c r="B83" s="68" t="s">
        <v>63</v>
      </c>
      <c r="C83" s="66" t="s">
        <v>69</v>
      </c>
      <c r="D83" s="51"/>
      <c r="E83" s="75"/>
      <c r="F83" s="75"/>
      <c r="G83" s="75"/>
      <c r="H83" s="75"/>
      <c r="I83" s="75"/>
      <c r="J83" s="75"/>
      <c r="K83" s="75"/>
      <c r="L83" s="51"/>
      <c r="M83" s="51"/>
      <c r="N83" s="51"/>
      <c r="O83" s="51"/>
      <c r="P83" s="52"/>
      <c r="Q83" s="48"/>
    </row>
    <row r="84" spans="2:17">
      <c r="B84" s="68" t="s">
        <v>63</v>
      </c>
      <c r="C84" s="66" t="s">
        <v>70</v>
      </c>
      <c r="D84" s="51"/>
      <c r="E84" s="75"/>
      <c r="F84" s="75"/>
      <c r="G84" s="75"/>
      <c r="H84" s="75"/>
      <c r="I84" s="75"/>
      <c r="J84" s="75"/>
      <c r="K84" s="75"/>
      <c r="L84" s="51"/>
      <c r="M84" s="51"/>
      <c r="N84" s="51"/>
      <c r="O84" s="51"/>
      <c r="P84" s="52"/>
      <c r="Q84" s="48"/>
    </row>
    <row r="85" spans="2:17">
      <c r="B85" s="68" t="s">
        <v>63</v>
      </c>
      <c r="C85" s="66" t="s">
        <v>71</v>
      </c>
      <c r="D85" s="51"/>
      <c r="E85" s="75"/>
      <c r="F85" s="75"/>
      <c r="G85" s="75"/>
      <c r="H85" s="75"/>
      <c r="I85" s="75"/>
      <c r="J85" s="75"/>
      <c r="K85" s="75"/>
      <c r="L85" s="51"/>
      <c r="M85" s="51"/>
      <c r="N85" s="51"/>
      <c r="O85" s="51"/>
      <c r="P85" s="52"/>
      <c r="Q85" s="48"/>
    </row>
    <row r="86" spans="2:17">
      <c r="B86" s="68" t="s">
        <v>63</v>
      </c>
      <c r="C86" s="66" t="s">
        <v>73</v>
      </c>
      <c r="D86" s="51"/>
      <c r="E86" s="75"/>
      <c r="F86" s="75"/>
      <c r="G86" s="75"/>
      <c r="H86" s="75"/>
      <c r="I86" s="75"/>
      <c r="J86" s="75"/>
      <c r="K86" s="75"/>
      <c r="L86" s="51"/>
      <c r="M86" s="51"/>
      <c r="N86" s="51"/>
      <c r="O86" s="51"/>
      <c r="P86" s="52"/>
      <c r="Q86" s="48"/>
    </row>
    <row r="87" spans="2:17">
      <c r="B87" s="68" t="s">
        <v>63</v>
      </c>
      <c r="C87" s="66" t="s">
        <v>164</v>
      </c>
      <c r="D87" s="51"/>
      <c r="E87" s="75"/>
      <c r="F87" s="75"/>
      <c r="G87" s="75"/>
      <c r="H87" s="75"/>
      <c r="I87" s="75"/>
      <c r="J87" s="75"/>
      <c r="K87" s="75"/>
      <c r="L87" s="51"/>
      <c r="M87" s="51"/>
      <c r="N87" s="51"/>
      <c r="O87" s="51"/>
      <c r="P87" s="52"/>
      <c r="Q87" s="48"/>
    </row>
    <row r="88" spans="2:17">
      <c r="B88" s="68" t="s">
        <v>63</v>
      </c>
      <c r="C88" s="66" t="s">
        <v>172</v>
      </c>
      <c r="D88" s="51"/>
      <c r="E88" s="75"/>
      <c r="F88" s="75"/>
      <c r="G88" s="75"/>
      <c r="H88" s="75"/>
      <c r="I88" s="75"/>
      <c r="J88" s="75"/>
      <c r="K88" s="75"/>
      <c r="L88" s="51"/>
      <c r="M88" s="51"/>
      <c r="N88" s="51"/>
      <c r="O88" s="51"/>
      <c r="P88" s="52"/>
      <c r="Q88" s="48"/>
    </row>
    <row r="89" spans="2:17">
      <c r="B89" s="68" t="s">
        <v>63</v>
      </c>
      <c r="C89" s="66" t="s">
        <v>74</v>
      </c>
      <c r="D89" s="51"/>
      <c r="E89" s="75"/>
      <c r="F89" s="75"/>
      <c r="G89" s="75"/>
      <c r="H89" s="75"/>
      <c r="I89" s="75"/>
      <c r="J89" s="75"/>
      <c r="K89" s="75"/>
      <c r="L89" s="51"/>
      <c r="M89" s="51"/>
      <c r="N89" s="51"/>
      <c r="O89" s="51"/>
      <c r="P89" s="52"/>
      <c r="Q89" s="48"/>
    </row>
    <row r="90" spans="2:17">
      <c r="B90" s="68" t="s">
        <v>63</v>
      </c>
      <c r="C90" s="66" t="s">
        <v>274</v>
      </c>
      <c r="D90" s="51"/>
      <c r="E90" s="75"/>
      <c r="F90" s="75"/>
      <c r="G90" s="75"/>
      <c r="H90" s="75"/>
      <c r="I90" s="75"/>
      <c r="J90" s="75"/>
      <c r="K90" s="75"/>
      <c r="L90" s="51"/>
      <c r="M90" s="51"/>
      <c r="N90" s="51"/>
      <c r="O90" s="51"/>
      <c r="P90" s="52"/>
      <c r="Q90" s="48"/>
    </row>
    <row r="91" spans="2:17">
      <c r="B91" s="68" t="s">
        <v>63</v>
      </c>
      <c r="C91" s="66" t="s">
        <v>321</v>
      </c>
      <c r="D91" s="51"/>
      <c r="E91" s="75"/>
      <c r="F91" s="75"/>
      <c r="G91" s="75"/>
      <c r="H91" s="75"/>
      <c r="I91" s="75"/>
      <c r="J91" s="75"/>
      <c r="K91" s="75"/>
      <c r="L91" s="51"/>
      <c r="M91" s="51"/>
      <c r="N91" s="51"/>
      <c r="O91" s="51"/>
      <c r="P91" s="52"/>
      <c r="Q91" s="48"/>
    </row>
    <row r="92" spans="2:17">
      <c r="B92" s="68" t="s">
        <v>63</v>
      </c>
      <c r="C92" s="66" t="s">
        <v>76</v>
      </c>
      <c r="D92" s="51"/>
      <c r="E92" s="75"/>
      <c r="F92" s="75"/>
      <c r="G92" s="75"/>
      <c r="H92" s="75"/>
      <c r="I92" s="75"/>
      <c r="J92" s="75"/>
      <c r="K92" s="75"/>
      <c r="L92" s="51"/>
      <c r="M92" s="51"/>
      <c r="N92" s="51"/>
      <c r="O92" s="51"/>
      <c r="P92" s="52"/>
      <c r="Q92" s="48"/>
    </row>
    <row r="93" spans="2:17">
      <c r="B93" s="68" t="s">
        <v>63</v>
      </c>
      <c r="C93" s="66" t="s">
        <v>77</v>
      </c>
      <c r="D93" s="51"/>
      <c r="E93" s="75"/>
      <c r="F93" s="75"/>
      <c r="G93" s="75"/>
      <c r="H93" s="75"/>
      <c r="I93" s="75"/>
      <c r="J93" s="75"/>
      <c r="K93" s="75"/>
      <c r="L93" s="51"/>
      <c r="M93" s="51"/>
      <c r="N93" s="51"/>
      <c r="O93" s="51"/>
      <c r="P93" s="52"/>
      <c r="Q93" s="48"/>
    </row>
    <row r="94" spans="2:17">
      <c r="B94" s="68" t="s">
        <v>63</v>
      </c>
      <c r="C94" s="66" t="s">
        <v>317</v>
      </c>
      <c r="D94" s="51"/>
      <c r="E94" s="75"/>
      <c r="F94" s="75"/>
      <c r="G94" s="75"/>
      <c r="H94" s="75"/>
      <c r="I94" s="75"/>
      <c r="J94" s="75"/>
      <c r="K94" s="75"/>
      <c r="L94" s="51"/>
      <c r="M94" s="51"/>
      <c r="N94" s="51"/>
      <c r="O94" s="51"/>
      <c r="P94" s="52"/>
      <c r="Q94" s="48"/>
    </row>
    <row r="95" spans="2:17">
      <c r="B95" s="68" t="s">
        <v>63</v>
      </c>
      <c r="C95" s="66" t="s">
        <v>101</v>
      </c>
      <c r="D95" s="51"/>
      <c r="E95" s="75"/>
      <c r="F95" s="75"/>
      <c r="G95" s="75"/>
      <c r="H95" s="75"/>
      <c r="I95" s="75"/>
      <c r="J95" s="75"/>
      <c r="K95" s="75"/>
      <c r="L95" s="51"/>
      <c r="M95" s="51"/>
      <c r="N95" s="51"/>
      <c r="O95" s="51"/>
      <c r="P95" s="52"/>
      <c r="Q95" s="48"/>
    </row>
    <row r="96" spans="2:17">
      <c r="B96" s="68" t="s">
        <v>63</v>
      </c>
      <c r="C96" s="66" t="s">
        <v>79</v>
      </c>
      <c r="D96" s="51"/>
      <c r="E96" s="75"/>
      <c r="F96" s="75"/>
      <c r="G96" s="75"/>
      <c r="H96" s="75"/>
      <c r="I96" s="75"/>
      <c r="J96" s="75"/>
      <c r="K96" s="75"/>
      <c r="L96" s="51"/>
      <c r="M96" s="51"/>
      <c r="N96" s="51"/>
      <c r="O96" s="51"/>
      <c r="P96" s="52"/>
      <c r="Q96" s="48"/>
    </row>
    <row r="97" spans="2:17">
      <c r="B97" s="68" t="s">
        <v>63</v>
      </c>
      <c r="C97" s="66" t="s">
        <v>80</v>
      </c>
      <c r="D97" s="51"/>
      <c r="E97" s="75"/>
      <c r="F97" s="75"/>
      <c r="G97" s="75"/>
      <c r="H97" s="75"/>
      <c r="I97" s="75"/>
      <c r="J97" s="75"/>
      <c r="K97" s="75"/>
      <c r="L97" s="51"/>
      <c r="M97" s="51"/>
      <c r="N97" s="51"/>
      <c r="O97" s="51"/>
      <c r="P97" s="52"/>
      <c r="Q97" s="48"/>
    </row>
    <row r="98" spans="2:17">
      <c r="B98" s="68" t="s">
        <v>63</v>
      </c>
      <c r="C98" s="66" t="s">
        <v>81</v>
      </c>
      <c r="D98" s="51"/>
      <c r="E98" s="75"/>
      <c r="F98" s="75"/>
      <c r="G98" s="75"/>
      <c r="H98" s="75"/>
      <c r="I98" s="75"/>
      <c r="J98" s="75"/>
      <c r="K98" s="75"/>
      <c r="L98" s="51"/>
      <c r="M98" s="51"/>
      <c r="N98" s="51"/>
      <c r="O98" s="51"/>
      <c r="P98" s="52"/>
      <c r="Q98" s="48"/>
    </row>
    <row r="99" spans="2:17">
      <c r="B99" s="68" t="s">
        <v>63</v>
      </c>
      <c r="C99" s="66" t="s">
        <v>153</v>
      </c>
      <c r="D99" s="51"/>
      <c r="E99" s="75"/>
      <c r="F99" s="75"/>
      <c r="G99" s="75"/>
      <c r="H99" s="75"/>
      <c r="I99" s="75"/>
      <c r="J99" s="75"/>
      <c r="K99" s="75"/>
      <c r="L99" s="51"/>
      <c r="M99" s="51"/>
      <c r="N99" s="51"/>
      <c r="O99" s="51"/>
      <c r="P99" s="52"/>
      <c r="Q99" s="48"/>
    </row>
    <row r="100" spans="2:17">
      <c r="B100" s="68" t="s">
        <v>63</v>
      </c>
      <c r="C100" s="66" t="s">
        <v>160</v>
      </c>
      <c r="D100" s="51"/>
      <c r="E100" s="75"/>
      <c r="F100" s="75"/>
      <c r="G100" s="75"/>
      <c r="H100" s="75"/>
      <c r="I100" s="75"/>
      <c r="J100" s="75"/>
      <c r="K100" s="75"/>
      <c r="L100" s="51"/>
      <c r="M100" s="51"/>
      <c r="N100" s="51"/>
      <c r="O100" s="51"/>
      <c r="P100" s="52"/>
      <c r="Q100" s="48"/>
    </row>
    <row r="101" spans="2:17">
      <c r="B101" s="68" t="s">
        <v>63</v>
      </c>
      <c r="C101" s="66" t="s">
        <v>154</v>
      </c>
      <c r="D101" s="51"/>
      <c r="E101" s="75"/>
      <c r="F101" s="75"/>
      <c r="G101" s="75"/>
      <c r="H101" s="75"/>
      <c r="I101" s="75"/>
      <c r="J101" s="75"/>
      <c r="K101" s="75"/>
      <c r="L101" s="51"/>
      <c r="M101" s="51"/>
      <c r="N101" s="51"/>
      <c r="O101" s="51"/>
      <c r="P101" s="52"/>
      <c r="Q101" s="48"/>
    </row>
    <row r="102" spans="2:17">
      <c r="B102" s="68" t="s">
        <v>63</v>
      </c>
      <c r="C102" s="66" t="s">
        <v>82</v>
      </c>
      <c r="D102" s="51"/>
      <c r="E102" s="75"/>
      <c r="F102" s="75"/>
      <c r="G102" s="75"/>
      <c r="H102" s="75"/>
      <c r="I102" s="75"/>
      <c r="J102" s="75"/>
      <c r="K102" s="75"/>
      <c r="L102" s="51"/>
      <c r="M102" s="51"/>
      <c r="N102" s="51"/>
      <c r="O102" s="51"/>
      <c r="P102" s="52"/>
      <c r="Q102" s="48"/>
    </row>
    <row r="103" spans="2:17">
      <c r="B103" s="68" t="s">
        <v>63</v>
      </c>
      <c r="C103" s="66" t="s">
        <v>165</v>
      </c>
      <c r="D103" s="51"/>
      <c r="E103" s="75"/>
      <c r="F103" s="75"/>
      <c r="G103" s="75"/>
      <c r="H103" s="75"/>
      <c r="I103" s="75"/>
      <c r="J103" s="75"/>
      <c r="K103" s="75"/>
      <c r="L103" s="51"/>
      <c r="M103" s="51"/>
      <c r="N103" s="51"/>
      <c r="O103" s="51"/>
      <c r="P103" s="52"/>
      <c r="Q103" s="48"/>
    </row>
    <row r="104" spans="2:17">
      <c r="B104" s="68" t="s">
        <v>63</v>
      </c>
      <c r="C104" s="66" t="s">
        <v>2</v>
      </c>
      <c r="D104" s="51"/>
      <c r="E104" s="75"/>
      <c r="F104" s="75"/>
      <c r="G104" s="75"/>
      <c r="H104" s="75"/>
      <c r="I104" s="75"/>
      <c r="J104" s="75"/>
      <c r="K104" s="75"/>
      <c r="L104" s="51"/>
      <c r="M104" s="51"/>
      <c r="N104" s="51"/>
      <c r="O104" s="51"/>
      <c r="P104" s="52"/>
      <c r="Q104" s="48"/>
    </row>
    <row r="105" spans="2:17">
      <c r="B105" s="68" t="s">
        <v>63</v>
      </c>
      <c r="C105" s="66" t="s">
        <v>83</v>
      </c>
      <c r="D105" s="51"/>
      <c r="E105" s="75"/>
      <c r="F105" s="75"/>
      <c r="G105" s="75"/>
      <c r="H105" s="75"/>
      <c r="I105" s="75"/>
      <c r="J105" s="75"/>
      <c r="K105" s="75"/>
      <c r="L105" s="51"/>
      <c r="M105" s="51"/>
      <c r="N105" s="51"/>
      <c r="O105" s="51"/>
      <c r="P105" s="52"/>
      <c r="Q105" s="48"/>
    </row>
    <row r="106" spans="2:17">
      <c r="B106" s="68" t="s">
        <v>63</v>
      </c>
      <c r="C106" s="66" t="s">
        <v>151</v>
      </c>
      <c r="D106" s="51"/>
      <c r="E106" s="75"/>
      <c r="F106" s="75"/>
      <c r="G106" s="75"/>
      <c r="H106" s="75"/>
      <c r="I106" s="75"/>
      <c r="J106" s="75"/>
      <c r="K106" s="75"/>
      <c r="L106" s="51"/>
      <c r="M106" s="51"/>
      <c r="N106" s="51"/>
      <c r="O106" s="51"/>
      <c r="P106" s="52"/>
      <c r="Q106" s="48"/>
    </row>
    <row r="107" spans="2:17">
      <c r="B107" s="68" t="s">
        <v>63</v>
      </c>
      <c r="C107" s="66" t="s">
        <v>167</v>
      </c>
      <c r="D107" s="51"/>
      <c r="E107" s="75"/>
      <c r="F107" s="75"/>
      <c r="G107" s="75"/>
      <c r="H107" s="75"/>
      <c r="I107" s="75"/>
      <c r="J107" s="75"/>
      <c r="K107" s="75"/>
      <c r="L107" s="51"/>
      <c r="M107" s="51"/>
      <c r="N107" s="51"/>
      <c r="O107" s="51"/>
      <c r="P107" s="52"/>
      <c r="Q107" s="48"/>
    </row>
    <row r="108" spans="2:17">
      <c r="B108" s="68" t="s">
        <v>63</v>
      </c>
      <c r="C108" s="66" t="s">
        <v>84</v>
      </c>
      <c r="D108" s="51"/>
      <c r="E108" s="75"/>
      <c r="F108" s="75"/>
      <c r="G108" s="75"/>
      <c r="H108" s="75"/>
      <c r="I108" s="75"/>
      <c r="J108" s="75"/>
      <c r="K108" s="75"/>
      <c r="L108" s="51"/>
      <c r="M108" s="51"/>
      <c r="N108" s="51"/>
      <c r="O108" s="51"/>
      <c r="P108" s="52"/>
      <c r="Q108" s="48"/>
    </row>
    <row r="109" spans="2:17">
      <c r="B109" s="68" t="s">
        <v>63</v>
      </c>
      <c r="C109" s="66" t="s">
        <v>85</v>
      </c>
      <c r="D109" s="51"/>
      <c r="E109" s="75"/>
      <c r="F109" s="75"/>
      <c r="G109" s="75"/>
      <c r="H109" s="75"/>
      <c r="I109" s="75"/>
      <c r="J109" s="75"/>
      <c r="K109" s="75"/>
      <c r="L109" s="51"/>
      <c r="M109" s="51"/>
      <c r="N109" s="51"/>
      <c r="O109" s="51"/>
      <c r="P109" s="52"/>
      <c r="Q109" s="48"/>
    </row>
    <row r="110" spans="2:17">
      <c r="B110" s="68" t="s">
        <v>63</v>
      </c>
      <c r="C110" s="66" t="s">
        <v>155</v>
      </c>
      <c r="D110" s="51"/>
      <c r="E110" s="75"/>
      <c r="F110" s="75"/>
      <c r="G110" s="75"/>
      <c r="H110" s="75"/>
      <c r="I110" s="75"/>
      <c r="J110" s="75"/>
      <c r="K110" s="75"/>
      <c r="L110" s="51"/>
      <c r="M110" s="51"/>
      <c r="N110" s="51"/>
      <c r="O110" s="51"/>
      <c r="P110" s="52"/>
      <c r="Q110" s="48"/>
    </row>
    <row r="111" spans="2:17">
      <c r="B111" s="68" t="s">
        <v>63</v>
      </c>
      <c r="C111" s="66" t="s">
        <v>86</v>
      </c>
      <c r="D111" s="51"/>
      <c r="E111" s="75"/>
      <c r="F111" s="75"/>
      <c r="G111" s="75"/>
      <c r="H111" s="75"/>
      <c r="I111" s="75"/>
      <c r="J111" s="75"/>
      <c r="K111" s="75"/>
      <c r="L111" s="51"/>
      <c r="M111" s="51"/>
      <c r="N111" s="51"/>
      <c r="O111" s="51"/>
      <c r="P111" s="52"/>
      <c r="Q111" s="48"/>
    </row>
    <row r="112" spans="2:17">
      <c r="B112" s="68" t="s">
        <v>63</v>
      </c>
      <c r="C112" s="66" t="s">
        <v>156</v>
      </c>
      <c r="D112" s="51"/>
      <c r="E112" s="75"/>
      <c r="F112" s="75"/>
      <c r="G112" s="75"/>
      <c r="H112" s="75"/>
      <c r="I112" s="75"/>
      <c r="J112" s="75"/>
      <c r="K112" s="75"/>
      <c r="L112" s="51"/>
      <c r="M112" s="51"/>
      <c r="N112" s="51"/>
      <c r="O112" s="51"/>
      <c r="P112" s="52"/>
      <c r="Q112" s="48"/>
    </row>
    <row r="113" spans="2:17">
      <c r="B113" s="68" t="s">
        <v>63</v>
      </c>
      <c r="C113" s="66" t="s">
        <v>87</v>
      </c>
      <c r="D113" s="51"/>
      <c r="E113" s="75"/>
      <c r="F113" s="75"/>
      <c r="G113" s="75"/>
      <c r="H113" s="75"/>
      <c r="I113" s="75"/>
      <c r="J113" s="75"/>
      <c r="K113" s="75"/>
      <c r="L113" s="51"/>
      <c r="M113" s="51"/>
      <c r="N113" s="51"/>
      <c r="O113" s="51"/>
      <c r="P113" s="52"/>
      <c r="Q113" s="48"/>
    </row>
    <row r="114" spans="2:17">
      <c r="B114" s="68" t="s">
        <v>63</v>
      </c>
      <c r="C114" s="66" t="s">
        <v>88</v>
      </c>
      <c r="D114" s="51"/>
      <c r="E114" s="75"/>
      <c r="F114" s="75"/>
      <c r="G114" s="75"/>
      <c r="H114" s="75"/>
      <c r="I114" s="75"/>
      <c r="J114" s="75"/>
      <c r="K114" s="75"/>
      <c r="L114" s="51"/>
      <c r="M114" s="51"/>
      <c r="N114" s="51"/>
      <c r="O114" s="51"/>
      <c r="P114" s="52"/>
      <c r="Q114" s="48"/>
    </row>
    <row r="115" spans="2:17">
      <c r="B115" s="68" t="s">
        <v>63</v>
      </c>
      <c r="C115" s="66" t="s">
        <v>171</v>
      </c>
      <c r="D115" s="51"/>
      <c r="E115" s="75"/>
      <c r="F115" s="75"/>
      <c r="G115" s="75"/>
      <c r="H115" s="75"/>
      <c r="I115" s="75"/>
      <c r="J115" s="75"/>
      <c r="K115" s="75"/>
      <c r="L115" s="51"/>
      <c r="M115" s="51"/>
      <c r="N115" s="51"/>
      <c r="O115" s="51"/>
      <c r="P115" s="52"/>
      <c r="Q115" s="48"/>
    </row>
    <row r="116" spans="2:17">
      <c r="B116" s="68" t="s">
        <v>63</v>
      </c>
      <c r="C116" s="66" t="s">
        <v>89</v>
      </c>
      <c r="D116" s="51"/>
      <c r="E116" s="75"/>
      <c r="F116" s="75"/>
      <c r="G116" s="75"/>
      <c r="H116" s="75"/>
      <c r="I116" s="75"/>
      <c r="J116" s="75"/>
      <c r="K116" s="75"/>
      <c r="L116" s="51"/>
      <c r="M116" s="51"/>
      <c r="N116" s="51"/>
      <c r="O116" s="51"/>
      <c r="P116" s="52"/>
      <c r="Q116" s="48"/>
    </row>
    <row r="117" spans="2:17">
      <c r="B117" s="68" t="s">
        <v>63</v>
      </c>
      <c r="C117" s="66" t="s">
        <v>157</v>
      </c>
      <c r="D117" s="51"/>
      <c r="E117" s="75"/>
      <c r="F117" s="75"/>
      <c r="G117" s="75"/>
      <c r="H117" s="75"/>
      <c r="I117" s="75"/>
      <c r="J117" s="75"/>
      <c r="K117" s="75"/>
      <c r="L117" s="51"/>
      <c r="M117" s="51"/>
      <c r="N117" s="51"/>
      <c r="O117" s="51"/>
      <c r="P117" s="52"/>
      <c r="Q117" s="48"/>
    </row>
    <row r="118" spans="2:17">
      <c r="B118" s="68" t="s">
        <v>63</v>
      </c>
      <c r="C118" s="66" t="s">
        <v>90</v>
      </c>
      <c r="D118" s="51"/>
      <c r="E118" s="75"/>
      <c r="F118" s="75"/>
      <c r="G118" s="75"/>
      <c r="H118" s="75"/>
      <c r="I118" s="75"/>
      <c r="J118" s="75"/>
      <c r="K118" s="75"/>
      <c r="L118" s="51"/>
      <c r="M118" s="51"/>
      <c r="N118" s="51"/>
      <c r="O118" s="51"/>
      <c r="P118" s="52"/>
      <c r="Q118" s="48"/>
    </row>
    <row r="119" spans="2:17">
      <c r="B119" s="68" t="s">
        <v>63</v>
      </c>
      <c r="C119" s="66" t="s">
        <v>91</v>
      </c>
      <c r="D119" s="51"/>
      <c r="E119" s="75"/>
      <c r="F119" s="75"/>
      <c r="G119" s="75"/>
      <c r="H119" s="75"/>
      <c r="I119" s="75"/>
      <c r="J119" s="75"/>
      <c r="K119" s="75"/>
      <c r="L119" s="51"/>
      <c r="M119" s="51"/>
      <c r="N119" s="51"/>
      <c r="O119" s="51"/>
      <c r="P119" s="52"/>
      <c r="Q119" s="48"/>
    </row>
    <row r="120" spans="2:17">
      <c r="B120" s="68" t="s">
        <v>63</v>
      </c>
      <c r="C120" s="66" t="s">
        <v>92</v>
      </c>
      <c r="D120" s="51"/>
      <c r="E120" s="75"/>
      <c r="F120" s="75"/>
      <c r="G120" s="75"/>
      <c r="H120" s="75"/>
      <c r="I120" s="75"/>
      <c r="J120" s="75"/>
      <c r="K120" s="75"/>
      <c r="L120" s="51"/>
      <c r="M120" s="51"/>
      <c r="N120" s="51"/>
      <c r="O120" s="51"/>
      <c r="P120" s="52"/>
      <c r="Q120" s="48"/>
    </row>
    <row r="121" spans="2:17">
      <c r="B121" s="68" t="s">
        <v>63</v>
      </c>
      <c r="C121" s="66" t="s">
        <v>189</v>
      </c>
      <c r="D121" s="51"/>
      <c r="E121" s="75"/>
      <c r="F121" s="75"/>
      <c r="G121" s="75"/>
      <c r="H121" s="75"/>
      <c r="I121" s="75"/>
      <c r="J121" s="75"/>
      <c r="K121" s="75"/>
      <c r="L121" s="51"/>
      <c r="M121" s="51"/>
      <c r="N121" s="51"/>
      <c r="O121" s="51"/>
      <c r="P121" s="52"/>
      <c r="Q121" s="48"/>
    </row>
    <row r="122" spans="2:17">
      <c r="B122" s="68" t="s">
        <v>63</v>
      </c>
      <c r="C122" s="66" t="s">
        <v>158</v>
      </c>
      <c r="D122" s="51"/>
      <c r="E122" s="75"/>
      <c r="F122" s="75"/>
      <c r="G122" s="75"/>
      <c r="H122" s="75"/>
      <c r="I122" s="75"/>
      <c r="J122" s="75"/>
      <c r="K122" s="75"/>
      <c r="L122" s="51"/>
      <c r="M122" s="51"/>
      <c r="N122" s="51"/>
      <c r="O122" s="51"/>
      <c r="P122" s="52"/>
      <c r="Q122" s="48"/>
    </row>
    <row r="123" spans="2:17">
      <c r="B123" s="68" t="s">
        <v>63</v>
      </c>
      <c r="C123" s="66" t="s">
        <v>3</v>
      </c>
      <c r="D123" s="51"/>
      <c r="E123" s="75"/>
      <c r="F123" s="75"/>
      <c r="G123" s="75"/>
      <c r="H123" s="75"/>
      <c r="I123" s="75"/>
      <c r="J123" s="75"/>
      <c r="K123" s="75"/>
      <c r="L123" s="51"/>
      <c r="M123" s="51"/>
      <c r="N123" s="51"/>
      <c r="O123" s="51"/>
      <c r="P123" s="52"/>
      <c r="Q123" s="48"/>
    </row>
    <row r="124" spans="2:17">
      <c r="B124" s="68" t="s">
        <v>63</v>
      </c>
      <c r="C124" s="66" t="s">
        <v>93</v>
      </c>
      <c r="D124" s="51"/>
      <c r="E124" s="75"/>
      <c r="F124" s="75"/>
      <c r="G124" s="75"/>
      <c r="H124" s="75"/>
      <c r="I124" s="75"/>
      <c r="J124" s="75"/>
      <c r="K124" s="75"/>
      <c r="L124" s="51"/>
      <c r="M124" s="51"/>
      <c r="N124" s="51"/>
      <c r="O124" s="51"/>
      <c r="P124" s="52"/>
      <c r="Q124" s="48"/>
    </row>
    <row r="125" spans="2:17">
      <c r="B125" s="68" t="s">
        <v>63</v>
      </c>
      <c r="C125" s="66" t="s">
        <v>188</v>
      </c>
      <c r="D125" s="51"/>
      <c r="E125" s="75"/>
      <c r="F125" s="75"/>
      <c r="G125" s="75"/>
      <c r="H125" s="75"/>
      <c r="I125" s="75"/>
      <c r="J125" s="75"/>
      <c r="K125" s="75"/>
      <c r="L125" s="51"/>
      <c r="M125" s="51"/>
      <c r="N125" s="51"/>
      <c r="O125" s="51"/>
      <c r="P125" s="52"/>
      <c r="Q125" s="48"/>
    </row>
    <row r="126" spans="2:17">
      <c r="B126" s="68" t="s">
        <v>63</v>
      </c>
      <c r="C126" s="66" t="s">
        <v>94</v>
      </c>
      <c r="D126" s="51"/>
      <c r="E126" s="75"/>
      <c r="F126" s="75"/>
      <c r="G126" s="75"/>
      <c r="H126" s="75"/>
      <c r="I126" s="75"/>
      <c r="J126" s="75"/>
      <c r="K126" s="75"/>
      <c r="L126" s="51"/>
      <c r="M126" s="51"/>
      <c r="N126" s="51"/>
      <c r="O126" s="51"/>
      <c r="P126" s="52"/>
      <c r="Q126" s="48"/>
    </row>
    <row r="127" spans="2:17">
      <c r="B127" s="68" t="s">
        <v>63</v>
      </c>
      <c r="C127" s="66" t="s">
        <v>95</v>
      </c>
      <c r="D127" s="51"/>
      <c r="E127" s="75"/>
      <c r="F127" s="75"/>
      <c r="G127" s="75"/>
      <c r="H127" s="75"/>
      <c r="I127" s="75"/>
      <c r="J127" s="75"/>
      <c r="K127" s="75"/>
      <c r="L127" s="51"/>
      <c r="M127" s="51"/>
      <c r="N127" s="51"/>
      <c r="O127" s="51"/>
      <c r="P127" s="52"/>
      <c r="Q127" s="48"/>
    </row>
    <row r="128" spans="2:17">
      <c r="B128" s="68" t="s">
        <v>63</v>
      </c>
      <c r="C128" s="66" t="s">
        <v>96</v>
      </c>
      <c r="D128" s="51"/>
      <c r="E128" s="75"/>
      <c r="F128" s="75"/>
      <c r="G128" s="75"/>
      <c r="H128" s="75"/>
      <c r="I128" s="75"/>
      <c r="J128" s="75"/>
      <c r="K128" s="75"/>
      <c r="L128" s="51"/>
      <c r="M128" s="51"/>
      <c r="N128" s="51"/>
      <c r="O128" s="51"/>
      <c r="P128" s="52"/>
      <c r="Q128" s="48"/>
    </row>
    <row r="129" spans="2:17">
      <c r="B129" s="68" t="s">
        <v>63</v>
      </c>
      <c r="C129" s="66" t="s">
        <v>147</v>
      </c>
      <c r="D129" s="51"/>
      <c r="E129" s="75"/>
      <c r="F129" s="75"/>
      <c r="G129" s="75"/>
      <c r="H129" s="75"/>
      <c r="I129" s="75"/>
      <c r="J129" s="75"/>
      <c r="K129" s="75"/>
      <c r="L129" s="51"/>
      <c r="M129" s="51"/>
      <c r="N129" s="51"/>
      <c r="O129" s="51"/>
      <c r="P129" s="52"/>
      <c r="Q129" s="48"/>
    </row>
    <row r="130" spans="2:17">
      <c r="B130" s="68" t="s">
        <v>63</v>
      </c>
      <c r="C130" s="66" t="s">
        <v>148</v>
      </c>
      <c r="D130" s="51"/>
      <c r="E130" s="75"/>
      <c r="F130" s="75"/>
      <c r="G130" s="75"/>
      <c r="H130" s="75"/>
      <c r="I130" s="75"/>
      <c r="J130" s="75"/>
      <c r="K130" s="75"/>
      <c r="L130" s="51"/>
      <c r="M130" s="51"/>
      <c r="N130" s="51"/>
      <c r="O130" s="51"/>
      <c r="P130" s="52"/>
      <c r="Q130" s="48"/>
    </row>
    <row r="131" spans="2:17">
      <c r="B131" s="68" t="s">
        <v>63</v>
      </c>
      <c r="C131" s="66" t="s">
        <v>97</v>
      </c>
      <c r="D131" s="51"/>
      <c r="E131" s="75"/>
      <c r="F131" s="75"/>
      <c r="G131" s="75"/>
      <c r="H131" s="75"/>
      <c r="I131" s="75"/>
      <c r="J131" s="75"/>
      <c r="K131" s="75"/>
      <c r="L131" s="51"/>
      <c r="M131" s="51"/>
      <c r="N131" s="51"/>
      <c r="O131" s="51"/>
      <c r="P131" s="52"/>
      <c r="Q131" s="48"/>
    </row>
    <row r="132" spans="2:17">
      <c r="B132" s="68" t="s">
        <v>63</v>
      </c>
      <c r="C132" s="66" t="s">
        <v>168</v>
      </c>
      <c r="D132" s="51"/>
      <c r="E132" s="75"/>
      <c r="F132" s="75"/>
      <c r="G132" s="75"/>
      <c r="H132" s="75"/>
      <c r="I132" s="75"/>
      <c r="J132" s="75"/>
      <c r="K132" s="75"/>
      <c r="L132" s="51"/>
      <c r="M132" s="51"/>
      <c r="N132" s="51"/>
      <c r="O132" s="51"/>
      <c r="P132" s="52"/>
      <c r="Q132" s="48"/>
    </row>
    <row r="133" spans="2:17">
      <c r="B133" s="68" t="s">
        <v>63</v>
      </c>
      <c r="C133" s="66" t="s">
        <v>98</v>
      </c>
      <c r="D133" s="51"/>
      <c r="E133" s="75"/>
      <c r="F133" s="75"/>
      <c r="G133" s="75"/>
      <c r="H133" s="75"/>
      <c r="I133" s="75"/>
      <c r="J133" s="75"/>
      <c r="K133" s="75"/>
      <c r="L133" s="51"/>
      <c r="M133" s="51"/>
      <c r="N133" s="51"/>
      <c r="O133" s="51"/>
      <c r="P133" s="52"/>
      <c r="Q133" s="48"/>
    </row>
    <row r="134" spans="2:17">
      <c r="B134" s="68" t="s">
        <v>63</v>
      </c>
      <c r="C134" s="66" t="s">
        <v>100</v>
      </c>
      <c r="D134" s="51"/>
      <c r="E134" s="75"/>
      <c r="F134" s="75"/>
      <c r="G134" s="75"/>
      <c r="H134" s="75"/>
      <c r="I134" s="75"/>
      <c r="J134" s="75"/>
      <c r="K134" s="75"/>
      <c r="L134" s="51"/>
      <c r="M134" s="51"/>
      <c r="N134" s="51"/>
      <c r="O134" s="51"/>
      <c r="P134" s="52"/>
      <c r="Q134" s="48"/>
    </row>
    <row r="135" spans="2:17">
      <c r="B135" s="68" t="s">
        <v>63</v>
      </c>
      <c r="C135" s="66" t="s">
        <v>5</v>
      </c>
      <c r="D135" s="51"/>
      <c r="E135" s="75"/>
      <c r="F135" s="75"/>
      <c r="G135" s="75"/>
      <c r="H135" s="75"/>
      <c r="I135" s="75"/>
      <c r="J135" s="75"/>
      <c r="K135" s="75"/>
      <c r="L135" s="51"/>
      <c r="M135" s="51"/>
      <c r="N135" s="51"/>
      <c r="O135" s="51"/>
      <c r="P135" s="52"/>
      <c r="Q135" s="48"/>
    </row>
    <row r="136" spans="2:17">
      <c r="B136" s="68" t="s">
        <v>99</v>
      </c>
      <c r="C136" s="66" t="s">
        <v>166</v>
      </c>
      <c r="D136" s="51"/>
      <c r="E136" s="75"/>
      <c r="F136" s="75"/>
      <c r="G136" s="75"/>
      <c r="H136" s="75"/>
      <c r="I136" s="75"/>
      <c r="J136" s="75"/>
      <c r="K136" s="75"/>
      <c r="L136" s="51"/>
      <c r="M136" s="51"/>
      <c r="N136" s="51"/>
      <c r="O136" s="51"/>
      <c r="P136" s="52"/>
      <c r="Q136" s="48"/>
    </row>
    <row r="137" spans="2:17">
      <c r="B137" s="68" t="s">
        <v>99</v>
      </c>
      <c r="C137" s="66" t="s">
        <v>173</v>
      </c>
      <c r="D137" s="51"/>
      <c r="E137" s="75"/>
      <c r="F137" s="75"/>
      <c r="G137" s="75"/>
      <c r="H137" s="75"/>
      <c r="I137" s="75"/>
      <c r="J137" s="75"/>
      <c r="K137" s="75"/>
      <c r="L137" s="51"/>
      <c r="M137" s="51"/>
      <c r="N137" s="51"/>
      <c r="O137" s="51"/>
      <c r="P137" s="52"/>
      <c r="Q137" s="48"/>
    </row>
    <row r="138" spans="2:17">
      <c r="B138" s="68" t="s">
        <v>99</v>
      </c>
      <c r="C138" s="66" t="s">
        <v>102</v>
      </c>
      <c r="D138" s="51"/>
      <c r="E138" s="75"/>
      <c r="F138" s="75"/>
      <c r="G138" s="75"/>
      <c r="H138" s="75"/>
      <c r="I138" s="75"/>
      <c r="J138" s="75"/>
      <c r="K138" s="75"/>
      <c r="L138" s="51"/>
      <c r="M138" s="51"/>
      <c r="N138" s="51"/>
      <c r="O138" s="51"/>
      <c r="P138" s="52"/>
      <c r="Q138" s="48"/>
    </row>
    <row r="139" spans="2:17">
      <c r="B139" s="68" t="s">
        <v>99</v>
      </c>
      <c r="C139" s="66" t="s">
        <v>103</v>
      </c>
      <c r="D139" s="51"/>
      <c r="E139" s="75"/>
      <c r="F139" s="75"/>
      <c r="G139" s="75"/>
      <c r="H139" s="75"/>
      <c r="I139" s="75"/>
      <c r="J139" s="75"/>
      <c r="K139" s="75"/>
      <c r="L139" s="51"/>
      <c r="M139" s="51"/>
      <c r="N139" s="51"/>
      <c r="O139" s="51"/>
      <c r="P139" s="52"/>
      <c r="Q139" s="48"/>
    </row>
    <row r="140" spans="2:17">
      <c r="B140" s="68" t="s">
        <v>99</v>
      </c>
      <c r="C140" s="66" t="s">
        <v>104</v>
      </c>
      <c r="D140" s="51"/>
      <c r="E140" s="75"/>
      <c r="F140" s="75"/>
      <c r="G140" s="75"/>
      <c r="H140" s="75"/>
      <c r="I140" s="75"/>
      <c r="J140" s="75"/>
      <c r="K140" s="75"/>
      <c r="L140" s="51"/>
      <c r="M140" s="51"/>
      <c r="N140" s="51"/>
      <c r="O140" s="51"/>
      <c r="P140" s="52"/>
      <c r="Q140" s="48"/>
    </row>
    <row r="141" spans="2:17">
      <c r="B141" s="68" t="s">
        <v>99</v>
      </c>
      <c r="C141" s="66" t="s">
        <v>105</v>
      </c>
      <c r="D141" s="51"/>
      <c r="E141" s="75"/>
      <c r="F141" s="75"/>
      <c r="G141" s="75"/>
      <c r="H141" s="75"/>
      <c r="I141" s="75"/>
      <c r="J141" s="75"/>
      <c r="K141" s="75"/>
      <c r="L141" s="51"/>
      <c r="M141" s="51"/>
      <c r="N141" s="51"/>
      <c r="O141" s="51"/>
      <c r="P141" s="52"/>
      <c r="Q141" s="48"/>
    </row>
    <row r="142" spans="2:17">
      <c r="B142" s="68" t="s">
        <v>99</v>
      </c>
      <c r="C142" s="66" t="s">
        <v>106</v>
      </c>
      <c r="D142" s="51"/>
      <c r="E142" s="75"/>
      <c r="F142" s="75"/>
      <c r="G142" s="75"/>
      <c r="H142" s="75"/>
      <c r="I142" s="75"/>
      <c r="J142" s="75"/>
      <c r="K142" s="75"/>
      <c r="L142" s="51"/>
      <c r="M142" s="51"/>
      <c r="N142" s="51"/>
      <c r="O142" s="51"/>
      <c r="P142" s="52"/>
      <c r="Q142" s="48"/>
    </row>
    <row r="143" spans="2:17">
      <c r="B143" s="68" t="s">
        <v>99</v>
      </c>
      <c r="C143" s="66" t="s">
        <v>107</v>
      </c>
      <c r="D143" s="51"/>
      <c r="E143" s="75"/>
      <c r="F143" s="75"/>
      <c r="G143" s="75"/>
      <c r="H143" s="75"/>
      <c r="I143" s="75"/>
      <c r="J143" s="75"/>
      <c r="K143" s="75"/>
      <c r="L143" s="51"/>
      <c r="M143" s="51"/>
      <c r="N143" s="51"/>
      <c r="O143" s="51"/>
      <c r="P143" s="52"/>
      <c r="Q143" s="48"/>
    </row>
    <row r="144" spans="2:17">
      <c r="B144" s="68" t="s">
        <v>99</v>
      </c>
      <c r="C144" s="66" t="s">
        <v>108</v>
      </c>
      <c r="D144" s="51"/>
      <c r="E144" s="75"/>
      <c r="F144" s="75"/>
      <c r="G144" s="75"/>
      <c r="H144" s="75"/>
      <c r="I144" s="75"/>
      <c r="J144" s="75"/>
      <c r="K144" s="75"/>
      <c r="L144" s="51"/>
      <c r="M144" s="51"/>
      <c r="N144" s="51"/>
      <c r="O144" s="51"/>
      <c r="P144" s="52"/>
      <c r="Q144" s="48"/>
    </row>
    <row r="145" spans="2:17">
      <c r="B145" s="68" t="s">
        <v>99</v>
      </c>
      <c r="C145" s="66" t="s">
        <v>174</v>
      </c>
      <c r="D145" s="51"/>
      <c r="E145" s="75"/>
      <c r="F145" s="75"/>
      <c r="G145" s="75"/>
      <c r="H145" s="75"/>
      <c r="I145" s="75"/>
      <c r="J145" s="75"/>
      <c r="K145" s="75"/>
      <c r="L145" s="51"/>
      <c r="M145" s="51"/>
      <c r="N145" s="51"/>
      <c r="O145" s="51"/>
      <c r="P145" s="52"/>
      <c r="Q145" s="48"/>
    </row>
    <row r="146" spans="2:17">
      <c r="B146" s="68" t="s">
        <v>99</v>
      </c>
      <c r="C146" s="66" t="s">
        <v>159</v>
      </c>
      <c r="D146" s="51"/>
      <c r="E146" s="75"/>
      <c r="F146" s="75"/>
      <c r="G146" s="75"/>
      <c r="H146" s="75"/>
      <c r="I146" s="75"/>
      <c r="J146" s="75"/>
      <c r="K146" s="75"/>
      <c r="L146" s="51"/>
      <c r="M146" s="51"/>
      <c r="N146" s="51"/>
      <c r="O146" s="51"/>
      <c r="P146" s="52"/>
      <c r="Q146" s="48"/>
    </row>
    <row r="147" spans="2:17">
      <c r="B147" s="68" t="s">
        <v>99</v>
      </c>
      <c r="C147" s="66" t="s">
        <v>109</v>
      </c>
      <c r="D147" s="51"/>
      <c r="E147" s="75"/>
      <c r="F147" s="75"/>
      <c r="G147" s="75"/>
      <c r="H147" s="75"/>
      <c r="I147" s="75"/>
      <c r="J147" s="75"/>
      <c r="K147" s="75"/>
      <c r="L147" s="51"/>
      <c r="M147" s="51"/>
      <c r="N147" s="51"/>
      <c r="O147" s="51"/>
      <c r="P147" s="52"/>
      <c r="Q147" s="48"/>
    </row>
    <row r="148" spans="2:17">
      <c r="B148" s="68" t="s">
        <v>99</v>
      </c>
      <c r="C148" s="66" t="s">
        <v>186</v>
      </c>
      <c r="D148" s="51"/>
      <c r="E148" s="75"/>
      <c r="F148" s="75"/>
      <c r="G148" s="75"/>
      <c r="H148" s="75"/>
      <c r="I148" s="75"/>
      <c r="J148" s="75"/>
      <c r="K148" s="75"/>
      <c r="L148" s="51"/>
      <c r="M148" s="51"/>
      <c r="N148" s="51"/>
      <c r="O148" s="51"/>
      <c r="P148" s="52"/>
      <c r="Q148" s="48"/>
    </row>
    <row r="149" spans="2:17">
      <c r="B149" s="68" t="s">
        <v>99</v>
      </c>
      <c r="C149" s="66" t="s">
        <v>111</v>
      </c>
      <c r="D149" s="51"/>
      <c r="E149" s="75"/>
      <c r="F149" s="75"/>
      <c r="G149" s="75"/>
      <c r="H149" s="75"/>
      <c r="I149" s="75"/>
      <c r="J149" s="75"/>
      <c r="K149" s="75"/>
      <c r="L149" s="51"/>
      <c r="M149" s="51"/>
      <c r="N149" s="51"/>
      <c r="O149" s="51"/>
      <c r="P149" s="52"/>
      <c r="Q149" s="48"/>
    </row>
    <row r="150" spans="2:17">
      <c r="B150" s="68" t="s">
        <v>99</v>
      </c>
      <c r="C150" s="66" t="s">
        <v>112</v>
      </c>
      <c r="D150" s="51"/>
      <c r="E150" s="75"/>
      <c r="F150" s="75"/>
      <c r="G150" s="75"/>
      <c r="H150" s="75"/>
      <c r="I150" s="75"/>
      <c r="J150" s="75"/>
      <c r="K150" s="75"/>
      <c r="L150" s="51"/>
      <c r="M150" s="51"/>
      <c r="N150" s="51"/>
      <c r="O150" s="51"/>
      <c r="P150" s="52"/>
      <c r="Q150" s="48"/>
    </row>
    <row r="151" spans="2:17">
      <c r="B151" s="68" t="s">
        <v>110</v>
      </c>
      <c r="C151" s="66" t="s">
        <v>113</v>
      </c>
      <c r="D151" s="51"/>
      <c r="E151" s="75"/>
      <c r="F151" s="75"/>
      <c r="G151" s="75"/>
      <c r="H151" s="75"/>
      <c r="I151" s="75"/>
      <c r="J151" s="75"/>
      <c r="K151" s="75"/>
      <c r="L151" s="51"/>
      <c r="M151" s="51"/>
      <c r="N151" s="51"/>
      <c r="O151" s="51"/>
      <c r="P151" s="52"/>
      <c r="Q151" s="48"/>
    </row>
    <row r="152" spans="2:17">
      <c r="B152" s="68" t="s">
        <v>110</v>
      </c>
      <c r="C152" s="66" t="s">
        <v>114</v>
      </c>
      <c r="D152" s="51"/>
      <c r="E152" s="75"/>
      <c r="F152" s="75"/>
      <c r="G152" s="75"/>
      <c r="H152" s="75"/>
      <c r="I152" s="75"/>
      <c r="J152" s="75"/>
      <c r="K152" s="75"/>
      <c r="L152" s="51"/>
      <c r="M152" s="51"/>
      <c r="N152" s="51"/>
      <c r="O152" s="51"/>
      <c r="P152" s="52"/>
      <c r="Q152" s="48"/>
    </row>
    <row r="153" spans="2:17">
      <c r="B153" s="68" t="s">
        <v>110</v>
      </c>
      <c r="C153" s="66" t="s">
        <v>115</v>
      </c>
      <c r="D153" s="51"/>
      <c r="E153" s="75"/>
      <c r="F153" s="75"/>
      <c r="G153" s="75"/>
      <c r="H153" s="75"/>
      <c r="I153" s="75"/>
      <c r="J153" s="75"/>
      <c r="K153" s="75"/>
      <c r="L153" s="51"/>
      <c r="M153" s="51"/>
      <c r="N153" s="51"/>
      <c r="O153" s="51"/>
      <c r="P153" s="52"/>
      <c r="Q153" s="48"/>
    </row>
    <row r="154" spans="2:17">
      <c r="B154" s="68" t="s">
        <v>110</v>
      </c>
      <c r="C154" s="66" t="s">
        <v>116</v>
      </c>
      <c r="D154" s="51"/>
      <c r="E154" s="75"/>
      <c r="F154" s="75"/>
      <c r="G154" s="75"/>
      <c r="H154" s="75"/>
      <c r="I154" s="75"/>
      <c r="J154" s="75"/>
      <c r="K154" s="75"/>
      <c r="L154" s="51"/>
      <c r="M154" s="51"/>
      <c r="N154" s="51"/>
      <c r="O154" s="51"/>
      <c r="P154" s="52"/>
      <c r="Q154" s="48"/>
    </row>
    <row r="155" spans="2:17">
      <c r="B155" s="68" t="s">
        <v>110</v>
      </c>
      <c r="C155" s="66" t="s">
        <v>117</v>
      </c>
      <c r="D155" s="51"/>
      <c r="E155" s="75"/>
      <c r="F155" s="75"/>
      <c r="G155" s="75"/>
      <c r="H155" s="75"/>
      <c r="I155" s="75"/>
      <c r="J155" s="75"/>
      <c r="K155" s="75"/>
      <c r="L155" s="51"/>
      <c r="M155" s="51"/>
      <c r="N155" s="51"/>
      <c r="O155" s="51"/>
      <c r="P155" s="52"/>
      <c r="Q155" s="48"/>
    </row>
    <row r="156" spans="2:17">
      <c r="B156" s="68" t="s">
        <v>110</v>
      </c>
      <c r="C156" s="66" t="s">
        <v>118</v>
      </c>
      <c r="D156" s="51"/>
      <c r="E156" s="75"/>
      <c r="F156" s="75"/>
      <c r="G156" s="75"/>
      <c r="H156" s="75"/>
      <c r="I156" s="75"/>
      <c r="J156" s="75"/>
      <c r="K156" s="75"/>
      <c r="L156" s="51"/>
      <c r="M156" s="51"/>
      <c r="N156" s="51"/>
      <c r="O156" s="51"/>
      <c r="P156" s="52"/>
      <c r="Q156" s="48"/>
    </row>
    <row r="157" spans="2:17">
      <c r="B157" s="68" t="s">
        <v>110</v>
      </c>
      <c r="C157" s="66" t="s">
        <v>300</v>
      </c>
      <c r="D157" s="51"/>
      <c r="E157" s="75"/>
      <c r="F157" s="75"/>
      <c r="G157" s="75"/>
      <c r="H157" s="75"/>
      <c r="I157" s="75"/>
      <c r="J157" s="75"/>
      <c r="K157" s="75"/>
      <c r="L157" s="51"/>
      <c r="M157" s="51"/>
      <c r="N157" s="51"/>
      <c r="O157" s="51"/>
      <c r="P157" s="52"/>
      <c r="Q157" s="48"/>
    </row>
    <row r="158" spans="2:17">
      <c r="B158" s="68" t="s">
        <v>110</v>
      </c>
      <c r="C158" s="66" t="s">
        <v>175</v>
      </c>
      <c r="D158" s="51"/>
      <c r="E158" s="75"/>
      <c r="F158" s="75"/>
      <c r="G158" s="75"/>
      <c r="H158" s="75"/>
      <c r="I158" s="75"/>
      <c r="J158" s="75"/>
      <c r="K158" s="75"/>
      <c r="L158" s="51"/>
      <c r="M158" s="51"/>
      <c r="N158" s="51"/>
      <c r="O158" s="51"/>
      <c r="P158" s="52"/>
      <c r="Q158" s="48"/>
    </row>
    <row r="159" spans="2:17">
      <c r="B159" s="68" t="s">
        <v>110</v>
      </c>
      <c r="C159" s="66" t="s">
        <v>192</v>
      </c>
      <c r="D159" s="51"/>
      <c r="E159" s="75"/>
      <c r="F159" s="75"/>
      <c r="G159" s="75"/>
      <c r="H159" s="75"/>
      <c r="I159" s="75"/>
      <c r="J159" s="75"/>
      <c r="K159" s="75"/>
      <c r="L159" s="51"/>
      <c r="M159" s="51"/>
      <c r="N159" s="51"/>
      <c r="O159" s="51"/>
      <c r="P159" s="52"/>
      <c r="Q159" s="48"/>
    </row>
    <row r="160" spans="2:17">
      <c r="B160" s="68" t="s">
        <v>110</v>
      </c>
      <c r="C160" s="66" t="s">
        <v>120</v>
      </c>
      <c r="D160" s="51"/>
      <c r="E160" s="75"/>
      <c r="F160" s="75"/>
      <c r="G160" s="75"/>
      <c r="H160" s="75"/>
      <c r="I160" s="75"/>
      <c r="J160" s="75"/>
      <c r="K160" s="75"/>
      <c r="L160" s="51"/>
      <c r="M160" s="51"/>
      <c r="N160" s="51"/>
      <c r="O160" s="51"/>
      <c r="P160" s="52"/>
      <c r="Q160" s="48"/>
    </row>
    <row r="161" spans="2:17">
      <c r="B161" s="68" t="s">
        <v>110</v>
      </c>
      <c r="C161" s="66" t="s">
        <v>121</v>
      </c>
      <c r="D161" s="51"/>
      <c r="E161" s="75"/>
      <c r="F161" s="75"/>
      <c r="G161" s="75"/>
      <c r="H161" s="75"/>
      <c r="I161" s="75"/>
      <c r="J161" s="75"/>
      <c r="K161" s="75"/>
      <c r="L161" s="51"/>
      <c r="M161" s="51"/>
      <c r="N161" s="51"/>
      <c r="O161" s="51"/>
      <c r="P161" s="52"/>
      <c r="Q161" s="48"/>
    </row>
    <row r="162" spans="2:17">
      <c r="B162" s="68" t="s">
        <v>110</v>
      </c>
      <c r="C162" s="66" t="s">
        <v>123</v>
      </c>
      <c r="D162" s="51"/>
      <c r="E162" s="75"/>
      <c r="F162" s="75"/>
      <c r="G162" s="75"/>
      <c r="H162" s="75"/>
      <c r="I162" s="75"/>
      <c r="J162" s="75"/>
      <c r="K162" s="75"/>
      <c r="L162" s="51"/>
      <c r="M162" s="51"/>
      <c r="N162" s="51"/>
      <c r="O162" s="51"/>
      <c r="P162" s="52"/>
      <c r="Q162" s="48"/>
    </row>
    <row r="163" spans="2:17">
      <c r="B163" s="68" t="s">
        <v>110</v>
      </c>
      <c r="C163" s="66" t="s">
        <v>124</v>
      </c>
      <c r="D163" s="51"/>
      <c r="E163" s="75"/>
      <c r="F163" s="75"/>
      <c r="G163" s="75"/>
      <c r="H163" s="75"/>
      <c r="I163" s="75"/>
      <c r="J163" s="75"/>
      <c r="K163" s="75"/>
      <c r="L163" s="51"/>
      <c r="M163" s="51"/>
      <c r="N163" s="51"/>
      <c r="O163" s="51"/>
      <c r="P163" s="52"/>
      <c r="Q163" s="48"/>
    </row>
    <row r="164" spans="2:17">
      <c r="B164" s="68" t="s">
        <v>110</v>
      </c>
      <c r="C164" s="66" t="s">
        <v>331</v>
      </c>
      <c r="D164" s="51"/>
      <c r="E164" s="75"/>
      <c r="F164" s="75"/>
      <c r="G164" s="75"/>
      <c r="H164" s="75"/>
      <c r="I164" s="75"/>
      <c r="J164" s="75"/>
      <c r="K164" s="75"/>
      <c r="L164" s="51"/>
      <c r="M164" s="51"/>
      <c r="N164" s="51"/>
      <c r="O164" s="51"/>
      <c r="P164" s="52"/>
      <c r="Q164" s="48"/>
    </row>
    <row r="165" spans="2:17">
      <c r="B165" s="68" t="s">
        <v>110</v>
      </c>
      <c r="C165" s="66" t="s">
        <v>125</v>
      </c>
      <c r="D165" s="51"/>
      <c r="E165" s="75"/>
      <c r="F165" s="75"/>
      <c r="G165" s="75"/>
      <c r="H165" s="75"/>
      <c r="I165" s="75"/>
      <c r="J165" s="75"/>
      <c r="K165" s="75"/>
      <c r="L165" s="51"/>
      <c r="M165" s="51"/>
      <c r="N165" s="51"/>
      <c r="O165" s="51"/>
      <c r="P165" s="52"/>
      <c r="Q165" s="48"/>
    </row>
    <row r="166" spans="2:17">
      <c r="B166" s="68" t="s">
        <v>110</v>
      </c>
      <c r="C166" s="66" t="s">
        <v>126</v>
      </c>
      <c r="D166" s="51"/>
      <c r="E166" s="75"/>
      <c r="F166" s="75"/>
      <c r="G166" s="75"/>
      <c r="H166" s="75"/>
      <c r="I166" s="75"/>
      <c r="J166" s="75"/>
      <c r="K166" s="75"/>
      <c r="L166" s="51"/>
      <c r="M166" s="51"/>
      <c r="N166" s="51"/>
      <c r="O166" s="51"/>
      <c r="P166" s="52"/>
      <c r="Q166" s="48"/>
    </row>
    <row r="167" spans="2:17">
      <c r="B167" s="68" t="s">
        <v>110</v>
      </c>
      <c r="C167" s="66" t="s">
        <v>127</v>
      </c>
      <c r="D167" s="51"/>
      <c r="E167" s="75"/>
      <c r="F167" s="75"/>
      <c r="G167" s="75"/>
      <c r="H167" s="75"/>
      <c r="I167" s="75"/>
      <c r="J167" s="75"/>
      <c r="K167" s="75"/>
      <c r="L167" s="51"/>
      <c r="M167" s="51"/>
      <c r="N167" s="51"/>
      <c r="O167" s="51"/>
      <c r="P167" s="52"/>
      <c r="Q167" s="48"/>
    </row>
    <row r="168" spans="2:17">
      <c r="B168" s="68" t="s">
        <v>110</v>
      </c>
      <c r="C168" s="66" t="s">
        <v>176</v>
      </c>
      <c r="D168" s="51"/>
      <c r="E168" s="75"/>
      <c r="F168" s="75"/>
      <c r="G168" s="75"/>
      <c r="H168" s="75"/>
      <c r="I168" s="75"/>
      <c r="J168" s="75"/>
      <c r="K168" s="75"/>
      <c r="L168" s="51"/>
      <c r="M168" s="51"/>
      <c r="N168" s="51"/>
      <c r="O168" s="51"/>
      <c r="P168" s="52"/>
      <c r="Q168" s="48"/>
    </row>
    <row r="169" spans="2:17">
      <c r="B169" s="134" t="s">
        <v>110</v>
      </c>
      <c r="C169" s="66" t="s">
        <v>128</v>
      </c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59"/>
      <c r="Q169" s="48"/>
    </row>
    <row r="170" spans="2:17" ht="12.6">
      <c r="B170" s="4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51"/>
      <c r="Q170" s="51"/>
    </row>
    <row r="171" spans="2:17" ht="12.6">
      <c r="B171" s="4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51"/>
      <c r="Q171" s="51"/>
    </row>
    <row r="172" spans="2:17" ht="12.6">
      <c r="B172" s="46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</row>
    <row r="173" spans="2:17" ht="12.6">
      <c r="B173" s="46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</row>
    <row r="174" spans="2:17" ht="12.6">
      <c r="B174" s="46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</row>
    <row r="175" spans="2:17" ht="12.6">
      <c r="B175" s="4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</row>
    <row r="176" spans="2:17" ht="12.6">
      <c r="B176" s="4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</row>
    <row r="177" spans="2:15" ht="12.6">
      <c r="B177" s="46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</row>
    <row r="178" spans="2:15" ht="12.6">
      <c r="B178" s="46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</row>
    <row r="179" spans="2:15" ht="12.6">
      <c r="B179" s="46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</row>
    <row r="180" spans="2:15" ht="12.6">
      <c r="B180" s="46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</row>
    <row r="181" spans="2:15" ht="12.6">
      <c r="B181" s="4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</row>
    <row r="182" spans="2:15" ht="12.6">
      <c r="B182" s="4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</row>
    <row r="183" spans="2:15" ht="12.6">
      <c r="B183" s="46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</row>
    <row r="184" spans="2:15" ht="12.6">
      <c r="B184" s="46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</row>
    <row r="185" spans="2:15" ht="12.6">
      <c r="B185" s="46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</row>
  </sheetData>
  <mergeCells count="5">
    <mergeCell ref="B2:P2"/>
    <mergeCell ref="B4:P4"/>
    <mergeCell ref="B5:P5"/>
    <mergeCell ref="B68:P68"/>
    <mergeCell ref="B72:B73"/>
  </mergeCells>
  <conditionalFormatting sqref="P68:P71">
    <cfRule type="expression" dxfId="114" priority="9" stopIfTrue="1">
      <formula>+$E65088&lt;&gt;$E65089</formula>
    </cfRule>
  </conditionalFormatting>
  <conditionalFormatting sqref="C72:C78 C80">
    <cfRule type="expression" dxfId="113" priority="8" stopIfTrue="1">
      <formula>+$F70&lt;&gt;$F71</formula>
    </cfRule>
  </conditionalFormatting>
  <conditionalFormatting sqref="B69:B70 B72:B77 B84 B169 B87:B89 B92:B152">
    <cfRule type="expression" dxfId="112" priority="7" stopIfTrue="1">
      <formula>+$C69&lt;&gt;$C70</formula>
    </cfRule>
  </conditionalFormatting>
  <conditionalFormatting sqref="B71 B68 B85 B90:B91">
    <cfRule type="expression" dxfId="111" priority="6" stopIfTrue="1">
      <formula>+$C68&lt;&gt;$C70</formula>
    </cfRule>
  </conditionalFormatting>
  <conditionalFormatting sqref="C69:C71">
    <cfRule type="expression" dxfId="110" priority="5" stopIfTrue="1">
      <formula>+$F68&lt;&gt;$F69</formula>
    </cfRule>
  </conditionalFormatting>
  <conditionalFormatting sqref="C68">
    <cfRule type="expression" dxfId="109" priority="4" stopIfTrue="1">
      <formula>+$F68&lt;&gt;$F69</formula>
    </cfRule>
  </conditionalFormatting>
  <conditionalFormatting sqref="B86">
    <cfRule type="expression" dxfId="108" priority="3" stopIfTrue="1">
      <formula>+$C86&lt;&gt;$C87</formula>
    </cfRule>
  </conditionalFormatting>
  <conditionalFormatting sqref="B78">
    <cfRule type="expression" dxfId="107" priority="2" stopIfTrue="1">
      <formula>+$C78&lt;&gt;$C79</formula>
    </cfRule>
  </conditionalFormatting>
  <conditionalFormatting sqref="C81">
    <cfRule type="expression" dxfId="106" priority="10" stopIfTrue="1">
      <formula>+$F80&lt;&gt;#REF!</formula>
    </cfRule>
  </conditionalFormatting>
  <conditionalFormatting sqref="C82">
    <cfRule type="expression" dxfId="105" priority="11" stopIfTrue="1">
      <formula>+#REF!&lt;&gt;$F81</formula>
    </cfRule>
  </conditionalFormatting>
  <conditionalFormatting sqref="B80">
    <cfRule type="expression" dxfId="104" priority="12" stopIfTrue="1">
      <formula>+$C80&lt;&gt;#REF!</formula>
    </cfRule>
  </conditionalFormatting>
  <conditionalFormatting sqref="C82">
    <cfRule type="expression" dxfId="103" priority="13" stopIfTrue="1">
      <formula>+$F80&lt;&gt;#REF!</formula>
    </cfRule>
  </conditionalFormatting>
  <conditionalFormatting sqref="B79">
    <cfRule type="expression" dxfId="102" priority="14" stopIfTrue="1">
      <formula>+$C79&lt;&gt;#REF!</formula>
    </cfRule>
  </conditionalFormatting>
  <conditionalFormatting sqref="C80">
    <cfRule type="expression" dxfId="101" priority="15" stopIfTrue="1">
      <formula>+$F79&lt;&gt;#REF!</formula>
    </cfRule>
  </conditionalFormatting>
  <conditionalFormatting sqref="C81">
    <cfRule type="expression" dxfId="100" priority="16" stopIfTrue="1">
      <formula>+#REF!&lt;&gt;$F80</formula>
    </cfRule>
  </conditionalFormatting>
  <conditionalFormatting sqref="B153:B168">
    <cfRule type="expression" dxfId="99" priority="1" stopIfTrue="1">
      <formula>+$C153&lt;&gt;$C154</formula>
    </cfRule>
  </conditionalFormatting>
  <dataValidations count="5">
    <dataValidation type="list" showInputMessage="1" showErrorMessage="1" sqref="C14:C15" xr:uid="{00000000-0002-0000-0B00-000000000000}">
      <formula1>Insured_List</formula1>
    </dataValidation>
    <dataValidation type="list" allowBlank="1" showInputMessage="1" showErrorMessage="1" sqref="C35:C40 C27:C33 C12:C13 C16:C20 C22:C25" xr:uid="{00000000-0002-0000-0B00-000001000000}">
      <formula1>Insured_List</formula1>
    </dataValidation>
    <dataValidation type="list" allowBlank="1" showInputMessage="1" showErrorMessage="1" sqref="P65584:P65587 P74:P76 JK74:JK77 TG74:TG77 ADC74:ADC77 AMY74:AMY77 AWU74:AWU77 BGQ74:BGQ77 BQM74:BQM77 CAI74:CAI77 CKE74:CKE77 CUA74:CUA77 DDW74:DDW77 DNS74:DNS77 DXO74:DXO77 EHK74:EHK77 ERG74:ERG77 FBC74:FBC77 FKY74:FKY77 FUU74:FUU77 GEQ74:GEQ77 GOM74:GOM77 GYI74:GYI77 HIE74:HIE77 HSA74:HSA77 IBW74:IBW77 ILS74:ILS77 IVO74:IVO77 JFK74:JFK77 JPG74:JPG77 JZC74:JZC77 KIY74:KIY77 KSU74:KSU77 LCQ74:LCQ77 LMM74:LMM77 LWI74:LWI77 MGE74:MGE77 MQA74:MQA77 MZW74:MZW77 NJS74:NJS77 NTO74:NTO77 ODK74:ODK77 ONG74:ONG77 OXC74:OXC77 PGY74:PGY77 PQU74:PQU77 QAQ74:QAQ77 QKM74:QKM77 QUI74:QUI77 REE74:REE77 ROA74:ROA77 RXW74:RXW77 SHS74:SHS77 SRO74:SRO77 TBK74:TBK77 TLG74:TLG77 TVC74:TVC77 UEY74:UEY77 UOU74:UOU77 UYQ74:UYQ77 VIM74:VIM77 VSI74:VSI77 WCE74:WCE77 WMA74:WMA77 WVW74:WVW77 JK65584:JK65587 TG65584:TG65587 ADC65584:ADC65587 AMY65584:AMY65587 AWU65584:AWU65587 BGQ65584:BGQ65587 BQM65584:BQM65587 CAI65584:CAI65587 CKE65584:CKE65587 CUA65584:CUA65587 DDW65584:DDW65587 DNS65584:DNS65587 DXO65584:DXO65587 EHK65584:EHK65587 ERG65584:ERG65587 FBC65584:FBC65587 FKY65584:FKY65587 FUU65584:FUU65587 GEQ65584:GEQ65587 GOM65584:GOM65587 GYI65584:GYI65587 HIE65584:HIE65587 HSA65584:HSA65587 IBW65584:IBW65587 ILS65584:ILS65587 IVO65584:IVO65587 JFK65584:JFK65587 JPG65584:JPG65587 JZC65584:JZC65587 KIY65584:KIY65587 KSU65584:KSU65587 LCQ65584:LCQ65587 LMM65584:LMM65587 LWI65584:LWI65587 MGE65584:MGE65587 MQA65584:MQA65587 MZW65584:MZW65587 NJS65584:NJS65587 NTO65584:NTO65587 ODK65584:ODK65587 ONG65584:ONG65587 OXC65584:OXC65587 PGY65584:PGY65587 PQU65584:PQU65587 QAQ65584:QAQ65587 QKM65584:QKM65587 QUI65584:QUI65587 REE65584:REE65587 ROA65584:ROA65587 RXW65584:RXW65587 SHS65584:SHS65587 SRO65584:SRO65587 TBK65584:TBK65587 TLG65584:TLG65587 TVC65584:TVC65587 UEY65584:UEY65587 UOU65584:UOU65587 UYQ65584:UYQ65587 VIM65584:VIM65587 VSI65584:VSI65587 WCE65584:WCE65587 WMA65584:WMA65587 WVW65584:WVW65587 P131120:P131123 JK131120:JK131123 TG131120:TG131123 ADC131120:ADC131123 AMY131120:AMY131123 AWU131120:AWU131123 BGQ131120:BGQ131123 BQM131120:BQM131123 CAI131120:CAI131123 CKE131120:CKE131123 CUA131120:CUA131123 DDW131120:DDW131123 DNS131120:DNS131123 DXO131120:DXO131123 EHK131120:EHK131123 ERG131120:ERG131123 FBC131120:FBC131123 FKY131120:FKY131123 FUU131120:FUU131123 GEQ131120:GEQ131123 GOM131120:GOM131123 GYI131120:GYI131123 HIE131120:HIE131123 HSA131120:HSA131123 IBW131120:IBW131123 ILS131120:ILS131123 IVO131120:IVO131123 JFK131120:JFK131123 JPG131120:JPG131123 JZC131120:JZC131123 KIY131120:KIY131123 KSU131120:KSU131123 LCQ131120:LCQ131123 LMM131120:LMM131123 LWI131120:LWI131123 MGE131120:MGE131123 MQA131120:MQA131123 MZW131120:MZW131123 NJS131120:NJS131123 NTO131120:NTO131123 ODK131120:ODK131123 ONG131120:ONG131123 OXC131120:OXC131123 PGY131120:PGY131123 PQU131120:PQU131123 QAQ131120:QAQ131123 QKM131120:QKM131123 QUI131120:QUI131123 REE131120:REE131123 ROA131120:ROA131123 RXW131120:RXW131123 SHS131120:SHS131123 SRO131120:SRO131123 TBK131120:TBK131123 TLG131120:TLG131123 TVC131120:TVC131123 UEY131120:UEY131123 UOU131120:UOU131123 UYQ131120:UYQ131123 VIM131120:VIM131123 VSI131120:VSI131123 WCE131120:WCE131123 WMA131120:WMA131123 WVW131120:WVW131123 P196656:P196659 JK196656:JK196659 TG196656:TG196659 ADC196656:ADC196659 AMY196656:AMY196659 AWU196656:AWU196659 BGQ196656:BGQ196659 BQM196656:BQM196659 CAI196656:CAI196659 CKE196656:CKE196659 CUA196656:CUA196659 DDW196656:DDW196659 DNS196656:DNS196659 DXO196656:DXO196659 EHK196656:EHK196659 ERG196656:ERG196659 FBC196656:FBC196659 FKY196656:FKY196659 FUU196656:FUU196659 GEQ196656:GEQ196659 GOM196656:GOM196659 GYI196656:GYI196659 HIE196656:HIE196659 HSA196656:HSA196659 IBW196656:IBW196659 ILS196656:ILS196659 IVO196656:IVO196659 JFK196656:JFK196659 JPG196656:JPG196659 JZC196656:JZC196659 KIY196656:KIY196659 KSU196656:KSU196659 LCQ196656:LCQ196659 LMM196656:LMM196659 LWI196656:LWI196659 MGE196656:MGE196659 MQA196656:MQA196659 MZW196656:MZW196659 NJS196656:NJS196659 NTO196656:NTO196659 ODK196656:ODK196659 ONG196656:ONG196659 OXC196656:OXC196659 PGY196656:PGY196659 PQU196656:PQU196659 QAQ196656:QAQ196659 QKM196656:QKM196659 QUI196656:QUI196659 REE196656:REE196659 ROA196656:ROA196659 RXW196656:RXW196659 SHS196656:SHS196659 SRO196656:SRO196659 TBK196656:TBK196659 TLG196656:TLG196659 TVC196656:TVC196659 UEY196656:UEY196659 UOU196656:UOU196659 UYQ196656:UYQ196659 VIM196656:VIM196659 VSI196656:VSI196659 WCE196656:WCE196659 WMA196656:WMA196659 WVW196656:WVW196659 P262192:P262195 JK262192:JK262195 TG262192:TG262195 ADC262192:ADC262195 AMY262192:AMY262195 AWU262192:AWU262195 BGQ262192:BGQ262195 BQM262192:BQM262195 CAI262192:CAI262195 CKE262192:CKE262195 CUA262192:CUA262195 DDW262192:DDW262195 DNS262192:DNS262195 DXO262192:DXO262195 EHK262192:EHK262195 ERG262192:ERG262195 FBC262192:FBC262195 FKY262192:FKY262195 FUU262192:FUU262195 GEQ262192:GEQ262195 GOM262192:GOM262195 GYI262192:GYI262195 HIE262192:HIE262195 HSA262192:HSA262195 IBW262192:IBW262195 ILS262192:ILS262195 IVO262192:IVO262195 JFK262192:JFK262195 JPG262192:JPG262195 JZC262192:JZC262195 KIY262192:KIY262195 KSU262192:KSU262195 LCQ262192:LCQ262195 LMM262192:LMM262195 LWI262192:LWI262195 MGE262192:MGE262195 MQA262192:MQA262195 MZW262192:MZW262195 NJS262192:NJS262195 NTO262192:NTO262195 ODK262192:ODK262195 ONG262192:ONG262195 OXC262192:OXC262195 PGY262192:PGY262195 PQU262192:PQU262195 QAQ262192:QAQ262195 QKM262192:QKM262195 QUI262192:QUI262195 REE262192:REE262195 ROA262192:ROA262195 RXW262192:RXW262195 SHS262192:SHS262195 SRO262192:SRO262195 TBK262192:TBK262195 TLG262192:TLG262195 TVC262192:TVC262195 UEY262192:UEY262195 UOU262192:UOU262195 UYQ262192:UYQ262195 VIM262192:VIM262195 VSI262192:VSI262195 WCE262192:WCE262195 WMA262192:WMA262195 WVW262192:WVW262195 P327728:P327731 JK327728:JK327731 TG327728:TG327731 ADC327728:ADC327731 AMY327728:AMY327731 AWU327728:AWU327731 BGQ327728:BGQ327731 BQM327728:BQM327731 CAI327728:CAI327731 CKE327728:CKE327731 CUA327728:CUA327731 DDW327728:DDW327731 DNS327728:DNS327731 DXO327728:DXO327731 EHK327728:EHK327731 ERG327728:ERG327731 FBC327728:FBC327731 FKY327728:FKY327731 FUU327728:FUU327731 GEQ327728:GEQ327731 GOM327728:GOM327731 GYI327728:GYI327731 HIE327728:HIE327731 HSA327728:HSA327731 IBW327728:IBW327731 ILS327728:ILS327731 IVO327728:IVO327731 JFK327728:JFK327731 JPG327728:JPG327731 JZC327728:JZC327731 KIY327728:KIY327731 KSU327728:KSU327731 LCQ327728:LCQ327731 LMM327728:LMM327731 LWI327728:LWI327731 MGE327728:MGE327731 MQA327728:MQA327731 MZW327728:MZW327731 NJS327728:NJS327731 NTO327728:NTO327731 ODK327728:ODK327731 ONG327728:ONG327731 OXC327728:OXC327731 PGY327728:PGY327731 PQU327728:PQU327731 QAQ327728:QAQ327731 QKM327728:QKM327731 QUI327728:QUI327731 REE327728:REE327731 ROA327728:ROA327731 RXW327728:RXW327731 SHS327728:SHS327731 SRO327728:SRO327731 TBK327728:TBK327731 TLG327728:TLG327731 TVC327728:TVC327731 UEY327728:UEY327731 UOU327728:UOU327731 UYQ327728:UYQ327731 VIM327728:VIM327731 VSI327728:VSI327731 WCE327728:WCE327731 WMA327728:WMA327731 WVW327728:WVW327731 P393264:P393267 JK393264:JK393267 TG393264:TG393267 ADC393264:ADC393267 AMY393264:AMY393267 AWU393264:AWU393267 BGQ393264:BGQ393267 BQM393264:BQM393267 CAI393264:CAI393267 CKE393264:CKE393267 CUA393264:CUA393267 DDW393264:DDW393267 DNS393264:DNS393267 DXO393264:DXO393267 EHK393264:EHK393267 ERG393264:ERG393267 FBC393264:FBC393267 FKY393264:FKY393267 FUU393264:FUU393267 GEQ393264:GEQ393267 GOM393264:GOM393267 GYI393264:GYI393267 HIE393264:HIE393267 HSA393264:HSA393267 IBW393264:IBW393267 ILS393264:ILS393267 IVO393264:IVO393267 JFK393264:JFK393267 JPG393264:JPG393267 JZC393264:JZC393267 KIY393264:KIY393267 KSU393264:KSU393267 LCQ393264:LCQ393267 LMM393264:LMM393267 LWI393264:LWI393267 MGE393264:MGE393267 MQA393264:MQA393267 MZW393264:MZW393267 NJS393264:NJS393267 NTO393264:NTO393267 ODK393264:ODK393267 ONG393264:ONG393267 OXC393264:OXC393267 PGY393264:PGY393267 PQU393264:PQU393267 QAQ393264:QAQ393267 QKM393264:QKM393267 QUI393264:QUI393267 REE393264:REE393267 ROA393264:ROA393267 RXW393264:RXW393267 SHS393264:SHS393267 SRO393264:SRO393267 TBK393264:TBK393267 TLG393264:TLG393267 TVC393264:TVC393267 UEY393264:UEY393267 UOU393264:UOU393267 UYQ393264:UYQ393267 VIM393264:VIM393267 VSI393264:VSI393267 WCE393264:WCE393267 WMA393264:WMA393267 WVW393264:WVW393267 P458800:P458803 JK458800:JK458803 TG458800:TG458803 ADC458800:ADC458803 AMY458800:AMY458803 AWU458800:AWU458803 BGQ458800:BGQ458803 BQM458800:BQM458803 CAI458800:CAI458803 CKE458800:CKE458803 CUA458800:CUA458803 DDW458800:DDW458803 DNS458800:DNS458803 DXO458800:DXO458803 EHK458800:EHK458803 ERG458800:ERG458803 FBC458800:FBC458803 FKY458800:FKY458803 FUU458800:FUU458803 GEQ458800:GEQ458803 GOM458800:GOM458803 GYI458800:GYI458803 HIE458800:HIE458803 HSA458800:HSA458803 IBW458800:IBW458803 ILS458800:ILS458803 IVO458800:IVO458803 JFK458800:JFK458803 JPG458800:JPG458803 JZC458800:JZC458803 KIY458800:KIY458803 KSU458800:KSU458803 LCQ458800:LCQ458803 LMM458800:LMM458803 LWI458800:LWI458803 MGE458800:MGE458803 MQA458800:MQA458803 MZW458800:MZW458803 NJS458800:NJS458803 NTO458800:NTO458803 ODK458800:ODK458803 ONG458800:ONG458803 OXC458800:OXC458803 PGY458800:PGY458803 PQU458800:PQU458803 QAQ458800:QAQ458803 QKM458800:QKM458803 QUI458800:QUI458803 REE458800:REE458803 ROA458800:ROA458803 RXW458800:RXW458803 SHS458800:SHS458803 SRO458800:SRO458803 TBK458800:TBK458803 TLG458800:TLG458803 TVC458800:TVC458803 UEY458800:UEY458803 UOU458800:UOU458803 UYQ458800:UYQ458803 VIM458800:VIM458803 VSI458800:VSI458803 WCE458800:WCE458803 WMA458800:WMA458803 WVW458800:WVW458803 P524336:P524339 JK524336:JK524339 TG524336:TG524339 ADC524336:ADC524339 AMY524336:AMY524339 AWU524336:AWU524339 BGQ524336:BGQ524339 BQM524336:BQM524339 CAI524336:CAI524339 CKE524336:CKE524339 CUA524336:CUA524339 DDW524336:DDW524339 DNS524336:DNS524339 DXO524336:DXO524339 EHK524336:EHK524339 ERG524336:ERG524339 FBC524336:FBC524339 FKY524336:FKY524339 FUU524336:FUU524339 GEQ524336:GEQ524339 GOM524336:GOM524339 GYI524336:GYI524339 HIE524336:HIE524339 HSA524336:HSA524339 IBW524336:IBW524339 ILS524336:ILS524339 IVO524336:IVO524339 JFK524336:JFK524339 JPG524336:JPG524339 JZC524336:JZC524339 KIY524336:KIY524339 KSU524336:KSU524339 LCQ524336:LCQ524339 LMM524336:LMM524339 LWI524336:LWI524339 MGE524336:MGE524339 MQA524336:MQA524339 MZW524336:MZW524339 NJS524336:NJS524339 NTO524336:NTO524339 ODK524336:ODK524339 ONG524336:ONG524339 OXC524336:OXC524339 PGY524336:PGY524339 PQU524336:PQU524339 QAQ524336:QAQ524339 QKM524336:QKM524339 QUI524336:QUI524339 REE524336:REE524339 ROA524336:ROA524339 RXW524336:RXW524339 SHS524336:SHS524339 SRO524336:SRO524339 TBK524336:TBK524339 TLG524336:TLG524339 TVC524336:TVC524339 UEY524336:UEY524339 UOU524336:UOU524339 UYQ524336:UYQ524339 VIM524336:VIM524339 VSI524336:VSI524339 WCE524336:WCE524339 WMA524336:WMA524339 WVW524336:WVW524339 P589872:P589875 JK589872:JK589875 TG589872:TG589875 ADC589872:ADC589875 AMY589872:AMY589875 AWU589872:AWU589875 BGQ589872:BGQ589875 BQM589872:BQM589875 CAI589872:CAI589875 CKE589872:CKE589875 CUA589872:CUA589875 DDW589872:DDW589875 DNS589872:DNS589875 DXO589872:DXO589875 EHK589872:EHK589875 ERG589872:ERG589875 FBC589872:FBC589875 FKY589872:FKY589875 FUU589872:FUU589875 GEQ589872:GEQ589875 GOM589872:GOM589875 GYI589872:GYI589875 HIE589872:HIE589875 HSA589872:HSA589875 IBW589872:IBW589875 ILS589872:ILS589875 IVO589872:IVO589875 JFK589872:JFK589875 JPG589872:JPG589875 JZC589872:JZC589875 KIY589872:KIY589875 KSU589872:KSU589875 LCQ589872:LCQ589875 LMM589872:LMM589875 LWI589872:LWI589875 MGE589872:MGE589875 MQA589872:MQA589875 MZW589872:MZW589875 NJS589872:NJS589875 NTO589872:NTO589875 ODK589872:ODK589875 ONG589872:ONG589875 OXC589872:OXC589875 PGY589872:PGY589875 PQU589872:PQU589875 QAQ589872:QAQ589875 QKM589872:QKM589875 QUI589872:QUI589875 REE589872:REE589875 ROA589872:ROA589875 RXW589872:RXW589875 SHS589872:SHS589875 SRO589872:SRO589875 TBK589872:TBK589875 TLG589872:TLG589875 TVC589872:TVC589875 UEY589872:UEY589875 UOU589872:UOU589875 UYQ589872:UYQ589875 VIM589872:VIM589875 VSI589872:VSI589875 WCE589872:WCE589875 WMA589872:WMA589875 WVW589872:WVW589875 P655408:P655411 JK655408:JK655411 TG655408:TG655411 ADC655408:ADC655411 AMY655408:AMY655411 AWU655408:AWU655411 BGQ655408:BGQ655411 BQM655408:BQM655411 CAI655408:CAI655411 CKE655408:CKE655411 CUA655408:CUA655411 DDW655408:DDW655411 DNS655408:DNS655411 DXO655408:DXO655411 EHK655408:EHK655411 ERG655408:ERG655411 FBC655408:FBC655411 FKY655408:FKY655411 FUU655408:FUU655411 GEQ655408:GEQ655411 GOM655408:GOM655411 GYI655408:GYI655411 HIE655408:HIE655411 HSA655408:HSA655411 IBW655408:IBW655411 ILS655408:ILS655411 IVO655408:IVO655411 JFK655408:JFK655411 JPG655408:JPG655411 JZC655408:JZC655411 KIY655408:KIY655411 KSU655408:KSU655411 LCQ655408:LCQ655411 LMM655408:LMM655411 LWI655408:LWI655411 MGE655408:MGE655411 MQA655408:MQA655411 MZW655408:MZW655411 NJS655408:NJS655411 NTO655408:NTO655411 ODK655408:ODK655411 ONG655408:ONG655411 OXC655408:OXC655411 PGY655408:PGY655411 PQU655408:PQU655411 QAQ655408:QAQ655411 QKM655408:QKM655411 QUI655408:QUI655411 REE655408:REE655411 ROA655408:ROA655411 RXW655408:RXW655411 SHS655408:SHS655411 SRO655408:SRO655411 TBK655408:TBK655411 TLG655408:TLG655411 TVC655408:TVC655411 UEY655408:UEY655411 UOU655408:UOU655411 UYQ655408:UYQ655411 VIM655408:VIM655411 VSI655408:VSI655411 WCE655408:WCE655411 WMA655408:WMA655411 WVW655408:WVW655411 P720944:P720947 JK720944:JK720947 TG720944:TG720947 ADC720944:ADC720947 AMY720944:AMY720947 AWU720944:AWU720947 BGQ720944:BGQ720947 BQM720944:BQM720947 CAI720944:CAI720947 CKE720944:CKE720947 CUA720944:CUA720947 DDW720944:DDW720947 DNS720944:DNS720947 DXO720944:DXO720947 EHK720944:EHK720947 ERG720944:ERG720947 FBC720944:FBC720947 FKY720944:FKY720947 FUU720944:FUU720947 GEQ720944:GEQ720947 GOM720944:GOM720947 GYI720944:GYI720947 HIE720944:HIE720947 HSA720944:HSA720947 IBW720944:IBW720947 ILS720944:ILS720947 IVO720944:IVO720947 JFK720944:JFK720947 JPG720944:JPG720947 JZC720944:JZC720947 KIY720944:KIY720947 KSU720944:KSU720947 LCQ720944:LCQ720947 LMM720944:LMM720947 LWI720944:LWI720947 MGE720944:MGE720947 MQA720944:MQA720947 MZW720944:MZW720947 NJS720944:NJS720947 NTO720944:NTO720947 ODK720944:ODK720947 ONG720944:ONG720947 OXC720944:OXC720947 PGY720944:PGY720947 PQU720944:PQU720947 QAQ720944:QAQ720947 QKM720944:QKM720947 QUI720944:QUI720947 REE720944:REE720947 ROA720944:ROA720947 RXW720944:RXW720947 SHS720944:SHS720947 SRO720944:SRO720947 TBK720944:TBK720947 TLG720944:TLG720947 TVC720944:TVC720947 UEY720944:UEY720947 UOU720944:UOU720947 UYQ720944:UYQ720947 VIM720944:VIM720947 VSI720944:VSI720947 WCE720944:WCE720947 WMA720944:WMA720947 WVW720944:WVW720947 P786480:P786483 JK786480:JK786483 TG786480:TG786483 ADC786480:ADC786483 AMY786480:AMY786483 AWU786480:AWU786483 BGQ786480:BGQ786483 BQM786480:BQM786483 CAI786480:CAI786483 CKE786480:CKE786483 CUA786480:CUA786483 DDW786480:DDW786483 DNS786480:DNS786483 DXO786480:DXO786483 EHK786480:EHK786483 ERG786480:ERG786483 FBC786480:FBC786483 FKY786480:FKY786483 FUU786480:FUU786483 GEQ786480:GEQ786483 GOM786480:GOM786483 GYI786480:GYI786483 HIE786480:HIE786483 HSA786480:HSA786483 IBW786480:IBW786483 ILS786480:ILS786483 IVO786480:IVO786483 JFK786480:JFK786483 JPG786480:JPG786483 JZC786480:JZC786483 KIY786480:KIY786483 KSU786480:KSU786483 LCQ786480:LCQ786483 LMM786480:LMM786483 LWI786480:LWI786483 MGE786480:MGE786483 MQA786480:MQA786483 MZW786480:MZW786483 NJS786480:NJS786483 NTO786480:NTO786483 ODK786480:ODK786483 ONG786480:ONG786483 OXC786480:OXC786483 PGY786480:PGY786483 PQU786480:PQU786483 QAQ786480:QAQ786483 QKM786480:QKM786483 QUI786480:QUI786483 REE786480:REE786483 ROA786480:ROA786483 RXW786480:RXW786483 SHS786480:SHS786483 SRO786480:SRO786483 TBK786480:TBK786483 TLG786480:TLG786483 TVC786480:TVC786483 UEY786480:UEY786483 UOU786480:UOU786483 UYQ786480:UYQ786483 VIM786480:VIM786483 VSI786480:VSI786483 WCE786480:WCE786483 WMA786480:WMA786483 WVW786480:WVW786483 P852016:P852019 JK852016:JK852019 TG852016:TG852019 ADC852016:ADC852019 AMY852016:AMY852019 AWU852016:AWU852019 BGQ852016:BGQ852019 BQM852016:BQM852019 CAI852016:CAI852019 CKE852016:CKE852019 CUA852016:CUA852019 DDW852016:DDW852019 DNS852016:DNS852019 DXO852016:DXO852019 EHK852016:EHK852019 ERG852016:ERG852019 FBC852016:FBC852019 FKY852016:FKY852019 FUU852016:FUU852019 GEQ852016:GEQ852019 GOM852016:GOM852019 GYI852016:GYI852019 HIE852016:HIE852019 HSA852016:HSA852019 IBW852016:IBW852019 ILS852016:ILS852019 IVO852016:IVO852019 JFK852016:JFK852019 JPG852016:JPG852019 JZC852016:JZC852019 KIY852016:KIY852019 KSU852016:KSU852019 LCQ852016:LCQ852019 LMM852016:LMM852019 LWI852016:LWI852019 MGE852016:MGE852019 MQA852016:MQA852019 MZW852016:MZW852019 NJS852016:NJS852019 NTO852016:NTO852019 ODK852016:ODK852019 ONG852016:ONG852019 OXC852016:OXC852019 PGY852016:PGY852019 PQU852016:PQU852019 QAQ852016:QAQ852019 QKM852016:QKM852019 QUI852016:QUI852019 REE852016:REE852019 ROA852016:ROA852019 RXW852016:RXW852019 SHS852016:SHS852019 SRO852016:SRO852019 TBK852016:TBK852019 TLG852016:TLG852019 TVC852016:TVC852019 UEY852016:UEY852019 UOU852016:UOU852019 UYQ852016:UYQ852019 VIM852016:VIM852019 VSI852016:VSI852019 WCE852016:WCE852019 WMA852016:WMA852019 WVW852016:WVW852019 P917552:P917555 JK917552:JK917555 TG917552:TG917555 ADC917552:ADC917555 AMY917552:AMY917555 AWU917552:AWU917555 BGQ917552:BGQ917555 BQM917552:BQM917555 CAI917552:CAI917555 CKE917552:CKE917555 CUA917552:CUA917555 DDW917552:DDW917555 DNS917552:DNS917555 DXO917552:DXO917555 EHK917552:EHK917555 ERG917552:ERG917555 FBC917552:FBC917555 FKY917552:FKY917555 FUU917552:FUU917555 GEQ917552:GEQ917555 GOM917552:GOM917555 GYI917552:GYI917555 HIE917552:HIE917555 HSA917552:HSA917555 IBW917552:IBW917555 ILS917552:ILS917555 IVO917552:IVO917555 JFK917552:JFK917555 JPG917552:JPG917555 JZC917552:JZC917555 KIY917552:KIY917555 KSU917552:KSU917555 LCQ917552:LCQ917555 LMM917552:LMM917555 LWI917552:LWI917555 MGE917552:MGE917555 MQA917552:MQA917555 MZW917552:MZW917555 NJS917552:NJS917555 NTO917552:NTO917555 ODK917552:ODK917555 ONG917552:ONG917555 OXC917552:OXC917555 PGY917552:PGY917555 PQU917552:PQU917555 QAQ917552:QAQ917555 QKM917552:QKM917555 QUI917552:QUI917555 REE917552:REE917555 ROA917552:ROA917555 RXW917552:RXW917555 SHS917552:SHS917555 SRO917552:SRO917555 TBK917552:TBK917555 TLG917552:TLG917555 TVC917552:TVC917555 UEY917552:UEY917555 UOU917552:UOU917555 UYQ917552:UYQ917555 VIM917552:VIM917555 VSI917552:VSI917555 WCE917552:WCE917555 WMA917552:WMA917555 WVW917552:WVW917555 P983088:P983091 JK983088:JK983091 TG983088:TG983091 ADC983088:ADC983091 AMY983088:AMY983091 AWU983088:AWU983091 BGQ983088:BGQ983091 BQM983088:BQM983091 CAI983088:CAI983091 CKE983088:CKE983091 CUA983088:CUA983091 DDW983088:DDW983091 DNS983088:DNS983091 DXO983088:DXO983091 EHK983088:EHK983091 ERG983088:ERG983091 FBC983088:FBC983091 FKY983088:FKY983091 FUU983088:FUU983091 GEQ983088:GEQ983091 GOM983088:GOM983091 GYI983088:GYI983091 HIE983088:HIE983091 HSA983088:HSA983091 IBW983088:IBW983091 ILS983088:ILS983091 IVO983088:IVO983091 JFK983088:JFK983091 JPG983088:JPG983091 JZC983088:JZC983091 KIY983088:KIY983091 KSU983088:KSU983091 LCQ983088:LCQ983091 LMM983088:LMM983091 LWI983088:LWI983091 MGE983088:MGE983091 MQA983088:MQA983091 MZW983088:MZW983091 NJS983088:NJS983091 NTO983088:NTO983091 ODK983088:ODK983091 ONG983088:ONG983091 OXC983088:OXC983091 PGY983088:PGY983091 PQU983088:PQU983091 QAQ983088:QAQ983091 QKM983088:QKM983091 QUI983088:QUI983091 REE983088:REE983091 ROA983088:ROA983091 RXW983088:RXW983091 SHS983088:SHS983091 SRO983088:SRO983091 TBK983088:TBK983091 TLG983088:TLG983091 TVC983088:TVC983091 UEY983088:UEY983091 UOU983088:UOU983091 UYQ983088:UYQ983091 VIM983088:VIM983091 VSI983088:VSI983091 WCE983088:WCE983091 WMA983088:WMA983091 WVW983088:WVW983091" xr:uid="{00000000-0002-0000-0B00-000002000000}">
      <formula1>$E$455:$E$458</formula1>
    </dataValidation>
    <dataValidation type="list" allowBlank="1" showInputMessage="1" showErrorMessage="1" sqref="C65544:C65547 C131080:C131083 C196616:C196619 C262152:C262155 C327688:C327691 C393224:C393227 C458760:C458763 C524296:C524299 C589832:C589835 C655368:C655371 C720904:C720907 C786440:C786443 C851976:C851979 C917512:C917515 C983048:C983051 C65529:C65542 C131065:C131078 C196601:C196614 C262137:C262150 C327673:C327686 C393209:C393222 C458745:C458758 C524281:C524294 C589817:C589830 C655353:C655366 C720889:C720902 C786425:C786438 C851961:C851974 C917497:C917510 C983033:C983046 C65526:C65527 C131062:C131063 C196598:C196599 C262134:C262135 C327670:C327671 C393206:C393207 C458742:C458743 C524278:C524279 C589814:C589815 C655350:C655351 C720886:C720887 C786422:C786423 C851958:C851959 C917494:C917495 C983030:C983031 C65522:C65524 C131058:C131060 C196594:C196596 C262130:C262132 C327666:C327668 C393202:C393204 C458738:C458740 C524274:C524276 C589810:C589812 C655346:C655348 C720882:C720884 C786418:C786420 C851954:C851956 C917490:C917492 C983026:C983028 C65552:C65557 C131088:C131093 C196624:C196629 C262160:C262165 C327696:C327701 C393232:C393237 C458768:C458773 C524304:C524309 C589840:C589845 C655376:C655381 C720912:C720917 C786448:C786453 C851984:C851989 C917520:C917525 C983056:C983061 WVJ983055:WVJ983060 WLN983055:WLN983060 WBR983055:WBR983060 VRV983055:VRV983060 VHZ983055:VHZ983060 UYD983055:UYD983060 UOH983055:UOH983060 UEL983055:UEL983060 TUP983055:TUP983060 TKT983055:TKT983060 TAX983055:TAX983060 SRB983055:SRB983060 SHF983055:SHF983060 RXJ983055:RXJ983060 RNN983055:RNN983060 RDR983055:RDR983060 QTV983055:QTV983060 QJZ983055:QJZ983060 QAD983055:QAD983060 PQH983055:PQH983060 PGL983055:PGL983060 OWP983055:OWP983060 OMT983055:OMT983060 OCX983055:OCX983060 NTB983055:NTB983060 NJF983055:NJF983060 MZJ983055:MZJ983060 MPN983055:MPN983060 MFR983055:MFR983060 LVV983055:LVV983060 LLZ983055:LLZ983060 LCD983055:LCD983060 KSH983055:KSH983060 KIL983055:KIL983060 JYP983055:JYP983060 JOT983055:JOT983060 JEX983055:JEX983060 IVB983055:IVB983060 ILF983055:ILF983060 IBJ983055:IBJ983060 HRN983055:HRN983060 HHR983055:HHR983060 GXV983055:GXV983060 GNZ983055:GNZ983060 GED983055:GED983060 FUH983055:FUH983060 FKL983055:FKL983060 FAP983055:FAP983060 EQT983055:EQT983060 EGX983055:EGX983060 DXB983055:DXB983060 DNF983055:DNF983060 DDJ983055:DDJ983060 CTN983055:CTN983060 CJR983055:CJR983060 BZV983055:BZV983060 BPZ983055:BPZ983060 BGD983055:BGD983060 AWH983055:AWH983060 AML983055:AML983060 ACP983055:ACP983060 ST983055:ST983060 IX983055:IX983060 WVJ917519:WVJ917524 WLN917519:WLN917524 WBR917519:WBR917524 VRV917519:VRV917524 VHZ917519:VHZ917524 UYD917519:UYD917524 UOH917519:UOH917524 UEL917519:UEL917524 TUP917519:TUP917524 TKT917519:TKT917524 TAX917519:TAX917524 SRB917519:SRB917524 SHF917519:SHF917524 RXJ917519:RXJ917524 RNN917519:RNN917524 RDR917519:RDR917524 QTV917519:QTV917524 QJZ917519:QJZ917524 QAD917519:QAD917524 PQH917519:PQH917524 PGL917519:PGL917524 OWP917519:OWP917524 OMT917519:OMT917524 OCX917519:OCX917524 NTB917519:NTB917524 NJF917519:NJF917524 MZJ917519:MZJ917524 MPN917519:MPN917524 MFR917519:MFR917524 LVV917519:LVV917524 LLZ917519:LLZ917524 LCD917519:LCD917524 KSH917519:KSH917524 KIL917519:KIL917524 JYP917519:JYP917524 JOT917519:JOT917524 JEX917519:JEX917524 IVB917519:IVB917524 ILF917519:ILF917524 IBJ917519:IBJ917524 HRN917519:HRN917524 HHR917519:HHR917524 GXV917519:GXV917524 GNZ917519:GNZ917524 GED917519:GED917524 FUH917519:FUH917524 FKL917519:FKL917524 FAP917519:FAP917524 EQT917519:EQT917524 EGX917519:EGX917524 DXB917519:DXB917524 DNF917519:DNF917524 DDJ917519:DDJ917524 CTN917519:CTN917524 CJR917519:CJR917524 BZV917519:BZV917524 BPZ917519:BPZ917524 BGD917519:BGD917524 AWH917519:AWH917524 AML917519:AML917524 ACP917519:ACP917524 ST917519:ST917524 IX917519:IX917524 WVJ851983:WVJ851988 WLN851983:WLN851988 WBR851983:WBR851988 VRV851983:VRV851988 VHZ851983:VHZ851988 UYD851983:UYD851988 UOH851983:UOH851988 UEL851983:UEL851988 TUP851983:TUP851988 TKT851983:TKT851988 TAX851983:TAX851988 SRB851983:SRB851988 SHF851983:SHF851988 RXJ851983:RXJ851988 RNN851983:RNN851988 RDR851983:RDR851988 QTV851983:QTV851988 QJZ851983:QJZ851988 QAD851983:QAD851988 PQH851983:PQH851988 PGL851983:PGL851988 OWP851983:OWP851988 OMT851983:OMT851988 OCX851983:OCX851988 NTB851983:NTB851988 NJF851983:NJF851988 MZJ851983:MZJ851988 MPN851983:MPN851988 MFR851983:MFR851988 LVV851983:LVV851988 LLZ851983:LLZ851988 LCD851983:LCD851988 KSH851983:KSH851988 KIL851983:KIL851988 JYP851983:JYP851988 JOT851983:JOT851988 JEX851983:JEX851988 IVB851983:IVB851988 ILF851983:ILF851988 IBJ851983:IBJ851988 HRN851983:HRN851988 HHR851983:HHR851988 GXV851983:GXV851988 GNZ851983:GNZ851988 GED851983:GED851988 FUH851983:FUH851988 FKL851983:FKL851988 FAP851983:FAP851988 EQT851983:EQT851988 EGX851983:EGX851988 DXB851983:DXB851988 DNF851983:DNF851988 DDJ851983:DDJ851988 CTN851983:CTN851988 CJR851983:CJR851988 BZV851983:BZV851988 BPZ851983:BPZ851988 BGD851983:BGD851988 AWH851983:AWH851988 AML851983:AML851988 ACP851983:ACP851988 ST851983:ST851988 IX851983:IX851988 WVJ786447:WVJ786452 WLN786447:WLN786452 WBR786447:WBR786452 VRV786447:VRV786452 VHZ786447:VHZ786452 UYD786447:UYD786452 UOH786447:UOH786452 UEL786447:UEL786452 TUP786447:TUP786452 TKT786447:TKT786452 TAX786447:TAX786452 SRB786447:SRB786452 SHF786447:SHF786452 RXJ786447:RXJ786452 RNN786447:RNN786452 RDR786447:RDR786452 QTV786447:QTV786452 QJZ786447:QJZ786452 QAD786447:QAD786452 PQH786447:PQH786452 PGL786447:PGL786452 OWP786447:OWP786452 OMT786447:OMT786452 OCX786447:OCX786452 NTB786447:NTB786452 NJF786447:NJF786452 MZJ786447:MZJ786452 MPN786447:MPN786452 MFR786447:MFR786452 LVV786447:LVV786452 LLZ786447:LLZ786452 LCD786447:LCD786452 KSH786447:KSH786452 KIL786447:KIL786452 JYP786447:JYP786452 JOT786447:JOT786452 JEX786447:JEX786452 IVB786447:IVB786452 ILF786447:ILF786452 IBJ786447:IBJ786452 HRN786447:HRN786452 HHR786447:HHR786452 GXV786447:GXV786452 GNZ786447:GNZ786452 GED786447:GED786452 FUH786447:FUH786452 FKL786447:FKL786452 FAP786447:FAP786452 EQT786447:EQT786452 EGX786447:EGX786452 DXB786447:DXB786452 DNF786447:DNF786452 DDJ786447:DDJ786452 CTN786447:CTN786452 CJR786447:CJR786452 BZV786447:BZV786452 BPZ786447:BPZ786452 BGD786447:BGD786452 AWH786447:AWH786452 AML786447:AML786452 ACP786447:ACP786452 ST786447:ST786452 IX786447:IX786452 WVJ720911:WVJ720916 WLN720911:WLN720916 WBR720911:WBR720916 VRV720911:VRV720916 VHZ720911:VHZ720916 UYD720911:UYD720916 UOH720911:UOH720916 UEL720911:UEL720916 TUP720911:TUP720916 TKT720911:TKT720916 TAX720911:TAX720916 SRB720911:SRB720916 SHF720911:SHF720916 RXJ720911:RXJ720916 RNN720911:RNN720916 RDR720911:RDR720916 QTV720911:QTV720916 QJZ720911:QJZ720916 QAD720911:QAD720916 PQH720911:PQH720916 PGL720911:PGL720916 OWP720911:OWP720916 OMT720911:OMT720916 OCX720911:OCX720916 NTB720911:NTB720916 NJF720911:NJF720916 MZJ720911:MZJ720916 MPN720911:MPN720916 MFR720911:MFR720916 LVV720911:LVV720916 LLZ720911:LLZ720916 LCD720911:LCD720916 KSH720911:KSH720916 KIL720911:KIL720916 JYP720911:JYP720916 JOT720911:JOT720916 JEX720911:JEX720916 IVB720911:IVB720916 ILF720911:ILF720916 IBJ720911:IBJ720916 HRN720911:HRN720916 HHR720911:HHR720916 GXV720911:GXV720916 GNZ720911:GNZ720916 GED720911:GED720916 FUH720911:FUH720916 FKL720911:FKL720916 FAP720911:FAP720916 EQT720911:EQT720916 EGX720911:EGX720916 DXB720911:DXB720916 DNF720911:DNF720916 DDJ720911:DDJ720916 CTN720911:CTN720916 CJR720911:CJR720916 BZV720911:BZV720916 BPZ720911:BPZ720916 BGD720911:BGD720916 AWH720911:AWH720916 AML720911:AML720916 ACP720911:ACP720916 ST720911:ST720916 IX720911:IX720916 WVJ655375:WVJ655380 WLN655375:WLN655380 WBR655375:WBR655380 VRV655375:VRV655380 VHZ655375:VHZ655380 UYD655375:UYD655380 UOH655375:UOH655380 UEL655375:UEL655380 TUP655375:TUP655380 TKT655375:TKT655380 TAX655375:TAX655380 SRB655375:SRB655380 SHF655375:SHF655380 RXJ655375:RXJ655380 RNN655375:RNN655380 RDR655375:RDR655380 QTV655375:QTV655380 QJZ655375:QJZ655380 QAD655375:QAD655380 PQH655375:PQH655380 PGL655375:PGL655380 OWP655375:OWP655380 OMT655375:OMT655380 OCX655375:OCX655380 NTB655375:NTB655380 NJF655375:NJF655380 MZJ655375:MZJ655380 MPN655375:MPN655380 MFR655375:MFR655380 LVV655375:LVV655380 LLZ655375:LLZ655380 LCD655375:LCD655380 KSH655375:KSH655380 KIL655375:KIL655380 JYP655375:JYP655380 JOT655375:JOT655380 JEX655375:JEX655380 IVB655375:IVB655380 ILF655375:ILF655380 IBJ655375:IBJ655380 HRN655375:HRN655380 HHR655375:HHR655380 GXV655375:GXV655380 GNZ655375:GNZ655380 GED655375:GED655380 FUH655375:FUH655380 FKL655375:FKL655380 FAP655375:FAP655380 EQT655375:EQT655380 EGX655375:EGX655380 DXB655375:DXB655380 DNF655375:DNF655380 DDJ655375:DDJ655380 CTN655375:CTN655380 CJR655375:CJR655380 BZV655375:BZV655380 BPZ655375:BPZ655380 BGD655375:BGD655380 AWH655375:AWH655380 AML655375:AML655380 ACP655375:ACP655380 ST655375:ST655380 IX655375:IX655380 WVJ589839:WVJ589844 WLN589839:WLN589844 WBR589839:WBR589844 VRV589839:VRV589844 VHZ589839:VHZ589844 UYD589839:UYD589844 UOH589839:UOH589844 UEL589839:UEL589844 TUP589839:TUP589844 TKT589839:TKT589844 TAX589839:TAX589844 SRB589839:SRB589844 SHF589839:SHF589844 RXJ589839:RXJ589844 RNN589839:RNN589844 RDR589839:RDR589844 QTV589839:QTV589844 QJZ589839:QJZ589844 QAD589839:QAD589844 PQH589839:PQH589844 PGL589839:PGL589844 OWP589839:OWP589844 OMT589839:OMT589844 OCX589839:OCX589844 NTB589839:NTB589844 NJF589839:NJF589844 MZJ589839:MZJ589844 MPN589839:MPN589844 MFR589839:MFR589844 LVV589839:LVV589844 LLZ589839:LLZ589844 LCD589839:LCD589844 KSH589839:KSH589844 KIL589839:KIL589844 JYP589839:JYP589844 JOT589839:JOT589844 JEX589839:JEX589844 IVB589839:IVB589844 ILF589839:ILF589844 IBJ589839:IBJ589844 HRN589839:HRN589844 HHR589839:HHR589844 GXV589839:GXV589844 GNZ589839:GNZ589844 GED589839:GED589844 FUH589839:FUH589844 FKL589839:FKL589844 FAP589839:FAP589844 EQT589839:EQT589844 EGX589839:EGX589844 DXB589839:DXB589844 DNF589839:DNF589844 DDJ589839:DDJ589844 CTN589839:CTN589844 CJR589839:CJR589844 BZV589839:BZV589844 BPZ589839:BPZ589844 BGD589839:BGD589844 AWH589839:AWH589844 AML589839:AML589844 ACP589839:ACP589844 ST589839:ST589844 IX589839:IX589844 WVJ524303:WVJ524308 WLN524303:WLN524308 WBR524303:WBR524308 VRV524303:VRV524308 VHZ524303:VHZ524308 UYD524303:UYD524308 UOH524303:UOH524308 UEL524303:UEL524308 TUP524303:TUP524308 TKT524303:TKT524308 TAX524303:TAX524308 SRB524303:SRB524308 SHF524303:SHF524308 RXJ524303:RXJ524308 RNN524303:RNN524308 RDR524303:RDR524308 QTV524303:QTV524308 QJZ524303:QJZ524308 QAD524303:QAD524308 PQH524303:PQH524308 PGL524303:PGL524308 OWP524303:OWP524308 OMT524303:OMT524308 OCX524303:OCX524308 NTB524303:NTB524308 NJF524303:NJF524308 MZJ524303:MZJ524308 MPN524303:MPN524308 MFR524303:MFR524308 LVV524303:LVV524308 LLZ524303:LLZ524308 LCD524303:LCD524308 KSH524303:KSH524308 KIL524303:KIL524308 JYP524303:JYP524308 JOT524303:JOT524308 JEX524303:JEX524308 IVB524303:IVB524308 ILF524303:ILF524308 IBJ524303:IBJ524308 HRN524303:HRN524308 HHR524303:HHR524308 GXV524303:GXV524308 GNZ524303:GNZ524308 GED524303:GED524308 FUH524303:FUH524308 FKL524303:FKL524308 FAP524303:FAP524308 EQT524303:EQT524308 EGX524303:EGX524308 DXB524303:DXB524308 DNF524303:DNF524308 DDJ524303:DDJ524308 CTN524303:CTN524308 CJR524303:CJR524308 BZV524303:BZV524308 BPZ524303:BPZ524308 BGD524303:BGD524308 AWH524303:AWH524308 AML524303:AML524308 ACP524303:ACP524308 ST524303:ST524308 IX524303:IX524308 WVJ458767:WVJ458772 WLN458767:WLN458772 WBR458767:WBR458772 VRV458767:VRV458772 VHZ458767:VHZ458772 UYD458767:UYD458772 UOH458767:UOH458772 UEL458767:UEL458772 TUP458767:TUP458772 TKT458767:TKT458772 TAX458767:TAX458772 SRB458767:SRB458772 SHF458767:SHF458772 RXJ458767:RXJ458772 RNN458767:RNN458772 RDR458767:RDR458772 QTV458767:QTV458772 QJZ458767:QJZ458772 QAD458767:QAD458772 PQH458767:PQH458772 PGL458767:PGL458772 OWP458767:OWP458772 OMT458767:OMT458772 OCX458767:OCX458772 NTB458767:NTB458772 NJF458767:NJF458772 MZJ458767:MZJ458772 MPN458767:MPN458772 MFR458767:MFR458772 LVV458767:LVV458772 LLZ458767:LLZ458772 LCD458767:LCD458772 KSH458767:KSH458772 KIL458767:KIL458772 JYP458767:JYP458772 JOT458767:JOT458772 JEX458767:JEX458772 IVB458767:IVB458772 ILF458767:ILF458772 IBJ458767:IBJ458772 HRN458767:HRN458772 HHR458767:HHR458772 GXV458767:GXV458772 GNZ458767:GNZ458772 GED458767:GED458772 FUH458767:FUH458772 FKL458767:FKL458772 FAP458767:FAP458772 EQT458767:EQT458772 EGX458767:EGX458772 DXB458767:DXB458772 DNF458767:DNF458772 DDJ458767:DDJ458772 CTN458767:CTN458772 CJR458767:CJR458772 BZV458767:BZV458772 BPZ458767:BPZ458772 BGD458767:BGD458772 AWH458767:AWH458772 AML458767:AML458772 ACP458767:ACP458772 ST458767:ST458772 IX458767:IX458772 WVJ393231:WVJ393236 WLN393231:WLN393236 WBR393231:WBR393236 VRV393231:VRV393236 VHZ393231:VHZ393236 UYD393231:UYD393236 UOH393231:UOH393236 UEL393231:UEL393236 TUP393231:TUP393236 TKT393231:TKT393236 TAX393231:TAX393236 SRB393231:SRB393236 SHF393231:SHF393236 RXJ393231:RXJ393236 RNN393231:RNN393236 RDR393231:RDR393236 QTV393231:QTV393236 QJZ393231:QJZ393236 QAD393231:QAD393236 PQH393231:PQH393236 PGL393231:PGL393236 OWP393231:OWP393236 OMT393231:OMT393236 OCX393231:OCX393236 NTB393231:NTB393236 NJF393231:NJF393236 MZJ393231:MZJ393236 MPN393231:MPN393236 MFR393231:MFR393236 LVV393231:LVV393236 LLZ393231:LLZ393236 LCD393231:LCD393236 KSH393231:KSH393236 KIL393231:KIL393236 JYP393231:JYP393236 JOT393231:JOT393236 JEX393231:JEX393236 IVB393231:IVB393236 ILF393231:ILF393236 IBJ393231:IBJ393236 HRN393231:HRN393236 HHR393231:HHR393236 GXV393231:GXV393236 GNZ393231:GNZ393236 GED393231:GED393236 FUH393231:FUH393236 FKL393231:FKL393236 FAP393231:FAP393236 EQT393231:EQT393236 EGX393231:EGX393236 DXB393231:DXB393236 DNF393231:DNF393236 DDJ393231:DDJ393236 CTN393231:CTN393236 CJR393231:CJR393236 BZV393231:BZV393236 BPZ393231:BPZ393236 BGD393231:BGD393236 AWH393231:AWH393236 AML393231:AML393236 ACP393231:ACP393236 ST393231:ST393236 IX393231:IX393236 WVJ327695:WVJ327700 WLN327695:WLN327700 WBR327695:WBR327700 VRV327695:VRV327700 VHZ327695:VHZ327700 UYD327695:UYD327700 UOH327695:UOH327700 UEL327695:UEL327700 TUP327695:TUP327700 TKT327695:TKT327700 TAX327695:TAX327700 SRB327695:SRB327700 SHF327695:SHF327700 RXJ327695:RXJ327700 RNN327695:RNN327700 RDR327695:RDR327700 QTV327695:QTV327700 QJZ327695:QJZ327700 QAD327695:QAD327700 PQH327695:PQH327700 PGL327695:PGL327700 OWP327695:OWP327700 OMT327695:OMT327700 OCX327695:OCX327700 NTB327695:NTB327700 NJF327695:NJF327700 MZJ327695:MZJ327700 MPN327695:MPN327700 MFR327695:MFR327700 LVV327695:LVV327700 LLZ327695:LLZ327700 LCD327695:LCD327700 KSH327695:KSH327700 KIL327695:KIL327700 JYP327695:JYP327700 JOT327695:JOT327700 JEX327695:JEX327700 IVB327695:IVB327700 ILF327695:ILF327700 IBJ327695:IBJ327700 HRN327695:HRN327700 HHR327695:HHR327700 GXV327695:GXV327700 GNZ327695:GNZ327700 GED327695:GED327700 FUH327695:FUH327700 FKL327695:FKL327700 FAP327695:FAP327700 EQT327695:EQT327700 EGX327695:EGX327700 DXB327695:DXB327700 DNF327695:DNF327700 DDJ327695:DDJ327700 CTN327695:CTN327700 CJR327695:CJR327700 BZV327695:BZV327700 BPZ327695:BPZ327700 BGD327695:BGD327700 AWH327695:AWH327700 AML327695:AML327700 ACP327695:ACP327700 ST327695:ST327700 IX327695:IX327700 WVJ262159:WVJ262164 WLN262159:WLN262164 WBR262159:WBR262164 VRV262159:VRV262164 VHZ262159:VHZ262164 UYD262159:UYD262164 UOH262159:UOH262164 UEL262159:UEL262164 TUP262159:TUP262164 TKT262159:TKT262164 TAX262159:TAX262164 SRB262159:SRB262164 SHF262159:SHF262164 RXJ262159:RXJ262164 RNN262159:RNN262164 RDR262159:RDR262164 QTV262159:QTV262164 QJZ262159:QJZ262164 QAD262159:QAD262164 PQH262159:PQH262164 PGL262159:PGL262164 OWP262159:OWP262164 OMT262159:OMT262164 OCX262159:OCX262164 NTB262159:NTB262164 NJF262159:NJF262164 MZJ262159:MZJ262164 MPN262159:MPN262164 MFR262159:MFR262164 LVV262159:LVV262164 LLZ262159:LLZ262164 LCD262159:LCD262164 KSH262159:KSH262164 KIL262159:KIL262164 JYP262159:JYP262164 JOT262159:JOT262164 JEX262159:JEX262164 IVB262159:IVB262164 ILF262159:ILF262164 IBJ262159:IBJ262164 HRN262159:HRN262164 HHR262159:HHR262164 GXV262159:GXV262164 GNZ262159:GNZ262164 GED262159:GED262164 FUH262159:FUH262164 FKL262159:FKL262164 FAP262159:FAP262164 EQT262159:EQT262164 EGX262159:EGX262164 DXB262159:DXB262164 DNF262159:DNF262164 DDJ262159:DDJ262164 CTN262159:CTN262164 CJR262159:CJR262164 BZV262159:BZV262164 BPZ262159:BPZ262164 BGD262159:BGD262164 AWH262159:AWH262164 AML262159:AML262164 ACP262159:ACP262164 ST262159:ST262164 IX262159:IX262164 WVJ196623:WVJ196628 WLN196623:WLN196628 WBR196623:WBR196628 VRV196623:VRV196628 VHZ196623:VHZ196628 UYD196623:UYD196628 UOH196623:UOH196628 UEL196623:UEL196628 TUP196623:TUP196628 TKT196623:TKT196628 TAX196623:TAX196628 SRB196623:SRB196628 SHF196623:SHF196628 RXJ196623:RXJ196628 RNN196623:RNN196628 RDR196623:RDR196628 QTV196623:QTV196628 QJZ196623:QJZ196628 QAD196623:QAD196628 PQH196623:PQH196628 PGL196623:PGL196628 OWP196623:OWP196628 OMT196623:OMT196628 OCX196623:OCX196628 NTB196623:NTB196628 NJF196623:NJF196628 MZJ196623:MZJ196628 MPN196623:MPN196628 MFR196623:MFR196628 LVV196623:LVV196628 LLZ196623:LLZ196628 LCD196623:LCD196628 KSH196623:KSH196628 KIL196623:KIL196628 JYP196623:JYP196628 JOT196623:JOT196628 JEX196623:JEX196628 IVB196623:IVB196628 ILF196623:ILF196628 IBJ196623:IBJ196628 HRN196623:HRN196628 HHR196623:HHR196628 GXV196623:GXV196628 GNZ196623:GNZ196628 GED196623:GED196628 FUH196623:FUH196628 FKL196623:FKL196628 FAP196623:FAP196628 EQT196623:EQT196628 EGX196623:EGX196628 DXB196623:DXB196628 DNF196623:DNF196628 DDJ196623:DDJ196628 CTN196623:CTN196628 CJR196623:CJR196628 BZV196623:BZV196628 BPZ196623:BPZ196628 BGD196623:BGD196628 AWH196623:AWH196628 AML196623:AML196628 ACP196623:ACP196628 ST196623:ST196628 IX196623:IX196628 WVJ131087:WVJ131092 WLN131087:WLN131092 WBR131087:WBR131092 VRV131087:VRV131092 VHZ131087:VHZ131092 UYD131087:UYD131092 UOH131087:UOH131092 UEL131087:UEL131092 TUP131087:TUP131092 TKT131087:TKT131092 TAX131087:TAX131092 SRB131087:SRB131092 SHF131087:SHF131092 RXJ131087:RXJ131092 RNN131087:RNN131092 RDR131087:RDR131092 QTV131087:QTV131092 QJZ131087:QJZ131092 QAD131087:QAD131092 PQH131087:PQH131092 PGL131087:PGL131092 OWP131087:OWP131092 OMT131087:OMT131092 OCX131087:OCX131092 NTB131087:NTB131092 NJF131087:NJF131092 MZJ131087:MZJ131092 MPN131087:MPN131092 MFR131087:MFR131092 LVV131087:LVV131092 LLZ131087:LLZ131092 LCD131087:LCD131092 KSH131087:KSH131092 KIL131087:KIL131092 JYP131087:JYP131092 JOT131087:JOT131092 JEX131087:JEX131092 IVB131087:IVB131092 ILF131087:ILF131092 IBJ131087:IBJ131092 HRN131087:HRN131092 HHR131087:HHR131092 GXV131087:GXV131092 GNZ131087:GNZ131092 GED131087:GED131092 FUH131087:FUH131092 FKL131087:FKL131092 FAP131087:FAP131092 EQT131087:EQT131092 EGX131087:EGX131092 DXB131087:DXB131092 DNF131087:DNF131092 DDJ131087:DDJ131092 CTN131087:CTN131092 CJR131087:CJR131092 BZV131087:BZV131092 BPZ131087:BPZ131092 BGD131087:BGD131092 AWH131087:AWH131092 AML131087:AML131092 ACP131087:ACP131092 ST131087:ST131092 IX131087:IX131092 WVJ65551:WVJ65556 WLN65551:WLN65556 WBR65551:WBR65556 VRV65551:VRV65556 VHZ65551:VHZ65556 UYD65551:UYD65556 UOH65551:UOH65556 UEL65551:UEL65556 TUP65551:TUP65556 TKT65551:TKT65556 TAX65551:TAX65556 SRB65551:SRB65556 SHF65551:SHF65556 RXJ65551:RXJ65556 RNN65551:RNN65556 RDR65551:RDR65556 QTV65551:QTV65556 QJZ65551:QJZ65556 QAD65551:QAD65556 PQH65551:PQH65556 PGL65551:PGL65556 OWP65551:OWP65556 OMT65551:OMT65556 OCX65551:OCX65556 NTB65551:NTB65556 NJF65551:NJF65556 MZJ65551:MZJ65556 MPN65551:MPN65556 MFR65551:MFR65556 LVV65551:LVV65556 LLZ65551:LLZ65556 LCD65551:LCD65556 KSH65551:KSH65556 KIL65551:KIL65556 JYP65551:JYP65556 JOT65551:JOT65556 JEX65551:JEX65556 IVB65551:IVB65556 ILF65551:ILF65556 IBJ65551:IBJ65556 HRN65551:HRN65556 HHR65551:HHR65556 GXV65551:GXV65556 GNZ65551:GNZ65556 GED65551:GED65556 FUH65551:FUH65556 FKL65551:FKL65556 FAP65551:FAP65556 EQT65551:EQT65556 EGX65551:EGX65556 DXB65551:DXB65556 DNF65551:DNF65556 DDJ65551:DDJ65556 CTN65551:CTN65556 CJR65551:CJR65556 BZV65551:BZV65556 BPZ65551:BPZ65556 BGD65551:BGD65556 AWH65551:AWH65556 AML65551:AML65556 ACP65551:ACP65556 ST65551:ST65556 IX65551:IX65556 WVJ983025:WVJ983027 WLN983025:WLN983027 WBR983025:WBR983027 VRV983025:VRV983027 VHZ983025:VHZ983027 UYD983025:UYD983027 UOH983025:UOH983027 UEL983025:UEL983027 TUP983025:TUP983027 TKT983025:TKT983027 TAX983025:TAX983027 SRB983025:SRB983027 SHF983025:SHF983027 RXJ983025:RXJ983027 RNN983025:RNN983027 RDR983025:RDR983027 QTV983025:QTV983027 QJZ983025:QJZ983027 QAD983025:QAD983027 PQH983025:PQH983027 PGL983025:PGL983027 OWP983025:OWP983027 OMT983025:OMT983027 OCX983025:OCX983027 NTB983025:NTB983027 NJF983025:NJF983027 MZJ983025:MZJ983027 MPN983025:MPN983027 MFR983025:MFR983027 LVV983025:LVV983027 LLZ983025:LLZ983027 LCD983025:LCD983027 KSH983025:KSH983027 KIL983025:KIL983027 JYP983025:JYP983027 JOT983025:JOT983027 JEX983025:JEX983027 IVB983025:IVB983027 ILF983025:ILF983027 IBJ983025:IBJ983027 HRN983025:HRN983027 HHR983025:HHR983027 GXV983025:GXV983027 GNZ983025:GNZ983027 GED983025:GED983027 FUH983025:FUH983027 FKL983025:FKL983027 FAP983025:FAP983027 EQT983025:EQT983027 EGX983025:EGX983027 DXB983025:DXB983027 DNF983025:DNF983027 DDJ983025:DDJ983027 CTN983025:CTN983027 CJR983025:CJR983027 BZV983025:BZV983027 BPZ983025:BPZ983027 BGD983025:BGD983027 AWH983025:AWH983027 AML983025:AML983027 ACP983025:ACP983027 ST983025:ST983027 IX983025:IX983027 WVJ917489:WVJ917491 WLN917489:WLN917491 WBR917489:WBR917491 VRV917489:VRV917491 VHZ917489:VHZ917491 UYD917489:UYD917491 UOH917489:UOH917491 UEL917489:UEL917491 TUP917489:TUP917491 TKT917489:TKT917491 TAX917489:TAX917491 SRB917489:SRB917491 SHF917489:SHF917491 RXJ917489:RXJ917491 RNN917489:RNN917491 RDR917489:RDR917491 QTV917489:QTV917491 QJZ917489:QJZ917491 QAD917489:QAD917491 PQH917489:PQH917491 PGL917489:PGL917491 OWP917489:OWP917491 OMT917489:OMT917491 OCX917489:OCX917491 NTB917489:NTB917491 NJF917489:NJF917491 MZJ917489:MZJ917491 MPN917489:MPN917491 MFR917489:MFR917491 LVV917489:LVV917491 LLZ917489:LLZ917491 LCD917489:LCD917491 KSH917489:KSH917491 KIL917489:KIL917491 JYP917489:JYP917491 JOT917489:JOT917491 JEX917489:JEX917491 IVB917489:IVB917491 ILF917489:ILF917491 IBJ917489:IBJ917491 HRN917489:HRN917491 HHR917489:HHR917491 GXV917489:GXV917491 GNZ917489:GNZ917491 GED917489:GED917491 FUH917489:FUH917491 FKL917489:FKL917491 FAP917489:FAP917491 EQT917489:EQT917491 EGX917489:EGX917491 DXB917489:DXB917491 DNF917489:DNF917491 DDJ917489:DDJ917491 CTN917489:CTN917491 CJR917489:CJR917491 BZV917489:BZV917491 BPZ917489:BPZ917491 BGD917489:BGD917491 AWH917489:AWH917491 AML917489:AML917491 ACP917489:ACP917491 ST917489:ST917491 IX917489:IX917491 WVJ851953:WVJ851955 WLN851953:WLN851955 WBR851953:WBR851955 VRV851953:VRV851955 VHZ851953:VHZ851955 UYD851953:UYD851955 UOH851953:UOH851955 UEL851953:UEL851955 TUP851953:TUP851955 TKT851953:TKT851955 TAX851953:TAX851955 SRB851953:SRB851955 SHF851953:SHF851955 RXJ851953:RXJ851955 RNN851953:RNN851955 RDR851953:RDR851955 QTV851953:QTV851955 QJZ851953:QJZ851955 QAD851953:QAD851955 PQH851953:PQH851955 PGL851953:PGL851955 OWP851953:OWP851955 OMT851953:OMT851955 OCX851953:OCX851955 NTB851953:NTB851955 NJF851953:NJF851955 MZJ851953:MZJ851955 MPN851953:MPN851955 MFR851953:MFR851955 LVV851953:LVV851955 LLZ851953:LLZ851955 LCD851953:LCD851955 KSH851953:KSH851955 KIL851953:KIL851955 JYP851953:JYP851955 JOT851953:JOT851955 JEX851953:JEX851955 IVB851953:IVB851955 ILF851953:ILF851955 IBJ851953:IBJ851955 HRN851953:HRN851955 HHR851953:HHR851955 GXV851953:GXV851955 GNZ851953:GNZ851955 GED851953:GED851955 FUH851953:FUH851955 FKL851953:FKL851955 FAP851953:FAP851955 EQT851953:EQT851955 EGX851953:EGX851955 DXB851953:DXB851955 DNF851953:DNF851955 DDJ851953:DDJ851955 CTN851953:CTN851955 CJR851953:CJR851955 BZV851953:BZV851955 BPZ851953:BPZ851955 BGD851953:BGD851955 AWH851953:AWH851955 AML851953:AML851955 ACP851953:ACP851955 ST851953:ST851955 IX851953:IX851955 WVJ786417:WVJ786419 WLN786417:WLN786419 WBR786417:WBR786419 VRV786417:VRV786419 VHZ786417:VHZ786419 UYD786417:UYD786419 UOH786417:UOH786419 UEL786417:UEL786419 TUP786417:TUP786419 TKT786417:TKT786419 TAX786417:TAX786419 SRB786417:SRB786419 SHF786417:SHF786419 RXJ786417:RXJ786419 RNN786417:RNN786419 RDR786417:RDR786419 QTV786417:QTV786419 QJZ786417:QJZ786419 QAD786417:QAD786419 PQH786417:PQH786419 PGL786417:PGL786419 OWP786417:OWP786419 OMT786417:OMT786419 OCX786417:OCX786419 NTB786417:NTB786419 NJF786417:NJF786419 MZJ786417:MZJ786419 MPN786417:MPN786419 MFR786417:MFR786419 LVV786417:LVV786419 LLZ786417:LLZ786419 LCD786417:LCD786419 KSH786417:KSH786419 KIL786417:KIL786419 JYP786417:JYP786419 JOT786417:JOT786419 JEX786417:JEX786419 IVB786417:IVB786419 ILF786417:ILF786419 IBJ786417:IBJ786419 HRN786417:HRN786419 HHR786417:HHR786419 GXV786417:GXV786419 GNZ786417:GNZ786419 GED786417:GED786419 FUH786417:FUH786419 FKL786417:FKL786419 FAP786417:FAP786419 EQT786417:EQT786419 EGX786417:EGX786419 DXB786417:DXB786419 DNF786417:DNF786419 DDJ786417:DDJ786419 CTN786417:CTN786419 CJR786417:CJR786419 BZV786417:BZV786419 BPZ786417:BPZ786419 BGD786417:BGD786419 AWH786417:AWH786419 AML786417:AML786419 ACP786417:ACP786419 ST786417:ST786419 IX786417:IX786419 WVJ720881:WVJ720883 WLN720881:WLN720883 WBR720881:WBR720883 VRV720881:VRV720883 VHZ720881:VHZ720883 UYD720881:UYD720883 UOH720881:UOH720883 UEL720881:UEL720883 TUP720881:TUP720883 TKT720881:TKT720883 TAX720881:TAX720883 SRB720881:SRB720883 SHF720881:SHF720883 RXJ720881:RXJ720883 RNN720881:RNN720883 RDR720881:RDR720883 QTV720881:QTV720883 QJZ720881:QJZ720883 QAD720881:QAD720883 PQH720881:PQH720883 PGL720881:PGL720883 OWP720881:OWP720883 OMT720881:OMT720883 OCX720881:OCX720883 NTB720881:NTB720883 NJF720881:NJF720883 MZJ720881:MZJ720883 MPN720881:MPN720883 MFR720881:MFR720883 LVV720881:LVV720883 LLZ720881:LLZ720883 LCD720881:LCD720883 KSH720881:KSH720883 KIL720881:KIL720883 JYP720881:JYP720883 JOT720881:JOT720883 JEX720881:JEX720883 IVB720881:IVB720883 ILF720881:ILF720883 IBJ720881:IBJ720883 HRN720881:HRN720883 HHR720881:HHR720883 GXV720881:GXV720883 GNZ720881:GNZ720883 GED720881:GED720883 FUH720881:FUH720883 FKL720881:FKL720883 FAP720881:FAP720883 EQT720881:EQT720883 EGX720881:EGX720883 DXB720881:DXB720883 DNF720881:DNF720883 DDJ720881:DDJ720883 CTN720881:CTN720883 CJR720881:CJR720883 BZV720881:BZV720883 BPZ720881:BPZ720883 BGD720881:BGD720883 AWH720881:AWH720883 AML720881:AML720883 ACP720881:ACP720883 ST720881:ST720883 IX720881:IX720883 WVJ655345:WVJ655347 WLN655345:WLN655347 WBR655345:WBR655347 VRV655345:VRV655347 VHZ655345:VHZ655347 UYD655345:UYD655347 UOH655345:UOH655347 UEL655345:UEL655347 TUP655345:TUP655347 TKT655345:TKT655347 TAX655345:TAX655347 SRB655345:SRB655347 SHF655345:SHF655347 RXJ655345:RXJ655347 RNN655345:RNN655347 RDR655345:RDR655347 QTV655345:QTV655347 QJZ655345:QJZ655347 QAD655345:QAD655347 PQH655345:PQH655347 PGL655345:PGL655347 OWP655345:OWP655347 OMT655345:OMT655347 OCX655345:OCX655347 NTB655345:NTB655347 NJF655345:NJF655347 MZJ655345:MZJ655347 MPN655345:MPN655347 MFR655345:MFR655347 LVV655345:LVV655347 LLZ655345:LLZ655347 LCD655345:LCD655347 KSH655345:KSH655347 KIL655345:KIL655347 JYP655345:JYP655347 JOT655345:JOT655347 JEX655345:JEX655347 IVB655345:IVB655347 ILF655345:ILF655347 IBJ655345:IBJ655347 HRN655345:HRN655347 HHR655345:HHR655347 GXV655345:GXV655347 GNZ655345:GNZ655347 GED655345:GED655347 FUH655345:FUH655347 FKL655345:FKL655347 FAP655345:FAP655347 EQT655345:EQT655347 EGX655345:EGX655347 DXB655345:DXB655347 DNF655345:DNF655347 DDJ655345:DDJ655347 CTN655345:CTN655347 CJR655345:CJR655347 BZV655345:BZV655347 BPZ655345:BPZ655347 BGD655345:BGD655347 AWH655345:AWH655347 AML655345:AML655347 ACP655345:ACP655347 ST655345:ST655347 IX655345:IX655347 WVJ589809:WVJ589811 WLN589809:WLN589811 WBR589809:WBR589811 VRV589809:VRV589811 VHZ589809:VHZ589811 UYD589809:UYD589811 UOH589809:UOH589811 UEL589809:UEL589811 TUP589809:TUP589811 TKT589809:TKT589811 TAX589809:TAX589811 SRB589809:SRB589811 SHF589809:SHF589811 RXJ589809:RXJ589811 RNN589809:RNN589811 RDR589809:RDR589811 QTV589809:QTV589811 QJZ589809:QJZ589811 QAD589809:QAD589811 PQH589809:PQH589811 PGL589809:PGL589811 OWP589809:OWP589811 OMT589809:OMT589811 OCX589809:OCX589811 NTB589809:NTB589811 NJF589809:NJF589811 MZJ589809:MZJ589811 MPN589809:MPN589811 MFR589809:MFR589811 LVV589809:LVV589811 LLZ589809:LLZ589811 LCD589809:LCD589811 KSH589809:KSH589811 KIL589809:KIL589811 JYP589809:JYP589811 JOT589809:JOT589811 JEX589809:JEX589811 IVB589809:IVB589811 ILF589809:ILF589811 IBJ589809:IBJ589811 HRN589809:HRN589811 HHR589809:HHR589811 GXV589809:GXV589811 GNZ589809:GNZ589811 GED589809:GED589811 FUH589809:FUH589811 FKL589809:FKL589811 FAP589809:FAP589811 EQT589809:EQT589811 EGX589809:EGX589811 DXB589809:DXB589811 DNF589809:DNF589811 DDJ589809:DDJ589811 CTN589809:CTN589811 CJR589809:CJR589811 BZV589809:BZV589811 BPZ589809:BPZ589811 BGD589809:BGD589811 AWH589809:AWH589811 AML589809:AML589811 ACP589809:ACP589811 ST589809:ST589811 IX589809:IX589811 WVJ524273:WVJ524275 WLN524273:WLN524275 WBR524273:WBR524275 VRV524273:VRV524275 VHZ524273:VHZ524275 UYD524273:UYD524275 UOH524273:UOH524275 UEL524273:UEL524275 TUP524273:TUP524275 TKT524273:TKT524275 TAX524273:TAX524275 SRB524273:SRB524275 SHF524273:SHF524275 RXJ524273:RXJ524275 RNN524273:RNN524275 RDR524273:RDR524275 QTV524273:QTV524275 QJZ524273:QJZ524275 QAD524273:QAD524275 PQH524273:PQH524275 PGL524273:PGL524275 OWP524273:OWP524275 OMT524273:OMT524275 OCX524273:OCX524275 NTB524273:NTB524275 NJF524273:NJF524275 MZJ524273:MZJ524275 MPN524273:MPN524275 MFR524273:MFR524275 LVV524273:LVV524275 LLZ524273:LLZ524275 LCD524273:LCD524275 KSH524273:KSH524275 KIL524273:KIL524275 JYP524273:JYP524275 JOT524273:JOT524275 JEX524273:JEX524275 IVB524273:IVB524275 ILF524273:ILF524275 IBJ524273:IBJ524275 HRN524273:HRN524275 HHR524273:HHR524275 GXV524273:GXV524275 GNZ524273:GNZ524275 GED524273:GED524275 FUH524273:FUH524275 FKL524273:FKL524275 FAP524273:FAP524275 EQT524273:EQT524275 EGX524273:EGX524275 DXB524273:DXB524275 DNF524273:DNF524275 DDJ524273:DDJ524275 CTN524273:CTN524275 CJR524273:CJR524275 BZV524273:BZV524275 BPZ524273:BPZ524275 BGD524273:BGD524275 AWH524273:AWH524275 AML524273:AML524275 ACP524273:ACP524275 ST524273:ST524275 IX524273:IX524275 WVJ458737:WVJ458739 WLN458737:WLN458739 WBR458737:WBR458739 VRV458737:VRV458739 VHZ458737:VHZ458739 UYD458737:UYD458739 UOH458737:UOH458739 UEL458737:UEL458739 TUP458737:TUP458739 TKT458737:TKT458739 TAX458737:TAX458739 SRB458737:SRB458739 SHF458737:SHF458739 RXJ458737:RXJ458739 RNN458737:RNN458739 RDR458737:RDR458739 QTV458737:QTV458739 QJZ458737:QJZ458739 QAD458737:QAD458739 PQH458737:PQH458739 PGL458737:PGL458739 OWP458737:OWP458739 OMT458737:OMT458739 OCX458737:OCX458739 NTB458737:NTB458739 NJF458737:NJF458739 MZJ458737:MZJ458739 MPN458737:MPN458739 MFR458737:MFR458739 LVV458737:LVV458739 LLZ458737:LLZ458739 LCD458737:LCD458739 KSH458737:KSH458739 KIL458737:KIL458739 JYP458737:JYP458739 JOT458737:JOT458739 JEX458737:JEX458739 IVB458737:IVB458739 ILF458737:ILF458739 IBJ458737:IBJ458739 HRN458737:HRN458739 HHR458737:HHR458739 GXV458737:GXV458739 GNZ458737:GNZ458739 GED458737:GED458739 FUH458737:FUH458739 FKL458737:FKL458739 FAP458737:FAP458739 EQT458737:EQT458739 EGX458737:EGX458739 DXB458737:DXB458739 DNF458737:DNF458739 DDJ458737:DDJ458739 CTN458737:CTN458739 CJR458737:CJR458739 BZV458737:BZV458739 BPZ458737:BPZ458739 BGD458737:BGD458739 AWH458737:AWH458739 AML458737:AML458739 ACP458737:ACP458739 ST458737:ST458739 IX458737:IX458739 WVJ393201:WVJ393203 WLN393201:WLN393203 WBR393201:WBR393203 VRV393201:VRV393203 VHZ393201:VHZ393203 UYD393201:UYD393203 UOH393201:UOH393203 UEL393201:UEL393203 TUP393201:TUP393203 TKT393201:TKT393203 TAX393201:TAX393203 SRB393201:SRB393203 SHF393201:SHF393203 RXJ393201:RXJ393203 RNN393201:RNN393203 RDR393201:RDR393203 QTV393201:QTV393203 QJZ393201:QJZ393203 QAD393201:QAD393203 PQH393201:PQH393203 PGL393201:PGL393203 OWP393201:OWP393203 OMT393201:OMT393203 OCX393201:OCX393203 NTB393201:NTB393203 NJF393201:NJF393203 MZJ393201:MZJ393203 MPN393201:MPN393203 MFR393201:MFR393203 LVV393201:LVV393203 LLZ393201:LLZ393203 LCD393201:LCD393203 KSH393201:KSH393203 KIL393201:KIL393203 JYP393201:JYP393203 JOT393201:JOT393203 JEX393201:JEX393203 IVB393201:IVB393203 ILF393201:ILF393203 IBJ393201:IBJ393203 HRN393201:HRN393203 HHR393201:HHR393203 GXV393201:GXV393203 GNZ393201:GNZ393203 GED393201:GED393203 FUH393201:FUH393203 FKL393201:FKL393203 FAP393201:FAP393203 EQT393201:EQT393203 EGX393201:EGX393203 DXB393201:DXB393203 DNF393201:DNF393203 DDJ393201:DDJ393203 CTN393201:CTN393203 CJR393201:CJR393203 BZV393201:BZV393203 BPZ393201:BPZ393203 BGD393201:BGD393203 AWH393201:AWH393203 AML393201:AML393203 ACP393201:ACP393203 ST393201:ST393203 IX393201:IX393203 WVJ327665:WVJ327667 WLN327665:WLN327667 WBR327665:WBR327667 VRV327665:VRV327667 VHZ327665:VHZ327667 UYD327665:UYD327667 UOH327665:UOH327667 UEL327665:UEL327667 TUP327665:TUP327667 TKT327665:TKT327667 TAX327665:TAX327667 SRB327665:SRB327667 SHF327665:SHF327667 RXJ327665:RXJ327667 RNN327665:RNN327667 RDR327665:RDR327667 QTV327665:QTV327667 QJZ327665:QJZ327667 QAD327665:QAD327667 PQH327665:PQH327667 PGL327665:PGL327667 OWP327665:OWP327667 OMT327665:OMT327667 OCX327665:OCX327667 NTB327665:NTB327667 NJF327665:NJF327667 MZJ327665:MZJ327667 MPN327665:MPN327667 MFR327665:MFR327667 LVV327665:LVV327667 LLZ327665:LLZ327667 LCD327665:LCD327667 KSH327665:KSH327667 KIL327665:KIL327667 JYP327665:JYP327667 JOT327665:JOT327667 JEX327665:JEX327667 IVB327665:IVB327667 ILF327665:ILF327667 IBJ327665:IBJ327667 HRN327665:HRN327667 HHR327665:HHR327667 GXV327665:GXV327667 GNZ327665:GNZ327667 GED327665:GED327667 FUH327665:FUH327667 FKL327665:FKL327667 FAP327665:FAP327667 EQT327665:EQT327667 EGX327665:EGX327667 DXB327665:DXB327667 DNF327665:DNF327667 DDJ327665:DDJ327667 CTN327665:CTN327667 CJR327665:CJR327667 BZV327665:BZV327667 BPZ327665:BPZ327667 BGD327665:BGD327667 AWH327665:AWH327667 AML327665:AML327667 ACP327665:ACP327667 ST327665:ST327667 IX327665:IX327667 WVJ262129:WVJ262131 WLN262129:WLN262131 WBR262129:WBR262131 VRV262129:VRV262131 VHZ262129:VHZ262131 UYD262129:UYD262131 UOH262129:UOH262131 UEL262129:UEL262131 TUP262129:TUP262131 TKT262129:TKT262131 TAX262129:TAX262131 SRB262129:SRB262131 SHF262129:SHF262131 RXJ262129:RXJ262131 RNN262129:RNN262131 RDR262129:RDR262131 QTV262129:QTV262131 QJZ262129:QJZ262131 QAD262129:QAD262131 PQH262129:PQH262131 PGL262129:PGL262131 OWP262129:OWP262131 OMT262129:OMT262131 OCX262129:OCX262131 NTB262129:NTB262131 NJF262129:NJF262131 MZJ262129:MZJ262131 MPN262129:MPN262131 MFR262129:MFR262131 LVV262129:LVV262131 LLZ262129:LLZ262131 LCD262129:LCD262131 KSH262129:KSH262131 KIL262129:KIL262131 JYP262129:JYP262131 JOT262129:JOT262131 JEX262129:JEX262131 IVB262129:IVB262131 ILF262129:ILF262131 IBJ262129:IBJ262131 HRN262129:HRN262131 HHR262129:HHR262131 GXV262129:GXV262131 GNZ262129:GNZ262131 GED262129:GED262131 FUH262129:FUH262131 FKL262129:FKL262131 FAP262129:FAP262131 EQT262129:EQT262131 EGX262129:EGX262131 DXB262129:DXB262131 DNF262129:DNF262131 DDJ262129:DDJ262131 CTN262129:CTN262131 CJR262129:CJR262131 BZV262129:BZV262131 BPZ262129:BPZ262131 BGD262129:BGD262131 AWH262129:AWH262131 AML262129:AML262131 ACP262129:ACP262131 ST262129:ST262131 IX262129:IX262131 WVJ196593:WVJ196595 WLN196593:WLN196595 WBR196593:WBR196595 VRV196593:VRV196595 VHZ196593:VHZ196595 UYD196593:UYD196595 UOH196593:UOH196595 UEL196593:UEL196595 TUP196593:TUP196595 TKT196593:TKT196595 TAX196593:TAX196595 SRB196593:SRB196595 SHF196593:SHF196595 RXJ196593:RXJ196595 RNN196593:RNN196595 RDR196593:RDR196595 QTV196593:QTV196595 QJZ196593:QJZ196595 QAD196593:QAD196595 PQH196593:PQH196595 PGL196593:PGL196595 OWP196593:OWP196595 OMT196593:OMT196595 OCX196593:OCX196595 NTB196593:NTB196595 NJF196593:NJF196595 MZJ196593:MZJ196595 MPN196593:MPN196595 MFR196593:MFR196595 LVV196593:LVV196595 LLZ196593:LLZ196595 LCD196593:LCD196595 KSH196593:KSH196595 KIL196593:KIL196595 JYP196593:JYP196595 JOT196593:JOT196595 JEX196593:JEX196595 IVB196593:IVB196595 ILF196593:ILF196595 IBJ196593:IBJ196595 HRN196593:HRN196595 HHR196593:HHR196595 GXV196593:GXV196595 GNZ196593:GNZ196595 GED196593:GED196595 FUH196593:FUH196595 FKL196593:FKL196595 FAP196593:FAP196595 EQT196593:EQT196595 EGX196593:EGX196595 DXB196593:DXB196595 DNF196593:DNF196595 DDJ196593:DDJ196595 CTN196593:CTN196595 CJR196593:CJR196595 BZV196593:BZV196595 BPZ196593:BPZ196595 BGD196593:BGD196595 AWH196593:AWH196595 AML196593:AML196595 ACP196593:ACP196595 ST196593:ST196595 IX196593:IX196595 WVJ131057:WVJ131059 WLN131057:WLN131059 WBR131057:WBR131059 VRV131057:VRV131059 VHZ131057:VHZ131059 UYD131057:UYD131059 UOH131057:UOH131059 UEL131057:UEL131059 TUP131057:TUP131059 TKT131057:TKT131059 TAX131057:TAX131059 SRB131057:SRB131059 SHF131057:SHF131059 RXJ131057:RXJ131059 RNN131057:RNN131059 RDR131057:RDR131059 QTV131057:QTV131059 QJZ131057:QJZ131059 QAD131057:QAD131059 PQH131057:PQH131059 PGL131057:PGL131059 OWP131057:OWP131059 OMT131057:OMT131059 OCX131057:OCX131059 NTB131057:NTB131059 NJF131057:NJF131059 MZJ131057:MZJ131059 MPN131057:MPN131059 MFR131057:MFR131059 LVV131057:LVV131059 LLZ131057:LLZ131059 LCD131057:LCD131059 KSH131057:KSH131059 KIL131057:KIL131059 JYP131057:JYP131059 JOT131057:JOT131059 JEX131057:JEX131059 IVB131057:IVB131059 ILF131057:ILF131059 IBJ131057:IBJ131059 HRN131057:HRN131059 HHR131057:HHR131059 GXV131057:GXV131059 GNZ131057:GNZ131059 GED131057:GED131059 FUH131057:FUH131059 FKL131057:FKL131059 FAP131057:FAP131059 EQT131057:EQT131059 EGX131057:EGX131059 DXB131057:DXB131059 DNF131057:DNF131059 DDJ131057:DDJ131059 CTN131057:CTN131059 CJR131057:CJR131059 BZV131057:BZV131059 BPZ131057:BPZ131059 BGD131057:BGD131059 AWH131057:AWH131059 AML131057:AML131059 ACP131057:ACP131059 ST131057:ST131059 IX131057:IX131059 WVJ65521:WVJ65523 WLN65521:WLN65523 WBR65521:WBR65523 VRV65521:VRV65523 VHZ65521:VHZ65523 UYD65521:UYD65523 UOH65521:UOH65523 UEL65521:UEL65523 TUP65521:TUP65523 TKT65521:TKT65523 TAX65521:TAX65523 SRB65521:SRB65523 SHF65521:SHF65523 RXJ65521:RXJ65523 RNN65521:RNN65523 RDR65521:RDR65523 QTV65521:QTV65523 QJZ65521:QJZ65523 QAD65521:QAD65523 PQH65521:PQH65523 PGL65521:PGL65523 OWP65521:OWP65523 OMT65521:OMT65523 OCX65521:OCX65523 NTB65521:NTB65523 NJF65521:NJF65523 MZJ65521:MZJ65523 MPN65521:MPN65523 MFR65521:MFR65523 LVV65521:LVV65523 LLZ65521:LLZ65523 LCD65521:LCD65523 KSH65521:KSH65523 KIL65521:KIL65523 JYP65521:JYP65523 JOT65521:JOT65523 JEX65521:JEX65523 IVB65521:IVB65523 ILF65521:ILF65523 IBJ65521:IBJ65523 HRN65521:HRN65523 HHR65521:HHR65523 GXV65521:GXV65523 GNZ65521:GNZ65523 GED65521:GED65523 FUH65521:FUH65523 FKL65521:FKL65523 FAP65521:FAP65523 EQT65521:EQT65523 EGX65521:EGX65523 DXB65521:DXB65523 DNF65521:DNF65523 DDJ65521:DDJ65523 CTN65521:CTN65523 CJR65521:CJR65523 BZV65521:BZV65523 BPZ65521:BPZ65523 BGD65521:BGD65523 AWH65521:AWH65523 AML65521:AML65523 ACP65521:ACP65523 ST65521:ST65523 IX65521:IX65523 WVJ983029:WVJ983030 WLN983029:WLN983030 WBR983029:WBR983030 VRV983029:VRV983030 VHZ983029:VHZ983030 UYD983029:UYD983030 UOH983029:UOH983030 UEL983029:UEL983030 TUP983029:TUP983030 TKT983029:TKT983030 TAX983029:TAX983030 SRB983029:SRB983030 SHF983029:SHF983030 RXJ983029:RXJ983030 RNN983029:RNN983030 RDR983029:RDR983030 QTV983029:QTV983030 QJZ983029:QJZ983030 QAD983029:QAD983030 PQH983029:PQH983030 PGL983029:PGL983030 OWP983029:OWP983030 OMT983029:OMT983030 OCX983029:OCX983030 NTB983029:NTB983030 NJF983029:NJF983030 MZJ983029:MZJ983030 MPN983029:MPN983030 MFR983029:MFR983030 LVV983029:LVV983030 LLZ983029:LLZ983030 LCD983029:LCD983030 KSH983029:KSH983030 KIL983029:KIL983030 JYP983029:JYP983030 JOT983029:JOT983030 JEX983029:JEX983030 IVB983029:IVB983030 ILF983029:ILF983030 IBJ983029:IBJ983030 HRN983029:HRN983030 HHR983029:HHR983030 GXV983029:GXV983030 GNZ983029:GNZ983030 GED983029:GED983030 FUH983029:FUH983030 FKL983029:FKL983030 FAP983029:FAP983030 EQT983029:EQT983030 EGX983029:EGX983030 DXB983029:DXB983030 DNF983029:DNF983030 DDJ983029:DDJ983030 CTN983029:CTN983030 CJR983029:CJR983030 BZV983029:BZV983030 BPZ983029:BPZ983030 BGD983029:BGD983030 AWH983029:AWH983030 AML983029:AML983030 ACP983029:ACP983030 ST983029:ST983030 IX983029:IX983030 WVJ917493:WVJ917494 WLN917493:WLN917494 WBR917493:WBR917494 VRV917493:VRV917494 VHZ917493:VHZ917494 UYD917493:UYD917494 UOH917493:UOH917494 UEL917493:UEL917494 TUP917493:TUP917494 TKT917493:TKT917494 TAX917493:TAX917494 SRB917493:SRB917494 SHF917493:SHF917494 RXJ917493:RXJ917494 RNN917493:RNN917494 RDR917493:RDR917494 QTV917493:QTV917494 QJZ917493:QJZ917494 QAD917493:QAD917494 PQH917493:PQH917494 PGL917493:PGL917494 OWP917493:OWP917494 OMT917493:OMT917494 OCX917493:OCX917494 NTB917493:NTB917494 NJF917493:NJF917494 MZJ917493:MZJ917494 MPN917493:MPN917494 MFR917493:MFR917494 LVV917493:LVV917494 LLZ917493:LLZ917494 LCD917493:LCD917494 KSH917493:KSH917494 KIL917493:KIL917494 JYP917493:JYP917494 JOT917493:JOT917494 JEX917493:JEX917494 IVB917493:IVB917494 ILF917493:ILF917494 IBJ917493:IBJ917494 HRN917493:HRN917494 HHR917493:HHR917494 GXV917493:GXV917494 GNZ917493:GNZ917494 GED917493:GED917494 FUH917493:FUH917494 FKL917493:FKL917494 FAP917493:FAP917494 EQT917493:EQT917494 EGX917493:EGX917494 DXB917493:DXB917494 DNF917493:DNF917494 DDJ917493:DDJ917494 CTN917493:CTN917494 CJR917493:CJR917494 BZV917493:BZV917494 BPZ917493:BPZ917494 BGD917493:BGD917494 AWH917493:AWH917494 AML917493:AML917494 ACP917493:ACP917494 ST917493:ST917494 IX917493:IX917494 WVJ851957:WVJ851958 WLN851957:WLN851958 WBR851957:WBR851958 VRV851957:VRV851958 VHZ851957:VHZ851958 UYD851957:UYD851958 UOH851957:UOH851958 UEL851957:UEL851958 TUP851957:TUP851958 TKT851957:TKT851958 TAX851957:TAX851958 SRB851957:SRB851958 SHF851957:SHF851958 RXJ851957:RXJ851958 RNN851957:RNN851958 RDR851957:RDR851958 QTV851957:QTV851958 QJZ851957:QJZ851958 QAD851957:QAD851958 PQH851957:PQH851958 PGL851957:PGL851958 OWP851957:OWP851958 OMT851957:OMT851958 OCX851957:OCX851958 NTB851957:NTB851958 NJF851957:NJF851958 MZJ851957:MZJ851958 MPN851957:MPN851958 MFR851957:MFR851958 LVV851957:LVV851958 LLZ851957:LLZ851958 LCD851957:LCD851958 KSH851957:KSH851958 KIL851957:KIL851958 JYP851957:JYP851958 JOT851957:JOT851958 JEX851957:JEX851958 IVB851957:IVB851958 ILF851957:ILF851958 IBJ851957:IBJ851958 HRN851957:HRN851958 HHR851957:HHR851958 GXV851957:GXV851958 GNZ851957:GNZ851958 GED851957:GED851958 FUH851957:FUH851958 FKL851957:FKL851958 FAP851957:FAP851958 EQT851957:EQT851958 EGX851957:EGX851958 DXB851957:DXB851958 DNF851957:DNF851958 DDJ851957:DDJ851958 CTN851957:CTN851958 CJR851957:CJR851958 BZV851957:BZV851958 BPZ851957:BPZ851958 BGD851957:BGD851958 AWH851957:AWH851958 AML851957:AML851958 ACP851957:ACP851958 ST851957:ST851958 IX851957:IX851958 WVJ786421:WVJ786422 WLN786421:WLN786422 WBR786421:WBR786422 VRV786421:VRV786422 VHZ786421:VHZ786422 UYD786421:UYD786422 UOH786421:UOH786422 UEL786421:UEL786422 TUP786421:TUP786422 TKT786421:TKT786422 TAX786421:TAX786422 SRB786421:SRB786422 SHF786421:SHF786422 RXJ786421:RXJ786422 RNN786421:RNN786422 RDR786421:RDR786422 QTV786421:QTV786422 QJZ786421:QJZ786422 QAD786421:QAD786422 PQH786421:PQH786422 PGL786421:PGL786422 OWP786421:OWP786422 OMT786421:OMT786422 OCX786421:OCX786422 NTB786421:NTB786422 NJF786421:NJF786422 MZJ786421:MZJ786422 MPN786421:MPN786422 MFR786421:MFR786422 LVV786421:LVV786422 LLZ786421:LLZ786422 LCD786421:LCD786422 KSH786421:KSH786422 KIL786421:KIL786422 JYP786421:JYP786422 JOT786421:JOT786422 JEX786421:JEX786422 IVB786421:IVB786422 ILF786421:ILF786422 IBJ786421:IBJ786422 HRN786421:HRN786422 HHR786421:HHR786422 GXV786421:GXV786422 GNZ786421:GNZ786422 GED786421:GED786422 FUH786421:FUH786422 FKL786421:FKL786422 FAP786421:FAP786422 EQT786421:EQT786422 EGX786421:EGX786422 DXB786421:DXB786422 DNF786421:DNF786422 DDJ786421:DDJ786422 CTN786421:CTN786422 CJR786421:CJR786422 BZV786421:BZV786422 BPZ786421:BPZ786422 BGD786421:BGD786422 AWH786421:AWH786422 AML786421:AML786422 ACP786421:ACP786422 ST786421:ST786422 IX786421:IX786422 WVJ720885:WVJ720886 WLN720885:WLN720886 WBR720885:WBR720886 VRV720885:VRV720886 VHZ720885:VHZ720886 UYD720885:UYD720886 UOH720885:UOH720886 UEL720885:UEL720886 TUP720885:TUP720886 TKT720885:TKT720886 TAX720885:TAX720886 SRB720885:SRB720886 SHF720885:SHF720886 RXJ720885:RXJ720886 RNN720885:RNN720886 RDR720885:RDR720886 QTV720885:QTV720886 QJZ720885:QJZ720886 QAD720885:QAD720886 PQH720885:PQH720886 PGL720885:PGL720886 OWP720885:OWP720886 OMT720885:OMT720886 OCX720885:OCX720886 NTB720885:NTB720886 NJF720885:NJF720886 MZJ720885:MZJ720886 MPN720885:MPN720886 MFR720885:MFR720886 LVV720885:LVV720886 LLZ720885:LLZ720886 LCD720885:LCD720886 KSH720885:KSH720886 KIL720885:KIL720886 JYP720885:JYP720886 JOT720885:JOT720886 JEX720885:JEX720886 IVB720885:IVB720886 ILF720885:ILF720886 IBJ720885:IBJ720886 HRN720885:HRN720886 HHR720885:HHR720886 GXV720885:GXV720886 GNZ720885:GNZ720886 GED720885:GED720886 FUH720885:FUH720886 FKL720885:FKL720886 FAP720885:FAP720886 EQT720885:EQT720886 EGX720885:EGX720886 DXB720885:DXB720886 DNF720885:DNF720886 DDJ720885:DDJ720886 CTN720885:CTN720886 CJR720885:CJR720886 BZV720885:BZV720886 BPZ720885:BPZ720886 BGD720885:BGD720886 AWH720885:AWH720886 AML720885:AML720886 ACP720885:ACP720886 ST720885:ST720886 IX720885:IX720886 WVJ655349:WVJ655350 WLN655349:WLN655350 WBR655349:WBR655350 VRV655349:VRV655350 VHZ655349:VHZ655350 UYD655349:UYD655350 UOH655349:UOH655350 UEL655349:UEL655350 TUP655349:TUP655350 TKT655349:TKT655350 TAX655349:TAX655350 SRB655349:SRB655350 SHF655349:SHF655350 RXJ655349:RXJ655350 RNN655349:RNN655350 RDR655349:RDR655350 QTV655349:QTV655350 QJZ655349:QJZ655350 QAD655349:QAD655350 PQH655349:PQH655350 PGL655349:PGL655350 OWP655349:OWP655350 OMT655349:OMT655350 OCX655349:OCX655350 NTB655349:NTB655350 NJF655349:NJF655350 MZJ655349:MZJ655350 MPN655349:MPN655350 MFR655349:MFR655350 LVV655349:LVV655350 LLZ655349:LLZ655350 LCD655349:LCD655350 KSH655349:KSH655350 KIL655349:KIL655350 JYP655349:JYP655350 JOT655349:JOT655350 JEX655349:JEX655350 IVB655349:IVB655350 ILF655349:ILF655350 IBJ655349:IBJ655350 HRN655349:HRN655350 HHR655349:HHR655350 GXV655349:GXV655350 GNZ655349:GNZ655350 GED655349:GED655350 FUH655349:FUH655350 FKL655349:FKL655350 FAP655349:FAP655350 EQT655349:EQT655350 EGX655349:EGX655350 DXB655349:DXB655350 DNF655349:DNF655350 DDJ655349:DDJ655350 CTN655349:CTN655350 CJR655349:CJR655350 BZV655349:BZV655350 BPZ655349:BPZ655350 BGD655349:BGD655350 AWH655349:AWH655350 AML655349:AML655350 ACP655349:ACP655350 ST655349:ST655350 IX655349:IX655350 WVJ589813:WVJ589814 WLN589813:WLN589814 WBR589813:WBR589814 VRV589813:VRV589814 VHZ589813:VHZ589814 UYD589813:UYD589814 UOH589813:UOH589814 UEL589813:UEL589814 TUP589813:TUP589814 TKT589813:TKT589814 TAX589813:TAX589814 SRB589813:SRB589814 SHF589813:SHF589814 RXJ589813:RXJ589814 RNN589813:RNN589814 RDR589813:RDR589814 QTV589813:QTV589814 QJZ589813:QJZ589814 QAD589813:QAD589814 PQH589813:PQH589814 PGL589813:PGL589814 OWP589813:OWP589814 OMT589813:OMT589814 OCX589813:OCX589814 NTB589813:NTB589814 NJF589813:NJF589814 MZJ589813:MZJ589814 MPN589813:MPN589814 MFR589813:MFR589814 LVV589813:LVV589814 LLZ589813:LLZ589814 LCD589813:LCD589814 KSH589813:KSH589814 KIL589813:KIL589814 JYP589813:JYP589814 JOT589813:JOT589814 JEX589813:JEX589814 IVB589813:IVB589814 ILF589813:ILF589814 IBJ589813:IBJ589814 HRN589813:HRN589814 HHR589813:HHR589814 GXV589813:GXV589814 GNZ589813:GNZ589814 GED589813:GED589814 FUH589813:FUH589814 FKL589813:FKL589814 FAP589813:FAP589814 EQT589813:EQT589814 EGX589813:EGX589814 DXB589813:DXB589814 DNF589813:DNF589814 DDJ589813:DDJ589814 CTN589813:CTN589814 CJR589813:CJR589814 BZV589813:BZV589814 BPZ589813:BPZ589814 BGD589813:BGD589814 AWH589813:AWH589814 AML589813:AML589814 ACP589813:ACP589814 ST589813:ST589814 IX589813:IX589814 WVJ524277:WVJ524278 WLN524277:WLN524278 WBR524277:WBR524278 VRV524277:VRV524278 VHZ524277:VHZ524278 UYD524277:UYD524278 UOH524277:UOH524278 UEL524277:UEL524278 TUP524277:TUP524278 TKT524277:TKT524278 TAX524277:TAX524278 SRB524277:SRB524278 SHF524277:SHF524278 RXJ524277:RXJ524278 RNN524277:RNN524278 RDR524277:RDR524278 QTV524277:QTV524278 QJZ524277:QJZ524278 QAD524277:QAD524278 PQH524277:PQH524278 PGL524277:PGL524278 OWP524277:OWP524278 OMT524277:OMT524278 OCX524277:OCX524278 NTB524277:NTB524278 NJF524277:NJF524278 MZJ524277:MZJ524278 MPN524277:MPN524278 MFR524277:MFR524278 LVV524277:LVV524278 LLZ524277:LLZ524278 LCD524277:LCD524278 KSH524277:KSH524278 KIL524277:KIL524278 JYP524277:JYP524278 JOT524277:JOT524278 JEX524277:JEX524278 IVB524277:IVB524278 ILF524277:ILF524278 IBJ524277:IBJ524278 HRN524277:HRN524278 HHR524277:HHR524278 GXV524277:GXV524278 GNZ524277:GNZ524278 GED524277:GED524278 FUH524277:FUH524278 FKL524277:FKL524278 FAP524277:FAP524278 EQT524277:EQT524278 EGX524277:EGX524278 DXB524277:DXB524278 DNF524277:DNF524278 DDJ524277:DDJ524278 CTN524277:CTN524278 CJR524277:CJR524278 BZV524277:BZV524278 BPZ524277:BPZ524278 BGD524277:BGD524278 AWH524277:AWH524278 AML524277:AML524278 ACP524277:ACP524278 ST524277:ST524278 IX524277:IX524278 WVJ458741:WVJ458742 WLN458741:WLN458742 WBR458741:WBR458742 VRV458741:VRV458742 VHZ458741:VHZ458742 UYD458741:UYD458742 UOH458741:UOH458742 UEL458741:UEL458742 TUP458741:TUP458742 TKT458741:TKT458742 TAX458741:TAX458742 SRB458741:SRB458742 SHF458741:SHF458742 RXJ458741:RXJ458742 RNN458741:RNN458742 RDR458741:RDR458742 QTV458741:QTV458742 QJZ458741:QJZ458742 QAD458741:QAD458742 PQH458741:PQH458742 PGL458741:PGL458742 OWP458741:OWP458742 OMT458741:OMT458742 OCX458741:OCX458742 NTB458741:NTB458742 NJF458741:NJF458742 MZJ458741:MZJ458742 MPN458741:MPN458742 MFR458741:MFR458742 LVV458741:LVV458742 LLZ458741:LLZ458742 LCD458741:LCD458742 KSH458741:KSH458742 KIL458741:KIL458742 JYP458741:JYP458742 JOT458741:JOT458742 JEX458741:JEX458742 IVB458741:IVB458742 ILF458741:ILF458742 IBJ458741:IBJ458742 HRN458741:HRN458742 HHR458741:HHR458742 GXV458741:GXV458742 GNZ458741:GNZ458742 GED458741:GED458742 FUH458741:FUH458742 FKL458741:FKL458742 FAP458741:FAP458742 EQT458741:EQT458742 EGX458741:EGX458742 DXB458741:DXB458742 DNF458741:DNF458742 DDJ458741:DDJ458742 CTN458741:CTN458742 CJR458741:CJR458742 BZV458741:BZV458742 BPZ458741:BPZ458742 BGD458741:BGD458742 AWH458741:AWH458742 AML458741:AML458742 ACP458741:ACP458742 ST458741:ST458742 IX458741:IX458742 WVJ393205:WVJ393206 WLN393205:WLN393206 WBR393205:WBR393206 VRV393205:VRV393206 VHZ393205:VHZ393206 UYD393205:UYD393206 UOH393205:UOH393206 UEL393205:UEL393206 TUP393205:TUP393206 TKT393205:TKT393206 TAX393205:TAX393206 SRB393205:SRB393206 SHF393205:SHF393206 RXJ393205:RXJ393206 RNN393205:RNN393206 RDR393205:RDR393206 QTV393205:QTV393206 QJZ393205:QJZ393206 QAD393205:QAD393206 PQH393205:PQH393206 PGL393205:PGL393206 OWP393205:OWP393206 OMT393205:OMT393206 OCX393205:OCX393206 NTB393205:NTB393206 NJF393205:NJF393206 MZJ393205:MZJ393206 MPN393205:MPN393206 MFR393205:MFR393206 LVV393205:LVV393206 LLZ393205:LLZ393206 LCD393205:LCD393206 KSH393205:KSH393206 KIL393205:KIL393206 JYP393205:JYP393206 JOT393205:JOT393206 JEX393205:JEX393206 IVB393205:IVB393206 ILF393205:ILF393206 IBJ393205:IBJ393206 HRN393205:HRN393206 HHR393205:HHR393206 GXV393205:GXV393206 GNZ393205:GNZ393206 GED393205:GED393206 FUH393205:FUH393206 FKL393205:FKL393206 FAP393205:FAP393206 EQT393205:EQT393206 EGX393205:EGX393206 DXB393205:DXB393206 DNF393205:DNF393206 DDJ393205:DDJ393206 CTN393205:CTN393206 CJR393205:CJR393206 BZV393205:BZV393206 BPZ393205:BPZ393206 BGD393205:BGD393206 AWH393205:AWH393206 AML393205:AML393206 ACP393205:ACP393206 ST393205:ST393206 IX393205:IX393206 WVJ327669:WVJ327670 WLN327669:WLN327670 WBR327669:WBR327670 VRV327669:VRV327670 VHZ327669:VHZ327670 UYD327669:UYD327670 UOH327669:UOH327670 UEL327669:UEL327670 TUP327669:TUP327670 TKT327669:TKT327670 TAX327669:TAX327670 SRB327669:SRB327670 SHF327669:SHF327670 RXJ327669:RXJ327670 RNN327669:RNN327670 RDR327669:RDR327670 QTV327669:QTV327670 QJZ327669:QJZ327670 QAD327669:QAD327670 PQH327669:PQH327670 PGL327669:PGL327670 OWP327669:OWP327670 OMT327669:OMT327670 OCX327669:OCX327670 NTB327669:NTB327670 NJF327669:NJF327670 MZJ327669:MZJ327670 MPN327669:MPN327670 MFR327669:MFR327670 LVV327669:LVV327670 LLZ327669:LLZ327670 LCD327669:LCD327670 KSH327669:KSH327670 KIL327669:KIL327670 JYP327669:JYP327670 JOT327669:JOT327670 JEX327669:JEX327670 IVB327669:IVB327670 ILF327669:ILF327670 IBJ327669:IBJ327670 HRN327669:HRN327670 HHR327669:HHR327670 GXV327669:GXV327670 GNZ327669:GNZ327670 GED327669:GED327670 FUH327669:FUH327670 FKL327669:FKL327670 FAP327669:FAP327670 EQT327669:EQT327670 EGX327669:EGX327670 DXB327669:DXB327670 DNF327669:DNF327670 DDJ327669:DDJ327670 CTN327669:CTN327670 CJR327669:CJR327670 BZV327669:BZV327670 BPZ327669:BPZ327670 BGD327669:BGD327670 AWH327669:AWH327670 AML327669:AML327670 ACP327669:ACP327670 ST327669:ST327670 IX327669:IX327670 WVJ262133:WVJ262134 WLN262133:WLN262134 WBR262133:WBR262134 VRV262133:VRV262134 VHZ262133:VHZ262134 UYD262133:UYD262134 UOH262133:UOH262134 UEL262133:UEL262134 TUP262133:TUP262134 TKT262133:TKT262134 TAX262133:TAX262134 SRB262133:SRB262134 SHF262133:SHF262134 RXJ262133:RXJ262134 RNN262133:RNN262134 RDR262133:RDR262134 QTV262133:QTV262134 QJZ262133:QJZ262134 QAD262133:QAD262134 PQH262133:PQH262134 PGL262133:PGL262134 OWP262133:OWP262134 OMT262133:OMT262134 OCX262133:OCX262134 NTB262133:NTB262134 NJF262133:NJF262134 MZJ262133:MZJ262134 MPN262133:MPN262134 MFR262133:MFR262134 LVV262133:LVV262134 LLZ262133:LLZ262134 LCD262133:LCD262134 KSH262133:KSH262134 KIL262133:KIL262134 JYP262133:JYP262134 JOT262133:JOT262134 JEX262133:JEX262134 IVB262133:IVB262134 ILF262133:ILF262134 IBJ262133:IBJ262134 HRN262133:HRN262134 HHR262133:HHR262134 GXV262133:GXV262134 GNZ262133:GNZ262134 GED262133:GED262134 FUH262133:FUH262134 FKL262133:FKL262134 FAP262133:FAP262134 EQT262133:EQT262134 EGX262133:EGX262134 DXB262133:DXB262134 DNF262133:DNF262134 DDJ262133:DDJ262134 CTN262133:CTN262134 CJR262133:CJR262134 BZV262133:BZV262134 BPZ262133:BPZ262134 BGD262133:BGD262134 AWH262133:AWH262134 AML262133:AML262134 ACP262133:ACP262134 ST262133:ST262134 IX262133:IX262134 WVJ196597:WVJ196598 WLN196597:WLN196598 WBR196597:WBR196598 VRV196597:VRV196598 VHZ196597:VHZ196598 UYD196597:UYD196598 UOH196597:UOH196598 UEL196597:UEL196598 TUP196597:TUP196598 TKT196597:TKT196598 TAX196597:TAX196598 SRB196597:SRB196598 SHF196597:SHF196598 RXJ196597:RXJ196598 RNN196597:RNN196598 RDR196597:RDR196598 QTV196597:QTV196598 QJZ196597:QJZ196598 QAD196597:QAD196598 PQH196597:PQH196598 PGL196597:PGL196598 OWP196597:OWP196598 OMT196597:OMT196598 OCX196597:OCX196598 NTB196597:NTB196598 NJF196597:NJF196598 MZJ196597:MZJ196598 MPN196597:MPN196598 MFR196597:MFR196598 LVV196597:LVV196598 LLZ196597:LLZ196598 LCD196597:LCD196598 KSH196597:KSH196598 KIL196597:KIL196598 JYP196597:JYP196598 JOT196597:JOT196598 JEX196597:JEX196598 IVB196597:IVB196598 ILF196597:ILF196598 IBJ196597:IBJ196598 HRN196597:HRN196598 HHR196597:HHR196598 GXV196597:GXV196598 GNZ196597:GNZ196598 GED196597:GED196598 FUH196597:FUH196598 FKL196597:FKL196598 FAP196597:FAP196598 EQT196597:EQT196598 EGX196597:EGX196598 DXB196597:DXB196598 DNF196597:DNF196598 DDJ196597:DDJ196598 CTN196597:CTN196598 CJR196597:CJR196598 BZV196597:BZV196598 BPZ196597:BPZ196598 BGD196597:BGD196598 AWH196597:AWH196598 AML196597:AML196598 ACP196597:ACP196598 ST196597:ST196598 IX196597:IX196598 WVJ131061:WVJ131062 WLN131061:WLN131062 WBR131061:WBR131062 VRV131061:VRV131062 VHZ131061:VHZ131062 UYD131061:UYD131062 UOH131061:UOH131062 UEL131061:UEL131062 TUP131061:TUP131062 TKT131061:TKT131062 TAX131061:TAX131062 SRB131061:SRB131062 SHF131061:SHF131062 RXJ131061:RXJ131062 RNN131061:RNN131062 RDR131061:RDR131062 QTV131061:QTV131062 QJZ131061:QJZ131062 QAD131061:QAD131062 PQH131061:PQH131062 PGL131061:PGL131062 OWP131061:OWP131062 OMT131061:OMT131062 OCX131061:OCX131062 NTB131061:NTB131062 NJF131061:NJF131062 MZJ131061:MZJ131062 MPN131061:MPN131062 MFR131061:MFR131062 LVV131061:LVV131062 LLZ131061:LLZ131062 LCD131061:LCD131062 KSH131061:KSH131062 KIL131061:KIL131062 JYP131061:JYP131062 JOT131061:JOT131062 JEX131061:JEX131062 IVB131061:IVB131062 ILF131061:ILF131062 IBJ131061:IBJ131062 HRN131061:HRN131062 HHR131061:HHR131062 GXV131061:GXV131062 GNZ131061:GNZ131062 GED131061:GED131062 FUH131061:FUH131062 FKL131061:FKL131062 FAP131061:FAP131062 EQT131061:EQT131062 EGX131061:EGX131062 DXB131061:DXB131062 DNF131061:DNF131062 DDJ131061:DDJ131062 CTN131061:CTN131062 CJR131061:CJR131062 BZV131061:BZV131062 BPZ131061:BPZ131062 BGD131061:BGD131062 AWH131061:AWH131062 AML131061:AML131062 ACP131061:ACP131062 ST131061:ST131062 IX131061:IX131062 WVJ65525:WVJ65526 WLN65525:WLN65526 WBR65525:WBR65526 VRV65525:VRV65526 VHZ65525:VHZ65526 UYD65525:UYD65526 UOH65525:UOH65526 UEL65525:UEL65526 TUP65525:TUP65526 TKT65525:TKT65526 TAX65525:TAX65526 SRB65525:SRB65526 SHF65525:SHF65526 RXJ65525:RXJ65526 RNN65525:RNN65526 RDR65525:RDR65526 QTV65525:QTV65526 QJZ65525:QJZ65526 QAD65525:QAD65526 PQH65525:PQH65526 PGL65525:PGL65526 OWP65525:OWP65526 OMT65525:OMT65526 OCX65525:OCX65526 NTB65525:NTB65526 NJF65525:NJF65526 MZJ65525:MZJ65526 MPN65525:MPN65526 MFR65525:MFR65526 LVV65525:LVV65526 LLZ65525:LLZ65526 LCD65525:LCD65526 KSH65525:KSH65526 KIL65525:KIL65526 JYP65525:JYP65526 JOT65525:JOT65526 JEX65525:JEX65526 IVB65525:IVB65526 ILF65525:ILF65526 IBJ65525:IBJ65526 HRN65525:HRN65526 HHR65525:HHR65526 GXV65525:GXV65526 GNZ65525:GNZ65526 GED65525:GED65526 FUH65525:FUH65526 FKL65525:FKL65526 FAP65525:FAP65526 EQT65525:EQT65526 EGX65525:EGX65526 DXB65525:DXB65526 DNF65525:DNF65526 DDJ65525:DDJ65526 CTN65525:CTN65526 CJR65525:CJR65526 BZV65525:BZV65526 BPZ65525:BPZ65526 BGD65525:BGD65526 AWH65525:AWH65526 AML65525:AML65526 ACP65525:ACP65526 ST65525:ST65526 IX65525:IX65526 WVJ983032:WVJ983045 WLN983032:WLN983045 WBR983032:WBR983045 VRV983032:VRV983045 VHZ983032:VHZ983045 UYD983032:UYD983045 UOH983032:UOH983045 UEL983032:UEL983045 TUP983032:TUP983045 TKT983032:TKT983045 TAX983032:TAX983045 SRB983032:SRB983045 SHF983032:SHF983045 RXJ983032:RXJ983045 RNN983032:RNN983045 RDR983032:RDR983045 QTV983032:QTV983045 QJZ983032:QJZ983045 QAD983032:QAD983045 PQH983032:PQH983045 PGL983032:PGL983045 OWP983032:OWP983045 OMT983032:OMT983045 OCX983032:OCX983045 NTB983032:NTB983045 NJF983032:NJF983045 MZJ983032:MZJ983045 MPN983032:MPN983045 MFR983032:MFR983045 LVV983032:LVV983045 LLZ983032:LLZ983045 LCD983032:LCD983045 KSH983032:KSH983045 KIL983032:KIL983045 JYP983032:JYP983045 JOT983032:JOT983045 JEX983032:JEX983045 IVB983032:IVB983045 ILF983032:ILF983045 IBJ983032:IBJ983045 HRN983032:HRN983045 HHR983032:HHR983045 GXV983032:GXV983045 GNZ983032:GNZ983045 GED983032:GED983045 FUH983032:FUH983045 FKL983032:FKL983045 FAP983032:FAP983045 EQT983032:EQT983045 EGX983032:EGX983045 DXB983032:DXB983045 DNF983032:DNF983045 DDJ983032:DDJ983045 CTN983032:CTN983045 CJR983032:CJR983045 BZV983032:BZV983045 BPZ983032:BPZ983045 BGD983032:BGD983045 AWH983032:AWH983045 AML983032:AML983045 ACP983032:ACP983045 ST983032:ST983045 IX983032:IX983045 WVJ917496:WVJ917509 WLN917496:WLN917509 WBR917496:WBR917509 VRV917496:VRV917509 VHZ917496:VHZ917509 UYD917496:UYD917509 UOH917496:UOH917509 UEL917496:UEL917509 TUP917496:TUP917509 TKT917496:TKT917509 TAX917496:TAX917509 SRB917496:SRB917509 SHF917496:SHF917509 RXJ917496:RXJ917509 RNN917496:RNN917509 RDR917496:RDR917509 QTV917496:QTV917509 QJZ917496:QJZ917509 QAD917496:QAD917509 PQH917496:PQH917509 PGL917496:PGL917509 OWP917496:OWP917509 OMT917496:OMT917509 OCX917496:OCX917509 NTB917496:NTB917509 NJF917496:NJF917509 MZJ917496:MZJ917509 MPN917496:MPN917509 MFR917496:MFR917509 LVV917496:LVV917509 LLZ917496:LLZ917509 LCD917496:LCD917509 KSH917496:KSH917509 KIL917496:KIL917509 JYP917496:JYP917509 JOT917496:JOT917509 JEX917496:JEX917509 IVB917496:IVB917509 ILF917496:ILF917509 IBJ917496:IBJ917509 HRN917496:HRN917509 HHR917496:HHR917509 GXV917496:GXV917509 GNZ917496:GNZ917509 GED917496:GED917509 FUH917496:FUH917509 FKL917496:FKL917509 FAP917496:FAP917509 EQT917496:EQT917509 EGX917496:EGX917509 DXB917496:DXB917509 DNF917496:DNF917509 DDJ917496:DDJ917509 CTN917496:CTN917509 CJR917496:CJR917509 BZV917496:BZV917509 BPZ917496:BPZ917509 BGD917496:BGD917509 AWH917496:AWH917509 AML917496:AML917509 ACP917496:ACP917509 ST917496:ST917509 IX917496:IX917509 WVJ851960:WVJ851973 WLN851960:WLN851973 WBR851960:WBR851973 VRV851960:VRV851973 VHZ851960:VHZ851973 UYD851960:UYD851973 UOH851960:UOH851973 UEL851960:UEL851973 TUP851960:TUP851973 TKT851960:TKT851973 TAX851960:TAX851973 SRB851960:SRB851973 SHF851960:SHF851973 RXJ851960:RXJ851973 RNN851960:RNN851973 RDR851960:RDR851973 QTV851960:QTV851973 QJZ851960:QJZ851973 QAD851960:QAD851973 PQH851960:PQH851973 PGL851960:PGL851973 OWP851960:OWP851973 OMT851960:OMT851973 OCX851960:OCX851973 NTB851960:NTB851973 NJF851960:NJF851973 MZJ851960:MZJ851973 MPN851960:MPN851973 MFR851960:MFR851973 LVV851960:LVV851973 LLZ851960:LLZ851973 LCD851960:LCD851973 KSH851960:KSH851973 KIL851960:KIL851973 JYP851960:JYP851973 JOT851960:JOT851973 JEX851960:JEX851973 IVB851960:IVB851973 ILF851960:ILF851973 IBJ851960:IBJ851973 HRN851960:HRN851973 HHR851960:HHR851973 GXV851960:GXV851973 GNZ851960:GNZ851973 GED851960:GED851973 FUH851960:FUH851973 FKL851960:FKL851973 FAP851960:FAP851973 EQT851960:EQT851973 EGX851960:EGX851973 DXB851960:DXB851973 DNF851960:DNF851973 DDJ851960:DDJ851973 CTN851960:CTN851973 CJR851960:CJR851973 BZV851960:BZV851973 BPZ851960:BPZ851973 BGD851960:BGD851973 AWH851960:AWH851973 AML851960:AML851973 ACP851960:ACP851973 ST851960:ST851973 IX851960:IX851973 WVJ786424:WVJ786437 WLN786424:WLN786437 WBR786424:WBR786437 VRV786424:VRV786437 VHZ786424:VHZ786437 UYD786424:UYD786437 UOH786424:UOH786437 UEL786424:UEL786437 TUP786424:TUP786437 TKT786424:TKT786437 TAX786424:TAX786437 SRB786424:SRB786437 SHF786424:SHF786437 RXJ786424:RXJ786437 RNN786424:RNN786437 RDR786424:RDR786437 QTV786424:QTV786437 QJZ786424:QJZ786437 QAD786424:QAD786437 PQH786424:PQH786437 PGL786424:PGL786437 OWP786424:OWP786437 OMT786424:OMT786437 OCX786424:OCX786437 NTB786424:NTB786437 NJF786424:NJF786437 MZJ786424:MZJ786437 MPN786424:MPN786437 MFR786424:MFR786437 LVV786424:LVV786437 LLZ786424:LLZ786437 LCD786424:LCD786437 KSH786424:KSH786437 KIL786424:KIL786437 JYP786424:JYP786437 JOT786424:JOT786437 JEX786424:JEX786437 IVB786424:IVB786437 ILF786424:ILF786437 IBJ786424:IBJ786437 HRN786424:HRN786437 HHR786424:HHR786437 GXV786424:GXV786437 GNZ786424:GNZ786437 GED786424:GED786437 FUH786424:FUH786437 FKL786424:FKL786437 FAP786424:FAP786437 EQT786424:EQT786437 EGX786424:EGX786437 DXB786424:DXB786437 DNF786424:DNF786437 DDJ786424:DDJ786437 CTN786424:CTN786437 CJR786424:CJR786437 BZV786424:BZV786437 BPZ786424:BPZ786437 BGD786424:BGD786437 AWH786424:AWH786437 AML786424:AML786437 ACP786424:ACP786437 ST786424:ST786437 IX786424:IX786437 WVJ720888:WVJ720901 WLN720888:WLN720901 WBR720888:WBR720901 VRV720888:VRV720901 VHZ720888:VHZ720901 UYD720888:UYD720901 UOH720888:UOH720901 UEL720888:UEL720901 TUP720888:TUP720901 TKT720888:TKT720901 TAX720888:TAX720901 SRB720888:SRB720901 SHF720888:SHF720901 RXJ720888:RXJ720901 RNN720888:RNN720901 RDR720888:RDR720901 QTV720888:QTV720901 QJZ720888:QJZ720901 QAD720888:QAD720901 PQH720888:PQH720901 PGL720888:PGL720901 OWP720888:OWP720901 OMT720888:OMT720901 OCX720888:OCX720901 NTB720888:NTB720901 NJF720888:NJF720901 MZJ720888:MZJ720901 MPN720888:MPN720901 MFR720888:MFR720901 LVV720888:LVV720901 LLZ720888:LLZ720901 LCD720888:LCD720901 KSH720888:KSH720901 KIL720888:KIL720901 JYP720888:JYP720901 JOT720888:JOT720901 JEX720888:JEX720901 IVB720888:IVB720901 ILF720888:ILF720901 IBJ720888:IBJ720901 HRN720888:HRN720901 HHR720888:HHR720901 GXV720888:GXV720901 GNZ720888:GNZ720901 GED720888:GED720901 FUH720888:FUH720901 FKL720888:FKL720901 FAP720888:FAP720901 EQT720888:EQT720901 EGX720888:EGX720901 DXB720888:DXB720901 DNF720888:DNF720901 DDJ720888:DDJ720901 CTN720888:CTN720901 CJR720888:CJR720901 BZV720888:BZV720901 BPZ720888:BPZ720901 BGD720888:BGD720901 AWH720888:AWH720901 AML720888:AML720901 ACP720888:ACP720901 ST720888:ST720901 IX720888:IX720901 WVJ655352:WVJ655365 WLN655352:WLN655365 WBR655352:WBR655365 VRV655352:VRV655365 VHZ655352:VHZ655365 UYD655352:UYD655365 UOH655352:UOH655365 UEL655352:UEL655365 TUP655352:TUP655365 TKT655352:TKT655365 TAX655352:TAX655365 SRB655352:SRB655365 SHF655352:SHF655365 RXJ655352:RXJ655365 RNN655352:RNN655365 RDR655352:RDR655365 QTV655352:QTV655365 QJZ655352:QJZ655365 QAD655352:QAD655365 PQH655352:PQH655365 PGL655352:PGL655365 OWP655352:OWP655365 OMT655352:OMT655365 OCX655352:OCX655365 NTB655352:NTB655365 NJF655352:NJF655365 MZJ655352:MZJ655365 MPN655352:MPN655365 MFR655352:MFR655365 LVV655352:LVV655365 LLZ655352:LLZ655365 LCD655352:LCD655365 KSH655352:KSH655365 KIL655352:KIL655365 JYP655352:JYP655365 JOT655352:JOT655365 JEX655352:JEX655365 IVB655352:IVB655365 ILF655352:ILF655365 IBJ655352:IBJ655365 HRN655352:HRN655365 HHR655352:HHR655365 GXV655352:GXV655365 GNZ655352:GNZ655365 GED655352:GED655365 FUH655352:FUH655365 FKL655352:FKL655365 FAP655352:FAP655365 EQT655352:EQT655365 EGX655352:EGX655365 DXB655352:DXB655365 DNF655352:DNF655365 DDJ655352:DDJ655365 CTN655352:CTN655365 CJR655352:CJR655365 BZV655352:BZV655365 BPZ655352:BPZ655365 BGD655352:BGD655365 AWH655352:AWH655365 AML655352:AML655365 ACP655352:ACP655365 ST655352:ST655365 IX655352:IX655365 WVJ589816:WVJ589829 WLN589816:WLN589829 WBR589816:WBR589829 VRV589816:VRV589829 VHZ589816:VHZ589829 UYD589816:UYD589829 UOH589816:UOH589829 UEL589816:UEL589829 TUP589816:TUP589829 TKT589816:TKT589829 TAX589816:TAX589829 SRB589816:SRB589829 SHF589816:SHF589829 RXJ589816:RXJ589829 RNN589816:RNN589829 RDR589816:RDR589829 QTV589816:QTV589829 QJZ589816:QJZ589829 QAD589816:QAD589829 PQH589816:PQH589829 PGL589816:PGL589829 OWP589816:OWP589829 OMT589816:OMT589829 OCX589816:OCX589829 NTB589816:NTB589829 NJF589816:NJF589829 MZJ589816:MZJ589829 MPN589816:MPN589829 MFR589816:MFR589829 LVV589816:LVV589829 LLZ589816:LLZ589829 LCD589816:LCD589829 KSH589816:KSH589829 KIL589816:KIL589829 JYP589816:JYP589829 JOT589816:JOT589829 JEX589816:JEX589829 IVB589816:IVB589829 ILF589816:ILF589829 IBJ589816:IBJ589829 HRN589816:HRN589829 HHR589816:HHR589829 GXV589816:GXV589829 GNZ589816:GNZ589829 GED589816:GED589829 FUH589816:FUH589829 FKL589816:FKL589829 FAP589816:FAP589829 EQT589816:EQT589829 EGX589816:EGX589829 DXB589816:DXB589829 DNF589816:DNF589829 DDJ589816:DDJ589829 CTN589816:CTN589829 CJR589816:CJR589829 BZV589816:BZV589829 BPZ589816:BPZ589829 BGD589816:BGD589829 AWH589816:AWH589829 AML589816:AML589829 ACP589816:ACP589829 ST589816:ST589829 IX589816:IX589829 WVJ524280:WVJ524293 WLN524280:WLN524293 WBR524280:WBR524293 VRV524280:VRV524293 VHZ524280:VHZ524293 UYD524280:UYD524293 UOH524280:UOH524293 UEL524280:UEL524293 TUP524280:TUP524293 TKT524280:TKT524293 TAX524280:TAX524293 SRB524280:SRB524293 SHF524280:SHF524293 RXJ524280:RXJ524293 RNN524280:RNN524293 RDR524280:RDR524293 QTV524280:QTV524293 QJZ524280:QJZ524293 QAD524280:QAD524293 PQH524280:PQH524293 PGL524280:PGL524293 OWP524280:OWP524293 OMT524280:OMT524293 OCX524280:OCX524293 NTB524280:NTB524293 NJF524280:NJF524293 MZJ524280:MZJ524293 MPN524280:MPN524293 MFR524280:MFR524293 LVV524280:LVV524293 LLZ524280:LLZ524293 LCD524280:LCD524293 KSH524280:KSH524293 KIL524280:KIL524293 JYP524280:JYP524293 JOT524280:JOT524293 JEX524280:JEX524293 IVB524280:IVB524293 ILF524280:ILF524293 IBJ524280:IBJ524293 HRN524280:HRN524293 HHR524280:HHR524293 GXV524280:GXV524293 GNZ524280:GNZ524293 GED524280:GED524293 FUH524280:FUH524293 FKL524280:FKL524293 FAP524280:FAP524293 EQT524280:EQT524293 EGX524280:EGX524293 DXB524280:DXB524293 DNF524280:DNF524293 DDJ524280:DDJ524293 CTN524280:CTN524293 CJR524280:CJR524293 BZV524280:BZV524293 BPZ524280:BPZ524293 BGD524280:BGD524293 AWH524280:AWH524293 AML524280:AML524293 ACP524280:ACP524293 ST524280:ST524293 IX524280:IX524293 WVJ458744:WVJ458757 WLN458744:WLN458757 WBR458744:WBR458757 VRV458744:VRV458757 VHZ458744:VHZ458757 UYD458744:UYD458757 UOH458744:UOH458757 UEL458744:UEL458757 TUP458744:TUP458757 TKT458744:TKT458757 TAX458744:TAX458757 SRB458744:SRB458757 SHF458744:SHF458757 RXJ458744:RXJ458757 RNN458744:RNN458757 RDR458744:RDR458757 QTV458744:QTV458757 QJZ458744:QJZ458757 QAD458744:QAD458757 PQH458744:PQH458757 PGL458744:PGL458757 OWP458744:OWP458757 OMT458744:OMT458757 OCX458744:OCX458757 NTB458744:NTB458757 NJF458744:NJF458757 MZJ458744:MZJ458757 MPN458744:MPN458757 MFR458744:MFR458757 LVV458744:LVV458757 LLZ458744:LLZ458757 LCD458744:LCD458757 KSH458744:KSH458757 KIL458744:KIL458757 JYP458744:JYP458757 JOT458744:JOT458757 JEX458744:JEX458757 IVB458744:IVB458757 ILF458744:ILF458757 IBJ458744:IBJ458757 HRN458744:HRN458757 HHR458744:HHR458757 GXV458744:GXV458757 GNZ458744:GNZ458757 GED458744:GED458757 FUH458744:FUH458757 FKL458744:FKL458757 FAP458744:FAP458757 EQT458744:EQT458757 EGX458744:EGX458757 DXB458744:DXB458757 DNF458744:DNF458757 DDJ458744:DDJ458757 CTN458744:CTN458757 CJR458744:CJR458757 BZV458744:BZV458757 BPZ458744:BPZ458757 BGD458744:BGD458757 AWH458744:AWH458757 AML458744:AML458757 ACP458744:ACP458757 ST458744:ST458757 IX458744:IX458757 WVJ393208:WVJ393221 WLN393208:WLN393221 WBR393208:WBR393221 VRV393208:VRV393221 VHZ393208:VHZ393221 UYD393208:UYD393221 UOH393208:UOH393221 UEL393208:UEL393221 TUP393208:TUP393221 TKT393208:TKT393221 TAX393208:TAX393221 SRB393208:SRB393221 SHF393208:SHF393221 RXJ393208:RXJ393221 RNN393208:RNN393221 RDR393208:RDR393221 QTV393208:QTV393221 QJZ393208:QJZ393221 QAD393208:QAD393221 PQH393208:PQH393221 PGL393208:PGL393221 OWP393208:OWP393221 OMT393208:OMT393221 OCX393208:OCX393221 NTB393208:NTB393221 NJF393208:NJF393221 MZJ393208:MZJ393221 MPN393208:MPN393221 MFR393208:MFR393221 LVV393208:LVV393221 LLZ393208:LLZ393221 LCD393208:LCD393221 KSH393208:KSH393221 KIL393208:KIL393221 JYP393208:JYP393221 JOT393208:JOT393221 JEX393208:JEX393221 IVB393208:IVB393221 ILF393208:ILF393221 IBJ393208:IBJ393221 HRN393208:HRN393221 HHR393208:HHR393221 GXV393208:GXV393221 GNZ393208:GNZ393221 GED393208:GED393221 FUH393208:FUH393221 FKL393208:FKL393221 FAP393208:FAP393221 EQT393208:EQT393221 EGX393208:EGX393221 DXB393208:DXB393221 DNF393208:DNF393221 DDJ393208:DDJ393221 CTN393208:CTN393221 CJR393208:CJR393221 BZV393208:BZV393221 BPZ393208:BPZ393221 BGD393208:BGD393221 AWH393208:AWH393221 AML393208:AML393221 ACP393208:ACP393221 ST393208:ST393221 IX393208:IX393221 WVJ327672:WVJ327685 WLN327672:WLN327685 WBR327672:WBR327685 VRV327672:VRV327685 VHZ327672:VHZ327685 UYD327672:UYD327685 UOH327672:UOH327685 UEL327672:UEL327685 TUP327672:TUP327685 TKT327672:TKT327685 TAX327672:TAX327685 SRB327672:SRB327685 SHF327672:SHF327685 RXJ327672:RXJ327685 RNN327672:RNN327685 RDR327672:RDR327685 QTV327672:QTV327685 QJZ327672:QJZ327685 QAD327672:QAD327685 PQH327672:PQH327685 PGL327672:PGL327685 OWP327672:OWP327685 OMT327672:OMT327685 OCX327672:OCX327685 NTB327672:NTB327685 NJF327672:NJF327685 MZJ327672:MZJ327685 MPN327672:MPN327685 MFR327672:MFR327685 LVV327672:LVV327685 LLZ327672:LLZ327685 LCD327672:LCD327685 KSH327672:KSH327685 KIL327672:KIL327685 JYP327672:JYP327685 JOT327672:JOT327685 JEX327672:JEX327685 IVB327672:IVB327685 ILF327672:ILF327685 IBJ327672:IBJ327685 HRN327672:HRN327685 HHR327672:HHR327685 GXV327672:GXV327685 GNZ327672:GNZ327685 GED327672:GED327685 FUH327672:FUH327685 FKL327672:FKL327685 FAP327672:FAP327685 EQT327672:EQT327685 EGX327672:EGX327685 DXB327672:DXB327685 DNF327672:DNF327685 DDJ327672:DDJ327685 CTN327672:CTN327685 CJR327672:CJR327685 BZV327672:BZV327685 BPZ327672:BPZ327685 BGD327672:BGD327685 AWH327672:AWH327685 AML327672:AML327685 ACP327672:ACP327685 ST327672:ST327685 IX327672:IX327685 WVJ262136:WVJ262149 WLN262136:WLN262149 WBR262136:WBR262149 VRV262136:VRV262149 VHZ262136:VHZ262149 UYD262136:UYD262149 UOH262136:UOH262149 UEL262136:UEL262149 TUP262136:TUP262149 TKT262136:TKT262149 TAX262136:TAX262149 SRB262136:SRB262149 SHF262136:SHF262149 RXJ262136:RXJ262149 RNN262136:RNN262149 RDR262136:RDR262149 QTV262136:QTV262149 QJZ262136:QJZ262149 QAD262136:QAD262149 PQH262136:PQH262149 PGL262136:PGL262149 OWP262136:OWP262149 OMT262136:OMT262149 OCX262136:OCX262149 NTB262136:NTB262149 NJF262136:NJF262149 MZJ262136:MZJ262149 MPN262136:MPN262149 MFR262136:MFR262149 LVV262136:LVV262149 LLZ262136:LLZ262149 LCD262136:LCD262149 KSH262136:KSH262149 KIL262136:KIL262149 JYP262136:JYP262149 JOT262136:JOT262149 JEX262136:JEX262149 IVB262136:IVB262149 ILF262136:ILF262149 IBJ262136:IBJ262149 HRN262136:HRN262149 HHR262136:HHR262149 GXV262136:GXV262149 GNZ262136:GNZ262149 GED262136:GED262149 FUH262136:FUH262149 FKL262136:FKL262149 FAP262136:FAP262149 EQT262136:EQT262149 EGX262136:EGX262149 DXB262136:DXB262149 DNF262136:DNF262149 DDJ262136:DDJ262149 CTN262136:CTN262149 CJR262136:CJR262149 BZV262136:BZV262149 BPZ262136:BPZ262149 BGD262136:BGD262149 AWH262136:AWH262149 AML262136:AML262149 ACP262136:ACP262149 ST262136:ST262149 IX262136:IX262149 WVJ196600:WVJ196613 WLN196600:WLN196613 WBR196600:WBR196613 VRV196600:VRV196613 VHZ196600:VHZ196613 UYD196600:UYD196613 UOH196600:UOH196613 UEL196600:UEL196613 TUP196600:TUP196613 TKT196600:TKT196613 TAX196600:TAX196613 SRB196600:SRB196613 SHF196600:SHF196613 RXJ196600:RXJ196613 RNN196600:RNN196613 RDR196600:RDR196613 QTV196600:QTV196613 QJZ196600:QJZ196613 QAD196600:QAD196613 PQH196600:PQH196613 PGL196600:PGL196613 OWP196600:OWP196613 OMT196600:OMT196613 OCX196600:OCX196613 NTB196600:NTB196613 NJF196600:NJF196613 MZJ196600:MZJ196613 MPN196600:MPN196613 MFR196600:MFR196613 LVV196600:LVV196613 LLZ196600:LLZ196613 LCD196600:LCD196613 KSH196600:KSH196613 KIL196600:KIL196613 JYP196600:JYP196613 JOT196600:JOT196613 JEX196600:JEX196613 IVB196600:IVB196613 ILF196600:ILF196613 IBJ196600:IBJ196613 HRN196600:HRN196613 HHR196600:HHR196613 GXV196600:GXV196613 GNZ196600:GNZ196613 GED196600:GED196613 FUH196600:FUH196613 FKL196600:FKL196613 FAP196600:FAP196613 EQT196600:EQT196613 EGX196600:EGX196613 DXB196600:DXB196613 DNF196600:DNF196613 DDJ196600:DDJ196613 CTN196600:CTN196613 CJR196600:CJR196613 BZV196600:BZV196613 BPZ196600:BPZ196613 BGD196600:BGD196613 AWH196600:AWH196613 AML196600:AML196613 ACP196600:ACP196613 ST196600:ST196613 IX196600:IX196613 WVJ131064:WVJ131077 WLN131064:WLN131077 WBR131064:WBR131077 VRV131064:VRV131077 VHZ131064:VHZ131077 UYD131064:UYD131077 UOH131064:UOH131077 UEL131064:UEL131077 TUP131064:TUP131077 TKT131064:TKT131077 TAX131064:TAX131077 SRB131064:SRB131077 SHF131064:SHF131077 RXJ131064:RXJ131077 RNN131064:RNN131077 RDR131064:RDR131077 QTV131064:QTV131077 QJZ131064:QJZ131077 QAD131064:QAD131077 PQH131064:PQH131077 PGL131064:PGL131077 OWP131064:OWP131077 OMT131064:OMT131077 OCX131064:OCX131077 NTB131064:NTB131077 NJF131064:NJF131077 MZJ131064:MZJ131077 MPN131064:MPN131077 MFR131064:MFR131077 LVV131064:LVV131077 LLZ131064:LLZ131077 LCD131064:LCD131077 KSH131064:KSH131077 KIL131064:KIL131077 JYP131064:JYP131077 JOT131064:JOT131077 JEX131064:JEX131077 IVB131064:IVB131077 ILF131064:ILF131077 IBJ131064:IBJ131077 HRN131064:HRN131077 HHR131064:HHR131077 GXV131064:GXV131077 GNZ131064:GNZ131077 GED131064:GED131077 FUH131064:FUH131077 FKL131064:FKL131077 FAP131064:FAP131077 EQT131064:EQT131077 EGX131064:EGX131077 DXB131064:DXB131077 DNF131064:DNF131077 DDJ131064:DDJ131077 CTN131064:CTN131077 CJR131064:CJR131077 BZV131064:BZV131077 BPZ131064:BPZ131077 BGD131064:BGD131077 AWH131064:AWH131077 AML131064:AML131077 ACP131064:ACP131077 ST131064:ST131077 IX131064:IX131077 WVJ65528:WVJ65541 WLN65528:WLN65541 WBR65528:WBR65541 VRV65528:VRV65541 VHZ65528:VHZ65541 UYD65528:UYD65541 UOH65528:UOH65541 UEL65528:UEL65541 TUP65528:TUP65541 TKT65528:TKT65541 TAX65528:TAX65541 SRB65528:SRB65541 SHF65528:SHF65541 RXJ65528:RXJ65541 RNN65528:RNN65541 RDR65528:RDR65541 QTV65528:QTV65541 QJZ65528:QJZ65541 QAD65528:QAD65541 PQH65528:PQH65541 PGL65528:PGL65541 OWP65528:OWP65541 OMT65528:OMT65541 OCX65528:OCX65541 NTB65528:NTB65541 NJF65528:NJF65541 MZJ65528:MZJ65541 MPN65528:MPN65541 MFR65528:MFR65541 LVV65528:LVV65541 LLZ65528:LLZ65541 LCD65528:LCD65541 KSH65528:KSH65541 KIL65528:KIL65541 JYP65528:JYP65541 JOT65528:JOT65541 JEX65528:JEX65541 IVB65528:IVB65541 ILF65528:ILF65541 IBJ65528:IBJ65541 HRN65528:HRN65541 HHR65528:HHR65541 GXV65528:GXV65541 GNZ65528:GNZ65541 GED65528:GED65541 FUH65528:FUH65541 FKL65528:FKL65541 FAP65528:FAP65541 EQT65528:EQT65541 EGX65528:EGX65541 DXB65528:DXB65541 DNF65528:DNF65541 DDJ65528:DDJ65541 CTN65528:CTN65541 CJR65528:CJR65541 BZV65528:BZV65541 BPZ65528:BPZ65541 BGD65528:BGD65541 AWH65528:AWH65541 AML65528:AML65541 ACP65528:ACP65541 ST65528:ST65541 IX65528:IX65541 WVJ983047:WVJ983050 WLN983047:WLN983050 WBR983047:WBR983050 VRV983047:VRV983050 VHZ983047:VHZ983050 UYD983047:UYD983050 UOH983047:UOH983050 UEL983047:UEL983050 TUP983047:TUP983050 TKT983047:TKT983050 TAX983047:TAX983050 SRB983047:SRB983050 SHF983047:SHF983050 RXJ983047:RXJ983050 RNN983047:RNN983050 RDR983047:RDR983050 QTV983047:QTV983050 QJZ983047:QJZ983050 QAD983047:QAD983050 PQH983047:PQH983050 PGL983047:PGL983050 OWP983047:OWP983050 OMT983047:OMT983050 OCX983047:OCX983050 NTB983047:NTB983050 NJF983047:NJF983050 MZJ983047:MZJ983050 MPN983047:MPN983050 MFR983047:MFR983050 LVV983047:LVV983050 LLZ983047:LLZ983050 LCD983047:LCD983050 KSH983047:KSH983050 KIL983047:KIL983050 JYP983047:JYP983050 JOT983047:JOT983050 JEX983047:JEX983050 IVB983047:IVB983050 ILF983047:ILF983050 IBJ983047:IBJ983050 HRN983047:HRN983050 HHR983047:HHR983050 GXV983047:GXV983050 GNZ983047:GNZ983050 GED983047:GED983050 FUH983047:FUH983050 FKL983047:FKL983050 FAP983047:FAP983050 EQT983047:EQT983050 EGX983047:EGX983050 DXB983047:DXB983050 DNF983047:DNF983050 DDJ983047:DDJ983050 CTN983047:CTN983050 CJR983047:CJR983050 BZV983047:BZV983050 BPZ983047:BPZ983050 BGD983047:BGD983050 AWH983047:AWH983050 AML983047:AML983050 ACP983047:ACP983050 ST983047:ST983050 IX983047:IX983050 WVJ917511:WVJ917514 WLN917511:WLN917514 WBR917511:WBR917514 VRV917511:VRV917514 VHZ917511:VHZ917514 UYD917511:UYD917514 UOH917511:UOH917514 UEL917511:UEL917514 TUP917511:TUP917514 TKT917511:TKT917514 TAX917511:TAX917514 SRB917511:SRB917514 SHF917511:SHF917514 RXJ917511:RXJ917514 RNN917511:RNN917514 RDR917511:RDR917514 QTV917511:QTV917514 QJZ917511:QJZ917514 QAD917511:QAD917514 PQH917511:PQH917514 PGL917511:PGL917514 OWP917511:OWP917514 OMT917511:OMT917514 OCX917511:OCX917514 NTB917511:NTB917514 NJF917511:NJF917514 MZJ917511:MZJ917514 MPN917511:MPN917514 MFR917511:MFR917514 LVV917511:LVV917514 LLZ917511:LLZ917514 LCD917511:LCD917514 KSH917511:KSH917514 KIL917511:KIL917514 JYP917511:JYP917514 JOT917511:JOT917514 JEX917511:JEX917514 IVB917511:IVB917514 ILF917511:ILF917514 IBJ917511:IBJ917514 HRN917511:HRN917514 HHR917511:HHR917514 GXV917511:GXV917514 GNZ917511:GNZ917514 GED917511:GED917514 FUH917511:FUH917514 FKL917511:FKL917514 FAP917511:FAP917514 EQT917511:EQT917514 EGX917511:EGX917514 DXB917511:DXB917514 DNF917511:DNF917514 DDJ917511:DDJ917514 CTN917511:CTN917514 CJR917511:CJR917514 BZV917511:BZV917514 BPZ917511:BPZ917514 BGD917511:BGD917514 AWH917511:AWH917514 AML917511:AML917514 ACP917511:ACP917514 ST917511:ST917514 IX917511:IX917514 WVJ851975:WVJ851978 WLN851975:WLN851978 WBR851975:WBR851978 VRV851975:VRV851978 VHZ851975:VHZ851978 UYD851975:UYD851978 UOH851975:UOH851978 UEL851975:UEL851978 TUP851975:TUP851978 TKT851975:TKT851978 TAX851975:TAX851978 SRB851975:SRB851978 SHF851975:SHF851978 RXJ851975:RXJ851978 RNN851975:RNN851978 RDR851975:RDR851978 QTV851975:QTV851978 QJZ851975:QJZ851978 QAD851975:QAD851978 PQH851975:PQH851978 PGL851975:PGL851978 OWP851975:OWP851978 OMT851975:OMT851978 OCX851975:OCX851978 NTB851975:NTB851978 NJF851975:NJF851978 MZJ851975:MZJ851978 MPN851975:MPN851978 MFR851975:MFR851978 LVV851975:LVV851978 LLZ851975:LLZ851978 LCD851975:LCD851978 KSH851975:KSH851978 KIL851975:KIL851978 JYP851975:JYP851978 JOT851975:JOT851978 JEX851975:JEX851978 IVB851975:IVB851978 ILF851975:ILF851978 IBJ851975:IBJ851978 HRN851975:HRN851978 HHR851975:HHR851978 GXV851975:GXV851978 GNZ851975:GNZ851978 GED851975:GED851978 FUH851975:FUH851978 FKL851975:FKL851978 FAP851975:FAP851978 EQT851975:EQT851978 EGX851975:EGX851978 DXB851975:DXB851978 DNF851975:DNF851978 DDJ851975:DDJ851978 CTN851975:CTN851978 CJR851975:CJR851978 BZV851975:BZV851978 BPZ851975:BPZ851978 BGD851975:BGD851978 AWH851975:AWH851978 AML851975:AML851978 ACP851975:ACP851978 ST851975:ST851978 IX851975:IX851978 WVJ786439:WVJ786442 WLN786439:WLN786442 WBR786439:WBR786442 VRV786439:VRV786442 VHZ786439:VHZ786442 UYD786439:UYD786442 UOH786439:UOH786442 UEL786439:UEL786442 TUP786439:TUP786442 TKT786439:TKT786442 TAX786439:TAX786442 SRB786439:SRB786442 SHF786439:SHF786442 RXJ786439:RXJ786442 RNN786439:RNN786442 RDR786439:RDR786442 QTV786439:QTV786442 QJZ786439:QJZ786442 QAD786439:QAD786442 PQH786439:PQH786442 PGL786439:PGL786442 OWP786439:OWP786442 OMT786439:OMT786442 OCX786439:OCX786442 NTB786439:NTB786442 NJF786439:NJF786442 MZJ786439:MZJ786442 MPN786439:MPN786442 MFR786439:MFR786442 LVV786439:LVV786442 LLZ786439:LLZ786442 LCD786439:LCD786442 KSH786439:KSH786442 KIL786439:KIL786442 JYP786439:JYP786442 JOT786439:JOT786442 JEX786439:JEX786442 IVB786439:IVB786442 ILF786439:ILF786442 IBJ786439:IBJ786442 HRN786439:HRN786442 HHR786439:HHR786442 GXV786439:GXV786442 GNZ786439:GNZ786442 GED786439:GED786442 FUH786439:FUH786442 FKL786439:FKL786442 FAP786439:FAP786442 EQT786439:EQT786442 EGX786439:EGX786442 DXB786439:DXB786442 DNF786439:DNF786442 DDJ786439:DDJ786442 CTN786439:CTN786442 CJR786439:CJR786442 BZV786439:BZV786442 BPZ786439:BPZ786442 BGD786439:BGD786442 AWH786439:AWH786442 AML786439:AML786442 ACP786439:ACP786442 ST786439:ST786442 IX786439:IX786442 WVJ720903:WVJ720906 WLN720903:WLN720906 WBR720903:WBR720906 VRV720903:VRV720906 VHZ720903:VHZ720906 UYD720903:UYD720906 UOH720903:UOH720906 UEL720903:UEL720906 TUP720903:TUP720906 TKT720903:TKT720906 TAX720903:TAX720906 SRB720903:SRB720906 SHF720903:SHF720906 RXJ720903:RXJ720906 RNN720903:RNN720906 RDR720903:RDR720906 QTV720903:QTV720906 QJZ720903:QJZ720906 QAD720903:QAD720906 PQH720903:PQH720906 PGL720903:PGL720906 OWP720903:OWP720906 OMT720903:OMT720906 OCX720903:OCX720906 NTB720903:NTB720906 NJF720903:NJF720906 MZJ720903:MZJ720906 MPN720903:MPN720906 MFR720903:MFR720906 LVV720903:LVV720906 LLZ720903:LLZ720906 LCD720903:LCD720906 KSH720903:KSH720906 KIL720903:KIL720906 JYP720903:JYP720906 JOT720903:JOT720906 JEX720903:JEX720906 IVB720903:IVB720906 ILF720903:ILF720906 IBJ720903:IBJ720906 HRN720903:HRN720906 HHR720903:HHR720906 GXV720903:GXV720906 GNZ720903:GNZ720906 GED720903:GED720906 FUH720903:FUH720906 FKL720903:FKL720906 FAP720903:FAP720906 EQT720903:EQT720906 EGX720903:EGX720906 DXB720903:DXB720906 DNF720903:DNF720906 DDJ720903:DDJ720906 CTN720903:CTN720906 CJR720903:CJR720906 BZV720903:BZV720906 BPZ720903:BPZ720906 BGD720903:BGD720906 AWH720903:AWH720906 AML720903:AML720906 ACP720903:ACP720906 ST720903:ST720906 IX720903:IX720906 WVJ655367:WVJ655370 WLN655367:WLN655370 WBR655367:WBR655370 VRV655367:VRV655370 VHZ655367:VHZ655370 UYD655367:UYD655370 UOH655367:UOH655370 UEL655367:UEL655370 TUP655367:TUP655370 TKT655367:TKT655370 TAX655367:TAX655370 SRB655367:SRB655370 SHF655367:SHF655370 RXJ655367:RXJ655370 RNN655367:RNN655370 RDR655367:RDR655370 QTV655367:QTV655370 QJZ655367:QJZ655370 QAD655367:QAD655370 PQH655367:PQH655370 PGL655367:PGL655370 OWP655367:OWP655370 OMT655367:OMT655370 OCX655367:OCX655370 NTB655367:NTB655370 NJF655367:NJF655370 MZJ655367:MZJ655370 MPN655367:MPN655370 MFR655367:MFR655370 LVV655367:LVV655370 LLZ655367:LLZ655370 LCD655367:LCD655370 KSH655367:KSH655370 KIL655367:KIL655370 JYP655367:JYP655370 JOT655367:JOT655370 JEX655367:JEX655370 IVB655367:IVB655370 ILF655367:ILF655370 IBJ655367:IBJ655370 HRN655367:HRN655370 HHR655367:HHR655370 GXV655367:GXV655370 GNZ655367:GNZ655370 GED655367:GED655370 FUH655367:FUH655370 FKL655367:FKL655370 FAP655367:FAP655370 EQT655367:EQT655370 EGX655367:EGX655370 DXB655367:DXB655370 DNF655367:DNF655370 DDJ655367:DDJ655370 CTN655367:CTN655370 CJR655367:CJR655370 BZV655367:BZV655370 BPZ655367:BPZ655370 BGD655367:BGD655370 AWH655367:AWH655370 AML655367:AML655370 ACP655367:ACP655370 ST655367:ST655370 IX655367:IX655370 WVJ589831:WVJ589834 WLN589831:WLN589834 WBR589831:WBR589834 VRV589831:VRV589834 VHZ589831:VHZ589834 UYD589831:UYD589834 UOH589831:UOH589834 UEL589831:UEL589834 TUP589831:TUP589834 TKT589831:TKT589834 TAX589831:TAX589834 SRB589831:SRB589834 SHF589831:SHF589834 RXJ589831:RXJ589834 RNN589831:RNN589834 RDR589831:RDR589834 QTV589831:QTV589834 QJZ589831:QJZ589834 QAD589831:QAD589834 PQH589831:PQH589834 PGL589831:PGL589834 OWP589831:OWP589834 OMT589831:OMT589834 OCX589831:OCX589834 NTB589831:NTB589834 NJF589831:NJF589834 MZJ589831:MZJ589834 MPN589831:MPN589834 MFR589831:MFR589834 LVV589831:LVV589834 LLZ589831:LLZ589834 LCD589831:LCD589834 KSH589831:KSH589834 KIL589831:KIL589834 JYP589831:JYP589834 JOT589831:JOT589834 JEX589831:JEX589834 IVB589831:IVB589834 ILF589831:ILF589834 IBJ589831:IBJ589834 HRN589831:HRN589834 HHR589831:HHR589834 GXV589831:GXV589834 GNZ589831:GNZ589834 GED589831:GED589834 FUH589831:FUH589834 FKL589831:FKL589834 FAP589831:FAP589834 EQT589831:EQT589834 EGX589831:EGX589834 DXB589831:DXB589834 DNF589831:DNF589834 DDJ589831:DDJ589834 CTN589831:CTN589834 CJR589831:CJR589834 BZV589831:BZV589834 BPZ589831:BPZ589834 BGD589831:BGD589834 AWH589831:AWH589834 AML589831:AML589834 ACP589831:ACP589834 ST589831:ST589834 IX589831:IX589834 WVJ524295:WVJ524298 WLN524295:WLN524298 WBR524295:WBR524298 VRV524295:VRV524298 VHZ524295:VHZ524298 UYD524295:UYD524298 UOH524295:UOH524298 UEL524295:UEL524298 TUP524295:TUP524298 TKT524295:TKT524298 TAX524295:TAX524298 SRB524295:SRB524298 SHF524295:SHF524298 RXJ524295:RXJ524298 RNN524295:RNN524298 RDR524295:RDR524298 QTV524295:QTV524298 QJZ524295:QJZ524298 QAD524295:QAD524298 PQH524295:PQH524298 PGL524295:PGL524298 OWP524295:OWP524298 OMT524295:OMT524298 OCX524295:OCX524298 NTB524295:NTB524298 NJF524295:NJF524298 MZJ524295:MZJ524298 MPN524295:MPN524298 MFR524295:MFR524298 LVV524295:LVV524298 LLZ524295:LLZ524298 LCD524295:LCD524298 KSH524295:KSH524298 KIL524295:KIL524298 JYP524295:JYP524298 JOT524295:JOT524298 JEX524295:JEX524298 IVB524295:IVB524298 ILF524295:ILF524298 IBJ524295:IBJ524298 HRN524295:HRN524298 HHR524295:HHR524298 GXV524295:GXV524298 GNZ524295:GNZ524298 GED524295:GED524298 FUH524295:FUH524298 FKL524295:FKL524298 FAP524295:FAP524298 EQT524295:EQT524298 EGX524295:EGX524298 DXB524295:DXB524298 DNF524295:DNF524298 DDJ524295:DDJ524298 CTN524295:CTN524298 CJR524295:CJR524298 BZV524295:BZV524298 BPZ524295:BPZ524298 BGD524295:BGD524298 AWH524295:AWH524298 AML524295:AML524298 ACP524295:ACP524298 ST524295:ST524298 IX524295:IX524298 WVJ458759:WVJ458762 WLN458759:WLN458762 WBR458759:WBR458762 VRV458759:VRV458762 VHZ458759:VHZ458762 UYD458759:UYD458762 UOH458759:UOH458762 UEL458759:UEL458762 TUP458759:TUP458762 TKT458759:TKT458762 TAX458759:TAX458762 SRB458759:SRB458762 SHF458759:SHF458762 RXJ458759:RXJ458762 RNN458759:RNN458762 RDR458759:RDR458762 QTV458759:QTV458762 QJZ458759:QJZ458762 QAD458759:QAD458762 PQH458759:PQH458762 PGL458759:PGL458762 OWP458759:OWP458762 OMT458759:OMT458762 OCX458759:OCX458762 NTB458759:NTB458762 NJF458759:NJF458762 MZJ458759:MZJ458762 MPN458759:MPN458762 MFR458759:MFR458762 LVV458759:LVV458762 LLZ458759:LLZ458762 LCD458759:LCD458762 KSH458759:KSH458762 KIL458759:KIL458762 JYP458759:JYP458762 JOT458759:JOT458762 JEX458759:JEX458762 IVB458759:IVB458762 ILF458759:ILF458762 IBJ458759:IBJ458762 HRN458759:HRN458762 HHR458759:HHR458762 GXV458759:GXV458762 GNZ458759:GNZ458762 GED458759:GED458762 FUH458759:FUH458762 FKL458759:FKL458762 FAP458759:FAP458762 EQT458759:EQT458762 EGX458759:EGX458762 DXB458759:DXB458762 DNF458759:DNF458762 DDJ458759:DDJ458762 CTN458759:CTN458762 CJR458759:CJR458762 BZV458759:BZV458762 BPZ458759:BPZ458762 BGD458759:BGD458762 AWH458759:AWH458762 AML458759:AML458762 ACP458759:ACP458762 ST458759:ST458762 IX458759:IX458762 WVJ393223:WVJ393226 WLN393223:WLN393226 WBR393223:WBR393226 VRV393223:VRV393226 VHZ393223:VHZ393226 UYD393223:UYD393226 UOH393223:UOH393226 UEL393223:UEL393226 TUP393223:TUP393226 TKT393223:TKT393226 TAX393223:TAX393226 SRB393223:SRB393226 SHF393223:SHF393226 RXJ393223:RXJ393226 RNN393223:RNN393226 RDR393223:RDR393226 QTV393223:QTV393226 QJZ393223:QJZ393226 QAD393223:QAD393226 PQH393223:PQH393226 PGL393223:PGL393226 OWP393223:OWP393226 OMT393223:OMT393226 OCX393223:OCX393226 NTB393223:NTB393226 NJF393223:NJF393226 MZJ393223:MZJ393226 MPN393223:MPN393226 MFR393223:MFR393226 LVV393223:LVV393226 LLZ393223:LLZ393226 LCD393223:LCD393226 KSH393223:KSH393226 KIL393223:KIL393226 JYP393223:JYP393226 JOT393223:JOT393226 JEX393223:JEX393226 IVB393223:IVB393226 ILF393223:ILF393226 IBJ393223:IBJ393226 HRN393223:HRN393226 HHR393223:HHR393226 GXV393223:GXV393226 GNZ393223:GNZ393226 GED393223:GED393226 FUH393223:FUH393226 FKL393223:FKL393226 FAP393223:FAP393226 EQT393223:EQT393226 EGX393223:EGX393226 DXB393223:DXB393226 DNF393223:DNF393226 DDJ393223:DDJ393226 CTN393223:CTN393226 CJR393223:CJR393226 BZV393223:BZV393226 BPZ393223:BPZ393226 BGD393223:BGD393226 AWH393223:AWH393226 AML393223:AML393226 ACP393223:ACP393226 ST393223:ST393226 IX393223:IX393226 WVJ327687:WVJ327690 WLN327687:WLN327690 WBR327687:WBR327690 VRV327687:VRV327690 VHZ327687:VHZ327690 UYD327687:UYD327690 UOH327687:UOH327690 UEL327687:UEL327690 TUP327687:TUP327690 TKT327687:TKT327690 TAX327687:TAX327690 SRB327687:SRB327690 SHF327687:SHF327690 RXJ327687:RXJ327690 RNN327687:RNN327690 RDR327687:RDR327690 QTV327687:QTV327690 QJZ327687:QJZ327690 QAD327687:QAD327690 PQH327687:PQH327690 PGL327687:PGL327690 OWP327687:OWP327690 OMT327687:OMT327690 OCX327687:OCX327690 NTB327687:NTB327690 NJF327687:NJF327690 MZJ327687:MZJ327690 MPN327687:MPN327690 MFR327687:MFR327690 LVV327687:LVV327690 LLZ327687:LLZ327690 LCD327687:LCD327690 KSH327687:KSH327690 KIL327687:KIL327690 JYP327687:JYP327690 JOT327687:JOT327690 JEX327687:JEX327690 IVB327687:IVB327690 ILF327687:ILF327690 IBJ327687:IBJ327690 HRN327687:HRN327690 HHR327687:HHR327690 GXV327687:GXV327690 GNZ327687:GNZ327690 GED327687:GED327690 FUH327687:FUH327690 FKL327687:FKL327690 FAP327687:FAP327690 EQT327687:EQT327690 EGX327687:EGX327690 DXB327687:DXB327690 DNF327687:DNF327690 DDJ327687:DDJ327690 CTN327687:CTN327690 CJR327687:CJR327690 BZV327687:BZV327690 BPZ327687:BPZ327690 BGD327687:BGD327690 AWH327687:AWH327690 AML327687:AML327690 ACP327687:ACP327690 ST327687:ST327690 IX327687:IX327690 WVJ262151:WVJ262154 WLN262151:WLN262154 WBR262151:WBR262154 VRV262151:VRV262154 VHZ262151:VHZ262154 UYD262151:UYD262154 UOH262151:UOH262154 UEL262151:UEL262154 TUP262151:TUP262154 TKT262151:TKT262154 TAX262151:TAX262154 SRB262151:SRB262154 SHF262151:SHF262154 RXJ262151:RXJ262154 RNN262151:RNN262154 RDR262151:RDR262154 QTV262151:QTV262154 QJZ262151:QJZ262154 QAD262151:QAD262154 PQH262151:PQH262154 PGL262151:PGL262154 OWP262151:OWP262154 OMT262151:OMT262154 OCX262151:OCX262154 NTB262151:NTB262154 NJF262151:NJF262154 MZJ262151:MZJ262154 MPN262151:MPN262154 MFR262151:MFR262154 LVV262151:LVV262154 LLZ262151:LLZ262154 LCD262151:LCD262154 KSH262151:KSH262154 KIL262151:KIL262154 JYP262151:JYP262154 JOT262151:JOT262154 JEX262151:JEX262154 IVB262151:IVB262154 ILF262151:ILF262154 IBJ262151:IBJ262154 HRN262151:HRN262154 HHR262151:HHR262154 GXV262151:GXV262154 GNZ262151:GNZ262154 GED262151:GED262154 FUH262151:FUH262154 FKL262151:FKL262154 FAP262151:FAP262154 EQT262151:EQT262154 EGX262151:EGX262154 DXB262151:DXB262154 DNF262151:DNF262154 DDJ262151:DDJ262154 CTN262151:CTN262154 CJR262151:CJR262154 BZV262151:BZV262154 BPZ262151:BPZ262154 BGD262151:BGD262154 AWH262151:AWH262154 AML262151:AML262154 ACP262151:ACP262154 ST262151:ST262154 IX262151:IX262154 WVJ196615:WVJ196618 WLN196615:WLN196618 WBR196615:WBR196618 VRV196615:VRV196618 VHZ196615:VHZ196618 UYD196615:UYD196618 UOH196615:UOH196618 UEL196615:UEL196618 TUP196615:TUP196618 TKT196615:TKT196618 TAX196615:TAX196618 SRB196615:SRB196618 SHF196615:SHF196618 RXJ196615:RXJ196618 RNN196615:RNN196618 RDR196615:RDR196618 QTV196615:QTV196618 QJZ196615:QJZ196618 QAD196615:QAD196618 PQH196615:PQH196618 PGL196615:PGL196618 OWP196615:OWP196618 OMT196615:OMT196618 OCX196615:OCX196618 NTB196615:NTB196618 NJF196615:NJF196618 MZJ196615:MZJ196618 MPN196615:MPN196618 MFR196615:MFR196618 LVV196615:LVV196618 LLZ196615:LLZ196618 LCD196615:LCD196618 KSH196615:KSH196618 KIL196615:KIL196618 JYP196615:JYP196618 JOT196615:JOT196618 JEX196615:JEX196618 IVB196615:IVB196618 ILF196615:ILF196618 IBJ196615:IBJ196618 HRN196615:HRN196618 HHR196615:HHR196618 GXV196615:GXV196618 GNZ196615:GNZ196618 GED196615:GED196618 FUH196615:FUH196618 FKL196615:FKL196618 FAP196615:FAP196618 EQT196615:EQT196618 EGX196615:EGX196618 DXB196615:DXB196618 DNF196615:DNF196618 DDJ196615:DDJ196618 CTN196615:CTN196618 CJR196615:CJR196618 BZV196615:BZV196618 BPZ196615:BPZ196618 BGD196615:BGD196618 AWH196615:AWH196618 AML196615:AML196618 ACP196615:ACP196618 ST196615:ST196618 IX196615:IX196618 WVJ131079:WVJ131082 WLN131079:WLN131082 WBR131079:WBR131082 VRV131079:VRV131082 VHZ131079:VHZ131082 UYD131079:UYD131082 UOH131079:UOH131082 UEL131079:UEL131082 TUP131079:TUP131082 TKT131079:TKT131082 TAX131079:TAX131082 SRB131079:SRB131082 SHF131079:SHF131082 RXJ131079:RXJ131082 RNN131079:RNN131082 RDR131079:RDR131082 QTV131079:QTV131082 QJZ131079:QJZ131082 QAD131079:QAD131082 PQH131079:PQH131082 PGL131079:PGL131082 OWP131079:OWP131082 OMT131079:OMT131082 OCX131079:OCX131082 NTB131079:NTB131082 NJF131079:NJF131082 MZJ131079:MZJ131082 MPN131079:MPN131082 MFR131079:MFR131082 LVV131079:LVV131082 LLZ131079:LLZ131082 LCD131079:LCD131082 KSH131079:KSH131082 KIL131079:KIL131082 JYP131079:JYP131082 JOT131079:JOT131082 JEX131079:JEX131082 IVB131079:IVB131082 ILF131079:ILF131082 IBJ131079:IBJ131082 HRN131079:HRN131082 HHR131079:HHR131082 GXV131079:GXV131082 GNZ131079:GNZ131082 GED131079:GED131082 FUH131079:FUH131082 FKL131079:FKL131082 FAP131079:FAP131082 EQT131079:EQT131082 EGX131079:EGX131082 DXB131079:DXB131082 DNF131079:DNF131082 DDJ131079:DDJ131082 CTN131079:CTN131082 CJR131079:CJR131082 BZV131079:BZV131082 BPZ131079:BPZ131082 BGD131079:BGD131082 AWH131079:AWH131082 AML131079:AML131082 ACP131079:ACP131082 ST131079:ST131082 IX131079:IX131082 WVJ65543:WVJ65546 WLN65543:WLN65546 WBR65543:WBR65546 VRV65543:VRV65546 VHZ65543:VHZ65546 UYD65543:UYD65546 UOH65543:UOH65546 UEL65543:UEL65546 TUP65543:TUP65546 TKT65543:TKT65546 TAX65543:TAX65546 SRB65543:SRB65546 SHF65543:SHF65546 RXJ65543:RXJ65546 RNN65543:RNN65546 RDR65543:RDR65546 QTV65543:QTV65546 QJZ65543:QJZ65546 QAD65543:QAD65546 PQH65543:PQH65546 PGL65543:PGL65546 OWP65543:OWP65546 OMT65543:OMT65546 OCX65543:OCX65546 NTB65543:NTB65546 NJF65543:NJF65546 MZJ65543:MZJ65546 MPN65543:MPN65546 MFR65543:MFR65546 LVV65543:LVV65546 LLZ65543:LLZ65546 LCD65543:LCD65546 KSH65543:KSH65546 KIL65543:KIL65546 JYP65543:JYP65546 JOT65543:JOT65546 JEX65543:JEX65546 IVB65543:IVB65546 ILF65543:ILF65546 IBJ65543:IBJ65546 HRN65543:HRN65546 HHR65543:HHR65546 GXV65543:GXV65546 GNZ65543:GNZ65546 GED65543:GED65546 FUH65543:FUH65546 FKL65543:FKL65546 FAP65543:FAP65546 EQT65543:EQT65546 EGX65543:EGX65546 DXB65543:DXB65546 DNF65543:DNF65546 DDJ65543:DDJ65546 CTN65543:CTN65546 CJR65543:CJR65546 BZV65543:BZV65546 BPZ65543:BPZ65546 BGD65543:BGD65546 AWH65543:AWH65546 AML65543:AML65546 ACP65543:ACP65546 ST65543:ST65546 IX65543:IX65546 AWH11:AWH40 ACP11:ACP40 AML11:AML40 ST11:ST40 IX11:IX40 WVJ11:WVJ40 WLN11:WLN40 WBR11:WBR40 VRV11:VRV40 VHZ11:VHZ40 UYD11:UYD40 UOH11:UOH40 UEL11:UEL40 TUP11:TUP40 TKT11:TKT40 TAX11:TAX40 SRB11:SRB40 SHF11:SHF40 RXJ11:RXJ40 RNN11:RNN40 RDR11:RDR40 QTV11:QTV40 QJZ11:QJZ40 QAD11:QAD40 PQH11:PQH40 PGL11:PGL40 OWP11:OWP40 OMT11:OMT40 OCX11:OCX40 NTB11:NTB40 NJF11:NJF40 MZJ11:MZJ40 MPN11:MPN40 MFR11:MFR40 LVV11:LVV40 LLZ11:LLZ40 LCD11:LCD40 KSH11:KSH40 KIL11:KIL40 JYP11:JYP40 JOT11:JOT40 JEX11:JEX40 IVB11:IVB40 ILF11:ILF40 IBJ11:IBJ40 HRN11:HRN40 HHR11:HHR40 GXV11:GXV40 GNZ11:GNZ40 GED11:GED40 FUH11:FUH40 FKL11:FKL40 FAP11:FAP40 EQT11:EQT40 EGX11:EGX40 DXB11:DXB40 DNF11:DNF40 DDJ11:DDJ40 CTN11:CTN40 CJR11:CJR40 BZV11:BZV40 BPZ11:BPZ40 BGD11:BGD40" xr:uid="{00000000-0002-0000-0B00-000003000000}">
      <formula1>Audit_Note_Insured_List</formula1>
    </dataValidation>
    <dataValidation type="list" allowBlank="1" showInputMessage="1" showErrorMessage="1" sqref="B65585:B65700 B131121:B131236 B196657:B196772 B262193:B262308 B327729:B327844 B393265:B393380 B458801:B458916 B524337:B524452 B589873:B589988 B655409:B655524 B720945:B721060 B786481:B786596 B852017:B852132 B917553:B917668 B983089:B983204 WLM983088:WLM983203 WBQ983088:WBQ983203 VRU983088:VRU983203 VHY983088:VHY983203 UYC983088:UYC983203 UOG983088:UOG983203 UEK983088:UEK983203 TUO983088:TUO983203 TKS983088:TKS983203 TAW983088:TAW983203 SRA983088:SRA983203 SHE983088:SHE983203 RXI983088:RXI983203 RNM983088:RNM983203 RDQ983088:RDQ983203 QTU983088:QTU983203 QJY983088:QJY983203 QAC983088:QAC983203 PQG983088:PQG983203 PGK983088:PGK983203 OWO983088:OWO983203 OMS983088:OMS983203 OCW983088:OCW983203 NTA983088:NTA983203 NJE983088:NJE983203 MZI983088:MZI983203 MPM983088:MPM983203 MFQ983088:MFQ983203 LVU983088:LVU983203 LLY983088:LLY983203 LCC983088:LCC983203 KSG983088:KSG983203 KIK983088:KIK983203 JYO983088:JYO983203 JOS983088:JOS983203 JEW983088:JEW983203 IVA983088:IVA983203 ILE983088:ILE983203 IBI983088:IBI983203 HRM983088:HRM983203 HHQ983088:HHQ983203 GXU983088:GXU983203 GNY983088:GNY983203 GEC983088:GEC983203 FUG983088:FUG983203 FKK983088:FKK983203 FAO983088:FAO983203 EQS983088:EQS983203 EGW983088:EGW983203 DXA983088:DXA983203 DNE983088:DNE983203 DDI983088:DDI983203 CTM983088:CTM983203 CJQ983088:CJQ983203 BZU983088:BZU983203 BPY983088:BPY983203 BGC983088:BGC983203 AWG983088:AWG983203 AMK983088:AMK983203 ACO983088:ACO983203 SS983088:SS983203 IW983088:IW983203 WVI917552:WVI917667 WLM917552:WLM917667 WBQ917552:WBQ917667 VRU917552:VRU917667 VHY917552:VHY917667 UYC917552:UYC917667 UOG917552:UOG917667 UEK917552:UEK917667 TUO917552:TUO917667 TKS917552:TKS917667 TAW917552:TAW917667 SRA917552:SRA917667 SHE917552:SHE917667 RXI917552:RXI917667 RNM917552:RNM917667 RDQ917552:RDQ917667 QTU917552:QTU917667 QJY917552:QJY917667 QAC917552:QAC917667 PQG917552:PQG917667 PGK917552:PGK917667 OWO917552:OWO917667 OMS917552:OMS917667 OCW917552:OCW917667 NTA917552:NTA917667 NJE917552:NJE917667 MZI917552:MZI917667 MPM917552:MPM917667 MFQ917552:MFQ917667 LVU917552:LVU917667 LLY917552:LLY917667 LCC917552:LCC917667 KSG917552:KSG917667 KIK917552:KIK917667 JYO917552:JYO917667 JOS917552:JOS917667 JEW917552:JEW917667 IVA917552:IVA917667 ILE917552:ILE917667 IBI917552:IBI917667 HRM917552:HRM917667 HHQ917552:HHQ917667 GXU917552:GXU917667 GNY917552:GNY917667 GEC917552:GEC917667 FUG917552:FUG917667 FKK917552:FKK917667 FAO917552:FAO917667 EQS917552:EQS917667 EGW917552:EGW917667 DXA917552:DXA917667 DNE917552:DNE917667 DDI917552:DDI917667 CTM917552:CTM917667 CJQ917552:CJQ917667 BZU917552:BZU917667 BPY917552:BPY917667 BGC917552:BGC917667 AWG917552:AWG917667 AMK917552:AMK917667 ACO917552:ACO917667 SS917552:SS917667 IW917552:IW917667 WVI852016:WVI852131 WLM852016:WLM852131 WBQ852016:WBQ852131 VRU852016:VRU852131 VHY852016:VHY852131 UYC852016:UYC852131 UOG852016:UOG852131 UEK852016:UEK852131 TUO852016:TUO852131 TKS852016:TKS852131 TAW852016:TAW852131 SRA852016:SRA852131 SHE852016:SHE852131 RXI852016:RXI852131 RNM852016:RNM852131 RDQ852016:RDQ852131 QTU852016:QTU852131 QJY852016:QJY852131 QAC852016:QAC852131 PQG852016:PQG852131 PGK852016:PGK852131 OWO852016:OWO852131 OMS852016:OMS852131 OCW852016:OCW852131 NTA852016:NTA852131 NJE852016:NJE852131 MZI852016:MZI852131 MPM852016:MPM852131 MFQ852016:MFQ852131 LVU852016:LVU852131 LLY852016:LLY852131 LCC852016:LCC852131 KSG852016:KSG852131 KIK852016:KIK852131 JYO852016:JYO852131 JOS852016:JOS852131 JEW852016:JEW852131 IVA852016:IVA852131 ILE852016:ILE852131 IBI852016:IBI852131 HRM852016:HRM852131 HHQ852016:HHQ852131 GXU852016:GXU852131 GNY852016:GNY852131 GEC852016:GEC852131 FUG852016:FUG852131 FKK852016:FKK852131 FAO852016:FAO852131 EQS852016:EQS852131 EGW852016:EGW852131 DXA852016:DXA852131 DNE852016:DNE852131 DDI852016:DDI852131 CTM852016:CTM852131 CJQ852016:CJQ852131 BZU852016:BZU852131 BPY852016:BPY852131 BGC852016:BGC852131 AWG852016:AWG852131 AMK852016:AMK852131 ACO852016:ACO852131 SS852016:SS852131 IW852016:IW852131 WVI786480:WVI786595 WLM786480:WLM786595 WBQ786480:WBQ786595 VRU786480:VRU786595 VHY786480:VHY786595 UYC786480:UYC786595 UOG786480:UOG786595 UEK786480:UEK786595 TUO786480:TUO786595 TKS786480:TKS786595 TAW786480:TAW786595 SRA786480:SRA786595 SHE786480:SHE786595 RXI786480:RXI786595 RNM786480:RNM786595 RDQ786480:RDQ786595 QTU786480:QTU786595 QJY786480:QJY786595 QAC786480:QAC786595 PQG786480:PQG786595 PGK786480:PGK786595 OWO786480:OWO786595 OMS786480:OMS786595 OCW786480:OCW786595 NTA786480:NTA786595 NJE786480:NJE786595 MZI786480:MZI786595 MPM786480:MPM786595 MFQ786480:MFQ786595 LVU786480:LVU786595 LLY786480:LLY786595 LCC786480:LCC786595 KSG786480:KSG786595 KIK786480:KIK786595 JYO786480:JYO786595 JOS786480:JOS786595 JEW786480:JEW786595 IVA786480:IVA786595 ILE786480:ILE786595 IBI786480:IBI786595 HRM786480:HRM786595 HHQ786480:HHQ786595 GXU786480:GXU786595 GNY786480:GNY786595 GEC786480:GEC786595 FUG786480:FUG786595 FKK786480:FKK786595 FAO786480:FAO786595 EQS786480:EQS786595 EGW786480:EGW786595 DXA786480:DXA786595 DNE786480:DNE786595 DDI786480:DDI786595 CTM786480:CTM786595 CJQ786480:CJQ786595 BZU786480:BZU786595 BPY786480:BPY786595 BGC786480:BGC786595 AWG786480:AWG786595 AMK786480:AMK786595 ACO786480:ACO786595 SS786480:SS786595 IW786480:IW786595 WVI720944:WVI721059 WLM720944:WLM721059 WBQ720944:WBQ721059 VRU720944:VRU721059 VHY720944:VHY721059 UYC720944:UYC721059 UOG720944:UOG721059 UEK720944:UEK721059 TUO720944:TUO721059 TKS720944:TKS721059 TAW720944:TAW721059 SRA720944:SRA721059 SHE720944:SHE721059 RXI720944:RXI721059 RNM720944:RNM721059 RDQ720944:RDQ721059 QTU720944:QTU721059 QJY720944:QJY721059 QAC720944:QAC721059 PQG720944:PQG721059 PGK720944:PGK721059 OWO720944:OWO721059 OMS720944:OMS721059 OCW720944:OCW721059 NTA720944:NTA721059 NJE720944:NJE721059 MZI720944:MZI721059 MPM720944:MPM721059 MFQ720944:MFQ721059 LVU720944:LVU721059 LLY720944:LLY721059 LCC720944:LCC721059 KSG720944:KSG721059 KIK720944:KIK721059 JYO720944:JYO721059 JOS720944:JOS721059 JEW720944:JEW721059 IVA720944:IVA721059 ILE720944:ILE721059 IBI720944:IBI721059 HRM720944:HRM721059 HHQ720944:HHQ721059 GXU720944:GXU721059 GNY720944:GNY721059 GEC720944:GEC721059 FUG720944:FUG721059 FKK720944:FKK721059 FAO720944:FAO721059 EQS720944:EQS721059 EGW720944:EGW721059 DXA720944:DXA721059 DNE720944:DNE721059 DDI720944:DDI721059 CTM720944:CTM721059 CJQ720944:CJQ721059 BZU720944:BZU721059 BPY720944:BPY721059 BGC720944:BGC721059 AWG720944:AWG721059 AMK720944:AMK721059 ACO720944:ACO721059 SS720944:SS721059 IW720944:IW721059 WVI655408:WVI655523 WLM655408:WLM655523 WBQ655408:WBQ655523 VRU655408:VRU655523 VHY655408:VHY655523 UYC655408:UYC655523 UOG655408:UOG655523 UEK655408:UEK655523 TUO655408:TUO655523 TKS655408:TKS655523 TAW655408:TAW655523 SRA655408:SRA655523 SHE655408:SHE655523 RXI655408:RXI655523 RNM655408:RNM655523 RDQ655408:RDQ655523 QTU655408:QTU655523 QJY655408:QJY655523 QAC655408:QAC655523 PQG655408:PQG655523 PGK655408:PGK655523 OWO655408:OWO655523 OMS655408:OMS655523 OCW655408:OCW655523 NTA655408:NTA655523 NJE655408:NJE655523 MZI655408:MZI655523 MPM655408:MPM655523 MFQ655408:MFQ655523 LVU655408:LVU655523 LLY655408:LLY655523 LCC655408:LCC655523 KSG655408:KSG655523 KIK655408:KIK655523 JYO655408:JYO655523 JOS655408:JOS655523 JEW655408:JEW655523 IVA655408:IVA655523 ILE655408:ILE655523 IBI655408:IBI655523 HRM655408:HRM655523 HHQ655408:HHQ655523 GXU655408:GXU655523 GNY655408:GNY655523 GEC655408:GEC655523 FUG655408:FUG655523 FKK655408:FKK655523 FAO655408:FAO655523 EQS655408:EQS655523 EGW655408:EGW655523 DXA655408:DXA655523 DNE655408:DNE655523 DDI655408:DDI655523 CTM655408:CTM655523 CJQ655408:CJQ655523 BZU655408:BZU655523 BPY655408:BPY655523 BGC655408:BGC655523 AWG655408:AWG655523 AMK655408:AMK655523 ACO655408:ACO655523 SS655408:SS655523 IW655408:IW655523 WVI589872:WVI589987 WLM589872:WLM589987 WBQ589872:WBQ589987 VRU589872:VRU589987 VHY589872:VHY589987 UYC589872:UYC589987 UOG589872:UOG589987 UEK589872:UEK589987 TUO589872:TUO589987 TKS589872:TKS589987 TAW589872:TAW589987 SRA589872:SRA589987 SHE589872:SHE589987 RXI589872:RXI589987 RNM589872:RNM589987 RDQ589872:RDQ589987 QTU589872:QTU589987 QJY589872:QJY589987 QAC589872:QAC589987 PQG589872:PQG589987 PGK589872:PGK589987 OWO589872:OWO589987 OMS589872:OMS589987 OCW589872:OCW589987 NTA589872:NTA589987 NJE589872:NJE589987 MZI589872:MZI589987 MPM589872:MPM589987 MFQ589872:MFQ589987 LVU589872:LVU589987 LLY589872:LLY589987 LCC589872:LCC589987 KSG589872:KSG589987 KIK589872:KIK589987 JYO589872:JYO589987 JOS589872:JOS589987 JEW589872:JEW589987 IVA589872:IVA589987 ILE589872:ILE589987 IBI589872:IBI589987 HRM589872:HRM589987 HHQ589872:HHQ589987 GXU589872:GXU589987 GNY589872:GNY589987 GEC589872:GEC589987 FUG589872:FUG589987 FKK589872:FKK589987 FAO589872:FAO589987 EQS589872:EQS589987 EGW589872:EGW589987 DXA589872:DXA589987 DNE589872:DNE589987 DDI589872:DDI589987 CTM589872:CTM589987 CJQ589872:CJQ589987 BZU589872:BZU589987 BPY589872:BPY589987 BGC589872:BGC589987 AWG589872:AWG589987 AMK589872:AMK589987 ACO589872:ACO589987 SS589872:SS589987 IW589872:IW589987 WVI524336:WVI524451 WLM524336:WLM524451 WBQ524336:WBQ524451 VRU524336:VRU524451 VHY524336:VHY524451 UYC524336:UYC524451 UOG524336:UOG524451 UEK524336:UEK524451 TUO524336:TUO524451 TKS524336:TKS524451 TAW524336:TAW524451 SRA524336:SRA524451 SHE524336:SHE524451 RXI524336:RXI524451 RNM524336:RNM524451 RDQ524336:RDQ524451 QTU524336:QTU524451 QJY524336:QJY524451 QAC524336:QAC524451 PQG524336:PQG524451 PGK524336:PGK524451 OWO524336:OWO524451 OMS524336:OMS524451 OCW524336:OCW524451 NTA524336:NTA524451 NJE524336:NJE524451 MZI524336:MZI524451 MPM524336:MPM524451 MFQ524336:MFQ524451 LVU524336:LVU524451 LLY524336:LLY524451 LCC524336:LCC524451 KSG524336:KSG524451 KIK524336:KIK524451 JYO524336:JYO524451 JOS524336:JOS524451 JEW524336:JEW524451 IVA524336:IVA524451 ILE524336:ILE524451 IBI524336:IBI524451 HRM524336:HRM524451 HHQ524336:HHQ524451 GXU524336:GXU524451 GNY524336:GNY524451 GEC524336:GEC524451 FUG524336:FUG524451 FKK524336:FKK524451 FAO524336:FAO524451 EQS524336:EQS524451 EGW524336:EGW524451 DXA524336:DXA524451 DNE524336:DNE524451 DDI524336:DDI524451 CTM524336:CTM524451 CJQ524336:CJQ524451 BZU524336:BZU524451 BPY524336:BPY524451 BGC524336:BGC524451 AWG524336:AWG524451 AMK524336:AMK524451 ACO524336:ACO524451 SS524336:SS524451 IW524336:IW524451 WVI458800:WVI458915 WLM458800:WLM458915 WBQ458800:WBQ458915 VRU458800:VRU458915 VHY458800:VHY458915 UYC458800:UYC458915 UOG458800:UOG458915 UEK458800:UEK458915 TUO458800:TUO458915 TKS458800:TKS458915 TAW458800:TAW458915 SRA458800:SRA458915 SHE458800:SHE458915 RXI458800:RXI458915 RNM458800:RNM458915 RDQ458800:RDQ458915 QTU458800:QTU458915 QJY458800:QJY458915 QAC458800:QAC458915 PQG458800:PQG458915 PGK458800:PGK458915 OWO458800:OWO458915 OMS458800:OMS458915 OCW458800:OCW458915 NTA458800:NTA458915 NJE458800:NJE458915 MZI458800:MZI458915 MPM458800:MPM458915 MFQ458800:MFQ458915 LVU458800:LVU458915 LLY458800:LLY458915 LCC458800:LCC458915 KSG458800:KSG458915 KIK458800:KIK458915 JYO458800:JYO458915 JOS458800:JOS458915 JEW458800:JEW458915 IVA458800:IVA458915 ILE458800:ILE458915 IBI458800:IBI458915 HRM458800:HRM458915 HHQ458800:HHQ458915 GXU458800:GXU458915 GNY458800:GNY458915 GEC458800:GEC458915 FUG458800:FUG458915 FKK458800:FKK458915 FAO458800:FAO458915 EQS458800:EQS458915 EGW458800:EGW458915 DXA458800:DXA458915 DNE458800:DNE458915 DDI458800:DDI458915 CTM458800:CTM458915 CJQ458800:CJQ458915 BZU458800:BZU458915 BPY458800:BPY458915 BGC458800:BGC458915 AWG458800:AWG458915 AMK458800:AMK458915 ACO458800:ACO458915 SS458800:SS458915 IW458800:IW458915 WVI393264:WVI393379 WLM393264:WLM393379 WBQ393264:WBQ393379 VRU393264:VRU393379 VHY393264:VHY393379 UYC393264:UYC393379 UOG393264:UOG393379 UEK393264:UEK393379 TUO393264:TUO393379 TKS393264:TKS393379 TAW393264:TAW393379 SRA393264:SRA393379 SHE393264:SHE393379 RXI393264:RXI393379 RNM393264:RNM393379 RDQ393264:RDQ393379 QTU393264:QTU393379 QJY393264:QJY393379 QAC393264:QAC393379 PQG393264:PQG393379 PGK393264:PGK393379 OWO393264:OWO393379 OMS393264:OMS393379 OCW393264:OCW393379 NTA393264:NTA393379 NJE393264:NJE393379 MZI393264:MZI393379 MPM393264:MPM393379 MFQ393264:MFQ393379 LVU393264:LVU393379 LLY393264:LLY393379 LCC393264:LCC393379 KSG393264:KSG393379 KIK393264:KIK393379 JYO393264:JYO393379 JOS393264:JOS393379 JEW393264:JEW393379 IVA393264:IVA393379 ILE393264:ILE393379 IBI393264:IBI393379 HRM393264:HRM393379 HHQ393264:HHQ393379 GXU393264:GXU393379 GNY393264:GNY393379 GEC393264:GEC393379 FUG393264:FUG393379 FKK393264:FKK393379 FAO393264:FAO393379 EQS393264:EQS393379 EGW393264:EGW393379 DXA393264:DXA393379 DNE393264:DNE393379 DDI393264:DDI393379 CTM393264:CTM393379 CJQ393264:CJQ393379 BZU393264:BZU393379 BPY393264:BPY393379 BGC393264:BGC393379 AWG393264:AWG393379 AMK393264:AMK393379 ACO393264:ACO393379 SS393264:SS393379 IW393264:IW393379 WVI327728:WVI327843 WLM327728:WLM327843 WBQ327728:WBQ327843 VRU327728:VRU327843 VHY327728:VHY327843 UYC327728:UYC327843 UOG327728:UOG327843 UEK327728:UEK327843 TUO327728:TUO327843 TKS327728:TKS327843 TAW327728:TAW327843 SRA327728:SRA327843 SHE327728:SHE327843 RXI327728:RXI327843 RNM327728:RNM327843 RDQ327728:RDQ327843 QTU327728:QTU327843 QJY327728:QJY327843 QAC327728:QAC327843 PQG327728:PQG327843 PGK327728:PGK327843 OWO327728:OWO327843 OMS327728:OMS327843 OCW327728:OCW327843 NTA327728:NTA327843 NJE327728:NJE327843 MZI327728:MZI327843 MPM327728:MPM327843 MFQ327728:MFQ327843 LVU327728:LVU327843 LLY327728:LLY327843 LCC327728:LCC327843 KSG327728:KSG327843 KIK327728:KIK327843 JYO327728:JYO327843 JOS327728:JOS327843 JEW327728:JEW327843 IVA327728:IVA327843 ILE327728:ILE327843 IBI327728:IBI327843 HRM327728:HRM327843 HHQ327728:HHQ327843 GXU327728:GXU327843 GNY327728:GNY327843 GEC327728:GEC327843 FUG327728:FUG327843 FKK327728:FKK327843 FAO327728:FAO327843 EQS327728:EQS327843 EGW327728:EGW327843 DXA327728:DXA327843 DNE327728:DNE327843 DDI327728:DDI327843 CTM327728:CTM327843 CJQ327728:CJQ327843 BZU327728:BZU327843 BPY327728:BPY327843 BGC327728:BGC327843 AWG327728:AWG327843 AMK327728:AMK327843 ACO327728:ACO327843 SS327728:SS327843 IW327728:IW327843 WVI262192:WVI262307 WLM262192:WLM262307 WBQ262192:WBQ262307 VRU262192:VRU262307 VHY262192:VHY262307 UYC262192:UYC262307 UOG262192:UOG262307 UEK262192:UEK262307 TUO262192:TUO262307 TKS262192:TKS262307 TAW262192:TAW262307 SRA262192:SRA262307 SHE262192:SHE262307 RXI262192:RXI262307 RNM262192:RNM262307 RDQ262192:RDQ262307 QTU262192:QTU262307 QJY262192:QJY262307 QAC262192:QAC262307 PQG262192:PQG262307 PGK262192:PGK262307 OWO262192:OWO262307 OMS262192:OMS262307 OCW262192:OCW262307 NTA262192:NTA262307 NJE262192:NJE262307 MZI262192:MZI262307 MPM262192:MPM262307 MFQ262192:MFQ262307 LVU262192:LVU262307 LLY262192:LLY262307 LCC262192:LCC262307 KSG262192:KSG262307 KIK262192:KIK262307 JYO262192:JYO262307 JOS262192:JOS262307 JEW262192:JEW262307 IVA262192:IVA262307 ILE262192:ILE262307 IBI262192:IBI262307 HRM262192:HRM262307 HHQ262192:HHQ262307 GXU262192:GXU262307 GNY262192:GNY262307 GEC262192:GEC262307 FUG262192:FUG262307 FKK262192:FKK262307 FAO262192:FAO262307 EQS262192:EQS262307 EGW262192:EGW262307 DXA262192:DXA262307 DNE262192:DNE262307 DDI262192:DDI262307 CTM262192:CTM262307 CJQ262192:CJQ262307 BZU262192:BZU262307 BPY262192:BPY262307 BGC262192:BGC262307 AWG262192:AWG262307 AMK262192:AMK262307 ACO262192:ACO262307 SS262192:SS262307 IW262192:IW262307 WVI196656:WVI196771 WLM196656:WLM196771 WBQ196656:WBQ196771 VRU196656:VRU196771 VHY196656:VHY196771 UYC196656:UYC196771 UOG196656:UOG196771 UEK196656:UEK196771 TUO196656:TUO196771 TKS196656:TKS196771 TAW196656:TAW196771 SRA196656:SRA196771 SHE196656:SHE196771 RXI196656:RXI196771 RNM196656:RNM196771 RDQ196656:RDQ196771 QTU196656:QTU196771 QJY196656:QJY196771 QAC196656:QAC196771 PQG196656:PQG196771 PGK196656:PGK196771 OWO196656:OWO196771 OMS196656:OMS196771 OCW196656:OCW196771 NTA196656:NTA196771 NJE196656:NJE196771 MZI196656:MZI196771 MPM196656:MPM196771 MFQ196656:MFQ196771 LVU196656:LVU196771 LLY196656:LLY196771 LCC196656:LCC196771 KSG196656:KSG196771 KIK196656:KIK196771 JYO196656:JYO196771 JOS196656:JOS196771 JEW196656:JEW196771 IVA196656:IVA196771 ILE196656:ILE196771 IBI196656:IBI196771 HRM196656:HRM196771 HHQ196656:HHQ196771 GXU196656:GXU196771 GNY196656:GNY196771 GEC196656:GEC196771 FUG196656:FUG196771 FKK196656:FKK196771 FAO196656:FAO196771 EQS196656:EQS196771 EGW196656:EGW196771 DXA196656:DXA196771 DNE196656:DNE196771 DDI196656:DDI196771 CTM196656:CTM196771 CJQ196656:CJQ196771 BZU196656:BZU196771 BPY196656:BPY196771 BGC196656:BGC196771 AWG196656:AWG196771 AMK196656:AMK196771 ACO196656:ACO196771 SS196656:SS196771 IW196656:IW196771 WVI131120:WVI131235 WLM131120:WLM131235 WBQ131120:WBQ131235 VRU131120:VRU131235 VHY131120:VHY131235 UYC131120:UYC131235 UOG131120:UOG131235 UEK131120:UEK131235 TUO131120:TUO131235 TKS131120:TKS131235 TAW131120:TAW131235 SRA131120:SRA131235 SHE131120:SHE131235 RXI131120:RXI131235 RNM131120:RNM131235 RDQ131120:RDQ131235 QTU131120:QTU131235 QJY131120:QJY131235 QAC131120:QAC131235 PQG131120:PQG131235 PGK131120:PGK131235 OWO131120:OWO131235 OMS131120:OMS131235 OCW131120:OCW131235 NTA131120:NTA131235 NJE131120:NJE131235 MZI131120:MZI131235 MPM131120:MPM131235 MFQ131120:MFQ131235 LVU131120:LVU131235 LLY131120:LLY131235 LCC131120:LCC131235 KSG131120:KSG131235 KIK131120:KIK131235 JYO131120:JYO131235 JOS131120:JOS131235 JEW131120:JEW131235 IVA131120:IVA131235 ILE131120:ILE131235 IBI131120:IBI131235 HRM131120:HRM131235 HHQ131120:HHQ131235 GXU131120:GXU131235 GNY131120:GNY131235 GEC131120:GEC131235 FUG131120:FUG131235 FKK131120:FKK131235 FAO131120:FAO131235 EQS131120:EQS131235 EGW131120:EGW131235 DXA131120:DXA131235 DNE131120:DNE131235 DDI131120:DDI131235 CTM131120:CTM131235 CJQ131120:CJQ131235 BZU131120:BZU131235 BPY131120:BPY131235 BGC131120:BGC131235 AWG131120:AWG131235 AMK131120:AMK131235 ACO131120:ACO131235 SS131120:SS131235 IW131120:IW131235 WVI65584:WVI65699 WLM65584:WLM65699 WBQ65584:WBQ65699 VRU65584:VRU65699 VHY65584:VHY65699 UYC65584:UYC65699 UOG65584:UOG65699 UEK65584:UEK65699 TUO65584:TUO65699 TKS65584:TKS65699 TAW65584:TAW65699 SRA65584:SRA65699 SHE65584:SHE65699 RXI65584:RXI65699 RNM65584:RNM65699 RDQ65584:RDQ65699 QTU65584:QTU65699 QJY65584:QJY65699 QAC65584:QAC65699 PQG65584:PQG65699 PGK65584:PGK65699 OWO65584:OWO65699 OMS65584:OMS65699 OCW65584:OCW65699 NTA65584:NTA65699 NJE65584:NJE65699 MZI65584:MZI65699 MPM65584:MPM65699 MFQ65584:MFQ65699 LVU65584:LVU65699 LLY65584:LLY65699 LCC65584:LCC65699 KSG65584:KSG65699 KIK65584:KIK65699 JYO65584:JYO65699 JOS65584:JOS65699 JEW65584:JEW65699 IVA65584:IVA65699 ILE65584:ILE65699 IBI65584:IBI65699 HRM65584:HRM65699 HHQ65584:HHQ65699 GXU65584:GXU65699 GNY65584:GNY65699 GEC65584:GEC65699 FUG65584:FUG65699 FKK65584:FKK65699 FAO65584:FAO65699 EQS65584:EQS65699 EGW65584:EGW65699 DXA65584:DXA65699 DNE65584:DNE65699 DDI65584:DDI65699 CTM65584:CTM65699 CJQ65584:CJQ65699 BZU65584:BZU65699 BPY65584:BPY65699 BGC65584:BGC65699 AWG65584:AWG65699 AMK65584:AMK65699 ACO65584:ACO65699 SS65584:SS65699 IW65584:IW65699 WVI983088:WVI983203 IW74:IW166 SS74:SS166 ACO74:ACO166 AMK74:AMK166 AWG74:AWG166 BGC74:BGC166 BPY74:BPY166 BZU74:BZU166 CJQ74:CJQ166 CTM74:CTM166 DDI74:DDI166 DNE74:DNE166 DXA74:DXA166 EGW74:EGW166 EQS74:EQS166 FAO74:FAO166 FKK74:FKK166 FUG74:FUG166 GEC74:GEC166 GNY74:GNY166 GXU74:GXU166 HHQ74:HHQ166 HRM74:HRM166 IBI74:IBI166 ILE74:ILE166 IVA74:IVA166 JEW74:JEW166 JOS74:JOS166 JYO74:JYO166 KIK74:KIK166 KSG74:KSG166 LCC74:LCC166 LLY74:LLY166 LVU74:LVU166 MFQ74:MFQ166 MPM74:MPM166 MZI74:MZI166 NJE74:NJE166 NTA74:NTA166 OCW74:OCW166 OMS74:OMS166 OWO74:OWO166 PGK74:PGK166 PQG74:PQG166 QAC74:QAC166 QJY74:QJY166 QTU74:QTU166 RDQ74:RDQ166 RNM74:RNM166 RXI74:RXI166 SHE74:SHE166 SRA74:SRA166 TAW74:TAW166 TKS74:TKS166 TUO74:TUO166 UEK74:UEK166 UOG74:UOG166 UYC74:UYC166 VHY74:VHY166 VRU74:VRU166 WBQ74:WBQ166 WLM74:WLM166 WVI74:WVI166 B74:B166" xr:uid="{00000000-0002-0000-0B00-000004000000}">
      <formula1>Schedule_List</formula1>
    </dataValidation>
  </dataValidations>
  <printOptions horizontalCentered="1"/>
  <pageMargins left="0.15748031496062992" right="0.15748031496062992" top="0.62992125984251968" bottom="0.86614173228346458" header="0.19685039370078741" footer="0.31496062992125984"/>
  <pageSetup paperSize="9" scale="80" fitToHeight="3" orientation="landscape" r:id="rId1"/>
  <headerFooter alignWithMargins="0">
    <oddFooter>&amp;C&amp;11Page &amp;P of &amp;N</oddFooter>
  </headerFooter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239"/>
  <sheetViews>
    <sheetView showGridLines="0" zoomScale="80" zoomScaleNormal="80" workbookViewId="0">
      <pane ySplit="18" topLeftCell="A19" activePane="bottomLeft" state="frozen"/>
      <selection activeCell="N136" sqref="N136"/>
      <selection pane="bottomLeft" sqref="A1:XFD1048576"/>
    </sheetView>
  </sheetViews>
  <sheetFormatPr defaultRowHeight="13.2"/>
  <cols>
    <col min="1" max="1" width="3.06640625" style="38" customWidth="1"/>
    <col min="2" max="2" width="20.33203125" style="39" customWidth="1"/>
    <col min="3" max="3" width="6.59765625" style="56" bestFit="1" customWidth="1"/>
    <col min="4" max="4" width="6.6640625" style="56" bestFit="1" customWidth="1"/>
    <col min="5" max="5" width="7.265625" style="56" hidden="1" customWidth="1"/>
    <col min="6" max="6" width="3.46484375" style="38" bestFit="1" customWidth="1"/>
    <col min="7" max="7" width="8.59765625" style="38" customWidth="1"/>
    <col min="8" max="8" width="8.06640625" style="38" customWidth="1"/>
    <col min="9" max="9" width="5.46484375" style="38" customWidth="1"/>
    <col min="10" max="10" width="4.06640625" style="38" bestFit="1" customWidth="1"/>
    <col min="11" max="11" width="3" style="38" bestFit="1" customWidth="1"/>
    <col min="12" max="13" width="8.06640625" style="38" customWidth="1"/>
    <col min="14" max="14" width="5.46484375" style="38" customWidth="1"/>
    <col min="15" max="15" width="3.33203125" style="38" customWidth="1"/>
    <col min="16" max="16" width="5.1328125" style="124" bestFit="1" customWidth="1"/>
    <col min="17" max="17" width="8.6640625" style="161"/>
    <col min="18" max="245" width="8.6640625" style="124"/>
    <col min="246" max="246" width="2.1328125" style="124" customWidth="1"/>
    <col min="247" max="247" width="20.33203125" style="124" customWidth="1"/>
    <col min="248" max="248" width="6.59765625" style="124" bestFit="1" customWidth="1"/>
    <col min="249" max="249" width="6.6640625" style="124" bestFit="1" customWidth="1"/>
    <col min="250" max="250" width="7" style="124" bestFit="1" customWidth="1"/>
    <col min="251" max="251" width="3.46484375" style="124" bestFit="1" customWidth="1"/>
    <col min="252" max="252" width="8.59765625" style="124" customWidth="1"/>
    <col min="253" max="253" width="8.06640625" style="124" customWidth="1"/>
    <col min="254" max="254" width="5.46484375" style="124" customWidth="1"/>
    <col min="255" max="255" width="3.33203125" style="124" customWidth="1"/>
    <col min="256" max="256" width="3" style="124" bestFit="1" customWidth="1"/>
    <col min="257" max="258" width="8.06640625" style="124" customWidth="1"/>
    <col min="259" max="259" width="5.46484375" style="124" customWidth="1"/>
    <col min="260" max="260" width="3.33203125" style="124" customWidth="1"/>
    <col min="261" max="261" width="5.1328125" style="124" bestFit="1" customWidth="1"/>
    <col min="262" max="262" width="6.06640625" style="124" customWidth="1"/>
    <col min="263" max="263" width="8.6640625" style="124"/>
    <col min="264" max="264" width="7.796875" style="124" bestFit="1" customWidth="1"/>
    <col min="265" max="265" width="6.9296875" style="124" customWidth="1"/>
    <col min="266" max="267" width="8.6640625" style="124"/>
    <col min="268" max="268" width="7.796875" style="124" bestFit="1" customWidth="1"/>
    <col min="269" max="269" width="10.3984375" style="124" customWidth="1"/>
    <col min="270" max="501" width="8.6640625" style="124"/>
    <col min="502" max="502" width="2.1328125" style="124" customWidth="1"/>
    <col min="503" max="503" width="20.33203125" style="124" customWidth="1"/>
    <col min="504" max="504" width="6.59765625" style="124" bestFit="1" customWidth="1"/>
    <col min="505" max="505" width="6.6640625" style="124" bestFit="1" customWidth="1"/>
    <col min="506" max="506" width="7" style="124" bestFit="1" customWidth="1"/>
    <col min="507" max="507" width="3.46484375" style="124" bestFit="1" customWidth="1"/>
    <col min="508" max="508" width="8.59765625" style="124" customWidth="1"/>
    <col min="509" max="509" width="8.06640625" style="124" customWidth="1"/>
    <col min="510" max="510" width="5.46484375" style="124" customWidth="1"/>
    <col min="511" max="511" width="3.33203125" style="124" customWidth="1"/>
    <col min="512" max="512" width="3" style="124" bestFit="1" customWidth="1"/>
    <col min="513" max="514" width="8.06640625" style="124" customWidth="1"/>
    <col min="515" max="515" width="5.46484375" style="124" customWidth="1"/>
    <col min="516" max="516" width="3.33203125" style="124" customWidth="1"/>
    <col min="517" max="517" width="5.1328125" style="124" bestFit="1" customWidth="1"/>
    <col min="518" max="518" width="6.06640625" style="124" customWidth="1"/>
    <col min="519" max="519" width="8.6640625" style="124"/>
    <col min="520" max="520" width="7.796875" style="124" bestFit="1" customWidth="1"/>
    <col min="521" max="521" width="6.9296875" style="124" customWidth="1"/>
    <col min="522" max="523" width="8.6640625" style="124"/>
    <col min="524" max="524" width="7.796875" style="124" bestFit="1" customWidth="1"/>
    <col min="525" max="525" width="10.3984375" style="124" customWidth="1"/>
    <col min="526" max="757" width="8.6640625" style="124"/>
    <col min="758" max="758" width="2.1328125" style="124" customWidth="1"/>
    <col min="759" max="759" width="20.33203125" style="124" customWidth="1"/>
    <col min="760" max="760" width="6.59765625" style="124" bestFit="1" customWidth="1"/>
    <col min="761" max="761" width="6.6640625" style="124" bestFit="1" customWidth="1"/>
    <col min="762" max="762" width="7" style="124" bestFit="1" customWidth="1"/>
    <col min="763" max="763" width="3.46484375" style="124" bestFit="1" customWidth="1"/>
    <col min="764" max="764" width="8.59765625" style="124" customWidth="1"/>
    <col min="765" max="765" width="8.06640625" style="124" customWidth="1"/>
    <col min="766" max="766" width="5.46484375" style="124" customWidth="1"/>
    <col min="767" max="767" width="3.33203125" style="124" customWidth="1"/>
    <col min="768" max="768" width="3" style="124" bestFit="1" customWidth="1"/>
    <col min="769" max="770" width="8.06640625" style="124" customWidth="1"/>
    <col min="771" max="771" width="5.46484375" style="124" customWidth="1"/>
    <col min="772" max="772" width="3.33203125" style="124" customWidth="1"/>
    <col min="773" max="773" width="5.1328125" style="124" bestFit="1" customWidth="1"/>
    <col min="774" max="774" width="6.06640625" style="124" customWidth="1"/>
    <col min="775" max="775" width="8.6640625" style="124"/>
    <col min="776" max="776" width="7.796875" style="124" bestFit="1" customWidth="1"/>
    <col min="777" max="777" width="6.9296875" style="124" customWidth="1"/>
    <col min="778" max="779" width="8.6640625" style="124"/>
    <col min="780" max="780" width="7.796875" style="124" bestFit="1" customWidth="1"/>
    <col min="781" max="781" width="10.3984375" style="124" customWidth="1"/>
    <col min="782" max="1013" width="8.6640625" style="124"/>
    <col min="1014" max="1014" width="2.1328125" style="124" customWidth="1"/>
    <col min="1015" max="1015" width="20.33203125" style="124" customWidth="1"/>
    <col min="1016" max="1016" width="6.59765625" style="124" bestFit="1" customWidth="1"/>
    <col min="1017" max="1017" width="6.6640625" style="124" bestFit="1" customWidth="1"/>
    <col min="1018" max="1018" width="7" style="124" bestFit="1" customWidth="1"/>
    <col min="1019" max="1019" width="3.46484375" style="124" bestFit="1" customWidth="1"/>
    <col min="1020" max="1020" width="8.59765625" style="124" customWidth="1"/>
    <col min="1021" max="1021" width="8.06640625" style="124" customWidth="1"/>
    <col min="1022" max="1022" width="5.46484375" style="124" customWidth="1"/>
    <col min="1023" max="1023" width="3.33203125" style="124" customWidth="1"/>
    <col min="1024" max="1024" width="3" style="124" bestFit="1" customWidth="1"/>
    <col min="1025" max="1026" width="8.06640625" style="124" customWidth="1"/>
    <col min="1027" max="1027" width="5.46484375" style="124" customWidth="1"/>
    <col min="1028" max="1028" width="3.33203125" style="124" customWidth="1"/>
    <col min="1029" max="1029" width="5.1328125" style="124" bestFit="1" customWidth="1"/>
    <col min="1030" max="1030" width="6.06640625" style="124" customWidth="1"/>
    <col min="1031" max="1031" width="8.6640625" style="124"/>
    <col min="1032" max="1032" width="7.796875" style="124" bestFit="1" customWidth="1"/>
    <col min="1033" max="1033" width="6.9296875" style="124" customWidth="1"/>
    <col min="1034" max="1035" width="8.6640625" style="124"/>
    <col min="1036" max="1036" width="7.796875" style="124" bestFit="1" customWidth="1"/>
    <col min="1037" max="1037" width="10.3984375" style="124" customWidth="1"/>
    <col min="1038" max="1269" width="8.6640625" style="124"/>
    <col min="1270" max="1270" width="2.1328125" style="124" customWidth="1"/>
    <col min="1271" max="1271" width="20.33203125" style="124" customWidth="1"/>
    <col min="1272" max="1272" width="6.59765625" style="124" bestFit="1" customWidth="1"/>
    <col min="1273" max="1273" width="6.6640625" style="124" bestFit="1" customWidth="1"/>
    <col min="1274" max="1274" width="7" style="124" bestFit="1" customWidth="1"/>
    <col min="1275" max="1275" width="3.46484375" style="124" bestFit="1" customWidth="1"/>
    <col min="1276" max="1276" width="8.59765625" style="124" customWidth="1"/>
    <col min="1277" max="1277" width="8.06640625" style="124" customWidth="1"/>
    <col min="1278" max="1278" width="5.46484375" style="124" customWidth="1"/>
    <col min="1279" max="1279" width="3.33203125" style="124" customWidth="1"/>
    <col min="1280" max="1280" width="3" style="124" bestFit="1" customWidth="1"/>
    <col min="1281" max="1282" width="8.06640625" style="124" customWidth="1"/>
    <col min="1283" max="1283" width="5.46484375" style="124" customWidth="1"/>
    <col min="1284" max="1284" width="3.33203125" style="124" customWidth="1"/>
    <col min="1285" max="1285" width="5.1328125" style="124" bestFit="1" customWidth="1"/>
    <col min="1286" max="1286" width="6.06640625" style="124" customWidth="1"/>
    <col min="1287" max="1287" width="8.6640625" style="124"/>
    <col min="1288" max="1288" width="7.796875" style="124" bestFit="1" customWidth="1"/>
    <col min="1289" max="1289" width="6.9296875" style="124" customWidth="1"/>
    <col min="1290" max="1291" width="8.6640625" style="124"/>
    <col min="1292" max="1292" width="7.796875" style="124" bestFit="1" customWidth="1"/>
    <col min="1293" max="1293" width="10.3984375" style="124" customWidth="1"/>
    <col min="1294" max="1525" width="8.6640625" style="124"/>
    <col min="1526" max="1526" width="2.1328125" style="124" customWidth="1"/>
    <col min="1527" max="1527" width="20.33203125" style="124" customWidth="1"/>
    <col min="1528" max="1528" width="6.59765625" style="124" bestFit="1" customWidth="1"/>
    <col min="1529" max="1529" width="6.6640625" style="124" bestFit="1" customWidth="1"/>
    <col min="1530" max="1530" width="7" style="124" bestFit="1" customWidth="1"/>
    <col min="1531" max="1531" width="3.46484375" style="124" bestFit="1" customWidth="1"/>
    <col min="1532" max="1532" width="8.59765625" style="124" customWidth="1"/>
    <col min="1533" max="1533" width="8.06640625" style="124" customWidth="1"/>
    <col min="1534" max="1534" width="5.46484375" style="124" customWidth="1"/>
    <col min="1535" max="1535" width="3.33203125" style="124" customWidth="1"/>
    <col min="1536" max="1536" width="3" style="124" bestFit="1" customWidth="1"/>
    <col min="1537" max="1538" width="8.06640625" style="124" customWidth="1"/>
    <col min="1539" max="1539" width="5.46484375" style="124" customWidth="1"/>
    <col min="1540" max="1540" width="3.33203125" style="124" customWidth="1"/>
    <col min="1541" max="1541" width="5.1328125" style="124" bestFit="1" customWidth="1"/>
    <col min="1542" max="1542" width="6.06640625" style="124" customWidth="1"/>
    <col min="1543" max="1543" width="8.6640625" style="124"/>
    <col min="1544" max="1544" width="7.796875" style="124" bestFit="1" customWidth="1"/>
    <col min="1545" max="1545" width="6.9296875" style="124" customWidth="1"/>
    <col min="1546" max="1547" width="8.6640625" style="124"/>
    <col min="1548" max="1548" width="7.796875" style="124" bestFit="1" customWidth="1"/>
    <col min="1549" max="1549" width="10.3984375" style="124" customWidth="1"/>
    <col min="1550" max="1781" width="8.6640625" style="124"/>
    <col min="1782" max="1782" width="2.1328125" style="124" customWidth="1"/>
    <col min="1783" max="1783" width="20.33203125" style="124" customWidth="1"/>
    <col min="1784" max="1784" width="6.59765625" style="124" bestFit="1" customWidth="1"/>
    <col min="1785" max="1785" width="6.6640625" style="124" bestFit="1" customWidth="1"/>
    <col min="1786" max="1786" width="7" style="124" bestFit="1" customWidth="1"/>
    <col min="1787" max="1787" width="3.46484375" style="124" bestFit="1" customWidth="1"/>
    <col min="1788" max="1788" width="8.59765625" style="124" customWidth="1"/>
    <col min="1789" max="1789" width="8.06640625" style="124" customWidth="1"/>
    <col min="1790" max="1790" width="5.46484375" style="124" customWidth="1"/>
    <col min="1791" max="1791" width="3.33203125" style="124" customWidth="1"/>
    <col min="1792" max="1792" width="3" style="124" bestFit="1" customWidth="1"/>
    <col min="1793" max="1794" width="8.06640625" style="124" customWidth="1"/>
    <col min="1795" max="1795" width="5.46484375" style="124" customWidth="1"/>
    <col min="1796" max="1796" width="3.33203125" style="124" customWidth="1"/>
    <col min="1797" max="1797" width="5.1328125" style="124" bestFit="1" customWidth="1"/>
    <col min="1798" max="1798" width="6.06640625" style="124" customWidth="1"/>
    <col min="1799" max="1799" width="8.6640625" style="124"/>
    <col min="1800" max="1800" width="7.796875" style="124" bestFit="1" customWidth="1"/>
    <col min="1801" max="1801" width="6.9296875" style="124" customWidth="1"/>
    <col min="1802" max="1803" width="8.6640625" style="124"/>
    <col min="1804" max="1804" width="7.796875" style="124" bestFit="1" customWidth="1"/>
    <col min="1805" max="1805" width="10.3984375" style="124" customWidth="1"/>
    <col min="1806" max="2037" width="8.6640625" style="124"/>
    <col min="2038" max="2038" width="2.1328125" style="124" customWidth="1"/>
    <col min="2039" max="2039" width="20.33203125" style="124" customWidth="1"/>
    <col min="2040" max="2040" width="6.59765625" style="124" bestFit="1" customWidth="1"/>
    <col min="2041" max="2041" width="6.6640625" style="124" bestFit="1" customWidth="1"/>
    <col min="2042" max="2042" width="7" style="124" bestFit="1" customWidth="1"/>
    <col min="2043" max="2043" width="3.46484375" style="124" bestFit="1" customWidth="1"/>
    <col min="2044" max="2044" width="8.59765625" style="124" customWidth="1"/>
    <col min="2045" max="2045" width="8.06640625" style="124" customWidth="1"/>
    <col min="2046" max="2046" width="5.46484375" style="124" customWidth="1"/>
    <col min="2047" max="2047" width="3.33203125" style="124" customWidth="1"/>
    <col min="2048" max="2048" width="3" style="124" bestFit="1" customWidth="1"/>
    <col min="2049" max="2050" width="8.06640625" style="124" customWidth="1"/>
    <col min="2051" max="2051" width="5.46484375" style="124" customWidth="1"/>
    <col min="2052" max="2052" width="3.33203125" style="124" customWidth="1"/>
    <col min="2053" max="2053" width="5.1328125" style="124" bestFit="1" customWidth="1"/>
    <col min="2054" max="2054" width="6.06640625" style="124" customWidth="1"/>
    <col min="2055" max="2055" width="8.6640625" style="124"/>
    <col min="2056" max="2056" width="7.796875" style="124" bestFit="1" customWidth="1"/>
    <col min="2057" max="2057" width="6.9296875" style="124" customWidth="1"/>
    <col min="2058" max="2059" width="8.6640625" style="124"/>
    <col min="2060" max="2060" width="7.796875" style="124" bestFit="1" customWidth="1"/>
    <col min="2061" max="2061" width="10.3984375" style="124" customWidth="1"/>
    <col min="2062" max="2293" width="8.6640625" style="124"/>
    <col min="2294" max="2294" width="2.1328125" style="124" customWidth="1"/>
    <col min="2295" max="2295" width="20.33203125" style="124" customWidth="1"/>
    <col min="2296" max="2296" width="6.59765625" style="124" bestFit="1" customWidth="1"/>
    <col min="2297" max="2297" width="6.6640625" style="124" bestFit="1" customWidth="1"/>
    <col min="2298" max="2298" width="7" style="124" bestFit="1" customWidth="1"/>
    <col min="2299" max="2299" width="3.46484375" style="124" bestFit="1" customWidth="1"/>
    <col min="2300" max="2300" width="8.59765625" style="124" customWidth="1"/>
    <col min="2301" max="2301" width="8.06640625" style="124" customWidth="1"/>
    <col min="2302" max="2302" width="5.46484375" style="124" customWidth="1"/>
    <col min="2303" max="2303" width="3.33203125" style="124" customWidth="1"/>
    <col min="2304" max="2304" width="3" style="124" bestFit="1" customWidth="1"/>
    <col min="2305" max="2306" width="8.06640625" style="124" customWidth="1"/>
    <col min="2307" max="2307" width="5.46484375" style="124" customWidth="1"/>
    <col min="2308" max="2308" width="3.33203125" style="124" customWidth="1"/>
    <col min="2309" max="2309" width="5.1328125" style="124" bestFit="1" customWidth="1"/>
    <col min="2310" max="2310" width="6.06640625" style="124" customWidth="1"/>
    <col min="2311" max="2311" width="8.6640625" style="124"/>
    <col min="2312" max="2312" width="7.796875" style="124" bestFit="1" customWidth="1"/>
    <col min="2313" max="2313" width="6.9296875" style="124" customWidth="1"/>
    <col min="2314" max="2315" width="8.6640625" style="124"/>
    <col min="2316" max="2316" width="7.796875" style="124" bestFit="1" customWidth="1"/>
    <col min="2317" max="2317" width="10.3984375" style="124" customWidth="1"/>
    <col min="2318" max="2549" width="8.6640625" style="124"/>
    <col min="2550" max="2550" width="2.1328125" style="124" customWidth="1"/>
    <col min="2551" max="2551" width="20.33203125" style="124" customWidth="1"/>
    <col min="2552" max="2552" width="6.59765625" style="124" bestFit="1" customWidth="1"/>
    <col min="2553" max="2553" width="6.6640625" style="124" bestFit="1" customWidth="1"/>
    <col min="2554" max="2554" width="7" style="124" bestFit="1" customWidth="1"/>
    <col min="2555" max="2555" width="3.46484375" style="124" bestFit="1" customWidth="1"/>
    <col min="2556" max="2556" width="8.59765625" style="124" customWidth="1"/>
    <col min="2557" max="2557" width="8.06640625" style="124" customWidth="1"/>
    <col min="2558" max="2558" width="5.46484375" style="124" customWidth="1"/>
    <col min="2559" max="2559" width="3.33203125" style="124" customWidth="1"/>
    <col min="2560" max="2560" width="3" style="124" bestFit="1" customWidth="1"/>
    <col min="2561" max="2562" width="8.06640625" style="124" customWidth="1"/>
    <col min="2563" max="2563" width="5.46484375" style="124" customWidth="1"/>
    <col min="2564" max="2564" width="3.33203125" style="124" customWidth="1"/>
    <col min="2565" max="2565" width="5.1328125" style="124" bestFit="1" customWidth="1"/>
    <col min="2566" max="2566" width="6.06640625" style="124" customWidth="1"/>
    <col min="2567" max="2567" width="8.6640625" style="124"/>
    <col min="2568" max="2568" width="7.796875" style="124" bestFit="1" customWidth="1"/>
    <col min="2569" max="2569" width="6.9296875" style="124" customWidth="1"/>
    <col min="2570" max="2571" width="8.6640625" style="124"/>
    <col min="2572" max="2572" width="7.796875" style="124" bestFit="1" customWidth="1"/>
    <col min="2573" max="2573" width="10.3984375" style="124" customWidth="1"/>
    <col min="2574" max="2805" width="8.6640625" style="124"/>
    <col min="2806" max="2806" width="2.1328125" style="124" customWidth="1"/>
    <col min="2807" max="2807" width="20.33203125" style="124" customWidth="1"/>
    <col min="2808" max="2808" width="6.59765625" style="124" bestFit="1" customWidth="1"/>
    <col min="2809" max="2809" width="6.6640625" style="124" bestFit="1" customWidth="1"/>
    <col min="2810" max="2810" width="7" style="124" bestFit="1" customWidth="1"/>
    <col min="2811" max="2811" width="3.46484375" style="124" bestFit="1" customWidth="1"/>
    <col min="2812" max="2812" width="8.59765625" style="124" customWidth="1"/>
    <col min="2813" max="2813" width="8.06640625" style="124" customWidth="1"/>
    <col min="2814" max="2814" width="5.46484375" style="124" customWidth="1"/>
    <col min="2815" max="2815" width="3.33203125" style="124" customWidth="1"/>
    <col min="2816" max="2816" width="3" style="124" bestFit="1" customWidth="1"/>
    <col min="2817" max="2818" width="8.06640625" style="124" customWidth="1"/>
    <col min="2819" max="2819" width="5.46484375" style="124" customWidth="1"/>
    <col min="2820" max="2820" width="3.33203125" style="124" customWidth="1"/>
    <col min="2821" max="2821" width="5.1328125" style="124" bestFit="1" customWidth="1"/>
    <col min="2822" max="2822" width="6.06640625" style="124" customWidth="1"/>
    <col min="2823" max="2823" width="8.6640625" style="124"/>
    <col min="2824" max="2824" width="7.796875" style="124" bestFit="1" customWidth="1"/>
    <col min="2825" max="2825" width="6.9296875" style="124" customWidth="1"/>
    <col min="2826" max="2827" width="8.6640625" style="124"/>
    <col min="2828" max="2828" width="7.796875" style="124" bestFit="1" customWidth="1"/>
    <col min="2829" max="2829" width="10.3984375" style="124" customWidth="1"/>
    <col min="2830" max="3061" width="8.6640625" style="124"/>
    <col min="3062" max="3062" width="2.1328125" style="124" customWidth="1"/>
    <col min="3063" max="3063" width="20.33203125" style="124" customWidth="1"/>
    <col min="3064" max="3064" width="6.59765625" style="124" bestFit="1" customWidth="1"/>
    <col min="3065" max="3065" width="6.6640625" style="124" bestFit="1" customWidth="1"/>
    <col min="3066" max="3066" width="7" style="124" bestFit="1" customWidth="1"/>
    <col min="3067" max="3067" width="3.46484375" style="124" bestFit="1" customWidth="1"/>
    <col min="3068" max="3068" width="8.59765625" style="124" customWidth="1"/>
    <col min="3069" max="3069" width="8.06640625" style="124" customWidth="1"/>
    <col min="3070" max="3070" width="5.46484375" style="124" customWidth="1"/>
    <col min="3071" max="3071" width="3.33203125" style="124" customWidth="1"/>
    <col min="3072" max="3072" width="3" style="124" bestFit="1" customWidth="1"/>
    <col min="3073" max="3074" width="8.06640625" style="124" customWidth="1"/>
    <col min="3075" max="3075" width="5.46484375" style="124" customWidth="1"/>
    <col min="3076" max="3076" width="3.33203125" style="124" customWidth="1"/>
    <col min="3077" max="3077" width="5.1328125" style="124" bestFit="1" customWidth="1"/>
    <col min="3078" max="3078" width="6.06640625" style="124" customWidth="1"/>
    <col min="3079" max="3079" width="8.6640625" style="124"/>
    <col min="3080" max="3080" width="7.796875" style="124" bestFit="1" customWidth="1"/>
    <col min="3081" max="3081" width="6.9296875" style="124" customWidth="1"/>
    <col min="3082" max="3083" width="8.6640625" style="124"/>
    <col min="3084" max="3084" width="7.796875" style="124" bestFit="1" customWidth="1"/>
    <col min="3085" max="3085" width="10.3984375" style="124" customWidth="1"/>
    <col min="3086" max="3317" width="8.6640625" style="124"/>
    <col min="3318" max="3318" width="2.1328125" style="124" customWidth="1"/>
    <col min="3319" max="3319" width="20.33203125" style="124" customWidth="1"/>
    <col min="3320" max="3320" width="6.59765625" style="124" bestFit="1" customWidth="1"/>
    <col min="3321" max="3321" width="6.6640625" style="124" bestFit="1" customWidth="1"/>
    <col min="3322" max="3322" width="7" style="124" bestFit="1" customWidth="1"/>
    <col min="3323" max="3323" width="3.46484375" style="124" bestFit="1" customWidth="1"/>
    <col min="3324" max="3324" width="8.59765625" style="124" customWidth="1"/>
    <col min="3325" max="3325" width="8.06640625" style="124" customWidth="1"/>
    <col min="3326" max="3326" width="5.46484375" style="124" customWidth="1"/>
    <col min="3327" max="3327" width="3.33203125" style="124" customWidth="1"/>
    <col min="3328" max="3328" width="3" style="124" bestFit="1" customWidth="1"/>
    <col min="3329" max="3330" width="8.06640625" style="124" customWidth="1"/>
    <col min="3331" max="3331" width="5.46484375" style="124" customWidth="1"/>
    <col min="3332" max="3332" width="3.33203125" style="124" customWidth="1"/>
    <col min="3333" max="3333" width="5.1328125" style="124" bestFit="1" customWidth="1"/>
    <col min="3334" max="3334" width="6.06640625" style="124" customWidth="1"/>
    <col min="3335" max="3335" width="8.6640625" style="124"/>
    <col min="3336" max="3336" width="7.796875" style="124" bestFit="1" customWidth="1"/>
    <col min="3337" max="3337" width="6.9296875" style="124" customWidth="1"/>
    <col min="3338" max="3339" width="8.6640625" style="124"/>
    <col min="3340" max="3340" width="7.796875" style="124" bestFit="1" customWidth="1"/>
    <col min="3341" max="3341" width="10.3984375" style="124" customWidth="1"/>
    <col min="3342" max="3573" width="8.6640625" style="124"/>
    <col min="3574" max="3574" width="2.1328125" style="124" customWidth="1"/>
    <col min="3575" max="3575" width="20.33203125" style="124" customWidth="1"/>
    <col min="3576" max="3576" width="6.59765625" style="124" bestFit="1" customWidth="1"/>
    <col min="3577" max="3577" width="6.6640625" style="124" bestFit="1" customWidth="1"/>
    <col min="3578" max="3578" width="7" style="124" bestFit="1" customWidth="1"/>
    <col min="3579" max="3579" width="3.46484375" style="124" bestFit="1" customWidth="1"/>
    <col min="3580" max="3580" width="8.59765625" style="124" customWidth="1"/>
    <col min="3581" max="3581" width="8.06640625" style="124" customWidth="1"/>
    <col min="3582" max="3582" width="5.46484375" style="124" customWidth="1"/>
    <col min="3583" max="3583" width="3.33203125" style="124" customWidth="1"/>
    <col min="3584" max="3584" width="3" style="124" bestFit="1" customWidth="1"/>
    <col min="3585" max="3586" width="8.06640625" style="124" customWidth="1"/>
    <col min="3587" max="3587" width="5.46484375" style="124" customWidth="1"/>
    <col min="3588" max="3588" width="3.33203125" style="124" customWidth="1"/>
    <col min="3589" max="3589" width="5.1328125" style="124" bestFit="1" customWidth="1"/>
    <col min="3590" max="3590" width="6.06640625" style="124" customWidth="1"/>
    <col min="3591" max="3591" width="8.6640625" style="124"/>
    <col min="3592" max="3592" width="7.796875" style="124" bestFit="1" customWidth="1"/>
    <col min="3593" max="3593" width="6.9296875" style="124" customWidth="1"/>
    <col min="3594" max="3595" width="8.6640625" style="124"/>
    <col min="3596" max="3596" width="7.796875" style="124" bestFit="1" customWidth="1"/>
    <col min="3597" max="3597" width="10.3984375" style="124" customWidth="1"/>
    <col min="3598" max="3829" width="8.6640625" style="124"/>
    <col min="3830" max="3830" width="2.1328125" style="124" customWidth="1"/>
    <col min="3831" max="3831" width="20.33203125" style="124" customWidth="1"/>
    <col min="3832" max="3832" width="6.59765625" style="124" bestFit="1" customWidth="1"/>
    <col min="3833" max="3833" width="6.6640625" style="124" bestFit="1" customWidth="1"/>
    <col min="3834" max="3834" width="7" style="124" bestFit="1" customWidth="1"/>
    <col min="3835" max="3835" width="3.46484375" style="124" bestFit="1" customWidth="1"/>
    <col min="3836" max="3836" width="8.59765625" style="124" customWidth="1"/>
    <col min="3837" max="3837" width="8.06640625" style="124" customWidth="1"/>
    <col min="3838" max="3838" width="5.46484375" style="124" customWidth="1"/>
    <col min="3839" max="3839" width="3.33203125" style="124" customWidth="1"/>
    <col min="3840" max="3840" width="3" style="124" bestFit="1" customWidth="1"/>
    <col min="3841" max="3842" width="8.06640625" style="124" customWidth="1"/>
    <col min="3843" max="3843" width="5.46484375" style="124" customWidth="1"/>
    <col min="3844" max="3844" width="3.33203125" style="124" customWidth="1"/>
    <col min="3845" max="3845" width="5.1328125" style="124" bestFit="1" customWidth="1"/>
    <col min="3846" max="3846" width="6.06640625" style="124" customWidth="1"/>
    <col min="3847" max="3847" width="8.6640625" style="124"/>
    <col min="3848" max="3848" width="7.796875" style="124" bestFit="1" customWidth="1"/>
    <col min="3849" max="3849" width="6.9296875" style="124" customWidth="1"/>
    <col min="3850" max="3851" width="8.6640625" style="124"/>
    <col min="3852" max="3852" width="7.796875" style="124" bestFit="1" customWidth="1"/>
    <col min="3853" max="3853" width="10.3984375" style="124" customWidth="1"/>
    <col min="3854" max="4085" width="8.6640625" style="124"/>
    <col min="4086" max="4086" width="2.1328125" style="124" customWidth="1"/>
    <col min="4087" max="4087" width="20.33203125" style="124" customWidth="1"/>
    <col min="4088" max="4088" width="6.59765625" style="124" bestFit="1" customWidth="1"/>
    <col min="4089" max="4089" width="6.6640625" style="124" bestFit="1" customWidth="1"/>
    <col min="4090" max="4090" width="7" style="124" bestFit="1" customWidth="1"/>
    <col min="4091" max="4091" width="3.46484375" style="124" bestFit="1" customWidth="1"/>
    <col min="4092" max="4092" width="8.59765625" style="124" customWidth="1"/>
    <col min="4093" max="4093" width="8.06640625" style="124" customWidth="1"/>
    <col min="4094" max="4094" width="5.46484375" style="124" customWidth="1"/>
    <col min="4095" max="4095" width="3.33203125" style="124" customWidth="1"/>
    <col min="4096" max="4096" width="3" style="124" bestFit="1" customWidth="1"/>
    <col min="4097" max="4098" width="8.06640625" style="124" customWidth="1"/>
    <col min="4099" max="4099" width="5.46484375" style="124" customWidth="1"/>
    <col min="4100" max="4100" width="3.33203125" style="124" customWidth="1"/>
    <col min="4101" max="4101" width="5.1328125" style="124" bestFit="1" customWidth="1"/>
    <col min="4102" max="4102" width="6.06640625" style="124" customWidth="1"/>
    <col min="4103" max="4103" width="8.6640625" style="124"/>
    <col min="4104" max="4104" width="7.796875" style="124" bestFit="1" customWidth="1"/>
    <col min="4105" max="4105" width="6.9296875" style="124" customWidth="1"/>
    <col min="4106" max="4107" width="8.6640625" style="124"/>
    <col min="4108" max="4108" width="7.796875" style="124" bestFit="1" customWidth="1"/>
    <col min="4109" max="4109" width="10.3984375" style="124" customWidth="1"/>
    <col min="4110" max="4341" width="8.6640625" style="124"/>
    <col min="4342" max="4342" width="2.1328125" style="124" customWidth="1"/>
    <col min="4343" max="4343" width="20.33203125" style="124" customWidth="1"/>
    <col min="4344" max="4344" width="6.59765625" style="124" bestFit="1" customWidth="1"/>
    <col min="4345" max="4345" width="6.6640625" style="124" bestFit="1" customWidth="1"/>
    <col min="4346" max="4346" width="7" style="124" bestFit="1" customWidth="1"/>
    <col min="4347" max="4347" width="3.46484375" style="124" bestFit="1" customWidth="1"/>
    <col min="4348" max="4348" width="8.59765625" style="124" customWidth="1"/>
    <col min="4349" max="4349" width="8.06640625" style="124" customWidth="1"/>
    <col min="4350" max="4350" width="5.46484375" style="124" customWidth="1"/>
    <col min="4351" max="4351" width="3.33203125" style="124" customWidth="1"/>
    <col min="4352" max="4352" width="3" style="124" bestFit="1" customWidth="1"/>
    <col min="4353" max="4354" width="8.06640625" style="124" customWidth="1"/>
    <col min="4355" max="4355" width="5.46484375" style="124" customWidth="1"/>
    <col min="4356" max="4356" width="3.33203125" style="124" customWidth="1"/>
    <col min="4357" max="4357" width="5.1328125" style="124" bestFit="1" customWidth="1"/>
    <col min="4358" max="4358" width="6.06640625" style="124" customWidth="1"/>
    <col min="4359" max="4359" width="8.6640625" style="124"/>
    <col min="4360" max="4360" width="7.796875" style="124" bestFit="1" customWidth="1"/>
    <col min="4361" max="4361" width="6.9296875" style="124" customWidth="1"/>
    <col min="4362" max="4363" width="8.6640625" style="124"/>
    <col min="4364" max="4364" width="7.796875" style="124" bestFit="1" customWidth="1"/>
    <col min="4365" max="4365" width="10.3984375" style="124" customWidth="1"/>
    <col min="4366" max="4597" width="8.6640625" style="124"/>
    <col min="4598" max="4598" width="2.1328125" style="124" customWidth="1"/>
    <col min="4599" max="4599" width="20.33203125" style="124" customWidth="1"/>
    <col min="4600" max="4600" width="6.59765625" style="124" bestFit="1" customWidth="1"/>
    <col min="4601" max="4601" width="6.6640625" style="124" bestFit="1" customWidth="1"/>
    <col min="4602" max="4602" width="7" style="124" bestFit="1" customWidth="1"/>
    <col min="4603" max="4603" width="3.46484375" style="124" bestFit="1" customWidth="1"/>
    <col min="4604" max="4604" width="8.59765625" style="124" customWidth="1"/>
    <col min="4605" max="4605" width="8.06640625" style="124" customWidth="1"/>
    <col min="4606" max="4606" width="5.46484375" style="124" customWidth="1"/>
    <col min="4607" max="4607" width="3.33203125" style="124" customWidth="1"/>
    <col min="4608" max="4608" width="3" style="124" bestFit="1" customWidth="1"/>
    <col min="4609" max="4610" width="8.06640625" style="124" customWidth="1"/>
    <col min="4611" max="4611" width="5.46484375" style="124" customWidth="1"/>
    <col min="4612" max="4612" width="3.33203125" style="124" customWidth="1"/>
    <col min="4613" max="4613" width="5.1328125" style="124" bestFit="1" customWidth="1"/>
    <col min="4614" max="4614" width="6.06640625" style="124" customWidth="1"/>
    <col min="4615" max="4615" width="8.6640625" style="124"/>
    <col min="4616" max="4616" width="7.796875" style="124" bestFit="1" customWidth="1"/>
    <col min="4617" max="4617" width="6.9296875" style="124" customWidth="1"/>
    <col min="4618" max="4619" width="8.6640625" style="124"/>
    <col min="4620" max="4620" width="7.796875" style="124" bestFit="1" customWidth="1"/>
    <col min="4621" max="4621" width="10.3984375" style="124" customWidth="1"/>
    <col min="4622" max="4853" width="8.6640625" style="124"/>
    <col min="4854" max="4854" width="2.1328125" style="124" customWidth="1"/>
    <col min="4855" max="4855" width="20.33203125" style="124" customWidth="1"/>
    <col min="4856" max="4856" width="6.59765625" style="124" bestFit="1" customWidth="1"/>
    <col min="4857" max="4857" width="6.6640625" style="124" bestFit="1" customWidth="1"/>
    <col min="4858" max="4858" width="7" style="124" bestFit="1" customWidth="1"/>
    <col min="4859" max="4859" width="3.46484375" style="124" bestFit="1" customWidth="1"/>
    <col min="4860" max="4860" width="8.59765625" style="124" customWidth="1"/>
    <col min="4861" max="4861" width="8.06640625" style="124" customWidth="1"/>
    <col min="4862" max="4862" width="5.46484375" style="124" customWidth="1"/>
    <col min="4863" max="4863" width="3.33203125" style="124" customWidth="1"/>
    <col min="4864" max="4864" width="3" style="124" bestFit="1" customWidth="1"/>
    <col min="4865" max="4866" width="8.06640625" style="124" customWidth="1"/>
    <col min="4867" max="4867" width="5.46484375" style="124" customWidth="1"/>
    <col min="4868" max="4868" width="3.33203125" style="124" customWidth="1"/>
    <col min="4869" max="4869" width="5.1328125" style="124" bestFit="1" customWidth="1"/>
    <col min="4870" max="4870" width="6.06640625" style="124" customWidth="1"/>
    <col min="4871" max="4871" width="8.6640625" style="124"/>
    <col min="4872" max="4872" width="7.796875" style="124" bestFit="1" customWidth="1"/>
    <col min="4873" max="4873" width="6.9296875" style="124" customWidth="1"/>
    <col min="4874" max="4875" width="8.6640625" style="124"/>
    <col min="4876" max="4876" width="7.796875" style="124" bestFit="1" customWidth="1"/>
    <col min="4877" max="4877" width="10.3984375" style="124" customWidth="1"/>
    <col min="4878" max="5109" width="8.6640625" style="124"/>
    <col min="5110" max="5110" width="2.1328125" style="124" customWidth="1"/>
    <col min="5111" max="5111" width="20.33203125" style="124" customWidth="1"/>
    <col min="5112" max="5112" width="6.59765625" style="124" bestFit="1" customWidth="1"/>
    <col min="5113" max="5113" width="6.6640625" style="124" bestFit="1" customWidth="1"/>
    <col min="5114" max="5114" width="7" style="124" bestFit="1" customWidth="1"/>
    <col min="5115" max="5115" width="3.46484375" style="124" bestFit="1" customWidth="1"/>
    <col min="5116" max="5116" width="8.59765625" style="124" customWidth="1"/>
    <col min="5117" max="5117" width="8.06640625" style="124" customWidth="1"/>
    <col min="5118" max="5118" width="5.46484375" style="124" customWidth="1"/>
    <col min="5119" max="5119" width="3.33203125" style="124" customWidth="1"/>
    <col min="5120" max="5120" width="3" style="124" bestFit="1" customWidth="1"/>
    <col min="5121" max="5122" width="8.06640625" style="124" customWidth="1"/>
    <col min="5123" max="5123" width="5.46484375" style="124" customWidth="1"/>
    <col min="5124" max="5124" width="3.33203125" style="124" customWidth="1"/>
    <col min="5125" max="5125" width="5.1328125" style="124" bestFit="1" customWidth="1"/>
    <col min="5126" max="5126" width="6.06640625" style="124" customWidth="1"/>
    <col min="5127" max="5127" width="8.6640625" style="124"/>
    <col min="5128" max="5128" width="7.796875" style="124" bestFit="1" customWidth="1"/>
    <col min="5129" max="5129" width="6.9296875" style="124" customWidth="1"/>
    <col min="5130" max="5131" width="8.6640625" style="124"/>
    <col min="5132" max="5132" width="7.796875" style="124" bestFit="1" customWidth="1"/>
    <col min="5133" max="5133" width="10.3984375" style="124" customWidth="1"/>
    <col min="5134" max="5365" width="8.6640625" style="124"/>
    <col min="5366" max="5366" width="2.1328125" style="124" customWidth="1"/>
    <col min="5367" max="5367" width="20.33203125" style="124" customWidth="1"/>
    <col min="5368" max="5368" width="6.59765625" style="124" bestFit="1" customWidth="1"/>
    <col min="5369" max="5369" width="6.6640625" style="124" bestFit="1" customWidth="1"/>
    <col min="5370" max="5370" width="7" style="124" bestFit="1" customWidth="1"/>
    <col min="5371" max="5371" width="3.46484375" style="124" bestFit="1" customWidth="1"/>
    <col min="5372" max="5372" width="8.59765625" style="124" customWidth="1"/>
    <col min="5373" max="5373" width="8.06640625" style="124" customWidth="1"/>
    <col min="5374" max="5374" width="5.46484375" style="124" customWidth="1"/>
    <col min="5375" max="5375" width="3.33203125" style="124" customWidth="1"/>
    <col min="5376" max="5376" width="3" style="124" bestFit="1" customWidth="1"/>
    <col min="5377" max="5378" width="8.06640625" style="124" customWidth="1"/>
    <col min="5379" max="5379" width="5.46484375" style="124" customWidth="1"/>
    <col min="5380" max="5380" width="3.33203125" style="124" customWidth="1"/>
    <col min="5381" max="5381" width="5.1328125" style="124" bestFit="1" customWidth="1"/>
    <col min="5382" max="5382" width="6.06640625" style="124" customWidth="1"/>
    <col min="5383" max="5383" width="8.6640625" style="124"/>
    <col min="5384" max="5384" width="7.796875" style="124" bestFit="1" customWidth="1"/>
    <col min="5385" max="5385" width="6.9296875" style="124" customWidth="1"/>
    <col min="5386" max="5387" width="8.6640625" style="124"/>
    <col min="5388" max="5388" width="7.796875" style="124" bestFit="1" customWidth="1"/>
    <col min="5389" max="5389" width="10.3984375" style="124" customWidth="1"/>
    <col min="5390" max="5621" width="8.6640625" style="124"/>
    <col min="5622" max="5622" width="2.1328125" style="124" customWidth="1"/>
    <col min="5623" max="5623" width="20.33203125" style="124" customWidth="1"/>
    <col min="5624" max="5624" width="6.59765625" style="124" bestFit="1" customWidth="1"/>
    <col min="5625" max="5625" width="6.6640625" style="124" bestFit="1" customWidth="1"/>
    <col min="5626" max="5626" width="7" style="124" bestFit="1" customWidth="1"/>
    <col min="5627" max="5627" width="3.46484375" style="124" bestFit="1" customWidth="1"/>
    <col min="5628" max="5628" width="8.59765625" style="124" customWidth="1"/>
    <col min="5629" max="5629" width="8.06640625" style="124" customWidth="1"/>
    <col min="5630" max="5630" width="5.46484375" style="124" customWidth="1"/>
    <col min="5631" max="5631" width="3.33203125" style="124" customWidth="1"/>
    <col min="5632" max="5632" width="3" style="124" bestFit="1" customWidth="1"/>
    <col min="5633" max="5634" width="8.06640625" style="124" customWidth="1"/>
    <col min="5635" max="5635" width="5.46484375" style="124" customWidth="1"/>
    <col min="5636" max="5636" width="3.33203125" style="124" customWidth="1"/>
    <col min="5637" max="5637" width="5.1328125" style="124" bestFit="1" customWidth="1"/>
    <col min="5638" max="5638" width="6.06640625" style="124" customWidth="1"/>
    <col min="5639" max="5639" width="8.6640625" style="124"/>
    <col min="5640" max="5640" width="7.796875" style="124" bestFit="1" customWidth="1"/>
    <col min="5641" max="5641" width="6.9296875" style="124" customWidth="1"/>
    <col min="5642" max="5643" width="8.6640625" style="124"/>
    <col min="5644" max="5644" width="7.796875" style="124" bestFit="1" customWidth="1"/>
    <col min="5645" max="5645" width="10.3984375" style="124" customWidth="1"/>
    <col min="5646" max="5877" width="8.6640625" style="124"/>
    <col min="5878" max="5878" width="2.1328125" style="124" customWidth="1"/>
    <col min="5879" max="5879" width="20.33203125" style="124" customWidth="1"/>
    <col min="5880" max="5880" width="6.59765625" style="124" bestFit="1" customWidth="1"/>
    <col min="5881" max="5881" width="6.6640625" style="124" bestFit="1" customWidth="1"/>
    <col min="5882" max="5882" width="7" style="124" bestFit="1" customWidth="1"/>
    <col min="5883" max="5883" width="3.46484375" style="124" bestFit="1" customWidth="1"/>
    <col min="5884" max="5884" width="8.59765625" style="124" customWidth="1"/>
    <col min="5885" max="5885" width="8.06640625" style="124" customWidth="1"/>
    <col min="5886" max="5886" width="5.46484375" style="124" customWidth="1"/>
    <col min="5887" max="5887" width="3.33203125" style="124" customWidth="1"/>
    <col min="5888" max="5888" width="3" style="124" bestFit="1" customWidth="1"/>
    <col min="5889" max="5890" width="8.06640625" style="124" customWidth="1"/>
    <col min="5891" max="5891" width="5.46484375" style="124" customWidth="1"/>
    <col min="5892" max="5892" width="3.33203125" style="124" customWidth="1"/>
    <col min="5893" max="5893" width="5.1328125" style="124" bestFit="1" customWidth="1"/>
    <col min="5894" max="5894" width="6.06640625" style="124" customWidth="1"/>
    <col min="5895" max="5895" width="8.6640625" style="124"/>
    <col min="5896" max="5896" width="7.796875" style="124" bestFit="1" customWidth="1"/>
    <col min="5897" max="5897" width="6.9296875" style="124" customWidth="1"/>
    <col min="5898" max="5899" width="8.6640625" style="124"/>
    <col min="5900" max="5900" width="7.796875" style="124" bestFit="1" customWidth="1"/>
    <col min="5901" max="5901" width="10.3984375" style="124" customWidth="1"/>
    <col min="5902" max="6133" width="8.6640625" style="124"/>
    <col min="6134" max="6134" width="2.1328125" style="124" customWidth="1"/>
    <col min="6135" max="6135" width="20.33203125" style="124" customWidth="1"/>
    <col min="6136" max="6136" width="6.59765625" style="124" bestFit="1" customWidth="1"/>
    <col min="6137" max="6137" width="6.6640625" style="124" bestFit="1" customWidth="1"/>
    <col min="6138" max="6138" width="7" style="124" bestFit="1" customWidth="1"/>
    <col min="6139" max="6139" width="3.46484375" style="124" bestFit="1" customWidth="1"/>
    <col min="6140" max="6140" width="8.59765625" style="124" customWidth="1"/>
    <col min="6141" max="6141" width="8.06640625" style="124" customWidth="1"/>
    <col min="6142" max="6142" width="5.46484375" style="124" customWidth="1"/>
    <col min="6143" max="6143" width="3.33203125" style="124" customWidth="1"/>
    <col min="6144" max="6144" width="3" style="124" bestFit="1" customWidth="1"/>
    <col min="6145" max="6146" width="8.06640625" style="124" customWidth="1"/>
    <col min="6147" max="6147" width="5.46484375" style="124" customWidth="1"/>
    <col min="6148" max="6148" width="3.33203125" style="124" customWidth="1"/>
    <col min="6149" max="6149" width="5.1328125" style="124" bestFit="1" customWidth="1"/>
    <col min="6150" max="6150" width="6.06640625" style="124" customWidth="1"/>
    <col min="6151" max="6151" width="8.6640625" style="124"/>
    <col min="6152" max="6152" width="7.796875" style="124" bestFit="1" customWidth="1"/>
    <col min="6153" max="6153" width="6.9296875" style="124" customWidth="1"/>
    <col min="6154" max="6155" width="8.6640625" style="124"/>
    <col min="6156" max="6156" width="7.796875" style="124" bestFit="1" customWidth="1"/>
    <col min="6157" max="6157" width="10.3984375" style="124" customWidth="1"/>
    <col min="6158" max="6389" width="8.6640625" style="124"/>
    <col min="6390" max="6390" width="2.1328125" style="124" customWidth="1"/>
    <col min="6391" max="6391" width="20.33203125" style="124" customWidth="1"/>
    <col min="6392" max="6392" width="6.59765625" style="124" bestFit="1" customWidth="1"/>
    <col min="6393" max="6393" width="6.6640625" style="124" bestFit="1" customWidth="1"/>
    <col min="6394" max="6394" width="7" style="124" bestFit="1" customWidth="1"/>
    <col min="6395" max="6395" width="3.46484375" style="124" bestFit="1" customWidth="1"/>
    <col min="6396" max="6396" width="8.59765625" style="124" customWidth="1"/>
    <col min="6397" max="6397" width="8.06640625" style="124" customWidth="1"/>
    <col min="6398" max="6398" width="5.46484375" style="124" customWidth="1"/>
    <col min="6399" max="6399" width="3.33203125" style="124" customWidth="1"/>
    <col min="6400" max="6400" width="3" style="124" bestFit="1" customWidth="1"/>
    <col min="6401" max="6402" width="8.06640625" style="124" customWidth="1"/>
    <col min="6403" max="6403" width="5.46484375" style="124" customWidth="1"/>
    <col min="6404" max="6404" width="3.33203125" style="124" customWidth="1"/>
    <col min="6405" max="6405" width="5.1328125" style="124" bestFit="1" customWidth="1"/>
    <col min="6406" max="6406" width="6.06640625" style="124" customWidth="1"/>
    <col min="6407" max="6407" width="8.6640625" style="124"/>
    <col min="6408" max="6408" width="7.796875" style="124" bestFit="1" customWidth="1"/>
    <col min="6409" max="6409" width="6.9296875" style="124" customWidth="1"/>
    <col min="6410" max="6411" width="8.6640625" style="124"/>
    <col min="6412" max="6412" width="7.796875" style="124" bestFit="1" customWidth="1"/>
    <col min="6413" max="6413" width="10.3984375" style="124" customWidth="1"/>
    <col min="6414" max="6645" width="8.6640625" style="124"/>
    <col min="6646" max="6646" width="2.1328125" style="124" customWidth="1"/>
    <col min="6647" max="6647" width="20.33203125" style="124" customWidth="1"/>
    <col min="6648" max="6648" width="6.59765625" style="124" bestFit="1" customWidth="1"/>
    <col min="6649" max="6649" width="6.6640625" style="124" bestFit="1" customWidth="1"/>
    <col min="6650" max="6650" width="7" style="124" bestFit="1" customWidth="1"/>
    <col min="6651" max="6651" width="3.46484375" style="124" bestFit="1" customWidth="1"/>
    <col min="6652" max="6652" width="8.59765625" style="124" customWidth="1"/>
    <col min="6653" max="6653" width="8.06640625" style="124" customWidth="1"/>
    <col min="6654" max="6654" width="5.46484375" style="124" customWidth="1"/>
    <col min="6655" max="6655" width="3.33203125" style="124" customWidth="1"/>
    <col min="6656" max="6656" width="3" style="124" bestFit="1" customWidth="1"/>
    <col min="6657" max="6658" width="8.06640625" style="124" customWidth="1"/>
    <col min="6659" max="6659" width="5.46484375" style="124" customWidth="1"/>
    <col min="6660" max="6660" width="3.33203125" style="124" customWidth="1"/>
    <col min="6661" max="6661" width="5.1328125" style="124" bestFit="1" customWidth="1"/>
    <col min="6662" max="6662" width="6.06640625" style="124" customWidth="1"/>
    <col min="6663" max="6663" width="8.6640625" style="124"/>
    <col min="6664" max="6664" width="7.796875" style="124" bestFit="1" customWidth="1"/>
    <col min="6665" max="6665" width="6.9296875" style="124" customWidth="1"/>
    <col min="6666" max="6667" width="8.6640625" style="124"/>
    <col min="6668" max="6668" width="7.796875" style="124" bestFit="1" customWidth="1"/>
    <col min="6669" max="6669" width="10.3984375" style="124" customWidth="1"/>
    <col min="6670" max="6901" width="8.6640625" style="124"/>
    <col min="6902" max="6902" width="2.1328125" style="124" customWidth="1"/>
    <col min="6903" max="6903" width="20.33203125" style="124" customWidth="1"/>
    <col min="6904" max="6904" width="6.59765625" style="124" bestFit="1" customWidth="1"/>
    <col min="6905" max="6905" width="6.6640625" style="124" bestFit="1" customWidth="1"/>
    <col min="6906" max="6906" width="7" style="124" bestFit="1" customWidth="1"/>
    <col min="6907" max="6907" width="3.46484375" style="124" bestFit="1" customWidth="1"/>
    <col min="6908" max="6908" width="8.59765625" style="124" customWidth="1"/>
    <col min="6909" max="6909" width="8.06640625" style="124" customWidth="1"/>
    <col min="6910" max="6910" width="5.46484375" style="124" customWidth="1"/>
    <col min="6911" max="6911" width="3.33203125" style="124" customWidth="1"/>
    <col min="6912" max="6912" width="3" style="124" bestFit="1" customWidth="1"/>
    <col min="6913" max="6914" width="8.06640625" style="124" customWidth="1"/>
    <col min="6915" max="6915" width="5.46484375" style="124" customWidth="1"/>
    <col min="6916" max="6916" width="3.33203125" style="124" customWidth="1"/>
    <col min="6917" max="6917" width="5.1328125" style="124" bestFit="1" customWidth="1"/>
    <col min="6918" max="6918" width="6.06640625" style="124" customWidth="1"/>
    <col min="6919" max="6919" width="8.6640625" style="124"/>
    <col min="6920" max="6920" width="7.796875" style="124" bestFit="1" customWidth="1"/>
    <col min="6921" max="6921" width="6.9296875" style="124" customWidth="1"/>
    <col min="6922" max="6923" width="8.6640625" style="124"/>
    <col min="6924" max="6924" width="7.796875" style="124" bestFit="1" customWidth="1"/>
    <col min="6925" max="6925" width="10.3984375" style="124" customWidth="1"/>
    <col min="6926" max="7157" width="8.6640625" style="124"/>
    <col min="7158" max="7158" width="2.1328125" style="124" customWidth="1"/>
    <col min="7159" max="7159" width="20.33203125" style="124" customWidth="1"/>
    <col min="7160" max="7160" width="6.59765625" style="124" bestFit="1" customWidth="1"/>
    <col min="7161" max="7161" width="6.6640625" style="124" bestFit="1" customWidth="1"/>
    <col min="7162" max="7162" width="7" style="124" bestFit="1" customWidth="1"/>
    <col min="7163" max="7163" width="3.46484375" style="124" bestFit="1" customWidth="1"/>
    <col min="7164" max="7164" width="8.59765625" style="124" customWidth="1"/>
    <col min="7165" max="7165" width="8.06640625" style="124" customWidth="1"/>
    <col min="7166" max="7166" width="5.46484375" style="124" customWidth="1"/>
    <col min="7167" max="7167" width="3.33203125" style="124" customWidth="1"/>
    <col min="7168" max="7168" width="3" style="124" bestFit="1" customWidth="1"/>
    <col min="7169" max="7170" width="8.06640625" style="124" customWidth="1"/>
    <col min="7171" max="7171" width="5.46484375" style="124" customWidth="1"/>
    <col min="7172" max="7172" width="3.33203125" style="124" customWidth="1"/>
    <col min="7173" max="7173" width="5.1328125" style="124" bestFit="1" customWidth="1"/>
    <col min="7174" max="7174" width="6.06640625" style="124" customWidth="1"/>
    <col min="7175" max="7175" width="8.6640625" style="124"/>
    <col min="7176" max="7176" width="7.796875" style="124" bestFit="1" customWidth="1"/>
    <col min="7177" max="7177" width="6.9296875" style="124" customWidth="1"/>
    <col min="7178" max="7179" width="8.6640625" style="124"/>
    <col min="7180" max="7180" width="7.796875" style="124" bestFit="1" customWidth="1"/>
    <col min="7181" max="7181" width="10.3984375" style="124" customWidth="1"/>
    <col min="7182" max="7413" width="8.6640625" style="124"/>
    <col min="7414" max="7414" width="2.1328125" style="124" customWidth="1"/>
    <col min="7415" max="7415" width="20.33203125" style="124" customWidth="1"/>
    <col min="7416" max="7416" width="6.59765625" style="124" bestFit="1" customWidth="1"/>
    <col min="7417" max="7417" width="6.6640625" style="124" bestFit="1" customWidth="1"/>
    <col min="7418" max="7418" width="7" style="124" bestFit="1" customWidth="1"/>
    <col min="7419" max="7419" width="3.46484375" style="124" bestFit="1" customWidth="1"/>
    <col min="7420" max="7420" width="8.59765625" style="124" customWidth="1"/>
    <col min="7421" max="7421" width="8.06640625" style="124" customWidth="1"/>
    <col min="7422" max="7422" width="5.46484375" style="124" customWidth="1"/>
    <col min="7423" max="7423" width="3.33203125" style="124" customWidth="1"/>
    <col min="7424" max="7424" width="3" style="124" bestFit="1" customWidth="1"/>
    <col min="7425" max="7426" width="8.06640625" style="124" customWidth="1"/>
    <col min="7427" max="7427" width="5.46484375" style="124" customWidth="1"/>
    <col min="7428" max="7428" width="3.33203125" style="124" customWidth="1"/>
    <col min="7429" max="7429" width="5.1328125" style="124" bestFit="1" customWidth="1"/>
    <col min="7430" max="7430" width="6.06640625" style="124" customWidth="1"/>
    <col min="7431" max="7431" width="8.6640625" style="124"/>
    <col min="7432" max="7432" width="7.796875" style="124" bestFit="1" customWidth="1"/>
    <col min="7433" max="7433" width="6.9296875" style="124" customWidth="1"/>
    <col min="7434" max="7435" width="8.6640625" style="124"/>
    <col min="7436" max="7436" width="7.796875" style="124" bestFit="1" customWidth="1"/>
    <col min="7437" max="7437" width="10.3984375" style="124" customWidth="1"/>
    <col min="7438" max="7669" width="8.6640625" style="124"/>
    <col min="7670" max="7670" width="2.1328125" style="124" customWidth="1"/>
    <col min="7671" max="7671" width="20.33203125" style="124" customWidth="1"/>
    <col min="7672" max="7672" width="6.59765625" style="124" bestFit="1" customWidth="1"/>
    <col min="7673" max="7673" width="6.6640625" style="124" bestFit="1" customWidth="1"/>
    <col min="7674" max="7674" width="7" style="124" bestFit="1" customWidth="1"/>
    <col min="7675" max="7675" width="3.46484375" style="124" bestFit="1" customWidth="1"/>
    <col min="7676" max="7676" width="8.59765625" style="124" customWidth="1"/>
    <col min="7677" max="7677" width="8.06640625" style="124" customWidth="1"/>
    <col min="7678" max="7678" width="5.46484375" style="124" customWidth="1"/>
    <col min="7679" max="7679" width="3.33203125" style="124" customWidth="1"/>
    <col min="7680" max="7680" width="3" style="124" bestFit="1" customWidth="1"/>
    <col min="7681" max="7682" width="8.06640625" style="124" customWidth="1"/>
    <col min="7683" max="7683" width="5.46484375" style="124" customWidth="1"/>
    <col min="7684" max="7684" width="3.33203125" style="124" customWidth="1"/>
    <col min="7685" max="7685" width="5.1328125" style="124" bestFit="1" customWidth="1"/>
    <col min="7686" max="7686" width="6.06640625" style="124" customWidth="1"/>
    <col min="7687" max="7687" width="8.6640625" style="124"/>
    <col min="7688" max="7688" width="7.796875" style="124" bestFit="1" customWidth="1"/>
    <col min="7689" max="7689" width="6.9296875" style="124" customWidth="1"/>
    <col min="7690" max="7691" width="8.6640625" style="124"/>
    <col min="7692" max="7692" width="7.796875" style="124" bestFit="1" customWidth="1"/>
    <col min="7693" max="7693" width="10.3984375" style="124" customWidth="1"/>
    <col min="7694" max="7925" width="8.6640625" style="124"/>
    <col min="7926" max="7926" width="2.1328125" style="124" customWidth="1"/>
    <col min="7927" max="7927" width="20.33203125" style="124" customWidth="1"/>
    <col min="7928" max="7928" width="6.59765625" style="124" bestFit="1" customWidth="1"/>
    <col min="7929" max="7929" width="6.6640625" style="124" bestFit="1" customWidth="1"/>
    <col min="7930" max="7930" width="7" style="124" bestFit="1" customWidth="1"/>
    <col min="7931" max="7931" width="3.46484375" style="124" bestFit="1" customWidth="1"/>
    <col min="7932" max="7932" width="8.59765625" style="124" customWidth="1"/>
    <col min="7933" max="7933" width="8.06640625" style="124" customWidth="1"/>
    <col min="7934" max="7934" width="5.46484375" style="124" customWidth="1"/>
    <col min="7935" max="7935" width="3.33203125" style="124" customWidth="1"/>
    <col min="7936" max="7936" width="3" style="124" bestFit="1" customWidth="1"/>
    <col min="7937" max="7938" width="8.06640625" style="124" customWidth="1"/>
    <col min="7939" max="7939" width="5.46484375" style="124" customWidth="1"/>
    <col min="7940" max="7940" width="3.33203125" style="124" customWidth="1"/>
    <col min="7941" max="7941" width="5.1328125" style="124" bestFit="1" customWidth="1"/>
    <col min="7942" max="7942" width="6.06640625" style="124" customWidth="1"/>
    <col min="7943" max="7943" width="8.6640625" style="124"/>
    <col min="7944" max="7944" width="7.796875" style="124" bestFit="1" customWidth="1"/>
    <col min="7945" max="7945" width="6.9296875" style="124" customWidth="1"/>
    <col min="7946" max="7947" width="8.6640625" style="124"/>
    <col min="7948" max="7948" width="7.796875" style="124" bestFit="1" customWidth="1"/>
    <col min="7949" max="7949" width="10.3984375" style="124" customWidth="1"/>
    <col min="7950" max="8181" width="8.6640625" style="124"/>
    <col min="8182" max="8182" width="2.1328125" style="124" customWidth="1"/>
    <col min="8183" max="8183" width="20.33203125" style="124" customWidth="1"/>
    <col min="8184" max="8184" width="6.59765625" style="124" bestFit="1" customWidth="1"/>
    <col min="8185" max="8185" width="6.6640625" style="124" bestFit="1" customWidth="1"/>
    <col min="8186" max="8186" width="7" style="124" bestFit="1" customWidth="1"/>
    <col min="8187" max="8187" width="3.46484375" style="124" bestFit="1" customWidth="1"/>
    <col min="8188" max="8188" width="8.59765625" style="124" customWidth="1"/>
    <col min="8189" max="8189" width="8.06640625" style="124" customWidth="1"/>
    <col min="8190" max="8190" width="5.46484375" style="124" customWidth="1"/>
    <col min="8191" max="8191" width="3.33203125" style="124" customWidth="1"/>
    <col min="8192" max="8192" width="3" style="124" bestFit="1" customWidth="1"/>
    <col min="8193" max="8194" width="8.06640625" style="124" customWidth="1"/>
    <col min="8195" max="8195" width="5.46484375" style="124" customWidth="1"/>
    <col min="8196" max="8196" width="3.33203125" style="124" customWidth="1"/>
    <col min="8197" max="8197" width="5.1328125" style="124" bestFit="1" customWidth="1"/>
    <col min="8198" max="8198" width="6.06640625" style="124" customWidth="1"/>
    <col min="8199" max="8199" width="8.6640625" style="124"/>
    <col min="8200" max="8200" width="7.796875" style="124" bestFit="1" customWidth="1"/>
    <col min="8201" max="8201" width="6.9296875" style="124" customWidth="1"/>
    <col min="8202" max="8203" width="8.6640625" style="124"/>
    <col min="8204" max="8204" width="7.796875" style="124" bestFit="1" customWidth="1"/>
    <col min="8205" max="8205" width="10.3984375" style="124" customWidth="1"/>
    <col min="8206" max="8437" width="8.6640625" style="124"/>
    <col min="8438" max="8438" width="2.1328125" style="124" customWidth="1"/>
    <col min="8439" max="8439" width="20.33203125" style="124" customWidth="1"/>
    <col min="8440" max="8440" width="6.59765625" style="124" bestFit="1" customWidth="1"/>
    <col min="8441" max="8441" width="6.6640625" style="124" bestFit="1" customWidth="1"/>
    <col min="8442" max="8442" width="7" style="124" bestFit="1" customWidth="1"/>
    <col min="8443" max="8443" width="3.46484375" style="124" bestFit="1" customWidth="1"/>
    <col min="8444" max="8444" width="8.59765625" style="124" customWidth="1"/>
    <col min="8445" max="8445" width="8.06640625" style="124" customWidth="1"/>
    <col min="8446" max="8446" width="5.46484375" style="124" customWidth="1"/>
    <col min="8447" max="8447" width="3.33203125" style="124" customWidth="1"/>
    <col min="8448" max="8448" width="3" style="124" bestFit="1" customWidth="1"/>
    <col min="8449" max="8450" width="8.06640625" style="124" customWidth="1"/>
    <col min="8451" max="8451" width="5.46484375" style="124" customWidth="1"/>
    <col min="8452" max="8452" width="3.33203125" style="124" customWidth="1"/>
    <col min="8453" max="8453" width="5.1328125" style="124" bestFit="1" customWidth="1"/>
    <col min="8454" max="8454" width="6.06640625" style="124" customWidth="1"/>
    <col min="8455" max="8455" width="8.6640625" style="124"/>
    <col min="8456" max="8456" width="7.796875" style="124" bestFit="1" customWidth="1"/>
    <col min="8457" max="8457" width="6.9296875" style="124" customWidth="1"/>
    <col min="8458" max="8459" width="8.6640625" style="124"/>
    <col min="8460" max="8460" width="7.796875" style="124" bestFit="1" customWidth="1"/>
    <col min="8461" max="8461" width="10.3984375" style="124" customWidth="1"/>
    <col min="8462" max="8693" width="8.6640625" style="124"/>
    <col min="8694" max="8694" width="2.1328125" style="124" customWidth="1"/>
    <col min="8695" max="8695" width="20.33203125" style="124" customWidth="1"/>
    <col min="8696" max="8696" width="6.59765625" style="124" bestFit="1" customWidth="1"/>
    <col min="8697" max="8697" width="6.6640625" style="124" bestFit="1" customWidth="1"/>
    <col min="8698" max="8698" width="7" style="124" bestFit="1" customWidth="1"/>
    <col min="8699" max="8699" width="3.46484375" style="124" bestFit="1" customWidth="1"/>
    <col min="8700" max="8700" width="8.59765625" style="124" customWidth="1"/>
    <col min="8701" max="8701" width="8.06640625" style="124" customWidth="1"/>
    <col min="8702" max="8702" width="5.46484375" style="124" customWidth="1"/>
    <col min="8703" max="8703" width="3.33203125" style="124" customWidth="1"/>
    <col min="8704" max="8704" width="3" style="124" bestFit="1" customWidth="1"/>
    <col min="8705" max="8706" width="8.06640625" style="124" customWidth="1"/>
    <col min="8707" max="8707" width="5.46484375" style="124" customWidth="1"/>
    <col min="8708" max="8708" width="3.33203125" style="124" customWidth="1"/>
    <col min="8709" max="8709" width="5.1328125" style="124" bestFit="1" customWidth="1"/>
    <col min="8710" max="8710" width="6.06640625" style="124" customWidth="1"/>
    <col min="8711" max="8711" width="8.6640625" style="124"/>
    <col min="8712" max="8712" width="7.796875" style="124" bestFit="1" customWidth="1"/>
    <col min="8713" max="8713" width="6.9296875" style="124" customWidth="1"/>
    <col min="8714" max="8715" width="8.6640625" style="124"/>
    <col min="8716" max="8716" width="7.796875" style="124" bestFit="1" customWidth="1"/>
    <col min="8717" max="8717" width="10.3984375" style="124" customWidth="1"/>
    <col min="8718" max="8949" width="8.6640625" style="124"/>
    <col min="8950" max="8950" width="2.1328125" style="124" customWidth="1"/>
    <col min="8951" max="8951" width="20.33203125" style="124" customWidth="1"/>
    <col min="8952" max="8952" width="6.59765625" style="124" bestFit="1" customWidth="1"/>
    <col min="8953" max="8953" width="6.6640625" style="124" bestFit="1" customWidth="1"/>
    <col min="8954" max="8954" width="7" style="124" bestFit="1" customWidth="1"/>
    <col min="8955" max="8955" width="3.46484375" style="124" bestFit="1" customWidth="1"/>
    <col min="8956" max="8956" width="8.59765625" style="124" customWidth="1"/>
    <col min="8957" max="8957" width="8.06640625" style="124" customWidth="1"/>
    <col min="8958" max="8958" width="5.46484375" style="124" customWidth="1"/>
    <col min="8959" max="8959" width="3.33203125" style="124" customWidth="1"/>
    <col min="8960" max="8960" width="3" style="124" bestFit="1" customWidth="1"/>
    <col min="8961" max="8962" width="8.06640625" style="124" customWidth="1"/>
    <col min="8963" max="8963" width="5.46484375" style="124" customWidth="1"/>
    <col min="8964" max="8964" width="3.33203125" style="124" customWidth="1"/>
    <col min="8965" max="8965" width="5.1328125" style="124" bestFit="1" customWidth="1"/>
    <col min="8966" max="8966" width="6.06640625" style="124" customWidth="1"/>
    <col min="8967" max="8967" width="8.6640625" style="124"/>
    <col min="8968" max="8968" width="7.796875" style="124" bestFit="1" customWidth="1"/>
    <col min="8969" max="8969" width="6.9296875" style="124" customWidth="1"/>
    <col min="8970" max="8971" width="8.6640625" style="124"/>
    <col min="8972" max="8972" width="7.796875" style="124" bestFit="1" customWidth="1"/>
    <col min="8973" max="8973" width="10.3984375" style="124" customWidth="1"/>
    <col min="8974" max="9205" width="8.6640625" style="124"/>
    <col min="9206" max="9206" width="2.1328125" style="124" customWidth="1"/>
    <col min="9207" max="9207" width="20.33203125" style="124" customWidth="1"/>
    <col min="9208" max="9208" width="6.59765625" style="124" bestFit="1" customWidth="1"/>
    <col min="9209" max="9209" width="6.6640625" style="124" bestFit="1" customWidth="1"/>
    <col min="9210" max="9210" width="7" style="124" bestFit="1" customWidth="1"/>
    <col min="9211" max="9211" width="3.46484375" style="124" bestFit="1" customWidth="1"/>
    <col min="9212" max="9212" width="8.59765625" style="124" customWidth="1"/>
    <col min="9213" max="9213" width="8.06640625" style="124" customWidth="1"/>
    <col min="9214" max="9214" width="5.46484375" style="124" customWidth="1"/>
    <col min="9215" max="9215" width="3.33203125" style="124" customWidth="1"/>
    <col min="9216" max="9216" width="3" style="124" bestFit="1" customWidth="1"/>
    <col min="9217" max="9218" width="8.06640625" style="124" customWidth="1"/>
    <col min="9219" max="9219" width="5.46484375" style="124" customWidth="1"/>
    <col min="9220" max="9220" width="3.33203125" style="124" customWidth="1"/>
    <col min="9221" max="9221" width="5.1328125" style="124" bestFit="1" customWidth="1"/>
    <col min="9222" max="9222" width="6.06640625" style="124" customWidth="1"/>
    <col min="9223" max="9223" width="8.6640625" style="124"/>
    <col min="9224" max="9224" width="7.796875" style="124" bestFit="1" customWidth="1"/>
    <col min="9225" max="9225" width="6.9296875" style="124" customWidth="1"/>
    <col min="9226" max="9227" width="8.6640625" style="124"/>
    <col min="9228" max="9228" width="7.796875" style="124" bestFit="1" customWidth="1"/>
    <col min="9229" max="9229" width="10.3984375" style="124" customWidth="1"/>
    <col min="9230" max="9461" width="8.6640625" style="124"/>
    <col min="9462" max="9462" width="2.1328125" style="124" customWidth="1"/>
    <col min="9463" max="9463" width="20.33203125" style="124" customWidth="1"/>
    <col min="9464" max="9464" width="6.59765625" style="124" bestFit="1" customWidth="1"/>
    <col min="9465" max="9465" width="6.6640625" style="124" bestFit="1" customWidth="1"/>
    <col min="9466" max="9466" width="7" style="124" bestFit="1" customWidth="1"/>
    <col min="9467" max="9467" width="3.46484375" style="124" bestFit="1" customWidth="1"/>
    <col min="9468" max="9468" width="8.59765625" style="124" customWidth="1"/>
    <col min="9469" max="9469" width="8.06640625" style="124" customWidth="1"/>
    <col min="9470" max="9470" width="5.46484375" style="124" customWidth="1"/>
    <col min="9471" max="9471" width="3.33203125" style="124" customWidth="1"/>
    <col min="9472" max="9472" width="3" style="124" bestFit="1" customWidth="1"/>
    <col min="9473" max="9474" width="8.06640625" style="124" customWidth="1"/>
    <col min="9475" max="9475" width="5.46484375" style="124" customWidth="1"/>
    <col min="9476" max="9476" width="3.33203125" style="124" customWidth="1"/>
    <col min="9477" max="9477" width="5.1328125" style="124" bestFit="1" customWidth="1"/>
    <col min="9478" max="9478" width="6.06640625" style="124" customWidth="1"/>
    <col min="9479" max="9479" width="8.6640625" style="124"/>
    <col min="9480" max="9480" width="7.796875" style="124" bestFit="1" customWidth="1"/>
    <col min="9481" max="9481" width="6.9296875" style="124" customWidth="1"/>
    <col min="9482" max="9483" width="8.6640625" style="124"/>
    <col min="9484" max="9484" width="7.796875" style="124" bestFit="1" customWidth="1"/>
    <col min="9485" max="9485" width="10.3984375" style="124" customWidth="1"/>
    <col min="9486" max="9717" width="8.6640625" style="124"/>
    <col min="9718" max="9718" width="2.1328125" style="124" customWidth="1"/>
    <col min="9719" max="9719" width="20.33203125" style="124" customWidth="1"/>
    <col min="9720" max="9720" width="6.59765625" style="124" bestFit="1" customWidth="1"/>
    <col min="9721" max="9721" width="6.6640625" style="124" bestFit="1" customWidth="1"/>
    <col min="9722" max="9722" width="7" style="124" bestFit="1" customWidth="1"/>
    <col min="9723" max="9723" width="3.46484375" style="124" bestFit="1" customWidth="1"/>
    <col min="9724" max="9724" width="8.59765625" style="124" customWidth="1"/>
    <col min="9725" max="9725" width="8.06640625" style="124" customWidth="1"/>
    <col min="9726" max="9726" width="5.46484375" style="124" customWidth="1"/>
    <col min="9727" max="9727" width="3.33203125" style="124" customWidth="1"/>
    <col min="9728" max="9728" width="3" style="124" bestFit="1" customWidth="1"/>
    <col min="9729" max="9730" width="8.06640625" style="124" customWidth="1"/>
    <col min="9731" max="9731" width="5.46484375" style="124" customWidth="1"/>
    <col min="9732" max="9732" width="3.33203125" style="124" customWidth="1"/>
    <col min="9733" max="9733" width="5.1328125" style="124" bestFit="1" customWidth="1"/>
    <col min="9734" max="9734" width="6.06640625" style="124" customWidth="1"/>
    <col min="9735" max="9735" width="8.6640625" style="124"/>
    <col min="9736" max="9736" width="7.796875" style="124" bestFit="1" customWidth="1"/>
    <col min="9737" max="9737" width="6.9296875" style="124" customWidth="1"/>
    <col min="9738" max="9739" width="8.6640625" style="124"/>
    <col min="9740" max="9740" width="7.796875" style="124" bestFit="1" customWidth="1"/>
    <col min="9741" max="9741" width="10.3984375" style="124" customWidth="1"/>
    <col min="9742" max="9973" width="8.6640625" style="124"/>
    <col min="9974" max="9974" width="2.1328125" style="124" customWidth="1"/>
    <col min="9975" max="9975" width="20.33203125" style="124" customWidth="1"/>
    <col min="9976" max="9976" width="6.59765625" style="124" bestFit="1" customWidth="1"/>
    <col min="9977" max="9977" width="6.6640625" style="124" bestFit="1" customWidth="1"/>
    <col min="9978" max="9978" width="7" style="124" bestFit="1" customWidth="1"/>
    <col min="9979" max="9979" width="3.46484375" style="124" bestFit="1" customWidth="1"/>
    <col min="9980" max="9980" width="8.59765625" style="124" customWidth="1"/>
    <col min="9981" max="9981" width="8.06640625" style="124" customWidth="1"/>
    <col min="9982" max="9982" width="5.46484375" style="124" customWidth="1"/>
    <col min="9983" max="9983" width="3.33203125" style="124" customWidth="1"/>
    <col min="9984" max="9984" width="3" style="124" bestFit="1" customWidth="1"/>
    <col min="9985" max="9986" width="8.06640625" style="124" customWidth="1"/>
    <col min="9987" max="9987" width="5.46484375" style="124" customWidth="1"/>
    <col min="9988" max="9988" width="3.33203125" style="124" customWidth="1"/>
    <col min="9989" max="9989" width="5.1328125" style="124" bestFit="1" customWidth="1"/>
    <col min="9990" max="9990" width="6.06640625" style="124" customWidth="1"/>
    <col min="9991" max="9991" width="8.6640625" style="124"/>
    <col min="9992" max="9992" width="7.796875" style="124" bestFit="1" customWidth="1"/>
    <col min="9993" max="9993" width="6.9296875" style="124" customWidth="1"/>
    <col min="9994" max="9995" width="8.6640625" style="124"/>
    <col min="9996" max="9996" width="7.796875" style="124" bestFit="1" customWidth="1"/>
    <col min="9997" max="9997" width="10.3984375" style="124" customWidth="1"/>
    <col min="9998" max="10229" width="8.6640625" style="124"/>
    <col min="10230" max="10230" width="2.1328125" style="124" customWidth="1"/>
    <col min="10231" max="10231" width="20.33203125" style="124" customWidth="1"/>
    <col min="10232" max="10232" width="6.59765625" style="124" bestFit="1" customWidth="1"/>
    <col min="10233" max="10233" width="6.6640625" style="124" bestFit="1" customWidth="1"/>
    <col min="10234" max="10234" width="7" style="124" bestFit="1" customWidth="1"/>
    <col min="10235" max="10235" width="3.46484375" style="124" bestFit="1" customWidth="1"/>
    <col min="10236" max="10236" width="8.59765625" style="124" customWidth="1"/>
    <col min="10237" max="10237" width="8.06640625" style="124" customWidth="1"/>
    <col min="10238" max="10238" width="5.46484375" style="124" customWidth="1"/>
    <col min="10239" max="10239" width="3.33203125" style="124" customWidth="1"/>
    <col min="10240" max="10240" width="3" style="124" bestFit="1" customWidth="1"/>
    <col min="10241" max="10242" width="8.06640625" style="124" customWidth="1"/>
    <col min="10243" max="10243" width="5.46484375" style="124" customWidth="1"/>
    <col min="10244" max="10244" width="3.33203125" style="124" customWidth="1"/>
    <col min="10245" max="10245" width="5.1328125" style="124" bestFit="1" customWidth="1"/>
    <col min="10246" max="10246" width="6.06640625" style="124" customWidth="1"/>
    <col min="10247" max="10247" width="8.6640625" style="124"/>
    <col min="10248" max="10248" width="7.796875" style="124" bestFit="1" customWidth="1"/>
    <col min="10249" max="10249" width="6.9296875" style="124" customWidth="1"/>
    <col min="10250" max="10251" width="8.6640625" style="124"/>
    <col min="10252" max="10252" width="7.796875" style="124" bestFit="1" customWidth="1"/>
    <col min="10253" max="10253" width="10.3984375" style="124" customWidth="1"/>
    <col min="10254" max="10485" width="8.6640625" style="124"/>
    <col min="10486" max="10486" width="2.1328125" style="124" customWidth="1"/>
    <col min="10487" max="10487" width="20.33203125" style="124" customWidth="1"/>
    <col min="10488" max="10488" width="6.59765625" style="124" bestFit="1" customWidth="1"/>
    <col min="10489" max="10489" width="6.6640625" style="124" bestFit="1" customWidth="1"/>
    <col min="10490" max="10490" width="7" style="124" bestFit="1" customWidth="1"/>
    <col min="10491" max="10491" width="3.46484375" style="124" bestFit="1" customWidth="1"/>
    <col min="10492" max="10492" width="8.59765625" style="124" customWidth="1"/>
    <col min="10493" max="10493" width="8.06640625" style="124" customWidth="1"/>
    <col min="10494" max="10494" width="5.46484375" style="124" customWidth="1"/>
    <col min="10495" max="10495" width="3.33203125" style="124" customWidth="1"/>
    <col min="10496" max="10496" width="3" style="124" bestFit="1" customWidth="1"/>
    <col min="10497" max="10498" width="8.06640625" style="124" customWidth="1"/>
    <col min="10499" max="10499" width="5.46484375" style="124" customWidth="1"/>
    <col min="10500" max="10500" width="3.33203125" style="124" customWidth="1"/>
    <col min="10501" max="10501" width="5.1328125" style="124" bestFit="1" customWidth="1"/>
    <col min="10502" max="10502" width="6.06640625" style="124" customWidth="1"/>
    <col min="10503" max="10503" width="8.6640625" style="124"/>
    <col min="10504" max="10504" width="7.796875" style="124" bestFit="1" customWidth="1"/>
    <col min="10505" max="10505" width="6.9296875" style="124" customWidth="1"/>
    <col min="10506" max="10507" width="8.6640625" style="124"/>
    <col min="10508" max="10508" width="7.796875" style="124" bestFit="1" customWidth="1"/>
    <col min="10509" max="10509" width="10.3984375" style="124" customWidth="1"/>
    <col min="10510" max="10741" width="8.6640625" style="124"/>
    <col min="10742" max="10742" width="2.1328125" style="124" customWidth="1"/>
    <col min="10743" max="10743" width="20.33203125" style="124" customWidth="1"/>
    <col min="10744" max="10744" width="6.59765625" style="124" bestFit="1" customWidth="1"/>
    <col min="10745" max="10745" width="6.6640625" style="124" bestFit="1" customWidth="1"/>
    <col min="10746" max="10746" width="7" style="124" bestFit="1" customWidth="1"/>
    <col min="10747" max="10747" width="3.46484375" style="124" bestFit="1" customWidth="1"/>
    <col min="10748" max="10748" width="8.59765625" style="124" customWidth="1"/>
    <col min="10749" max="10749" width="8.06640625" style="124" customWidth="1"/>
    <col min="10750" max="10750" width="5.46484375" style="124" customWidth="1"/>
    <col min="10751" max="10751" width="3.33203125" style="124" customWidth="1"/>
    <col min="10752" max="10752" width="3" style="124" bestFit="1" customWidth="1"/>
    <col min="10753" max="10754" width="8.06640625" style="124" customWidth="1"/>
    <col min="10755" max="10755" width="5.46484375" style="124" customWidth="1"/>
    <col min="10756" max="10756" width="3.33203125" style="124" customWidth="1"/>
    <col min="10757" max="10757" width="5.1328125" style="124" bestFit="1" customWidth="1"/>
    <col min="10758" max="10758" width="6.06640625" style="124" customWidth="1"/>
    <col min="10759" max="10759" width="8.6640625" style="124"/>
    <col min="10760" max="10760" width="7.796875" style="124" bestFit="1" customWidth="1"/>
    <col min="10761" max="10761" width="6.9296875" style="124" customWidth="1"/>
    <col min="10762" max="10763" width="8.6640625" style="124"/>
    <col min="10764" max="10764" width="7.796875" style="124" bestFit="1" customWidth="1"/>
    <col min="10765" max="10765" width="10.3984375" style="124" customWidth="1"/>
    <col min="10766" max="10997" width="8.6640625" style="124"/>
    <col min="10998" max="10998" width="2.1328125" style="124" customWidth="1"/>
    <col min="10999" max="10999" width="20.33203125" style="124" customWidth="1"/>
    <col min="11000" max="11000" width="6.59765625" style="124" bestFit="1" customWidth="1"/>
    <col min="11001" max="11001" width="6.6640625" style="124" bestFit="1" customWidth="1"/>
    <col min="11002" max="11002" width="7" style="124" bestFit="1" customWidth="1"/>
    <col min="11003" max="11003" width="3.46484375" style="124" bestFit="1" customWidth="1"/>
    <col min="11004" max="11004" width="8.59765625" style="124" customWidth="1"/>
    <col min="11005" max="11005" width="8.06640625" style="124" customWidth="1"/>
    <col min="11006" max="11006" width="5.46484375" style="124" customWidth="1"/>
    <col min="11007" max="11007" width="3.33203125" style="124" customWidth="1"/>
    <col min="11008" max="11008" width="3" style="124" bestFit="1" customWidth="1"/>
    <col min="11009" max="11010" width="8.06640625" style="124" customWidth="1"/>
    <col min="11011" max="11011" width="5.46484375" style="124" customWidth="1"/>
    <col min="11012" max="11012" width="3.33203125" style="124" customWidth="1"/>
    <col min="11013" max="11013" width="5.1328125" style="124" bestFit="1" customWidth="1"/>
    <col min="11014" max="11014" width="6.06640625" style="124" customWidth="1"/>
    <col min="11015" max="11015" width="8.6640625" style="124"/>
    <col min="11016" max="11016" width="7.796875" style="124" bestFit="1" customWidth="1"/>
    <col min="11017" max="11017" width="6.9296875" style="124" customWidth="1"/>
    <col min="11018" max="11019" width="8.6640625" style="124"/>
    <col min="11020" max="11020" width="7.796875" style="124" bestFit="1" customWidth="1"/>
    <col min="11021" max="11021" width="10.3984375" style="124" customWidth="1"/>
    <col min="11022" max="11253" width="8.6640625" style="124"/>
    <col min="11254" max="11254" width="2.1328125" style="124" customWidth="1"/>
    <col min="11255" max="11255" width="20.33203125" style="124" customWidth="1"/>
    <col min="11256" max="11256" width="6.59765625" style="124" bestFit="1" customWidth="1"/>
    <col min="11257" max="11257" width="6.6640625" style="124" bestFit="1" customWidth="1"/>
    <col min="11258" max="11258" width="7" style="124" bestFit="1" customWidth="1"/>
    <col min="11259" max="11259" width="3.46484375" style="124" bestFit="1" customWidth="1"/>
    <col min="11260" max="11260" width="8.59765625" style="124" customWidth="1"/>
    <col min="11261" max="11261" width="8.06640625" style="124" customWidth="1"/>
    <col min="11262" max="11262" width="5.46484375" style="124" customWidth="1"/>
    <col min="11263" max="11263" width="3.33203125" style="124" customWidth="1"/>
    <col min="11264" max="11264" width="3" style="124" bestFit="1" customWidth="1"/>
    <col min="11265" max="11266" width="8.06640625" style="124" customWidth="1"/>
    <col min="11267" max="11267" width="5.46484375" style="124" customWidth="1"/>
    <col min="11268" max="11268" width="3.33203125" style="124" customWidth="1"/>
    <col min="11269" max="11269" width="5.1328125" style="124" bestFit="1" customWidth="1"/>
    <col min="11270" max="11270" width="6.06640625" style="124" customWidth="1"/>
    <col min="11271" max="11271" width="8.6640625" style="124"/>
    <col min="11272" max="11272" width="7.796875" style="124" bestFit="1" customWidth="1"/>
    <col min="11273" max="11273" width="6.9296875" style="124" customWidth="1"/>
    <col min="11274" max="11275" width="8.6640625" style="124"/>
    <col min="11276" max="11276" width="7.796875" style="124" bestFit="1" customWidth="1"/>
    <col min="11277" max="11277" width="10.3984375" style="124" customWidth="1"/>
    <col min="11278" max="11509" width="8.6640625" style="124"/>
    <col min="11510" max="11510" width="2.1328125" style="124" customWidth="1"/>
    <col min="11511" max="11511" width="20.33203125" style="124" customWidth="1"/>
    <col min="11512" max="11512" width="6.59765625" style="124" bestFit="1" customWidth="1"/>
    <col min="11513" max="11513" width="6.6640625" style="124" bestFit="1" customWidth="1"/>
    <col min="11514" max="11514" width="7" style="124" bestFit="1" customWidth="1"/>
    <col min="11515" max="11515" width="3.46484375" style="124" bestFit="1" customWidth="1"/>
    <col min="11516" max="11516" width="8.59765625" style="124" customWidth="1"/>
    <col min="11517" max="11517" width="8.06640625" style="124" customWidth="1"/>
    <col min="11518" max="11518" width="5.46484375" style="124" customWidth="1"/>
    <col min="11519" max="11519" width="3.33203125" style="124" customWidth="1"/>
    <col min="11520" max="11520" width="3" style="124" bestFit="1" customWidth="1"/>
    <col min="11521" max="11522" width="8.06640625" style="124" customWidth="1"/>
    <col min="11523" max="11523" width="5.46484375" style="124" customWidth="1"/>
    <col min="11524" max="11524" width="3.33203125" style="124" customWidth="1"/>
    <col min="11525" max="11525" width="5.1328125" style="124" bestFit="1" customWidth="1"/>
    <col min="11526" max="11526" width="6.06640625" style="124" customWidth="1"/>
    <col min="11527" max="11527" width="8.6640625" style="124"/>
    <col min="11528" max="11528" width="7.796875" style="124" bestFit="1" customWidth="1"/>
    <col min="11529" max="11529" width="6.9296875" style="124" customWidth="1"/>
    <col min="11530" max="11531" width="8.6640625" style="124"/>
    <col min="11532" max="11532" width="7.796875" style="124" bestFit="1" customWidth="1"/>
    <col min="11533" max="11533" width="10.3984375" style="124" customWidth="1"/>
    <col min="11534" max="11765" width="8.6640625" style="124"/>
    <col min="11766" max="11766" width="2.1328125" style="124" customWidth="1"/>
    <col min="11767" max="11767" width="20.33203125" style="124" customWidth="1"/>
    <col min="11768" max="11768" width="6.59765625" style="124" bestFit="1" customWidth="1"/>
    <col min="11769" max="11769" width="6.6640625" style="124" bestFit="1" customWidth="1"/>
    <col min="11770" max="11770" width="7" style="124" bestFit="1" customWidth="1"/>
    <col min="11771" max="11771" width="3.46484375" style="124" bestFit="1" customWidth="1"/>
    <col min="11772" max="11772" width="8.59765625" style="124" customWidth="1"/>
    <col min="11773" max="11773" width="8.06640625" style="124" customWidth="1"/>
    <col min="11774" max="11774" width="5.46484375" style="124" customWidth="1"/>
    <col min="11775" max="11775" width="3.33203125" style="124" customWidth="1"/>
    <col min="11776" max="11776" width="3" style="124" bestFit="1" customWidth="1"/>
    <col min="11777" max="11778" width="8.06640625" style="124" customWidth="1"/>
    <col min="11779" max="11779" width="5.46484375" style="124" customWidth="1"/>
    <col min="11780" max="11780" width="3.33203125" style="124" customWidth="1"/>
    <col min="11781" max="11781" width="5.1328125" style="124" bestFit="1" customWidth="1"/>
    <col min="11782" max="11782" width="6.06640625" style="124" customWidth="1"/>
    <col min="11783" max="11783" width="8.6640625" style="124"/>
    <col min="11784" max="11784" width="7.796875" style="124" bestFit="1" customWidth="1"/>
    <col min="11785" max="11785" width="6.9296875" style="124" customWidth="1"/>
    <col min="11786" max="11787" width="8.6640625" style="124"/>
    <col min="11788" max="11788" width="7.796875" style="124" bestFit="1" customWidth="1"/>
    <col min="11789" max="11789" width="10.3984375" style="124" customWidth="1"/>
    <col min="11790" max="12021" width="8.6640625" style="124"/>
    <col min="12022" max="12022" width="2.1328125" style="124" customWidth="1"/>
    <col min="12023" max="12023" width="20.33203125" style="124" customWidth="1"/>
    <col min="12024" max="12024" width="6.59765625" style="124" bestFit="1" customWidth="1"/>
    <col min="12025" max="12025" width="6.6640625" style="124" bestFit="1" customWidth="1"/>
    <col min="12026" max="12026" width="7" style="124" bestFit="1" customWidth="1"/>
    <col min="12027" max="12027" width="3.46484375" style="124" bestFit="1" customWidth="1"/>
    <col min="12028" max="12028" width="8.59765625" style="124" customWidth="1"/>
    <col min="12029" max="12029" width="8.06640625" style="124" customWidth="1"/>
    <col min="12030" max="12030" width="5.46484375" style="124" customWidth="1"/>
    <col min="12031" max="12031" width="3.33203125" style="124" customWidth="1"/>
    <col min="12032" max="12032" width="3" style="124" bestFit="1" customWidth="1"/>
    <col min="12033" max="12034" width="8.06640625" style="124" customWidth="1"/>
    <col min="12035" max="12035" width="5.46484375" style="124" customWidth="1"/>
    <col min="12036" max="12036" width="3.33203125" style="124" customWidth="1"/>
    <col min="12037" max="12037" width="5.1328125" style="124" bestFit="1" customWidth="1"/>
    <col min="12038" max="12038" width="6.06640625" style="124" customWidth="1"/>
    <col min="12039" max="12039" width="8.6640625" style="124"/>
    <col min="12040" max="12040" width="7.796875" style="124" bestFit="1" customWidth="1"/>
    <col min="12041" max="12041" width="6.9296875" style="124" customWidth="1"/>
    <col min="12042" max="12043" width="8.6640625" style="124"/>
    <col min="12044" max="12044" width="7.796875" style="124" bestFit="1" customWidth="1"/>
    <col min="12045" max="12045" width="10.3984375" style="124" customWidth="1"/>
    <col min="12046" max="12277" width="8.6640625" style="124"/>
    <col min="12278" max="12278" width="2.1328125" style="124" customWidth="1"/>
    <col min="12279" max="12279" width="20.33203125" style="124" customWidth="1"/>
    <col min="12280" max="12280" width="6.59765625" style="124" bestFit="1" customWidth="1"/>
    <col min="12281" max="12281" width="6.6640625" style="124" bestFit="1" customWidth="1"/>
    <col min="12282" max="12282" width="7" style="124" bestFit="1" customWidth="1"/>
    <col min="12283" max="12283" width="3.46484375" style="124" bestFit="1" customWidth="1"/>
    <col min="12284" max="12284" width="8.59765625" style="124" customWidth="1"/>
    <col min="12285" max="12285" width="8.06640625" style="124" customWidth="1"/>
    <col min="12286" max="12286" width="5.46484375" style="124" customWidth="1"/>
    <col min="12287" max="12287" width="3.33203125" style="124" customWidth="1"/>
    <col min="12288" max="12288" width="3" style="124" bestFit="1" customWidth="1"/>
    <col min="12289" max="12290" width="8.06640625" style="124" customWidth="1"/>
    <col min="12291" max="12291" width="5.46484375" style="124" customWidth="1"/>
    <col min="12292" max="12292" width="3.33203125" style="124" customWidth="1"/>
    <col min="12293" max="12293" width="5.1328125" style="124" bestFit="1" customWidth="1"/>
    <col min="12294" max="12294" width="6.06640625" style="124" customWidth="1"/>
    <col min="12295" max="12295" width="8.6640625" style="124"/>
    <col min="12296" max="12296" width="7.796875" style="124" bestFit="1" customWidth="1"/>
    <col min="12297" max="12297" width="6.9296875" style="124" customWidth="1"/>
    <col min="12298" max="12299" width="8.6640625" style="124"/>
    <col min="12300" max="12300" width="7.796875" style="124" bestFit="1" customWidth="1"/>
    <col min="12301" max="12301" width="10.3984375" style="124" customWidth="1"/>
    <col min="12302" max="12533" width="8.6640625" style="124"/>
    <col min="12534" max="12534" width="2.1328125" style="124" customWidth="1"/>
    <col min="12535" max="12535" width="20.33203125" style="124" customWidth="1"/>
    <col min="12536" max="12536" width="6.59765625" style="124" bestFit="1" customWidth="1"/>
    <col min="12537" max="12537" width="6.6640625" style="124" bestFit="1" customWidth="1"/>
    <col min="12538" max="12538" width="7" style="124" bestFit="1" customWidth="1"/>
    <col min="12539" max="12539" width="3.46484375" style="124" bestFit="1" customWidth="1"/>
    <col min="12540" max="12540" width="8.59765625" style="124" customWidth="1"/>
    <col min="12541" max="12541" width="8.06640625" style="124" customWidth="1"/>
    <col min="12542" max="12542" width="5.46484375" style="124" customWidth="1"/>
    <col min="12543" max="12543" width="3.33203125" style="124" customWidth="1"/>
    <col min="12544" max="12544" width="3" style="124" bestFit="1" customWidth="1"/>
    <col min="12545" max="12546" width="8.06640625" style="124" customWidth="1"/>
    <col min="12547" max="12547" width="5.46484375" style="124" customWidth="1"/>
    <col min="12548" max="12548" width="3.33203125" style="124" customWidth="1"/>
    <col min="12549" max="12549" width="5.1328125" style="124" bestFit="1" customWidth="1"/>
    <col min="12550" max="12550" width="6.06640625" style="124" customWidth="1"/>
    <col min="12551" max="12551" width="8.6640625" style="124"/>
    <col min="12552" max="12552" width="7.796875" style="124" bestFit="1" customWidth="1"/>
    <col min="12553" max="12553" width="6.9296875" style="124" customWidth="1"/>
    <col min="12554" max="12555" width="8.6640625" style="124"/>
    <col min="12556" max="12556" width="7.796875" style="124" bestFit="1" customWidth="1"/>
    <col min="12557" max="12557" width="10.3984375" style="124" customWidth="1"/>
    <col min="12558" max="12789" width="8.6640625" style="124"/>
    <col min="12790" max="12790" width="2.1328125" style="124" customWidth="1"/>
    <col min="12791" max="12791" width="20.33203125" style="124" customWidth="1"/>
    <col min="12792" max="12792" width="6.59765625" style="124" bestFit="1" customWidth="1"/>
    <col min="12793" max="12793" width="6.6640625" style="124" bestFit="1" customWidth="1"/>
    <col min="12794" max="12794" width="7" style="124" bestFit="1" customWidth="1"/>
    <col min="12795" max="12795" width="3.46484375" style="124" bestFit="1" customWidth="1"/>
    <col min="12796" max="12796" width="8.59765625" style="124" customWidth="1"/>
    <col min="12797" max="12797" width="8.06640625" style="124" customWidth="1"/>
    <col min="12798" max="12798" width="5.46484375" style="124" customWidth="1"/>
    <col min="12799" max="12799" width="3.33203125" style="124" customWidth="1"/>
    <col min="12800" max="12800" width="3" style="124" bestFit="1" customWidth="1"/>
    <col min="12801" max="12802" width="8.06640625" style="124" customWidth="1"/>
    <col min="12803" max="12803" width="5.46484375" style="124" customWidth="1"/>
    <col min="12804" max="12804" width="3.33203125" style="124" customWidth="1"/>
    <col min="12805" max="12805" width="5.1328125" style="124" bestFit="1" customWidth="1"/>
    <col min="12806" max="12806" width="6.06640625" style="124" customWidth="1"/>
    <col min="12807" max="12807" width="8.6640625" style="124"/>
    <col min="12808" max="12808" width="7.796875" style="124" bestFit="1" customWidth="1"/>
    <col min="12809" max="12809" width="6.9296875" style="124" customWidth="1"/>
    <col min="12810" max="12811" width="8.6640625" style="124"/>
    <col min="12812" max="12812" width="7.796875" style="124" bestFit="1" customWidth="1"/>
    <col min="12813" max="12813" width="10.3984375" style="124" customWidth="1"/>
    <col min="12814" max="13045" width="8.6640625" style="124"/>
    <col min="13046" max="13046" width="2.1328125" style="124" customWidth="1"/>
    <col min="13047" max="13047" width="20.33203125" style="124" customWidth="1"/>
    <col min="13048" max="13048" width="6.59765625" style="124" bestFit="1" customWidth="1"/>
    <col min="13049" max="13049" width="6.6640625" style="124" bestFit="1" customWidth="1"/>
    <col min="13050" max="13050" width="7" style="124" bestFit="1" customWidth="1"/>
    <col min="13051" max="13051" width="3.46484375" style="124" bestFit="1" customWidth="1"/>
    <col min="13052" max="13052" width="8.59765625" style="124" customWidth="1"/>
    <col min="13053" max="13053" width="8.06640625" style="124" customWidth="1"/>
    <col min="13054" max="13054" width="5.46484375" style="124" customWidth="1"/>
    <col min="13055" max="13055" width="3.33203125" style="124" customWidth="1"/>
    <col min="13056" max="13056" width="3" style="124" bestFit="1" customWidth="1"/>
    <col min="13057" max="13058" width="8.06640625" style="124" customWidth="1"/>
    <col min="13059" max="13059" width="5.46484375" style="124" customWidth="1"/>
    <col min="13060" max="13060" width="3.33203125" style="124" customWidth="1"/>
    <col min="13061" max="13061" width="5.1328125" style="124" bestFit="1" customWidth="1"/>
    <col min="13062" max="13062" width="6.06640625" style="124" customWidth="1"/>
    <col min="13063" max="13063" width="8.6640625" style="124"/>
    <col min="13064" max="13064" width="7.796875" style="124" bestFit="1" customWidth="1"/>
    <col min="13065" max="13065" width="6.9296875" style="124" customWidth="1"/>
    <col min="13066" max="13067" width="8.6640625" style="124"/>
    <col min="13068" max="13068" width="7.796875" style="124" bestFit="1" customWidth="1"/>
    <col min="13069" max="13069" width="10.3984375" style="124" customWidth="1"/>
    <col min="13070" max="13301" width="8.6640625" style="124"/>
    <col min="13302" max="13302" width="2.1328125" style="124" customWidth="1"/>
    <col min="13303" max="13303" width="20.33203125" style="124" customWidth="1"/>
    <col min="13304" max="13304" width="6.59765625" style="124" bestFit="1" customWidth="1"/>
    <col min="13305" max="13305" width="6.6640625" style="124" bestFit="1" customWidth="1"/>
    <col min="13306" max="13306" width="7" style="124" bestFit="1" customWidth="1"/>
    <col min="13307" max="13307" width="3.46484375" style="124" bestFit="1" customWidth="1"/>
    <col min="13308" max="13308" width="8.59765625" style="124" customWidth="1"/>
    <col min="13309" max="13309" width="8.06640625" style="124" customWidth="1"/>
    <col min="13310" max="13310" width="5.46484375" style="124" customWidth="1"/>
    <col min="13311" max="13311" width="3.33203125" style="124" customWidth="1"/>
    <col min="13312" max="13312" width="3" style="124" bestFit="1" customWidth="1"/>
    <col min="13313" max="13314" width="8.06640625" style="124" customWidth="1"/>
    <col min="13315" max="13315" width="5.46484375" style="124" customWidth="1"/>
    <col min="13316" max="13316" width="3.33203125" style="124" customWidth="1"/>
    <col min="13317" max="13317" width="5.1328125" style="124" bestFit="1" customWidth="1"/>
    <col min="13318" max="13318" width="6.06640625" style="124" customWidth="1"/>
    <col min="13319" max="13319" width="8.6640625" style="124"/>
    <col min="13320" max="13320" width="7.796875" style="124" bestFit="1" customWidth="1"/>
    <col min="13321" max="13321" width="6.9296875" style="124" customWidth="1"/>
    <col min="13322" max="13323" width="8.6640625" style="124"/>
    <col min="13324" max="13324" width="7.796875" style="124" bestFit="1" customWidth="1"/>
    <col min="13325" max="13325" width="10.3984375" style="124" customWidth="1"/>
    <col min="13326" max="13557" width="8.6640625" style="124"/>
    <col min="13558" max="13558" width="2.1328125" style="124" customWidth="1"/>
    <col min="13559" max="13559" width="20.33203125" style="124" customWidth="1"/>
    <col min="13560" max="13560" width="6.59765625" style="124" bestFit="1" customWidth="1"/>
    <col min="13561" max="13561" width="6.6640625" style="124" bestFit="1" customWidth="1"/>
    <col min="13562" max="13562" width="7" style="124" bestFit="1" customWidth="1"/>
    <col min="13563" max="13563" width="3.46484375" style="124" bestFit="1" customWidth="1"/>
    <col min="13564" max="13564" width="8.59765625" style="124" customWidth="1"/>
    <col min="13565" max="13565" width="8.06640625" style="124" customWidth="1"/>
    <col min="13566" max="13566" width="5.46484375" style="124" customWidth="1"/>
    <col min="13567" max="13567" width="3.33203125" style="124" customWidth="1"/>
    <col min="13568" max="13568" width="3" style="124" bestFit="1" customWidth="1"/>
    <col min="13569" max="13570" width="8.06640625" style="124" customWidth="1"/>
    <col min="13571" max="13571" width="5.46484375" style="124" customWidth="1"/>
    <col min="13572" max="13572" width="3.33203125" style="124" customWidth="1"/>
    <col min="13573" max="13573" width="5.1328125" style="124" bestFit="1" customWidth="1"/>
    <col min="13574" max="13574" width="6.06640625" style="124" customWidth="1"/>
    <col min="13575" max="13575" width="8.6640625" style="124"/>
    <col min="13576" max="13576" width="7.796875" style="124" bestFit="1" customWidth="1"/>
    <col min="13577" max="13577" width="6.9296875" style="124" customWidth="1"/>
    <col min="13578" max="13579" width="8.6640625" style="124"/>
    <col min="13580" max="13580" width="7.796875" style="124" bestFit="1" customWidth="1"/>
    <col min="13581" max="13581" width="10.3984375" style="124" customWidth="1"/>
    <col min="13582" max="13813" width="8.6640625" style="124"/>
    <col min="13814" max="13814" width="2.1328125" style="124" customWidth="1"/>
    <col min="13815" max="13815" width="20.33203125" style="124" customWidth="1"/>
    <col min="13816" max="13816" width="6.59765625" style="124" bestFit="1" customWidth="1"/>
    <col min="13817" max="13817" width="6.6640625" style="124" bestFit="1" customWidth="1"/>
    <col min="13818" max="13818" width="7" style="124" bestFit="1" customWidth="1"/>
    <col min="13819" max="13819" width="3.46484375" style="124" bestFit="1" customWidth="1"/>
    <col min="13820" max="13820" width="8.59765625" style="124" customWidth="1"/>
    <col min="13821" max="13821" width="8.06640625" style="124" customWidth="1"/>
    <col min="13822" max="13822" width="5.46484375" style="124" customWidth="1"/>
    <col min="13823" max="13823" width="3.33203125" style="124" customWidth="1"/>
    <col min="13824" max="13824" width="3" style="124" bestFit="1" customWidth="1"/>
    <col min="13825" max="13826" width="8.06640625" style="124" customWidth="1"/>
    <col min="13827" max="13827" width="5.46484375" style="124" customWidth="1"/>
    <col min="13828" max="13828" width="3.33203125" style="124" customWidth="1"/>
    <col min="13829" max="13829" width="5.1328125" style="124" bestFit="1" customWidth="1"/>
    <col min="13830" max="13830" width="6.06640625" style="124" customWidth="1"/>
    <col min="13831" max="13831" width="8.6640625" style="124"/>
    <col min="13832" max="13832" width="7.796875" style="124" bestFit="1" customWidth="1"/>
    <col min="13833" max="13833" width="6.9296875" style="124" customWidth="1"/>
    <col min="13834" max="13835" width="8.6640625" style="124"/>
    <col min="13836" max="13836" width="7.796875" style="124" bestFit="1" customWidth="1"/>
    <col min="13837" max="13837" width="10.3984375" style="124" customWidth="1"/>
    <col min="13838" max="14069" width="8.6640625" style="124"/>
    <col min="14070" max="14070" width="2.1328125" style="124" customWidth="1"/>
    <col min="14071" max="14071" width="20.33203125" style="124" customWidth="1"/>
    <col min="14072" max="14072" width="6.59765625" style="124" bestFit="1" customWidth="1"/>
    <col min="14073" max="14073" width="6.6640625" style="124" bestFit="1" customWidth="1"/>
    <col min="14074" max="14074" width="7" style="124" bestFit="1" customWidth="1"/>
    <col min="14075" max="14075" width="3.46484375" style="124" bestFit="1" customWidth="1"/>
    <col min="14076" max="14076" width="8.59765625" style="124" customWidth="1"/>
    <col min="14077" max="14077" width="8.06640625" style="124" customWidth="1"/>
    <col min="14078" max="14078" width="5.46484375" style="124" customWidth="1"/>
    <col min="14079" max="14079" width="3.33203125" style="124" customWidth="1"/>
    <col min="14080" max="14080" width="3" style="124" bestFit="1" customWidth="1"/>
    <col min="14081" max="14082" width="8.06640625" style="124" customWidth="1"/>
    <col min="14083" max="14083" width="5.46484375" style="124" customWidth="1"/>
    <col min="14084" max="14084" width="3.33203125" style="124" customWidth="1"/>
    <col min="14085" max="14085" width="5.1328125" style="124" bestFit="1" customWidth="1"/>
    <col min="14086" max="14086" width="6.06640625" style="124" customWidth="1"/>
    <col min="14087" max="14087" width="8.6640625" style="124"/>
    <col min="14088" max="14088" width="7.796875" style="124" bestFit="1" customWidth="1"/>
    <col min="14089" max="14089" width="6.9296875" style="124" customWidth="1"/>
    <col min="14090" max="14091" width="8.6640625" style="124"/>
    <col min="14092" max="14092" width="7.796875" style="124" bestFit="1" customWidth="1"/>
    <col min="14093" max="14093" width="10.3984375" style="124" customWidth="1"/>
    <col min="14094" max="14325" width="8.6640625" style="124"/>
    <col min="14326" max="14326" width="2.1328125" style="124" customWidth="1"/>
    <col min="14327" max="14327" width="20.33203125" style="124" customWidth="1"/>
    <col min="14328" max="14328" width="6.59765625" style="124" bestFit="1" customWidth="1"/>
    <col min="14329" max="14329" width="6.6640625" style="124" bestFit="1" customWidth="1"/>
    <col min="14330" max="14330" width="7" style="124" bestFit="1" customWidth="1"/>
    <col min="14331" max="14331" width="3.46484375" style="124" bestFit="1" customWidth="1"/>
    <col min="14332" max="14332" width="8.59765625" style="124" customWidth="1"/>
    <col min="14333" max="14333" width="8.06640625" style="124" customWidth="1"/>
    <col min="14334" max="14334" width="5.46484375" style="124" customWidth="1"/>
    <col min="14335" max="14335" width="3.33203125" style="124" customWidth="1"/>
    <col min="14336" max="14336" width="3" style="124" bestFit="1" customWidth="1"/>
    <col min="14337" max="14338" width="8.06640625" style="124" customWidth="1"/>
    <col min="14339" max="14339" width="5.46484375" style="124" customWidth="1"/>
    <col min="14340" max="14340" width="3.33203125" style="124" customWidth="1"/>
    <col min="14341" max="14341" width="5.1328125" style="124" bestFit="1" customWidth="1"/>
    <col min="14342" max="14342" width="6.06640625" style="124" customWidth="1"/>
    <col min="14343" max="14343" width="8.6640625" style="124"/>
    <col min="14344" max="14344" width="7.796875" style="124" bestFit="1" customWidth="1"/>
    <col min="14345" max="14345" width="6.9296875" style="124" customWidth="1"/>
    <col min="14346" max="14347" width="8.6640625" style="124"/>
    <col min="14348" max="14348" width="7.796875" style="124" bestFit="1" customWidth="1"/>
    <col min="14349" max="14349" width="10.3984375" style="124" customWidth="1"/>
    <col min="14350" max="14581" width="8.6640625" style="124"/>
    <col min="14582" max="14582" width="2.1328125" style="124" customWidth="1"/>
    <col min="14583" max="14583" width="20.33203125" style="124" customWidth="1"/>
    <col min="14584" max="14584" width="6.59765625" style="124" bestFit="1" customWidth="1"/>
    <col min="14585" max="14585" width="6.6640625" style="124" bestFit="1" customWidth="1"/>
    <col min="14586" max="14586" width="7" style="124" bestFit="1" customWidth="1"/>
    <col min="14587" max="14587" width="3.46484375" style="124" bestFit="1" customWidth="1"/>
    <col min="14588" max="14588" width="8.59765625" style="124" customWidth="1"/>
    <col min="14589" max="14589" width="8.06640625" style="124" customWidth="1"/>
    <col min="14590" max="14590" width="5.46484375" style="124" customWidth="1"/>
    <col min="14591" max="14591" width="3.33203125" style="124" customWidth="1"/>
    <col min="14592" max="14592" width="3" style="124" bestFit="1" customWidth="1"/>
    <col min="14593" max="14594" width="8.06640625" style="124" customWidth="1"/>
    <col min="14595" max="14595" width="5.46484375" style="124" customWidth="1"/>
    <col min="14596" max="14596" width="3.33203125" style="124" customWidth="1"/>
    <col min="14597" max="14597" width="5.1328125" style="124" bestFit="1" customWidth="1"/>
    <col min="14598" max="14598" width="6.06640625" style="124" customWidth="1"/>
    <col min="14599" max="14599" width="8.6640625" style="124"/>
    <col min="14600" max="14600" width="7.796875" style="124" bestFit="1" customWidth="1"/>
    <col min="14601" max="14601" width="6.9296875" style="124" customWidth="1"/>
    <col min="14602" max="14603" width="8.6640625" style="124"/>
    <col min="14604" max="14604" width="7.796875" style="124" bestFit="1" customWidth="1"/>
    <col min="14605" max="14605" width="10.3984375" style="124" customWidth="1"/>
    <col min="14606" max="14837" width="8.6640625" style="124"/>
    <col min="14838" max="14838" width="2.1328125" style="124" customWidth="1"/>
    <col min="14839" max="14839" width="20.33203125" style="124" customWidth="1"/>
    <col min="14840" max="14840" width="6.59765625" style="124" bestFit="1" customWidth="1"/>
    <col min="14841" max="14841" width="6.6640625" style="124" bestFit="1" customWidth="1"/>
    <col min="14842" max="14842" width="7" style="124" bestFit="1" customWidth="1"/>
    <col min="14843" max="14843" width="3.46484375" style="124" bestFit="1" customWidth="1"/>
    <col min="14844" max="14844" width="8.59765625" style="124" customWidth="1"/>
    <col min="14845" max="14845" width="8.06640625" style="124" customWidth="1"/>
    <col min="14846" max="14846" width="5.46484375" style="124" customWidth="1"/>
    <col min="14847" max="14847" width="3.33203125" style="124" customWidth="1"/>
    <col min="14848" max="14848" width="3" style="124" bestFit="1" customWidth="1"/>
    <col min="14849" max="14850" width="8.06640625" style="124" customWidth="1"/>
    <col min="14851" max="14851" width="5.46484375" style="124" customWidth="1"/>
    <col min="14852" max="14852" width="3.33203125" style="124" customWidth="1"/>
    <col min="14853" max="14853" width="5.1328125" style="124" bestFit="1" customWidth="1"/>
    <col min="14854" max="14854" width="6.06640625" style="124" customWidth="1"/>
    <col min="14855" max="14855" width="8.6640625" style="124"/>
    <col min="14856" max="14856" width="7.796875" style="124" bestFit="1" customWidth="1"/>
    <col min="14857" max="14857" width="6.9296875" style="124" customWidth="1"/>
    <col min="14858" max="14859" width="8.6640625" style="124"/>
    <col min="14860" max="14860" width="7.796875" style="124" bestFit="1" customWidth="1"/>
    <col min="14861" max="14861" width="10.3984375" style="124" customWidth="1"/>
    <col min="14862" max="15093" width="8.6640625" style="124"/>
    <col min="15094" max="15094" width="2.1328125" style="124" customWidth="1"/>
    <col min="15095" max="15095" width="20.33203125" style="124" customWidth="1"/>
    <col min="15096" max="15096" width="6.59765625" style="124" bestFit="1" customWidth="1"/>
    <col min="15097" max="15097" width="6.6640625" style="124" bestFit="1" customWidth="1"/>
    <col min="15098" max="15098" width="7" style="124" bestFit="1" customWidth="1"/>
    <col min="15099" max="15099" width="3.46484375" style="124" bestFit="1" customWidth="1"/>
    <col min="15100" max="15100" width="8.59765625" style="124" customWidth="1"/>
    <col min="15101" max="15101" width="8.06640625" style="124" customWidth="1"/>
    <col min="15102" max="15102" width="5.46484375" style="124" customWidth="1"/>
    <col min="15103" max="15103" width="3.33203125" style="124" customWidth="1"/>
    <col min="15104" max="15104" width="3" style="124" bestFit="1" customWidth="1"/>
    <col min="15105" max="15106" width="8.06640625" style="124" customWidth="1"/>
    <col min="15107" max="15107" width="5.46484375" style="124" customWidth="1"/>
    <col min="15108" max="15108" width="3.33203125" style="124" customWidth="1"/>
    <col min="15109" max="15109" width="5.1328125" style="124" bestFit="1" customWidth="1"/>
    <col min="15110" max="15110" width="6.06640625" style="124" customWidth="1"/>
    <col min="15111" max="15111" width="8.6640625" style="124"/>
    <col min="15112" max="15112" width="7.796875" style="124" bestFit="1" customWidth="1"/>
    <col min="15113" max="15113" width="6.9296875" style="124" customWidth="1"/>
    <col min="15114" max="15115" width="8.6640625" style="124"/>
    <col min="15116" max="15116" width="7.796875" style="124" bestFit="1" customWidth="1"/>
    <col min="15117" max="15117" width="10.3984375" style="124" customWidth="1"/>
    <col min="15118" max="15349" width="8.6640625" style="124"/>
    <col min="15350" max="15350" width="2.1328125" style="124" customWidth="1"/>
    <col min="15351" max="15351" width="20.33203125" style="124" customWidth="1"/>
    <col min="15352" max="15352" width="6.59765625" style="124" bestFit="1" customWidth="1"/>
    <col min="15353" max="15353" width="6.6640625" style="124" bestFit="1" customWidth="1"/>
    <col min="15354" max="15354" width="7" style="124" bestFit="1" customWidth="1"/>
    <col min="15355" max="15355" width="3.46484375" style="124" bestFit="1" customWidth="1"/>
    <col min="15356" max="15356" width="8.59765625" style="124" customWidth="1"/>
    <col min="15357" max="15357" width="8.06640625" style="124" customWidth="1"/>
    <col min="15358" max="15358" width="5.46484375" style="124" customWidth="1"/>
    <col min="15359" max="15359" width="3.33203125" style="124" customWidth="1"/>
    <col min="15360" max="15360" width="3" style="124" bestFit="1" customWidth="1"/>
    <col min="15361" max="15362" width="8.06640625" style="124" customWidth="1"/>
    <col min="15363" max="15363" width="5.46484375" style="124" customWidth="1"/>
    <col min="15364" max="15364" width="3.33203125" style="124" customWidth="1"/>
    <col min="15365" max="15365" width="5.1328125" style="124" bestFit="1" customWidth="1"/>
    <col min="15366" max="15366" width="6.06640625" style="124" customWidth="1"/>
    <col min="15367" max="15367" width="8.6640625" style="124"/>
    <col min="15368" max="15368" width="7.796875" style="124" bestFit="1" customWidth="1"/>
    <col min="15369" max="15369" width="6.9296875" style="124" customWidth="1"/>
    <col min="15370" max="15371" width="8.6640625" style="124"/>
    <col min="15372" max="15372" width="7.796875" style="124" bestFit="1" customWidth="1"/>
    <col min="15373" max="15373" width="10.3984375" style="124" customWidth="1"/>
    <col min="15374" max="15605" width="8.6640625" style="124"/>
    <col min="15606" max="15606" width="2.1328125" style="124" customWidth="1"/>
    <col min="15607" max="15607" width="20.33203125" style="124" customWidth="1"/>
    <col min="15608" max="15608" width="6.59765625" style="124" bestFit="1" customWidth="1"/>
    <col min="15609" max="15609" width="6.6640625" style="124" bestFit="1" customWidth="1"/>
    <col min="15610" max="15610" width="7" style="124" bestFit="1" customWidth="1"/>
    <col min="15611" max="15611" width="3.46484375" style="124" bestFit="1" customWidth="1"/>
    <col min="15612" max="15612" width="8.59765625" style="124" customWidth="1"/>
    <col min="15613" max="15613" width="8.06640625" style="124" customWidth="1"/>
    <col min="15614" max="15614" width="5.46484375" style="124" customWidth="1"/>
    <col min="15615" max="15615" width="3.33203125" style="124" customWidth="1"/>
    <col min="15616" max="15616" width="3" style="124" bestFit="1" customWidth="1"/>
    <col min="15617" max="15618" width="8.06640625" style="124" customWidth="1"/>
    <col min="15619" max="15619" width="5.46484375" style="124" customWidth="1"/>
    <col min="15620" max="15620" width="3.33203125" style="124" customWidth="1"/>
    <col min="15621" max="15621" width="5.1328125" style="124" bestFit="1" customWidth="1"/>
    <col min="15622" max="15622" width="6.06640625" style="124" customWidth="1"/>
    <col min="15623" max="15623" width="8.6640625" style="124"/>
    <col min="15624" max="15624" width="7.796875" style="124" bestFit="1" customWidth="1"/>
    <col min="15625" max="15625" width="6.9296875" style="124" customWidth="1"/>
    <col min="15626" max="15627" width="8.6640625" style="124"/>
    <col min="15628" max="15628" width="7.796875" style="124" bestFit="1" customWidth="1"/>
    <col min="15629" max="15629" width="10.3984375" style="124" customWidth="1"/>
    <col min="15630" max="15861" width="8.6640625" style="124"/>
    <col min="15862" max="15862" width="2.1328125" style="124" customWidth="1"/>
    <col min="15863" max="15863" width="20.33203125" style="124" customWidth="1"/>
    <col min="15864" max="15864" width="6.59765625" style="124" bestFit="1" customWidth="1"/>
    <col min="15865" max="15865" width="6.6640625" style="124" bestFit="1" customWidth="1"/>
    <col min="15866" max="15866" width="7" style="124" bestFit="1" customWidth="1"/>
    <col min="15867" max="15867" width="3.46484375" style="124" bestFit="1" customWidth="1"/>
    <col min="15868" max="15868" width="8.59765625" style="124" customWidth="1"/>
    <col min="15869" max="15869" width="8.06640625" style="124" customWidth="1"/>
    <col min="15870" max="15870" width="5.46484375" style="124" customWidth="1"/>
    <col min="15871" max="15871" width="3.33203125" style="124" customWidth="1"/>
    <col min="15872" max="15872" width="3" style="124" bestFit="1" customWidth="1"/>
    <col min="15873" max="15874" width="8.06640625" style="124" customWidth="1"/>
    <col min="15875" max="15875" width="5.46484375" style="124" customWidth="1"/>
    <col min="15876" max="15876" width="3.33203125" style="124" customWidth="1"/>
    <col min="15877" max="15877" width="5.1328125" style="124" bestFit="1" customWidth="1"/>
    <col min="15878" max="15878" width="6.06640625" style="124" customWidth="1"/>
    <col min="15879" max="15879" width="8.6640625" style="124"/>
    <col min="15880" max="15880" width="7.796875" style="124" bestFit="1" customWidth="1"/>
    <col min="15881" max="15881" width="6.9296875" style="124" customWidth="1"/>
    <col min="15882" max="15883" width="8.6640625" style="124"/>
    <col min="15884" max="15884" width="7.796875" style="124" bestFit="1" customWidth="1"/>
    <col min="15885" max="15885" width="10.3984375" style="124" customWidth="1"/>
    <col min="15886" max="16117" width="8.6640625" style="124"/>
    <col min="16118" max="16118" width="2.1328125" style="124" customWidth="1"/>
    <col min="16119" max="16119" width="20.33203125" style="124" customWidth="1"/>
    <col min="16120" max="16120" width="6.59765625" style="124" bestFit="1" customWidth="1"/>
    <col min="16121" max="16121" width="6.6640625" style="124" bestFit="1" customWidth="1"/>
    <col min="16122" max="16122" width="7" style="124" bestFit="1" customWidth="1"/>
    <col min="16123" max="16123" width="3.46484375" style="124" bestFit="1" customWidth="1"/>
    <col min="16124" max="16124" width="8.59765625" style="124" customWidth="1"/>
    <col min="16125" max="16125" width="8.06640625" style="124" customWidth="1"/>
    <col min="16126" max="16126" width="5.46484375" style="124" customWidth="1"/>
    <col min="16127" max="16127" width="3.33203125" style="124" customWidth="1"/>
    <col min="16128" max="16128" width="3" style="124" bestFit="1" customWidth="1"/>
    <col min="16129" max="16130" width="8.06640625" style="124" customWidth="1"/>
    <col min="16131" max="16131" width="5.46484375" style="124" customWidth="1"/>
    <col min="16132" max="16132" width="3.33203125" style="124" customWidth="1"/>
    <col min="16133" max="16133" width="5.1328125" style="124" bestFit="1" customWidth="1"/>
    <col min="16134" max="16134" width="6.06640625" style="124" customWidth="1"/>
    <col min="16135" max="16135" width="8.6640625" style="124"/>
    <col min="16136" max="16136" width="7.796875" style="124" bestFit="1" customWidth="1"/>
    <col min="16137" max="16137" width="6.9296875" style="124" customWidth="1"/>
    <col min="16138" max="16139" width="8.6640625" style="124"/>
    <col min="16140" max="16140" width="7.796875" style="124" bestFit="1" customWidth="1"/>
    <col min="16141" max="16141" width="10.3984375" style="124" customWidth="1"/>
    <col min="16142" max="16382" width="8.6640625" style="124"/>
    <col min="16383" max="16384" width="8.6640625" style="124" customWidth="1"/>
  </cols>
  <sheetData>
    <row r="1" spans="1:17" ht="3" hidden="1" customHeight="1">
      <c r="A1" s="38" t="s">
        <v>47</v>
      </c>
    </row>
    <row r="2" spans="1:17" ht="18" customHeight="1">
      <c r="A2" s="203" t="s">
        <v>299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</row>
    <row r="3" spans="1:17" ht="12.75" hidden="1" customHeight="1">
      <c r="A3" s="113" t="s">
        <v>48</v>
      </c>
      <c r="B3" s="113"/>
      <c r="C3" s="138"/>
      <c r="D3" s="138"/>
      <c r="E3" s="138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40"/>
    </row>
    <row r="4" spans="1:17" ht="15.6">
      <c r="A4" s="202" t="s">
        <v>326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7" ht="17.399999999999999">
      <c r="A5" s="203" t="s">
        <v>198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</row>
    <row r="6" spans="1:17" ht="17.399999999999999" hidden="1">
      <c r="A6" s="93" t="s">
        <v>272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17" ht="12" hidden="1" customHeight="1">
      <c r="A7" s="113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</row>
    <row r="8" spans="1:17" ht="15.75" hidden="1" customHeight="1">
      <c r="A8" s="113" t="s">
        <v>47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52"/>
    </row>
    <row r="9" spans="1:17" s="43" customFormat="1" ht="15.6" hidden="1">
      <c r="A9" s="90" t="s">
        <v>181</v>
      </c>
      <c r="B9" s="91" t="s">
        <v>178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162"/>
    </row>
    <row r="10" spans="1:17" s="79" customFormat="1" ht="14.4" hidden="1">
      <c r="A10" s="90" t="s">
        <v>180</v>
      </c>
      <c r="B10" s="93" t="s">
        <v>271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162"/>
    </row>
    <row r="11" spans="1:17" s="79" customFormat="1" ht="15.75" hidden="1" customHeight="1">
      <c r="A11" s="90" t="s">
        <v>182</v>
      </c>
      <c r="B11" s="93" t="s">
        <v>179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162"/>
    </row>
    <row r="12" spans="1:17" s="79" customFormat="1" ht="15.75" hidden="1" customHeight="1">
      <c r="A12" s="90" t="s">
        <v>183</v>
      </c>
      <c r="B12" s="93" t="s">
        <v>184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162"/>
    </row>
    <row r="13" spans="1:17" s="79" customFormat="1" ht="15.75" hidden="1" customHeight="1">
      <c r="A13" s="90" t="s">
        <v>161</v>
      </c>
      <c r="B13" s="93" t="s">
        <v>149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162"/>
    </row>
    <row r="14" spans="1:17" s="79" customFormat="1" ht="15.75" hidden="1" customHeight="1">
      <c r="A14" s="90"/>
      <c r="B14" s="93" t="s">
        <v>150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162"/>
    </row>
    <row r="15" spans="1:17" s="79" customFormat="1" ht="15.75" hidden="1" customHeight="1">
      <c r="A15" s="90" t="s">
        <v>162</v>
      </c>
      <c r="B15" s="93" t="s">
        <v>177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161"/>
    </row>
    <row r="16" spans="1:17" ht="10.5" hidden="1" customHeight="1">
      <c r="A16" s="199"/>
      <c r="B16" s="136"/>
      <c r="C16" s="135"/>
      <c r="D16" s="135"/>
      <c r="E16" s="135"/>
    </row>
    <row r="17" spans="1:17" ht="91.5" customHeight="1">
      <c r="A17" s="86" t="s">
        <v>49</v>
      </c>
      <c r="B17" s="87" t="s">
        <v>50</v>
      </c>
      <c r="C17" s="88" t="s">
        <v>51</v>
      </c>
      <c r="D17" s="88" t="s">
        <v>52</v>
      </c>
      <c r="E17" s="88" t="s">
        <v>53</v>
      </c>
      <c r="F17" s="88" t="s">
        <v>54</v>
      </c>
      <c r="G17" s="88" t="s">
        <v>55</v>
      </c>
      <c r="H17" s="88" t="s">
        <v>56</v>
      </c>
      <c r="I17" s="88" t="s">
        <v>57</v>
      </c>
      <c r="J17" s="89" t="s">
        <v>58</v>
      </c>
      <c r="K17" s="88" t="s">
        <v>54</v>
      </c>
      <c r="L17" s="88" t="s">
        <v>59</v>
      </c>
      <c r="M17" s="88" t="s">
        <v>60</v>
      </c>
      <c r="N17" s="88" t="s">
        <v>57</v>
      </c>
      <c r="O17" s="89" t="s">
        <v>58</v>
      </c>
      <c r="P17" s="89" t="s">
        <v>61</v>
      </c>
    </row>
    <row r="18" spans="1:17" ht="17.25" hidden="1" customHeight="1">
      <c r="A18" s="145" t="s">
        <v>49</v>
      </c>
      <c r="B18" s="145" t="s">
        <v>50</v>
      </c>
      <c r="C18" s="146" t="s">
        <v>51</v>
      </c>
      <c r="D18" s="146" t="s">
        <v>52</v>
      </c>
      <c r="E18" s="146" t="s">
        <v>53</v>
      </c>
      <c r="F18" s="146" t="s">
        <v>54</v>
      </c>
      <c r="G18" s="147" t="s">
        <v>55</v>
      </c>
      <c r="H18" s="147" t="s">
        <v>56</v>
      </c>
      <c r="I18" s="146" t="s">
        <v>57</v>
      </c>
      <c r="J18" s="146" t="s">
        <v>58</v>
      </c>
      <c r="K18" s="146" t="s">
        <v>54</v>
      </c>
      <c r="L18" s="146" t="s">
        <v>59</v>
      </c>
      <c r="M18" s="146" t="s">
        <v>60</v>
      </c>
      <c r="N18" s="146" t="s">
        <v>57</v>
      </c>
      <c r="O18" s="145" t="s">
        <v>58</v>
      </c>
      <c r="P18" s="144" t="s">
        <v>61</v>
      </c>
    </row>
    <row r="19" spans="1:17">
      <c r="A19" s="126" t="s">
        <v>269</v>
      </c>
      <c r="B19" s="127" t="s">
        <v>218</v>
      </c>
      <c r="C19" s="125">
        <v>43785</v>
      </c>
      <c r="D19" s="125">
        <v>44150</v>
      </c>
      <c r="E19" s="125"/>
      <c r="F19" s="128" t="s">
        <v>65</v>
      </c>
      <c r="G19" s="80">
        <v>90000000</v>
      </c>
      <c r="H19" s="80">
        <v>0</v>
      </c>
      <c r="I19" s="81">
        <v>12.5</v>
      </c>
      <c r="J19" s="82"/>
      <c r="K19" s="128" t="s">
        <v>65</v>
      </c>
      <c r="L19" s="80">
        <v>750000000</v>
      </c>
      <c r="M19" s="80">
        <v>0</v>
      </c>
      <c r="N19" s="81">
        <v>12.5</v>
      </c>
      <c r="O19" s="82"/>
      <c r="P19" s="129"/>
    </row>
    <row r="20" spans="1:17">
      <c r="A20" s="126" t="s">
        <v>269</v>
      </c>
      <c r="B20" s="127" t="s">
        <v>218</v>
      </c>
      <c r="C20" s="125">
        <v>44151</v>
      </c>
      <c r="D20" s="125">
        <v>44515</v>
      </c>
      <c r="E20" s="125"/>
      <c r="F20" s="128" t="s">
        <v>65</v>
      </c>
      <c r="G20" s="80">
        <v>90000000</v>
      </c>
      <c r="H20" s="80">
        <v>0</v>
      </c>
      <c r="I20" s="81">
        <v>12.5</v>
      </c>
      <c r="J20" s="82"/>
      <c r="K20" s="128" t="s">
        <v>65</v>
      </c>
      <c r="L20" s="80">
        <v>750000000</v>
      </c>
      <c r="M20" s="80">
        <v>0</v>
      </c>
      <c r="N20" s="81">
        <v>12.5</v>
      </c>
      <c r="O20" s="82"/>
      <c r="P20" s="129"/>
    </row>
    <row r="21" spans="1:17">
      <c r="A21" s="126" t="s">
        <v>269</v>
      </c>
      <c r="B21" s="127" t="s">
        <v>218</v>
      </c>
      <c r="C21" s="125"/>
      <c r="D21" s="125"/>
      <c r="E21" s="125"/>
      <c r="F21" s="128"/>
      <c r="G21" s="80"/>
      <c r="H21" s="80"/>
      <c r="I21" s="81"/>
      <c r="J21" s="82"/>
      <c r="K21" s="128"/>
      <c r="L21" s="80"/>
      <c r="M21" s="80"/>
      <c r="N21" s="81"/>
      <c r="O21" s="82"/>
      <c r="P21" s="129"/>
    </row>
    <row r="22" spans="1:17">
      <c r="A22" s="126" t="s">
        <v>269</v>
      </c>
      <c r="B22" s="127" t="s">
        <v>219</v>
      </c>
      <c r="C22" s="125">
        <v>43556</v>
      </c>
      <c r="D22" s="125">
        <v>43921</v>
      </c>
      <c r="E22" s="125"/>
      <c r="F22" s="128" t="s">
        <v>65</v>
      </c>
      <c r="G22" s="80">
        <v>85000000</v>
      </c>
      <c r="H22" s="80">
        <v>0</v>
      </c>
      <c r="I22" s="81">
        <v>6</v>
      </c>
      <c r="J22" s="82"/>
      <c r="K22" s="128" t="s">
        <v>65</v>
      </c>
      <c r="L22" s="80">
        <v>1000000000</v>
      </c>
      <c r="M22" s="80">
        <v>0</v>
      </c>
      <c r="N22" s="81">
        <v>6</v>
      </c>
      <c r="O22" s="82"/>
      <c r="P22" s="129"/>
    </row>
    <row r="23" spans="1:17">
      <c r="A23" s="126" t="s">
        <v>269</v>
      </c>
      <c r="B23" s="127" t="s">
        <v>219</v>
      </c>
      <c r="C23" s="125"/>
      <c r="D23" s="125"/>
      <c r="E23" s="125"/>
      <c r="F23" s="128"/>
      <c r="G23" s="80"/>
      <c r="H23" s="80"/>
      <c r="I23" s="81"/>
      <c r="J23" s="82"/>
      <c r="K23" s="128"/>
      <c r="L23" s="80"/>
      <c r="M23" s="80"/>
      <c r="N23" s="81"/>
      <c r="O23" s="82"/>
      <c r="P23" s="129"/>
    </row>
    <row r="24" spans="1:17">
      <c r="A24" s="126" t="s">
        <v>269</v>
      </c>
      <c r="B24" s="127" t="s">
        <v>219</v>
      </c>
      <c r="C24" s="125"/>
      <c r="D24" s="125"/>
      <c r="E24" s="125"/>
      <c r="F24" s="128"/>
      <c r="G24" s="80"/>
      <c r="H24" s="80"/>
      <c r="I24" s="81"/>
      <c r="J24" s="82"/>
      <c r="K24" s="128"/>
      <c r="L24" s="80"/>
      <c r="M24" s="80"/>
      <c r="N24" s="81"/>
      <c r="O24" s="82"/>
      <c r="P24" s="129"/>
    </row>
    <row r="25" spans="1:17">
      <c r="A25" s="126" t="s">
        <v>269</v>
      </c>
      <c r="B25" s="127" t="s">
        <v>301</v>
      </c>
      <c r="C25" s="125"/>
      <c r="D25" s="125"/>
      <c r="E25" s="125"/>
      <c r="F25" s="128"/>
      <c r="G25" s="80"/>
      <c r="H25" s="80"/>
      <c r="I25" s="81"/>
      <c r="J25" s="82"/>
      <c r="K25" s="128"/>
      <c r="L25" s="80"/>
      <c r="M25" s="80"/>
      <c r="N25" s="81"/>
      <c r="O25" s="82"/>
      <c r="P25" s="129"/>
    </row>
    <row r="26" spans="1:17">
      <c r="A26" s="126" t="s">
        <v>269</v>
      </c>
      <c r="B26" s="127" t="s">
        <v>301</v>
      </c>
      <c r="C26" s="125"/>
      <c r="D26" s="125"/>
      <c r="E26" s="125"/>
      <c r="F26" s="128"/>
      <c r="G26" s="80"/>
      <c r="H26" s="80"/>
      <c r="I26" s="81"/>
      <c r="J26" s="82"/>
      <c r="K26" s="128"/>
      <c r="L26" s="80"/>
      <c r="M26" s="80"/>
      <c r="N26" s="81"/>
      <c r="O26" s="82"/>
      <c r="P26" s="129"/>
    </row>
    <row r="27" spans="1:17">
      <c r="A27" s="126" t="s">
        <v>269</v>
      </c>
      <c r="B27" s="127" t="s">
        <v>301</v>
      </c>
      <c r="C27" s="125"/>
      <c r="D27" s="125"/>
      <c r="E27" s="125"/>
      <c r="F27" s="128"/>
      <c r="G27" s="80"/>
      <c r="H27" s="80"/>
      <c r="I27" s="81"/>
      <c r="J27" s="82"/>
      <c r="K27" s="128"/>
      <c r="L27" s="80"/>
      <c r="M27" s="80"/>
      <c r="N27" s="81"/>
      <c r="O27" s="82"/>
      <c r="P27" s="129"/>
    </row>
    <row r="28" spans="1:17">
      <c r="A28" s="126" t="s">
        <v>269</v>
      </c>
      <c r="B28" s="127" t="s">
        <v>221</v>
      </c>
      <c r="C28" s="125">
        <v>43556</v>
      </c>
      <c r="D28" s="125">
        <v>43921</v>
      </c>
      <c r="E28" s="125"/>
      <c r="F28" s="128" t="s">
        <v>65</v>
      </c>
      <c r="G28" s="80">
        <v>225000000</v>
      </c>
      <c r="H28" s="80">
        <v>0</v>
      </c>
      <c r="I28" s="81">
        <v>15</v>
      </c>
      <c r="J28" s="82"/>
      <c r="K28" s="128" t="s">
        <v>65</v>
      </c>
      <c r="L28" s="80">
        <v>1500000000</v>
      </c>
      <c r="M28" s="80">
        <v>0</v>
      </c>
      <c r="N28" s="81">
        <v>15</v>
      </c>
      <c r="O28" s="82"/>
      <c r="P28" s="129"/>
    </row>
    <row r="29" spans="1:17">
      <c r="A29" s="126" t="s">
        <v>269</v>
      </c>
      <c r="B29" s="127" t="s">
        <v>221</v>
      </c>
      <c r="C29" s="125">
        <v>43922</v>
      </c>
      <c r="D29" s="125">
        <v>44469</v>
      </c>
      <c r="E29" s="125"/>
      <c r="F29" s="128" t="s">
        <v>65</v>
      </c>
      <c r="G29" s="80">
        <v>225000000</v>
      </c>
      <c r="H29" s="80">
        <v>0</v>
      </c>
      <c r="I29" s="81">
        <v>15</v>
      </c>
      <c r="J29" s="82"/>
      <c r="K29" s="128" t="s">
        <v>65</v>
      </c>
      <c r="L29" s="80">
        <v>1500000000</v>
      </c>
      <c r="M29" s="80">
        <v>0</v>
      </c>
      <c r="N29" s="81">
        <v>15</v>
      </c>
      <c r="O29" s="82"/>
      <c r="P29" s="163"/>
      <c r="Q29" s="164">
        <v>1</v>
      </c>
    </row>
    <row r="30" spans="1:17">
      <c r="A30" s="126" t="s">
        <v>269</v>
      </c>
      <c r="B30" s="127" t="s">
        <v>221</v>
      </c>
      <c r="C30" s="125">
        <v>44470</v>
      </c>
      <c r="D30" s="125">
        <v>44834</v>
      </c>
      <c r="E30" s="125"/>
      <c r="F30" s="128" t="s">
        <v>65</v>
      </c>
      <c r="G30" s="80">
        <v>275000000</v>
      </c>
      <c r="H30" s="80">
        <v>0</v>
      </c>
      <c r="I30" s="81">
        <v>15</v>
      </c>
      <c r="J30" s="82"/>
      <c r="K30" s="128" t="s">
        <v>65</v>
      </c>
      <c r="L30" s="80">
        <v>1500000000</v>
      </c>
      <c r="M30" s="80">
        <v>0</v>
      </c>
      <c r="N30" s="81">
        <v>15</v>
      </c>
      <c r="O30" s="82"/>
      <c r="P30" s="129"/>
    </row>
    <row r="31" spans="1:17">
      <c r="A31" s="126" t="s">
        <v>269</v>
      </c>
      <c r="B31" s="127" t="s">
        <v>222</v>
      </c>
      <c r="C31" s="125">
        <v>43800</v>
      </c>
      <c r="D31" s="125">
        <v>44165</v>
      </c>
      <c r="E31" s="125"/>
      <c r="F31" s="128" t="s">
        <v>65</v>
      </c>
      <c r="G31" s="80">
        <v>245000000</v>
      </c>
      <c r="H31" s="80">
        <v>0</v>
      </c>
      <c r="I31" s="81">
        <v>15</v>
      </c>
      <c r="J31" s="82"/>
      <c r="K31" s="128" t="s">
        <v>65</v>
      </c>
      <c r="L31" s="80">
        <v>1500000000</v>
      </c>
      <c r="M31" s="80">
        <v>0</v>
      </c>
      <c r="N31" s="81">
        <v>15</v>
      </c>
      <c r="O31" s="82"/>
      <c r="P31" s="129"/>
    </row>
    <row r="32" spans="1:17">
      <c r="A32" s="126" t="s">
        <v>269</v>
      </c>
      <c r="B32" s="127" t="s">
        <v>222</v>
      </c>
      <c r="C32" s="125">
        <v>44166</v>
      </c>
      <c r="D32" s="125">
        <v>44651</v>
      </c>
      <c r="E32" s="125"/>
      <c r="F32" s="128" t="s">
        <v>65</v>
      </c>
      <c r="G32" s="80">
        <v>245000000</v>
      </c>
      <c r="H32" s="80">
        <v>0</v>
      </c>
      <c r="I32" s="81">
        <v>15</v>
      </c>
      <c r="J32" s="82"/>
      <c r="K32" s="128" t="s">
        <v>65</v>
      </c>
      <c r="L32" s="80">
        <v>1500000000</v>
      </c>
      <c r="M32" s="80">
        <v>0</v>
      </c>
      <c r="N32" s="81">
        <v>15</v>
      </c>
      <c r="O32" s="82"/>
      <c r="P32" s="163"/>
      <c r="Q32" s="164">
        <v>2</v>
      </c>
    </row>
    <row r="33" spans="1:17">
      <c r="A33" s="126" t="s">
        <v>269</v>
      </c>
      <c r="B33" s="127" t="s">
        <v>222</v>
      </c>
      <c r="C33" s="125"/>
      <c r="D33" s="125"/>
      <c r="E33" s="125"/>
      <c r="F33" s="128"/>
      <c r="G33" s="80"/>
      <c r="H33" s="80"/>
      <c r="I33" s="81"/>
      <c r="J33" s="82"/>
      <c r="K33" s="128"/>
      <c r="L33" s="80"/>
      <c r="M33" s="80"/>
      <c r="N33" s="81"/>
      <c r="O33" s="82"/>
      <c r="P33" s="129"/>
    </row>
    <row r="34" spans="1:17">
      <c r="A34" s="126" t="s">
        <v>269</v>
      </c>
      <c r="B34" s="127" t="s">
        <v>223</v>
      </c>
      <c r="C34" s="125">
        <v>43603</v>
      </c>
      <c r="D34" s="125">
        <v>43968</v>
      </c>
      <c r="E34" s="125"/>
      <c r="F34" s="128" t="s">
        <v>65</v>
      </c>
      <c r="G34" s="80">
        <v>75000000</v>
      </c>
      <c r="H34" s="80">
        <v>0</v>
      </c>
      <c r="I34" s="81">
        <v>15</v>
      </c>
      <c r="J34" s="82"/>
      <c r="K34" s="128" t="s">
        <v>65</v>
      </c>
      <c r="L34" s="80">
        <v>750000000</v>
      </c>
      <c r="M34" s="80">
        <v>0</v>
      </c>
      <c r="N34" s="81">
        <v>15</v>
      </c>
      <c r="O34" s="82"/>
      <c r="P34" s="129"/>
    </row>
    <row r="35" spans="1:17">
      <c r="A35" s="126" t="s">
        <v>269</v>
      </c>
      <c r="B35" s="127" t="s">
        <v>223</v>
      </c>
      <c r="C35" s="125">
        <v>43969</v>
      </c>
      <c r="D35" s="125">
        <v>44333</v>
      </c>
      <c r="E35" s="125"/>
      <c r="F35" s="128" t="s">
        <v>65</v>
      </c>
      <c r="G35" s="80">
        <v>75000000</v>
      </c>
      <c r="H35" s="80">
        <v>0</v>
      </c>
      <c r="I35" s="81">
        <v>12.5</v>
      </c>
      <c r="J35" s="82"/>
      <c r="K35" s="128" t="s">
        <v>65</v>
      </c>
      <c r="L35" s="80">
        <v>750000000</v>
      </c>
      <c r="M35" s="80">
        <v>0</v>
      </c>
      <c r="N35" s="81">
        <v>12.5</v>
      </c>
      <c r="O35" s="82"/>
      <c r="P35" s="129"/>
    </row>
    <row r="36" spans="1:17">
      <c r="A36" s="126" t="s">
        <v>269</v>
      </c>
      <c r="B36" s="127" t="s">
        <v>223</v>
      </c>
      <c r="C36" s="125">
        <v>44334</v>
      </c>
      <c r="D36" s="125">
        <v>44698</v>
      </c>
      <c r="E36" s="125"/>
      <c r="F36" s="128" t="s">
        <v>65</v>
      </c>
      <c r="G36" s="80">
        <v>75000000</v>
      </c>
      <c r="H36" s="80">
        <v>0</v>
      </c>
      <c r="I36" s="81">
        <v>12.5</v>
      </c>
      <c r="J36" s="82"/>
      <c r="K36" s="128" t="s">
        <v>65</v>
      </c>
      <c r="L36" s="80">
        <v>750000000</v>
      </c>
      <c r="M36" s="80">
        <v>0</v>
      </c>
      <c r="N36" s="81">
        <v>12.5</v>
      </c>
      <c r="O36" s="82"/>
      <c r="P36" s="129"/>
    </row>
    <row r="37" spans="1:17">
      <c r="A37" s="126" t="s">
        <v>269</v>
      </c>
      <c r="B37" s="127" t="s">
        <v>225</v>
      </c>
      <c r="C37" s="125"/>
      <c r="D37" s="125"/>
      <c r="E37" s="125"/>
      <c r="F37" s="128"/>
      <c r="G37" s="80"/>
      <c r="H37" s="80"/>
      <c r="I37" s="81"/>
      <c r="J37" s="82"/>
      <c r="K37" s="128"/>
      <c r="L37" s="80"/>
      <c r="M37" s="80"/>
      <c r="N37" s="81"/>
      <c r="O37" s="82"/>
      <c r="P37" s="129"/>
    </row>
    <row r="38" spans="1:17">
      <c r="A38" s="126" t="s">
        <v>269</v>
      </c>
      <c r="B38" s="127" t="s">
        <v>225</v>
      </c>
      <c r="C38" s="125"/>
      <c r="D38" s="125"/>
      <c r="E38" s="125"/>
      <c r="F38" s="128"/>
      <c r="G38" s="80"/>
      <c r="H38" s="80"/>
      <c r="I38" s="81"/>
      <c r="J38" s="82"/>
      <c r="K38" s="128"/>
      <c r="L38" s="80"/>
      <c r="M38" s="80"/>
      <c r="N38" s="81"/>
      <c r="O38" s="82"/>
      <c r="P38" s="129"/>
    </row>
    <row r="39" spans="1:17">
      <c r="A39" s="126" t="s">
        <v>269</v>
      </c>
      <c r="B39" s="127" t="s">
        <v>225</v>
      </c>
      <c r="C39" s="125"/>
      <c r="D39" s="125"/>
      <c r="E39" s="125"/>
      <c r="F39" s="128"/>
      <c r="G39" s="80"/>
      <c r="H39" s="80"/>
      <c r="I39" s="81"/>
      <c r="J39" s="82"/>
      <c r="K39" s="128"/>
      <c r="L39" s="80"/>
      <c r="M39" s="80"/>
      <c r="N39" s="81"/>
      <c r="O39" s="82"/>
      <c r="P39" s="129"/>
    </row>
    <row r="40" spans="1:17">
      <c r="A40" s="126" t="s">
        <v>269</v>
      </c>
      <c r="B40" s="127" t="s">
        <v>302</v>
      </c>
      <c r="C40" s="125">
        <v>43647</v>
      </c>
      <c r="D40" s="125">
        <v>44012</v>
      </c>
      <c r="E40" s="125"/>
      <c r="F40" s="128" t="s">
        <v>65</v>
      </c>
      <c r="G40" s="80">
        <v>85000000</v>
      </c>
      <c r="H40" s="80">
        <v>0</v>
      </c>
      <c r="I40" s="81">
        <v>2.5</v>
      </c>
      <c r="J40" s="82"/>
      <c r="K40" s="128" t="s">
        <v>65</v>
      </c>
      <c r="L40" s="80">
        <v>1000000000</v>
      </c>
      <c r="M40" s="80">
        <v>0</v>
      </c>
      <c r="N40" s="81">
        <v>2.5</v>
      </c>
      <c r="O40" s="82"/>
      <c r="P40" s="129"/>
    </row>
    <row r="41" spans="1:17">
      <c r="A41" s="126" t="s">
        <v>269</v>
      </c>
      <c r="B41" s="127" t="s">
        <v>302</v>
      </c>
      <c r="C41" s="125" t="s">
        <v>325</v>
      </c>
      <c r="D41" s="125"/>
      <c r="E41" s="125"/>
      <c r="F41" s="128"/>
      <c r="G41" s="80"/>
      <c r="H41" s="80"/>
      <c r="I41" s="81"/>
      <c r="J41" s="82"/>
      <c r="K41" s="128"/>
      <c r="L41" s="80"/>
      <c r="M41" s="80"/>
      <c r="N41" s="81"/>
      <c r="O41" s="82"/>
      <c r="P41" s="129"/>
    </row>
    <row r="42" spans="1:17">
      <c r="A42" s="126" t="s">
        <v>269</v>
      </c>
      <c r="B42" s="127" t="s">
        <v>302</v>
      </c>
      <c r="C42" s="125"/>
      <c r="D42" s="125"/>
      <c r="E42" s="125"/>
      <c r="F42" s="128"/>
      <c r="G42" s="80"/>
      <c r="H42" s="80"/>
      <c r="I42" s="81"/>
      <c r="J42" s="82"/>
      <c r="K42" s="128"/>
      <c r="L42" s="80"/>
      <c r="M42" s="80"/>
      <c r="N42" s="81"/>
      <c r="O42" s="82"/>
      <c r="P42" s="129"/>
    </row>
    <row r="43" spans="1:17">
      <c r="A43" s="126" t="s">
        <v>269</v>
      </c>
      <c r="B43" s="127" t="s">
        <v>226</v>
      </c>
      <c r="C43" s="125"/>
      <c r="D43" s="125"/>
      <c r="E43" s="125"/>
      <c r="F43" s="128"/>
      <c r="G43" s="80"/>
      <c r="H43" s="80"/>
      <c r="I43" s="81"/>
      <c r="J43" s="82"/>
      <c r="K43" s="128"/>
      <c r="L43" s="80"/>
      <c r="M43" s="80"/>
      <c r="N43" s="81"/>
      <c r="O43" s="82"/>
      <c r="P43" s="129"/>
      <c r="Q43" s="161">
        <v>3</v>
      </c>
    </row>
    <row r="44" spans="1:17">
      <c r="A44" s="126" t="s">
        <v>269</v>
      </c>
      <c r="B44" s="127" t="s">
        <v>226</v>
      </c>
      <c r="C44" s="125"/>
      <c r="D44" s="125"/>
      <c r="E44" s="125"/>
      <c r="F44" s="128"/>
      <c r="G44" s="80"/>
      <c r="H44" s="80"/>
      <c r="I44" s="81"/>
      <c r="J44" s="82"/>
      <c r="K44" s="128"/>
      <c r="L44" s="80"/>
      <c r="M44" s="80"/>
      <c r="N44" s="81"/>
      <c r="O44" s="82"/>
      <c r="P44" s="129"/>
    </row>
    <row r="45" spans="1:17">
      <c r="A45" s="126" t="s">
        <v>269</v>
      </c>
      <c r="B45" s="127" t="s">
        <v>226</v>
      </c>
      <c r="C45" s="125"/>
      <c r="D45" s="125"/>
      <c r="E45" s="125"/>
      <c r="F45" s="128"/>
      <c r="G45" s="80"/>
      <c r="H45" s="80"/>
      <c r="I45" s="81"/>
      <c r="J45" s="82"/>
      <c r="K45" s="128"/>
      <c r="L45" s="80"/>
      <c r="M45" s="80"/>
      <c r="N45" s="81"/>
      <c r="O45" s="82"/>
      <c r="P45" s="129"/>
    </row>
    <row r="46" spans="1:17">
      <c r="A46" s="126" t="s">
        <v>269</v>
      </c>
      <c r="B46" s="127" t="s">
        <v>227</v>
      </c>
      <c r="C46" s="125"/>
      <c r="D46" s="125"/>
      <c r="E46" s="125"/>
      <c r="F46" s="128"/>
      <c r="G46" s="80"/>
      <c r="H46" s="80"/>
      <c r="I46" s="81"/>
      <c r="J46" s="82"/>
      <c r="K46" s="128"/>
      <c r="L46" s="80"/>
      <c r="M46" s="80"/>
      <c r="N46" s="81"/>
      <c r="O46" s="82"/>
      <c r="P46" s="129"/>
    </row>
    <row r="47" spans="1:17">
      <c r="A47" s="126" t="s">
        <v>269</v>
      </c>
      <c r="B47" s="127" t="s">
        <v>227</v>
      </c>
      <c r="C47" s="125"/>
      <c r="D47" s="125"/>
      <c r="E47" s="125"/>
      <c r="F47" s="128"/>
      <c r="G47" s="80"/>
      <c r="H47" s="80"/>
      <c r="I47" s="81"/>
      <c r="J47" s="82"/>
      <c r="K47" s="128"/>
      <c r="L47" s="80"/>
      <c r="M47" s="80"/>
      <c r="N47" s="81"/>
      <c r="O47" s="82"/>
      <c r="P47" s="129"/>
    </row>
    <row r="48" spans="1:17">
      <c r="A48" s="126" t="s">
        <v>269</v>
      </c>
      <c r="B48" s="127" t="s">
        <v>227</v>
      </c>
      <c r="C48" s="125"/>
      <c r="D48" s="125"/>
      <c r="E48" s="125"/>
      <c r="F48" s="128"/>
      <c r="G48" s="80"/>
      <c r="H48" s="80"/>
      <c r="I48" s="81"/>
      <c r="J48" s="82"/>
      <c r="K48" s="128"/>
      <c r="L48" s="80"/>
      <c r="M48" s="80"/>
      <c r="N48" s="81"/>
      <c r="O48" s="82"/>
      <c r="P48" s="129"/>
    </row>
    <row r="49" spans="1:17">
      <c r="A49" s="126" t="s">
        <v>269</v>
      </c>
      <c r="B49" s="127" t="s">
        <v>228</v>
      </c>
      <c r="C49" s="125"/>
      <c r="D49" s="125"/>
      <c r="E49" s="125"/>
      <c r="F49" s="128"/>
      <c r="G49" s="80"/>
      <c r="H49" s="80"/>
      <c r="I49" s="81"/>
      <c r="J49" s="82"/>
      <c r="K49" s="128"/>
      <c r="L49" s="80"/>
      <c r="M49" s="80"/>
      <c r="N49" s="81"/>
      <c r="O49" s="82"/>
      <c r="P49" s="129"/>
    </row>
    <row r="50" spans="1:17">
      <c r="A50" s="126" t="s">
        <v>269</v>
      </c>
      <c r="B50" s="127" t="s">
        <v>228</v>
      </c>
      <c r="C50" s="125">
        <v>44120</v>
      </c>
      <c r="D50" s="125">
        <v>44484</v>
      </c>
      <c r="E50" s="125"/>
      <c r="F50" s="128" t="s">
        <v>65</v>
      </c>
      <c r="G50" s="80">
        <v>225000000</v>
      </c>
      <c r="H50" s="80">
        <v>0</v>
      </c>
      <c r="I50" s="81">
        <v>12.5</v>
      </c>
      <c r="J50" s="82"/>
      <c r="K50" s="128" t="s">
        <v>65</v>
      </c>
      <c r="L50" s="80">
        <v>1000000000</v>
      </c>
      <c r="M50" s="80">
        <v>0</v>
      </c>
      <c r="N50" s="81">
        <v>12.5</v>
      </c>
      <c r="O50" s="82"/>
      <c r="P50" s="129"/>
    </row>
    <row r="51" spans="1:17">
      <c r="A51" s="126" t="s">
        <v>269</v>
      </c>
      <c r="B51" s="127" t="s">
        <v>228</v>
      </c>
      <c r="C51" s="125">
        <v>44485</v>
      </c>
      <c r="D51" s="125">
        <v>44849</v>
      </c>
      <c r="E51" s="125"/>
      <c r="F51" s="128" t="s">
        <v>65</v>
      </c>
      <c r="G51" s="80">
        <v>225000000</v>
      </c>
      <c r="H51" s="80">
        <v>0</v>
      </c>
      <c r="I51" s="81">
        <v>15</v>
      </c>
      <c r="J51" s="82"/>
      <c r="K51" s="128" t="s">
        <v>65</v>
      </c>
      <c r="L51" s="80">
        <v>1000000000</v>
      </c>
      <c r="M51" s="80">
        <v>0</v>
      </c>
      <c r="N51" s="81">
        <v>15</v>
      </c>
      <c r="O51" s="82"/>
      <c r="P51" s="129"/>
    </row>
    <row r="52" spans="1:17">
      <c r="A52" s="126" t="s">
        <v>269</v>
      </c>
      <c r="B52" s="127" t="s">
        <v>75</v>
      </c>
      <c r="C52" s="125">
        <v>43678</v>
      </c>
      <c r="D52" s="125">
        <v>44043</v>
      </c>
      <c r="E52" s="125"/>
      <c r="F52" s="128" t="s">
        <v>65</v>
      </c>
      <c r="G52" s="80">
        <v>100000000</v>
      </c>
      <c r="H52" s="80">
        <v>0</v>
      </c>
      <c r="I52" s="81">
        <v>10</v>
      </c>
      <c r="J52" s="82"/>
      <c r="K52" s="128" t="s">
        <v>65</v>
      </c>
      <c r="L52" s="80">
        <v>1000000000</v>
      </c>
      <c r="M52" s="80">
        <v>0</v>
      </c>
      <c r="N52" s="81">
        <v>10</v>
      </c>
      <c r="O52" s="82"/>
      <c r="P52" s="129"/>
    </row>
    <row r="53" spans="1:17">
      <c r="A53" s="126" t="s">
        <v>269</v>
      </c>
      <c r="B53" s="127" t="s">
        <v>75</v>
      </c>
      <c r="C53" s="125">
        <v>44044</v>
      </c>
      <c r="D53" s="125">
        <v>44408</v>
      </c>
      <c r="E53" s="125"/>
      <c r="F53" s="128" t="s">
        <v>65</v>
      </c>
      <c r="G53" s="80">
        <v>100000000</v>
      </c>
      <c r="H53" s="80">
        <v>0</v>
      </c>
      <c r="I53" s="81">
        <v>10</v>
      </c>
      <c r="J53" s="82"/>
      <c r="K53" s="128" t="s">
        <v>65</v>
      </c>
      <c r="L53" s="80">
        <v>1000000000</v>
      </c>
      <c r="M53" s="80">
        <v>0</v>
      </c>
      <c r="N53" s="81">
        <v>10</v>
      </c>
      <c r="O53" s="82"/>
      <c r="P53" s="129"/>
    </row>
    <row r="54" spans="1:17">
      <c r="A54" s="126" t="s">
        <v>269</v>
      </c>
      <c r="B54" s="127" t="s">
        <v>75</v>
      </c>
      <c r="C54" s="125">
        <v>44409</v>
      </c>
      <c r="D54" s="125">
        <v>44773</v>
      </c>
      <c r="E54" s="125"/>
      <c r="F54" s="128" t="s">
        <v>65</v>
      </c>
      <c r="G54" s="80">
        <v>100000000</v>
      </c>
      <c r="H54" s="80">
        <v>0</v>
      </c>
      <c r="I54" s="81">
        <v>10</v>
      </c>
      <c r="J54" s="82"/>
      <c r="K54" s="128" t="s">
        <v>65</v>
      </c>
      <c r="L54" s="80">
        <v>1000000000</v>
      </c>
      <c r="M54" s="80">
        <v>0</v>
      </c>
      <c r="N54" s="81">
        <v>10</v>
      </c>
      <c r="O54" s="82"/>
      <c r="P54" s="129"/>
      <c r="Q54" s="161">
        <v>4</v>
      </c>
    </row>
    <row r="55" spans="1:17">
      <c r="A55" s="126" t="s">
        <v>269</v>
      </c>
      <c r="B55" s="127" t="s">
        <v>229</v>
      </c>
      <c r="C55" s="125"/>
      <c r="D55" s="125"/>
      <c r="E55" s="125"/>
      <c r="F55" s="128"/>
      <c r="G55" s="80"/>
      <c r="H55" s="80"/>
      <c r="I55" s="81"/>
      <c r="J55" s="82"/>
      <c r="K55" s="128"/>
      <c r="L55" s="80"/>
      <c r="M55" s="80"/>
      <c r="N55" s="81"/>
      <c r="O55" s="82"/>
      <c r="P55" s="129"/>
    </row>
    <row r="56" spans="1:17">
      <c r="A56" s="126" t="s">
        <v>269</v>
      </c>
      <c r="B56" s="127" t="s">
        <v>229</v>
      </c>
      <c r="C56" s="125"/>
      <c r="D56" s="125"/>
      <c r="E56" s="125"/>
      <c r="F56" s="128"/>
      <c r="G56" s="80"/>
      <c r="H56" s="80"/>
      <c r="I56" s="81"/>
      <c r="J56" s="82"/>
      <c r="K56" s="128"/>
      <c r="L56" s="80"/>
      <c r="M56" s="80"/>
      <c r="N56" s="81"/>
      <c r="O56" s="82"/>
      <c r="P56" s="129"/>
    </row>
    <row r="57" spans="1:17">
      <c r="A57" s="126" t="s">
        <v>269</v>
      </c>
      <c r="B57" s="127" t="s">
        <v>229</v>
      </c>
      <c r="C57" s="125"/>
      <c r="D57" s="125"/>
      <c r="E57" s="125"/>
      <c r="F57" s="128"/>
      <c r="G57" s="80"/>
      <c r="H57" s="80"/>
      <c r="I57" s="81"/>
      <c r="J57" s="82"/>
      <c r="K57" s="128"/>
      <c r="L57" s="80"/>
      <c r="M57" s="80"/>
      <c r="N57" s="81"/>
      <c r="O57" s="82"/>
      <c r="P57" s="129"/>
    </row>
    <row r="58" spans="1:17">
      <c r="A58" s="126" t="s">
        <v>269</v>
      </c>
      <c r="B58" s="127" t="s">
        <v>231</v>
      </c>
      <c r="C58" s="125"/>
      <c r="D58" s="125"/>
      <c r="E58" s="125"/>
      <c r="F58" s="128"/>
      <c r="G58" s="80"/>
      <c r="H58" s="80"/>
      <c r="I58" s="81"/>
      <c r="J58" s="82"/>
      <c r="K58" s="128"/>
      <c r="L58" s="80"/>
      <c r="M58" s="80"/>
      <c r="N58" s="81"/>
      <c r="O58" s="82"/>
      <c r="P58" s="129"/>
    </row>
    <row r="59" spans="1:17">
      <c r="A59" s="126" t="s">
        <v>269</v>
      </c>
      <c r="B59" s="127" t="s">
        <v>231</v>
      </c>
      <c r="C59" s="125">
        <v>43515</v>
      </c>
      <c r="D59" s="125">
        <v>43879</v>
      </c>
      <c r="E59" s="125"/>
      <c r="F59" s="128"/>
      <c r="G59" s="80"/>
      <c r="H59" s="80"/>
      <c r="I59" s="81"/>
      <c r="J59" s="82"/>
      <c r="K59" s="128" t="s">
        <v>6</v>
      </c>
      <c r="L59" s="80">
        <v>508474576</v>
      </c>
      <c r="M59" s="80">
        <v>0</v>
      </c>
      <c r="N59" s="81">
        <v>12.5</v>
      </c>
      <c r="O59" s="82"/>
      <c r="P59" s="129"/>
    </row>
    <row r="60" spans="1:17">
      <c r="A60" s="126" t="s">
        <v>269</v>
      </c>
      <c r="B60" s="127" t="s">
        <v>231</v>
      </c>
      <c r="C60" s="125" t="s">
        <v>325</v>
      </c>
      <c r="D60" s="125"/>
      <c r="E60" s="125"/>
      <c r="F60" s="128"/>
      <c r="G60" s="80"/>
      <c r="H60" s="80"/>
      <c r="I60" s="81"/>
      <c r="J60" s="82"/>
      <c r="K60" s="128"/>
      <c r="L60" s="80"/>
      <c r="M60" s="80"/>
      <c r="N60" s="81"/>
      <c r="O60" s="82"/>
      <c r="P60" s="129"/>
    </row>
    <row r="61" spans="1:17">
      <c r="A61" s="126" t="s">
        <v>269</v>
      </c>
      <c r="B61" s="127" t="s">
        <v>232</v>
      </c>
      <c r="C61" s="125">
        <v>43830</v>
      </c>
      <c r="D61" s="125">
        <v>44195</v>
      </c>
      <c r="E61" s="125"/>
      <c r="F61" s="128" t="s">
        <v>65</v>
      </c>
      <c r="G61" s="80">
        <v>185000000</v>
      </c>
      <c r="H61" s="80">
        <v>0</v>
      </c>
      <c r="I61" s="81">
        <v>8.4</v>
      </c>
      <c r="J61" s="82"/>
      <c r="K61" s="128" t="s">
        <v>65</v>
      </c>
      <c r="L61" s="80">
        <v>2000000000</v>
      </c>
      <c r="M61" s="80">
        <v>0</v>
      </c>
      <c r="N61" s="81">
        <v>8.4</v>
      </c>
      <c r="O61" s="82"/>
      <c r="P61" s="129"/>
    </row>
    <row r="62" spans="1:17">
      <c r="A62" s="126" t="s">
        <v>269</v>
      </c>
      <c r="B62" s="127" t="s">
        <v>232</v>
      </c>
      <c r="C62" s="125">
        <v>44196</v>
      </c>
      <c r="D62" s="125">
        <v>44560</v>
      </c>
      <c r="E62" s="125"/>
      <c r="F62" s="128" t="s">
        <v>65</v>
      </c>
      <c r="G62" s="80">
        <v>185000000</v>
      </c>
      <c r="H62" s="80">
        <v>0</v>
      </c>
      <c r="I62" s="81">
        <v>7.85</v>
      </c>
      <c r="J62" s="82"/>
      <c r="K62" s="128" t="s">
        <v>65</v>
      </c>
      <c r="L62" s="80">
        <v>2000000000</v>
      </c>
      <c r="M62" s="80">
        <v>0</v>
      </c>
      <c r="N62" s="81">
        <v>7.85</v>
      </c>
      <c r="O62" s="82"/>
      <c r="P62" s="129"/>
    </row>
    <row r="63" spans="1:17">
      <c r="A63" s="126" t="s">
        <v>269</v>
      </c>
      <c r="B63" s="127" t="s">
        <v>232</v>
      </c>
      <c r="C63" s="125">
        <v>44561</v>
      </c>
      <c r="D63" s="125">
        <v>44925</v>
      </c>
      <c r="E63" s="125"/>
      <c r="F63" s="128" t="s">
        <v>65</v>
      </c>
      <c r="G63" s="80">
        <v>185000000</v>
      </c>
      <c r="H63" s="80">
        <v>0</v>
      </c>
      <c r="I63" s="81">
        <v>7.85</v>
      </c>
      <c r="J63" s="82"/>
      <c r="K63" s="128" t="s">
        <v>65</v>
      </c>
      <c r="L63" s="80">
        <v>2000000000</v>
      </c>
      <c r="M63" s="80">
        <v>0</v>
      </c>
      <c r="N63" s="81">
        <v>7.85</v>
      </c>
      <c r="O63" s="82"/>
      <c r="P63" s="129"/>
    </row>
    <row r="64" spans="1:17">
      <c r="A64" s="126" t="s">
        <v>269</v>
      </c>
      <c r="B64" s="127" t="s">
        <v>234</v>
      </c>
      <c r="C64" s="125">
        <v>43753</v>
      </c>
      <c r="D64" s="125">
        <v>43911</v>
      </c>
      <c r="E64" s="125"/>
      <c r="F64" s="128" t="s">
        <v>65</v>
      </c>
      <c r="G64" s="80">
        <v>40000000</v>
      </c>
      <c r="H64" s="80">
        <v>0</v>
      </c>
      <c r="I64" s="81">
        <v>15</v>
      </c>
      <c r="J64" s="82"/>
      <c r="K64" s="128" t="s">
        <v>65</v>
      </c>
      <c r="L64" s="80">
        <v>550000000</v>
      </c>
      <c r="M64" s="80">
        <v>0</v>
      </c>
      <c r="N64" s="81">
        <v>15</v>
      </c>
      <c r="O64" s="82"/>
      <c r="P64" s="129"/>
    </row>
    <row r="65" spans="1:16">
      <c r="A65" s="126" t="s">
        <v>269</v>
      </c>
      <c r="B65" s="127" t="s">
        <v>234</v>
      </c>
      <c r="C65" s="125">
        <v>43753</v>
      </c>
      <c r="D65" s="125">
        <v>43911</v>
      </c>
      <c r="E65" s="125"/>
      <c r="F65" s="128"/>
      <c r="G65" s="80"/>
      <c r="H65" s="80"/>
      <c r="I65" s="81"/>
      <c r="J65" s="82"/>
      <c r="K65" s="128" t="s">
        <v>65</v>
      </c>
      <c r="L65" s="80">
        <v>200000000</v>
      </c>
      <c r="M65" s="80">
        <v>550000000</v>
      </c>
      <c r="N65" s="81">
        <v>100</v>
      </c>
      <c r="O65" s="82"/>
      <c r="P65" s="129"/>
    </row>
    <row r="66" spans="1:16">
      <c r="A66" s="126" t="s">
        <v>269</v>
      </c>
      <c r="B66" s="127" t="s">
        <v>234</v>
      </c>
      <c r="C66" s="125"/>
      <c r="D66" s="125"/>
      <c r="E66" s="125"/>
      <c r="F66" s="128"/>
      <c r="G66" s="80"/>
      <c r="H66" s="80"/>
      <c r="I66" s="81"/>
      <c r="J66" s="82"/>
      <c r="K66" s="128"/>
      <c r="L66" s="80"/>
      <c r="M66" s="80"/>
      <c r="N66" s="81"/>
      <c r="O66" s="82"/>
      <c r="P66" s="129"/>
    </row>
    <row r="67" spans="1:16">
      <c r="A67" s="126" t="s">
        <v>269</v>
      </c>
      <c r="B67" s="127" t="s">
        <v>234</v>
      </c>
      <c r="C67" s="125"/>
      <c r="D67" s="125"/>
      <c r="E67" s="125"/>
      <c r="F67" s="128"/>
      <c r="G67" s="80"/>
      <c r="H67" s="80"/>
      <c r="I67" s="81"/>
      <c r="J67" s="82"/>
      <c r="K67" s="128"/>
      <c r="L67" s="80"/>
      <c r="M67" s="80"/>
      <c r="N67" s="81"/>
      <c r="O67" s="82"/>
      <c r="P67" s="129"/>
    </row>
    <row r="68" spans="1:16">
      <c r="A68" s="126" t="s">
        <v>269</v>
      </c>
      <c r="B68" s="127" t="s">
        <v>234</v>
      </c>
      <c r="C68" s="125"/>
      <c r="D68" s="125"/>
      <c r="E68" s="125"/>
      <c r="F68" s="128"/>
      <c r="G68" s="80"/>
      <c r="H68" s="80"/>
      <c r="I68" s="81"/>
      <c r="J68" s="82"/>
      <c r="K68" s="128"/>
      <c r="L68" s="80"/>
      <c r="M68" s="80"/>
      <c r="N68" s="81"/>
      <c r="O68" s="82"/>
      <c r="P68" s="129"/>
    </row>
    <row r="69" spans="1:16">
      <c r="A69" s="126" t="s">
        <v>269</v>
      </c>
      <c r="B69" s="127" t="s">
        <v>234</v>
      </c>
      <c r="C69" s="125"/>
      <c r="D69" s="125"/>
      <c r="E69" s="125"/>
      <c r="F69" s="128"/>
      <c r="G69" s="80"/>
      <c r="H69" s="80"/>
      <c r="I69" s="81"/>
      <c r="J69" s="82"/>
      <c r="K69" s="128"/>
      <c r="L69" s="80"/>
      <c r="M69" s="80"/>
      <c r="N69" s="81"/>
      <c r="O69" s="82"/>
      <c r="P69" s="129"/>
    </row>
    <row r="70" spans="1:16">
      <c r="A70" s="126" t="s">
        <v>269</v>
      </c>
      <c r="B70" s="127" t="s">
        <v>235</v>
      </c>
      <c r="C70" s="125">
        <v>43539</v>
      </c>
      <c r="D70" s="125">
        <v>43904</v>
      </c>
      <c r="E70" s="125"/>
      <c r="F70" s="128" t="s">
        <v>65</v>
      </c>
      <c r="G70" s="80">
        <v>225000000</v>
      </c>
      <c r="H70" s="80">
        <v>0</v>
      </c>
      <c r="I70" s="81">
        <v>5</v>
      </c>
      <c r="J70" s="82"/>
      <c r="K70" s="128" t="s">
        <v>65</v>
      </c>
      <c r="L70" s="80">
        <v>1500000000</v>
      </c>
      <c r="M70" s="80">
        <v>0</v>
      </c>
      <c r="N70" s="81">
        <v>5</v>
      </c>
      <c r="O70" s="82"/>
      <c r="P70" s="129"/>
    </row>
    <row r="71" spans="1:16">
      <c r="A71" s="126" t="s">
        <v>269</v>
      </c>
      <c r="B71" s="127" t="s">
        <v>235</v>
      </c>
      <c r="C71" s="125" t="s">
        <v>325</v>
      </c>
      <c r="D71" s="125"/>
      <c r="E71" s="125"/>
      <c r="F71" s="128"/>
      <c r="G71" s="80"/>
      <c r="H71" s="80"/>
      <c r="I71" s="81"/>
      <c r="J71" s="82"/>
      <c r="K71" s="128"/>
      <c r="L71" s="80"/>
      <c r="M71" s="80"/>
      <c r="N71" s="81"/>
      <c r="O71" s="82"/>
      <c r="P71" s="129"/>
    </row>
    <row r="72" spans="1:16">
      <c r="A72" s="126" t="s">
        <v>269</v>
      </c>
      <c r="B72" s="127" t="s">
        <v>235</v>
      </c>
      <c r="C72" s="125"/>
      <c r="D72" s="125"/>
      <c r="E72" s="125"/>
      <c r="F72" s="128"/>
      <c r="G72" s="80"/>
      <c r="H72" s="80"/>
      <c r="I72" s="81"/>
      <c r="J72" s="82"/>
      <c r="K72" s="128"/>
      <c r="L72" s="80"/>
      <c r="M72" s="80"/>
      <c r="N72" s="81"/>
      <c r="O72" s="82"/>
      <c r="P72" s="129"/>
    </row>
    <row r="73" spans="1:16">
      <c r="A73" s="126" t="s">
        <v>269</v>
      </c>
      <c r="B73" s="127" t="s">
        <v>237</v>
      </c>
      <c r="C73" s="125">
        <v>43814</v>
      </c>
      <c r="D73" s="125">
        <v>44179</v>
      </c>
      <c r="E73" s="125"/>
      <c r="F73" s="128" t="s">
        <v>65</v>
      </c>
      <c r="G73" s="80">
        <v>44000000</v>
      </c>
      <c r="H73" s="80">
        <v>0</v>
      </c>
      <c r="I73" s="81">
        <v>3</v>
      </c>
      <c r="J73" s="82"/>
      <c r="K73" s="128" t="s">
        <v>65</v>
      </c>
      <c r="L73" s="80">
        <v>500000000</v>
      </c>
      <c r="M73" s="80">
        <v>0</v>
      </c>
      <c r="N73" s="81">
        <v>3</v>
      </c>
      <c r="O73" s="82"/>
      <c r="P73" s="129"/>
    </row>
    <row r="74" spans="1:16">
      <c r="A74" s="126" t="s">
        <v>269</v>
      </c>
      <c r="B74" s="127" t="s">
        <v>237</v>
      </c>
      <c r="C74" s="125">
        <v>44180</v>
      </c>
      <c r="D74" s="125">
        <v>44544</v>
      </c>
      <c r="E74" s="125"/>
      <c r="F74" s="128" t="s">
        <v>65</v>
      </c>
      <c r="G74" s="80">
        <v>44000000</v>
      </c>
      <c r="H74" s="80">
        <v>0</v>
      </c>
      <c r="I74" s="81">
        <v>4.5</v>
      </c>
      <c r="J74" s="82"/>
      <c r="K74" s="128" t="s">
        <v>65</v>
      </c>
      <c r="L74" s="80">
        <v>500000000</v>
      </c>
      <c r="M74" s="80">
        <v>0</v>
      </c>
      <c r="N74" s="81">
        <v>4.5</v>
      </c>
      <c r="O74" s="82"/>
      <c r="P74" s="129"/>
    </row>
    <row r="75" spans="1:16">
      <c r="A75" s="126" t="s">
        <v>269</v>
      </c>
      <c r="B75" s="127" t="s">
        <v>237</v>
      </c>
      <c r="C75" s="125">
        <v>44545</v>
      </c>
      <c r="D75" s="125">
        <v>44909</v>
      </c>
      <c r="E75" s="125"/>
      <c r="F75" s="128" t="s">
        <v>65</v>
      </c>
      <c r="G75" s="80">
        <v>44000000</v>
      </c>
      <c r="H75" s="80">
        <v>0</v>
      </c>
      <c r="I75" s="81">
        <v>4</v>
      </c>
      <c r="J75" s="82"/>
      <c r="K75" s="128" t="s">
        <v>65</v>
      </c>
      <c r="L75" s="80">
        <v>500000000</v>
      </c>
      <c r="M75" s="80">
        <v>0</v>
      </c>
      <c r="N75" s="81">
        <v>4</v>
      </c>
      <c r="O75" s="82"/>
      <c r="P75" s="129"/>
    </row>
    <row r="76" spans="1:16">
      <c r="A76" s="126" t="s">
        <v>269</v>
      </c>
      <c r="B76" s="127" t="s">
        <v>238</v>
      </c>
      <c r="C76" s="125"/>
      <c r="D76" s="125"/>
      <c r="E76" s="125"/>
      <c r="F76" s="128"/>
      <c r="G76" s="80"/>
      <c r="H76" s="80"/>
      <c r="I76" s="81"/>
      <c r="J76" s="82"/>
      <c r="K76" s="128"/>
      <c r="L76" s="80"/>
      <c r="M76" s="80"/>
      <c r="N76" s="81"/>
      <c r="O76" s="82"/>
      <c r="P76" s="129"/>
    </row>
    <row r="77" spans="1:16">
      <c r="A77" s="126" t="s">
        <v>269</v>
      </c>
      <c r="B77" s="127" t="s">
        <v>238</v>
      </c>
      <c r="C77" s="125"/>
      <c r="D77" s="125"/>
      <c r="E77" s="125"/>
      <c r="F77" s="128"/>
      <c r="G77" s="80"/>
      <c r="H77" s="80"/>
      <c r="I77" s="81"/>
      <c r="J77" s="82"/>
      <c r="K77" s="128"/>
      <c r="L77" s="80"/>
      <c r="M77" s="80"/>
      <c r="N77" s="81"/>
      <c r="O77" s="82"/>
      <c r="P77" s="129"/>
    </row>
    <row r="78" spans="1:16">
      <c r="A78" s="126" t="s">
        <v>269</v>
      </c>
      <c r="B78" s="127" t="s">
        <v>238</v>
      </c>
      <c r="C78" s="125"/>
      <c r="D78" s="125"/>
      <c r="E78" s="125"/>
      <c r="F78" s="128"/>
      <c r="G78" s="80"/>
      <c r="H78" s="80"/>
      <c r="I78" s="81"/>
      <c r="J78" s="82"/>
      <c r="K78" s="128"/>
      <c r="L78" s="80"/>
      <c r="M78" s="80"/>
      <c r="N78" s="81"/>
      <c r="O78" s="82"/>
      <c r="P78" s="129"/>
    </row>
    <row r="79" spans="1:16">
      <c r="A79" s="126" t="s">
        <v>269</v>
      </c>
      <c r="B79" s="127" t="s">
        <v>240</v>
      </c>
      <c r="C79" s="125">
        <v>43674</v>
      </c>
      <c r="D79" s="125">
        <v>44039</v>
      </c>
      <c r="E79" s="125"/>
      <c r="F79" s="128" t="s">
        <v>65</v>
      </c>
      <c r="G79" s="80">
        <v>90000000</v>
      </c>
      <c r="H79" s="80">
        <v>0</v>
      </c>
      <c r="I79" s="81">
        <v>10</v>
      </c>
      <c r="J79" s="82"/>
      <c r="K79" s="128" t="s">
        <v>65</v>
      </c>
      <c r="L79" s="80">
        <v>600000000</v>
      </c>
      <c r="M79" s="80">
        <v>0</v>
      </c>
      <c r="N79" s="81">
        <v>10</v>
      </c>
      <c r="O79" s="82"/>
      <c r="P79" s="129"/>
    </row>
    <row r="80" spans="1:16">
      <c r="A80" s="126" t="s">
        <v>269</v>
      </c>
      <c r="B80" s="127" t="s">
        <v>240</v>
      </c>
      <c r="C80" s="125">
        <v>44040</v>
      </c>
      <c r="D80" s="125">
        <v>44404</v>
      </c>
      <c r="E80" s="125"/>
      <c r="F80" s="128" t="s">
        <v>65</v>
      </c>
      <c r="G80" s="80">
        <v>90000000</v>
      </c>
      <c r="H80" s="80">
        <v>0</v>
      </c>
      <c r="I80" s="81">
        <v>9.3000000000000007</v>
      </c>
      <c r="J80" s="82"/>
      <c r="K80" s="128" t="s">
        <v>65</v>
      </c>
      <c r="L80" s="80">
        <v>600000000</v>
      </c>
      <c r="M80" s="80">
        <v>0</v>
      </c>
      <c r="N80" s="81">
        <v>9.3000000000000007</v>
      </c>
      <c r="O80" s="82"/>
      <c r="P80" s="129"/>
    </row>
    <row r="81" spans="1:16">
      <c r="A81" s="126" t="s">
        <v>269</v>
      </c>
      <c r="B81" s="127" t="s">
        <v>240</v>
      </c>
      <c r="C81" s="125"/>
      <c r="D81" s="125"/>
      <c r="E81" s="125"/>
      <c r="F81" s="128"/>
      <c r="G81" s="80"/>
      <c r="H81" s="80"/>
      <c r="I81" s="81"/>
      <c r="J81" s="82"/>
      <c r="K81" s="128"/>
      <c r="L81" s="80"/>
      <c r="M81" s="80"/>
      <c r="N81" s="81"/>
      <c r="O81" s="82"/>
      <c r="P81" s="129"/>
    </row>
    <row r="82" spans="1:16">
      <c r="A82" s="126" t="s">
        <v>269</v>
      </c>
      <c r="B82" s="127" t="s">
        <v>241</v>
      </c>
      <c r="C82" s="125">
        <v>43717</v>
      </c>
      <c r="D82" s="125">
        <v>44082</v>
      </c>
      <c r="E82" s="125"/>
      <c r="F82" s="128" t="s">
        <v>65</v>
      </c>
      <c r="G82" s="80">
        <v>100000000</v>
      </c>
      <c r="H82" s="80">
        <v>0</v>
      </c>
      <c r="I82" s="81">
        <v>8.25</v>
      </c>
      <c r="J82" s="82"/>
      <c r="K82" s="128" t="s">
        <v>65</v>
      </c>
      <c r="L82" s="80">
        <v>750000000</v>
      </c>
      <c r="M82" s="80">
        <v>0</v>
      </c>
      <c r="N82" s="81">
        <v>8.25</v>
      </c>
      <c r="O82" s="82"/>
      <c r="P82" s="129"/>
    </row>
    <row r="83" spans="1:16">
      <c r="A83" s="126" t="s">
        <v>269</v>
      </c>
      <c r="B83" s="127" t="s">
        <v>241</v>
      </c>
      <c r="C83" s="125">
        <v>44083</v>
      </c>
      <c r="D83" s="125">
        <v>44447</v>
      </c>
      <c r="E83" s="125"/>
      <c r="F83" s="128" t="s">
        <v>65</v>
      </c>
      <c r="G83" s="80">
        <v>100000000</v>
      </c>
      <c r="H83" s="80">
        <v>0</v>
      </c>
      <c r="I83" s="81">
        <v>10</v>
      </c>
      <c r="J83" s="82"/>
      <c r="K83" s="128" t="s">
        <v>65</v>
      </c>
      <c r="L83" s="80">
        <v>750000000</v>
      </c>
      <c r="M83" s="80">
        <v>0</v>
      </c>
      <c r="N83" s="81">
        <v>10</v>
      </c>
      <c r="O83" s="82"/>
      <c r="P83" s="129"/>
    </row>
    <row r="84" spans="1:16">
      <c r="A84" s="126" t="s">
        <v>269</v>
      </c>
      <c r="B84" s="127" t="s">
        <v>241</v>
      </c>
      <c r="C84" s="125"/>
      <c r="D84" s="125"/>
      <c r="E84" s="125"/>
      <c r="F84" s="128"/>
      <c r="G84" s="80"/>
      <c r="H84" s="80"/>
      <c r="I84" s="81"/>
      <c r="J84" s="82"/>
      <c r="K84" s="128"/>
      <c r="L84" s="80"/>
      <c r="M84" s="80"/>
      <c r="N84" s="81"/>
      <c r="O84" s="82"/>
      <c r="P84" s="129"/>
    </row>
    <row r="85" spans="1:16">
      <c r="A85" s="126" t="s">
        <v>269</v>
      </c>
      <c r="B85" s="127" t="s">
        <v>242</v>
      </c>
      <c r="C85" s="125">
        <v>43580</v>
      </c>
      <c r="D85" s="125">
        <v>43945</v>
      </c>
      <c r="E85" s="125"/>
      <c r="F85" s="128" t="s">
        <v>65</v>
      </c>
      <c r="G85" s="80">
        <v>74500000</v>
      </c>
      <c r="H85" s="80">
        <v>0</v>
      </c>
      <c r="I85" s="81">
        <v>20.466000000000001</v>
      </c>
      <c r="J85" s="82"/>
      <c r="K85" s="128" t="s">
        <v>65</v>
      </c>
      <c r="L85" s="80">
        <v>1000000000</v>
      </c>
      <c r="M85" s="80">
        <v>0</v>
      </c>
      <c r="N85" s="81">
        <v>20.466000000000001</v>
      </c>
      <c r="O85" s="82"/>
      <c r="P85" s="129"/>
    </row>
    <row r="86" spans="1:16">
      <c r="A86" s="126" t="s">
        <v>269</v>
      </c>
      <c r="B86" s="127" t="s">
        <v>242</v>
      </c>
      <c r="C86" s="125">
        <v>43946</v>
      </c>
      <c r="D86" s="125">
        <v>44310</v>
      </c>
      <c r="E86" s="125"/>
      <c r="F86" s="128" t="s">
        <v>65</v>
      </c>
      <c r="G86" s="80">
        <v>74500000</v>
      </c>
      <c r="H86" s="80">
        <v>0</v>
      </c>
      <c r="I86" s="81">
        <v>15</v>
      </c>
      <c r="J86" s="82"/>
      <c r="K86" s="128" t="s">
        <v>65</v>
      </c>
      <c r="L86" s="80">
        <v>1000000000</v>
      </c>
      <c r="M86" s="80">
        <v>0</v>
      </c>
      <c r="N86" s="81">
        <v>15</v>
      </c>
      <c r="O86" s="82"/>
      <c r="P86" s="129"/>
    </row>
    <row r="87" spans="1:16">
      <c r="A87" s="126" t="s">
        <v>269</v>
      </c>
      <c r="B87" s="127" t="s">
        <v>242</v>
      </c>
      <c r="C87" s="125">
        <v>44311</v>
      </c>
      <c r="D87" s="125">
        <v>44675</v>
      </c>
      <c r="E87" s="125"/>
      <c r="F87" s="128" t="s">
        <v>65</v>
      </c>
      <c r="G87" s="80">
        <v>89500000</v>
      </c>
      <c r="H87" s="80">
        <v>0</v>
      </c>
      <c r="I87" s="81">
        <v>15</v>
      </c>
      <c r="J87" s="82"/>
      <c r="K87" s="128" t="s">
        <v>65</v>
      </c>
      <c r="L87" s="80">
        <v>1000000000</v>
      </c>
      <c r="M87" s="80">
        <v>0</v>
      </c>
      <c r="N87" s="81">
        <v>15</v>
      </c>
      <c r="O87" s="82"/>
      <c r="P87" s="129"/>
    </row>
    <row r="88" spans="1:16">
      <c r="A88" s="126" t="s">
        <v>269</v>
      </c>
      <c r="B88" s="127" t="s">
        <v>243</v>
      </c>
      <c r="C88" s="125">
        <v>43800</v>
      </c>
      <c r="D88" s="125">
        <v>44165</v>
      </c>
      <c r="E88" s="125"/>
      <c r="F88" s="128" t="s">
        <v>65</v>
      </c>
      <c r="G88" s="80">
        <v>250000000</v>
      </c>
      <c r="H88" s="80">
        <v>0</v>
      </c>
      <c r="I88" s="81">
        <v>14.7789</v>
      </c>
      <c r="J88" s="82"/>
      <c r="K88" s="128" t="s">
        <v>65</v>
      </c>
      <c r="L88" s="80">
        <v>1250000000</v>
      </c>
      <c r="M88" s="80">
        <v>0</v>
      </c>
      <c r="N88" s="81">
        <v>14.7789</v>
      </c>
      <c r="O88" s="82"/>
      <c r="P88" s="129"/>
    </row>
    <row r="89" spans="1:16">
      <c r="A89" s="126" t="s">
        <v>269</v>
      </c>
      <c r="B89" s="127" t="s">
        <v>243</v>
      </c>
      <c r="C89" s="125">
        <v>44166</v>
      </c>
      <c r="D89" s="125">
        <v>44530</v>
      </c>
      <c r="E89" s="125"/>
      <c r="F89" s="128" t="s">
        <v>65</v>
      </c>
      <c r="G89" s="80">
        <v>250000000</v>
      </c>
      <c r="H89" s="80">
        <v>0</v>
      </c>
      <c r="I89" s="81">
        <v>12.5</v>
      </c>
      <c r="J89" s="82"/>
      <c r="K89" s="128" t="s">
        <v>65</v>
      </c>
      <c r="L89" s="80">
        <v>1250000000</v>
      </c>
      <c r="M89" s="80">
        <v>0</v>
      </c>
      <c r="N89" s="81">
        <v>12.5</v>
      </c>
      <c r="O89" s="82"/>
      <c r="P89" s="129"/>
    </row>
    <row r="90" spans="1:16">
      <c r="A90" s="126" t="s">
        <v>269</v>
      </c>
      <c r="B90" s="127" t="s">
        <v>243</v>
      </c>
      <c r="C90" s="125"/>
      <c r="D90" s="125"/>
      <c r="E90" s="125"/>
      <c r="F90" s="128"/>
      <c r="G90" s="80"/>
      <c r="H90" s="80"/>
      <c r="I90" s="81"/>
      <c r="J90" s="82"/>
      <c r="K90" s="128"/>
      <c r="L90" s="80"/>
      <c r="M90" s="80"/>
      <c r="N90" s="81"/>
      <c r="O90" s="82"/>
      <c r="P90" s="129"/>
    </row>
    <row r="91" spans="1:16">
      <c r="A91" s="126" t="s">
        <v>269</v>
      </c>
      <c r="B91" s="127" t="s">
        <v>244</v>
      </c>
      <c r="C91" s="125"/>
      <c r="D91" s="125"/>
      <c r="E91" s="125"/>
      <c r="F91" s="128"/>
      <c r="G91" s="80"/>
      <c r="H91" s="80"/>
      <c r="I91" s="81"/>
      <c r="J91" s="82"/>
      <c r="K91" s="128"/>
      <c r="L91" s="80"/>
      <c r="M91" s="80"/>
      <c r="N91" s="81"/>
      <c r="O91" s="82"/>
      <c r="P91" s="129"/>
    </row>
    <row r="92" spans="1:16">
      <c r="A92" s="126" t="s">
        <v>269</v>
      </c>
      <c r="B92" s="127" t="s">
        <v>244</v>
      </c>
      <c r="C92" s="125"/>
      <c r="D92" s="125"/>
      <c r="E92" s="125"/>
      <c r="F92" s="128"/>
      <c r="G92" s="80"/>
      <c r="H92" s="80"/>
      <c r="I92" s="81"/>
      <c r="J92" s="82"/>
      <c r="K92" s="128"/>
      <c r="L92" s="80"/>
      <c r="M92" s="80"/>
      <c r="N92" s="81"/>
      <c r="O92" s="82"/>
      <c r="P92" s="129"/>
    </row>
    <row r="93" spans="1:16">
      <c r="A93" s="126" t="s">
        <v>269</v>
      </c>
      <c r="B93" s="127" t="s">
        <v>244</v>
      </c>
      <c r="C93" s="125"/>
      <c r="D93" s="125"/>
      <c r="E93" s="125"/>
      <c r="F93" s="128"/>
      <c r="G93" s="80"/>
      <c r="H93" s="80"/>
      <c r="I93" s="81"/>
      <c r="J93" s="82"/>
      <c r="K93" s="128"/>
      <c r="L93" s="80"/>
      <c r="M93" s="80"/>
      <c r="N93" s="81"/>
      <c r="O93" s="82"/>
      <c r="P93" s="129"/>
    </row>
    <row r="94" spans="1:16">
      <c r="A94" s="126" t="s">
        <v>269</v>
      </c>
      <c r="B94" s="127" t="s">
        <v>245</v>
      </c>
      <c r="C94" s="125"/>
      <c r="D94" s="125"/>
      <c r="E94" s="125"/>
      <c r="F94" s="128"/>
      <c r="G94" s="80"/>
      <c r="H94" s="80"/>
      <c r="I94" s="81"/>
      <c r="J94" s="82"/>
      <c r="K94" s="128"/>
      <c r="L94" s="80"/>
      <c r="M94" s="80"/>
      <c r="N94" s="81"/>
      <c r="O94" s="82"/>
      <c r="P94" s="129"/>
    </row>
    <row r="95" spans="1:16">
      <c r="A95" s="126" t="s">
        <v>269</v>
      </c>
      <c r="B95" s="127" t="s">
        <v>245</v>
      </c>
      <c r="C95" s="125"/>
      <c r="D95" s="125"/>
      <c r="E95" s="125"/>
      <c r="F95" s="128"/>
      <c r="G95" s="80"/>
      <c r="H95" s="80"/>
      <c r="I95" s="81"/>
      <c r="J95" s="82"/>
      <c r="K95" s="128"/>
      <c r="L95" s="80"/>
      <c r="M95" s="80"/>
      <c r="N95" s="81"/>
      <c r="O95" s="82"/>
      <c r="P95" s="129"/>
    </row>
    <row r="96" spans="1:16">
      <c r="A96" s="126" t="s">
        <v>269</v>
      </c>
      <c r="B96" s="127" t="s">
        <v>245</v>
      </c>
      <c r="C96" s="125"/>
      <c r="D96" s="125"/>
      <c r="E96" s="125"/>
      <c r="F96" s="128"/>
      <c r="G96" s="80"/>
      <c r="H96" s="80"/>
      <c r="I96" s="81"/>
      <c r="J96" s="82"/>
      <c r="K96" s="128"/>
      <c r="L96" s="80"/>
      <c r="M96" s="80"/>
      <c r="N96" s="81"/>
      <c r="O96" s="82"/>
      <c r="P96" s="129"/>
    </row>
    <row r="97" spans="1:17">
      <c r="A97" s="126" t="s">
        <v>269</v>
      </c>
      <c r="B97" s="127" t="s">
        <v>246</v>
      </c>
      <c r="C97" s="125"/>
      <c r="D97" s="125"/>
      <c r="E97" s="125"/>
      <c r="F97" s="128"/>
      <c r="G97" s="80"/>
      <c r="H97" s="80"/>
      <c r="I97" s="81"/>
      <c r="J97" s="82"/>
      <c r="K97" s="128"/>
      <c r="L97" s="80"/>
      <c r="M97" s="80"/>
      <c r="N97" s="81"/>
      <c r="O97" s="82"/>
      <c r="P97" s="129"/>
    </row>
    <row r="98" spans="1:17">
      <c r="A98" s="126" t="s">
        <v>269</v>
      </c>
      <c r="B98" s="127" t="s">
        <v>246</v>
      </c>
      <c r="C98" s="125"/>
      <c r="D98" s="125"/>
      <c r="E98" s="125"/>
      <c r="F98" s="128"/>
      <c r="G98" s="80"/>
      <c r="H98" s="80"/>
      <c r="I98" s="81"/>
      <c r="J98" s="82"/>
      <c r="K98" s="128"/>
      <c r="L98" s="80"/>
      <c r="M98" s="80"/>
      <c r="N98" s="81"/>
      <c r="O98" s="82"/>
      <c r="P98" s="129"/>
    </row>
    <row r="99" spans="1:17">
      <c r="A99" s="126" t="s">
        <v>269</v>
      </c>
      <c r="B99" s="127" t="s">
        <v>246</v>
      </c>
      <c r="C99" s="125"/>
      <c r="D99" s="125"/>
      <c r="E99" s="125"/>
      <c r="F99" s="128"/>
      <c r="G99" s="80"/>
      <c r="H99" s="80"/>
      <c r="I99" s="81"/>
      <c r="J99" s="82"/>
      <c r="K99" s="128"/>
      <c r="L99" s="80"/>
      <c r="M99" s="80"/>
      <c r="N99" s="81"/>
      <c r="O99" s="82"/>
      <c r="P99" s="129"/>
    </row>
    <row r="100" spans="1:17">
      <c r="A100" s="126" t="s">
        <v>269</v>
      </c>
      <c r="B100" s="127" t="s">
        <v>248</v>
      </c>
      <c r="C100" s="125">
        <v>43647</v>
      </c>
      <c r="D100" s="125">
        <v>44012</v>
      </c>
      <c r="E100" s="125"/>
      <c r="F100" s="128" t="s">
        <v>65</v>
      </c>
      <c r="G100" s="80">
        <v>100000000</v>
      </c>
      <c r="H100" s="80">
        <v>0</v>
      </c>
      <c r="I100" s="81">
        <v>7.5</v>
      </c>
      <c r="J100" s="82"/>
      <c r="K100" s="128" t="s">
        <v>65</v>
      </c>
      <c r="L100" s="80">
        <v>1000000000</v>
      </c>
      <c r="M100" s="80">
        <v>0</v>
      </c>
      <c r="N100" s="81">
        <v>7.5</v>
      </c>
      <c r="O100" s="82"/>
      <c r="P100" s="129"/>
    </row>
    <row r="101" spans="1:17">
      <c r="A101" s="126" t="s">
        <v>269</v>
      </c>
      <c r="B101" s="127" t="s">
        <v>248</v>
      </c>
      <c r="C101" s="125">
        <v>44013</v>
      </c>
      <c r="D101" s="125">
        <v>44377</v>
      </c>
      <c r="E101" s="125"/>
      <c r="F101" s="128" t="s">
        <v>65</v>
      </c>
      <c r="G101" s="80">
        <v>100000000</v>
      </c>
      <c r="H101" s="80">
        <v>0</v>
      </c>
      <c r="I101" s="81">
        <v>7.5</v>
      </c>
      <c r="J101" s="82"/>
      <c r="K101" s="128" t="s">
        <v>65</v>
      </c>
      <c r="L101" s="80">
        <v>1000000000</v>
      </c>
      <c r="M101" s="80">
        <v>0</v>
      </c>
      <c r="N101" s="81">
        <v>7.5</v>
      </c>
      <c r="O101" s="82"/>
      <c r="P101" s="129"/>
    </row>
    <row r="102" spans="1:17">
      <c r="A102" s="126" t="s">
        <v>269</v>
      </c>
      <c r="B102" s="127" t="s">
        <v>248</v>
      </c>
      <c r="C102" s="125"/>
      <c r="D102" s="125"/>
      <c r="E102" s="125"/>
      <c r="F102" s="128"/>
      <c r="G102" s="80"/>
      <c r="H102" s="80"/>
      <c r="I102" s="81"/>
      <c r="J102" s="82"/>
      <c r="K102" s="128"/>
      <c r="L102" s="80"/>
      <c r="M102" s="80"/>
      <c r="N102" s="81"/>
      <c r="O102" s="82"/>
      <c r="P102" s="129"/>
    </row>
    <row r="103" spans="1:17">
      <c r="A103" s="126" t="s">
        <v>269</v>
      </c>
      <c r="B103" s="127" t="s">
        <v>249</v>
      </c>
      <c r="C103" s="125">
        <v>43701</v>
      </c>
      <c r="D103" s="125">
        <v>44066</v>
      </c>
      <c r="E103" s="125"/>
      <c r="F103" s="128" t="s">
        <v>65</v>
      </c>
      <c r="G103" s="80">
        <v>115000000</v>
      </c>
      <c r="H103" s="80">
        <v>0</v>
      </c>
      <c r="I103" s="81">
        <v>5.25</v>
      </c>
      <c r="J103" s="82"/>
      <c r="K103" s="128" t="s">
        <v>65</v>
      </c>
      <c r="L103" s="80">
        <v>750000000</v>
      </c>
      <c r="M103" s="80">
        <v>0</v>
      </c>
      <c r="N103" s="81">
        <v>5.25</v>
      </c>
      <c r="O103" s="82"/>
      <c r="P103" s="129"/>
    </row>
    <row r="104" spans="1:17">
      <c r="A104" s="126" t="s">
        <v>269</v>
      </c>
      <c r="B104" s="127" t="s">
        <v>249</v>
      </c>
      <c r="C104" s="125">
        <v>44067</v>
      </c>
      <c r="D104" s="125">
        <v>44104</v>
      </c>
      <c r="E104" s="125"/>
      <c r="F104" s="128" t="s">
        <v>65</v>
      </c>
      <c r="G104" s="80">
        <v>115000000</v>
      </c>
      <c r="H104" s="80">
        <v>0</v>
      </c>
      <c r="I104" s="81">
        <v>5</v>
      </c>
      <c r="J104" s="82"/>
      <c r="K104" s="128" t="s">
        <v>65</v>
      </c>
      <c r="L104" s="80">
        <v>750000000</v>
      </c>
      <c r="M104" s="80">
        <v>0</v>
      </c>
      <c r="N104" s="81">
        <v>5</v>
      </c>
      <c r="O104" s="82"/>
      <c r="P104" s="163"/>
      <c r="Q104" s="164">
        <v>5</v>
      </c>
    </row>
    <row r="105" spans="1:17">
      <c r="A105" s="126" t="s">
        <v>269</v>
      </c>
      <c r="B105" s="127" t="s">
        <v>249</v>
      </c>
      <c r="C105" s="125">
        <v>44470</v>
      </c>
      <c r="D105" s="125">
        <v>44469</v>
      </c>
      <c r="E105" s="125"/>
      <c r="F105" s="128" t="s">
        <v>65</v>
      </c>
      <c r="G105" s="80">
        <v>115000000</v>
      </c>
      <c r="H105" s="80">
        <v>0</v>
      </c>
      <c r="I105" s="81">
        <v>5</v>
      </c>
      <c r="J105" s="82"/>
      <c r="K105" s="128" t="s">
        <v>65</v>
      </c>
      <c r="L105" s="80">
        <v>750000000</v>
      </c>
      <c r="M105" s="80">
        <v>0</v>
      </c>
      <c r="N105" s="81">
        <v>5</v>
      </c>
      <c r="O105" s="82"/>
      <c r="P105" s="129"/>
    </row>
    <row r="106" spans="1:17">
      <c r="A106" s="126" t="s">
        <v>269</v>
      </c>
      <c r="B106" s="127" t="s">
        <v>250</v>
      </c>
      <c r="C106" s="125">
        <v>43586</v>
      </c>
      <c r="D106" s="125">
        <v>43951</v>
      </c>
      <c r="E106" s="125"/>
      <c r="F106" s="128" t="s">
        <v>65</v>
      </c>
      <c r="G106" s="80">
        <v>25000000</v>
      </c>
      <c r="H106" s="80">
        <v>0</v>
      </c>
      <c r="I106" s="81">
        <v>16.75</v>
      </c>
      <c r="J106" s="82"/>
      <c r="K106" s="128" t="s">
        <v>4</v>
      </c>
      <c r="L106" s="80">
        <v>500000000</v>
      </c>
      <c r="M106" s="80">
        <v>0</v>
      </c>
      <c r="N106" s="81">
        <v>16.75</v>
      </c>
      <c r="O106" s="82"/>
      <c r="P106" s="129"/>
    </row>
    <row r="107" spans="1:17">
      <c r="A107" s="126" t="s">
        <v>269</v>
      </c>
      <c r="B107" s="127" t="s">
        <v>250</v>
      </c>
      <c r="C107" s="125">
        <v>43952</v>
      </c>
      <c r="D107" s="125">
        <v>44316</v>
      </c>
      <c r="E107" s="125"/>
      <c r="F107" s="128" t="s">
        <v>65</v>
      </c>
      <c r="G107" s="80">
        <v>25000000</v>
      </c>
      <c r="H107" s="80">
        <v>0</v>
      </c>
      <c r="I107" s="81">
        <v>18</v>
      </c>
      <c r="J107" s="82"/>
      <c r="K107" s="128" t="s">
        <v>4</v>
      </c>
      <c r="L107" s="80">
        <v>500000000</v>
      </c>
      <c r="M107" s="80">
        <v>0</v>
      </c>
      <c r="N107" s="81">
        <v>18</v>
      </c>
      <c r="O107" s="82"/>
      <c r="P107" s="129"/>
    </row>
    <row r="108" spans="1:17">
      <c r="A108" s="126" t="s">
        <v>269</v>
      </c>
      <c r="B108" s="127" t="s">
        <v>250</v>
      </c>
      <c r="C108" s="125">
        <v>44317</v>
      </c>
      <c r="D108" s="125">
        <v>44681</v>
      </c>
      <c r="E108" s="125"/>
      <c r="F108" s="128" t="s">
        <v>65</v>
      </c>
      <c r="G108" s="80">
        <v>25000000</v>
      </c>
      <c r="H108" s="80">
        <v>0</v>
      </c>
      <c r="I108" s="81">
        <v>15</v>
      </c>
      <c r="J108" s="82"/>
      <c r="K108" s="128" t="s">
        <v>4</v>
      </c>
      <c r="L108" s="80">
        <v>500000000</v>
      </c>
      <c r="M108" s="80">
        <v>0</v>
      </c>
      <c r="N108" s="81">
        <v>15</v>
      </c>
      <c r="O108" s="82"/>
      <c r="P108" s="129"/>
    </row>
    <row r="109" spans="1:17">
      <c r="A109" s="126" t="s">
        <v>269</v>
      </c>
      <c r="B109" s="127" t="s">
        <v>251</v>
      </c>
      <c r="C109" s="125">
        <v>43800</v>
      </c>
      <c r="D109" s="125">
        <v>44347</v>
      </c>
      <c r="E109" s="125"/>
      <c r="F109" s="128" t="s">
        <v>65</v>
      </c>
      <c r="G109" s="80">
        <v>200000000</v>
      </c>
      <c r="H109" s="80">
        <v>0</v>
      </c>
      <c r="I109" s="81">
        <v>5</v>
      </c>
      <c r="J109" s="82"/>
      <c r="K109" s="128" t="s">
        <v>65</v>
      </c>
      <c r="L109" s="80">
        <v>1500000000</v>
      </c>
      <c r="M109" s="80">
        <v>0</v>
      </c>
      <c r="N109" s="81">
        <v>5</v>
      </c>
      <c r="O109" s="82"/>
      <c r="P109" s="129"/>
      <c r="Q109" s="161">
        <v>6</v>
      </c>
    </row>
    <row r="110" spans="1:17">
      <c r="A110" s="126" t="s">
        <v>269</v>
      </c>
      <c r="B110" s="127" t="s">
        <v>251</v>
      </c>
      <c r="C110" s="125" t="s">
        <v>328</v>
      </c>
      <c r="D110" s="125"/>
      <c r="E110" s="125"/>
      <c r="F110" s="128"/>
      <c r="G110" s="80"/>
      <c r="H110" s="80"/>
      <c r="I110" s="81"/>
      <c r="J110" s="82"/>
      <c r="K110" s="128"/>
      <c r="L110" s="80"/>
      <c r="M110" s="80"/>
      <c r="N110" s="81"/>
      <c r="O110" s="82"/>
      <c r="P110" s="129"/>
    </row>
    <row r="111" spans="1:17">
      <c r="A111" s="126" t="s">
        <v>269</v>
      </c>
      <c r="B111" s="127" t="s">
        <v>251</v>
      </c>
      <c r="C111" s="125"/>
      <c r="D111" s="125"/>
      <c r="E111" s="125"/>
      <c r="F111" s="128"/>
      <c r="G111" s="80"/>
      <c r="H111" s="80"/>
      <c r="I111" s="81"/>
      <c r="J111" s="82"/>
      <c r="K111" s="128"/>
      <c r="L111" s="80"/>
      <c r="M111" s="80"/>
      <c r="N111" s="81"/>
      <c r="O111" s="82"/>
      <c r="P111" s="129"/>
    </row>
    <row r="112" spans="1:17">
      <c r="A112" s="126" t="s">
        <v>269</v>
      </c>
      <c r="B112" s="127" t="s">
        <v>253</v>
      </c>
      <c r="C112" s="125"/>
      <c r="D112" s="125"/>
      <c r="E112" s="125"/>
      <c r="F112" s="128"/>
      <c r="G112" s="80"/>
      <c r="H112" s="80"/>
      <c r="I112" s="81"/>
      <c r="J112" s="82"/>
      <c r="K112" s="128"/>
      <c r="L112" s="80"/>
      <c r="M112" s="80"/>
      <c r="N112" s="81"/>
      <c r="O112" s="82"/>
      <c r="P112" s="129"/>
      <c r="Q112" s="161">
        <v>7</v>
      </c>
    </row>
    <row r="113" spans="1:16">
      <c r="A113" s="126" t="s">
        <v>269</v>
      </c>
      <c r="B113" s="127" t="s">
        <v>253</v>
      </c>
      <c r="C113" s="125"/>
      <c r="D113" s="125"/>
      <c r="E113" s="125"/>
      <c r="F113" s="128"/>
      <c r="G113" s="80"/>
      <c r="H113" s="80"/>
      <c r="I113" s="81"/>
      <c r="J113" s="82"/>
      <c r="K113" s="128"/>
      <c r="L113" s="80"/>
      <c r="M113" s="80"/>
      <c r="N113" s="81"/>
      <c r="O113" s="82"/>
      <c r="P113" s="129"/>
    </row>
    <row r="114" spans="1:16">
      <c r="A114" s="126" t="s">
        <v>269</v>
      </c>
      <c r="B114" s="127" t="s">
        <v>253</v>
      </c>
      <c r="C114" s="125"/>
      <c r="D114" s="125"/>
      <c r="E114" s="125"/>
      <c r="F114" s="128"/>
      <c r="G114" s="80"/>
      <c r="H114" s="80"/>
      <c r="I114" s="81"/>
      <c r="J114" s="82"/>
      <c r="K114" s="128"/>
      <c r="L114" s="80"/>
      <c r="M114" s="80"/>
      <c r="N114" s="81"/>
      <c r="O114" s="82"/>
      <c r="P114" s="129"/>
    </row>
    <row r="115" spans="1:16">
      <c r="A115" s="126" t="s">
        <v>269</v>
      </c>
      <c r="B115" s="127" t="s">
        <v>254</v>
      </c>
      <c r="C115" s="125"/>
      <c r="D115" s="125"/>
      <c r="E115" s="125"/>
      <c r="F115" s="128"/>
      <c r="G115" s="80"/>
      <c r="H115" s="80"/>
      <c r="I115" s="81"/>
      <c r="J115" s="82"/>
      <c r="K115" s="128"/>
      <c r="L115" s="80"/>
      <c r="M115" s="80"/>
      <c r="N115" s="81"/>
      <c r="O115" s="82"/>
      <c r="P115" s="129"/>
    </row>
    <row r="116" spans="1:16">
      <c r="A116" s="126" t="s">
        <v>269</v>
      </c>
      <c r="B116" s="127" t="s">
        <v>254</v>
      </c>
      <c r="C116" s="125"/>
      <c r="D116" s="125"/>
      <c r="E116" s="125"/>
      <c r="F116" s="128"/>
      <c r="G116" s="80"/>
      <c r="H116" s="80"/>
      <c r="I116" s="81"/>
      <c r="J116" s="82"/>
      <c r="K116" s="128"/>
      <c r="L116" s="80"/>
      <c r="M116" s="80"/>
      <c r="N116" s="81"/>
      <c r="O116" s="82"/>
      <c r="P116" s="129"/>
    </row>
    <row r="117" spans="1:16">
      <c r="A117" s="126" t="s">
        <v>269</v>
      </c>
      <c r="B117" s="127" t="s">
        <v>254</v>
      </c>
      <c r="C117" s="125"/>
      <c r="D117" s="125"/>
      <c r="E117" s="125"/>
      <c r="F117" s="128"/>
      <c r="G117" s="80"/>
      <c r="H117" s="80"/>
      <c r="I117" s="81"/>
      <c r="J117" s="82"/>
      <c r="K117" s="128"/>
      <c r="L117" s="80"/>
      <c r="M117" s="80"/>
      <c r="N117" s="81"/>
      <c r="O117" s="82"/>
      <c r="P117" s="129"/>
    </row>
    <row r="118" spans="1:16">
      <c r="A118" s="126" t="s">
        <v>269</v>
      </c>
      <c r="B118" s="127" t="s">
        <v>255</v>
      </c>
      <c r="C118" s="125"/>
      <c r="D118" s="125"/>
      <c r="E118" s="125"/>
      <c r="F118" s="128"/>
      <c r="G118" s="80"/>
      <c r="H118" s="80"/>
      <c r="I118" s="81"/>
      <c r="J118" s="82"/>
      <c r="K118" s="128"/>
      <c r="L118" s="80"/>
      <c r="M118" s="80"/>
      <c r="N118" s="81"/>
      <c r="O118" s="82"/>
      <c r="P118" s="129"/>
    </row>
    <row r="119" spans="1:16">
      <c r="A119" s="126" t="s">
        <v>269</v>
      </c>
      <c r="B119" s="127" t="s">
        <v>255</v>
      </c>
      <c r="C119" s="125"/>
      <c r="D119" s="125"/>
      <c r="E119" s="125"/>
      <c r="F119" s="128"/>
      <c r="G119" s="80"/>
      <c r="H119" s="80"/>
      <c r="I119" s="81"/>
      <c r="J119" s="82"/>
      <c r="K119" s="128"/>
      <c r="L119" s="80"/>
      <c r="M119" s="80"/>
      <c r="N119" s="81"/>
      <c r="O119" s="82"/>
      <c r="P119" s="129"/>
    </row>
    <row r="120" spans="1:16">
      <c r="A120" s="126" t="s">
        <v>269</v>
      </c>
      <c r="B120" s="127" t="s">
        <v>255</v>
      </c>
      <c r="C120" s="125"/>
      <c r="D120" s="125"/>
      <c r="E120" s="125"/>
      <c r="F120" s="128"/>
      <c r="G120" s="80"/>
      <c r="H120" s="80"/>
      <c r="I120" s="81"/>
      <c r="J120" s="82"/>
      <c r="K120" s="128"/>
      <c r="L120" s="80"/>
      <c r="M120" s="80"/>
      <c r="N120" s="81"/>
      <c r="O120" s="82"/>
      <c r="P120" s="129"/>
    </row>
    <row r="121" spans="1:16">
      <c r="A121" s="126" t="s">
        <v>269</v>
      </c>
      <c r="B121" s="127" t="s">
        <v>256</v>
      </c>
      <c r="C121" s="125">
        <v>43657</v>
      </c>
      <c r="D121" s="125">
        <v>44022</v>
      </c>
      <c r="E121" s="125"/>
      <c r="F121" s="128" t="s">
        <v>65</v>
      </c>
      <c r="G121" s="80">
        <v>200000000</v>
      </c>
      <c r="H121" s="80">
        <v>0</v>
      </c>
      <c r="I121" s="81">
        <v>2.5</v>
      </c>
      <c r="J121" s="82"/>
      <c r="K121" s="128" t="s">
        <v>65</v>
      </c>
      <c r="L121" s="80">
        <v>1750000000</v>
      </c>
      <c r="M121" s="80">
        <v>0</v>
      </c>
      <c r="N121" s="81">
        <v>2.5</v>
      </c>
      <c r="O121" s="82"/>
      <c r="P121" s="129"/>
    </row>
    <row r="122" spans="1:16">
      <c r="A122" s="126" t="s">
        <v>269</v>
      </c>
      <c r="B122" s="127" t="s">
        <v>256</v>
      </c>
      <c r="C122" s="125">
        <v>44023</v>
      </c>
      <c r="D122" s="125">
        <v>44387</v>
      </c>
      <c r="E122" s="125"/>
      <c r="F122" s="128" t="s">
        <v>65</v>
      </c>
      <c r="G122" s="80">
        <v>200000000</v>
      </c>
      <c r="H122" s="80">
        <v>0</v>
      </c>
      <c r="I122" s="81">
        <v>7.5</v>
      </c>
      <c r="J122" s="82"/>
      <c r="K122" s="128" t="s">
        <v>65</v>
      </c>
      <c r="L122" s="80">
        <v>1750000000</v>
      </c>
      <c r="M122" s="80">
        <v>0</v>
      </c>
      <c r="N122" s="81">
        <v>7.5</v>
      </c>
      <c r="O122" s="82"/>
      <c r="P122" s="129"/>
    </row>
    <row r="123" spans="1:16">
      <c r="A123" s="126" t="s">
        <v>269</v>
      </c>
      <c r="B123" s="127" t="s">
        <v>256</v>
      </c>
      <c r="C123" s="125" t="s">
        <v>328</v>
      </c>
      <c r="D123" s="125"/>
      <c r="E123" s="125"/>
      <c r="F123" s="128"/>
      <c r="G123" s="80"/>
      <c r="H123" s="80"/>
      <c r="I123" s="81"/>
      <c r="J123" s="82"/>
      <c r="K123" s="128"/>
      <c r="L123" s="80"/>
      <c r="M123" s="80"/>
      <c r="N123" s="81"/>
      <c r="O123" s="82"/>
      <c r="P123" s="129"/>
    </row>
    <row r="124" spans="1:16">
      <c r="A124" s="126" t="s">
        <v>269</v>
      </c>
      <c r="B124" s="127" t="s">
        <v>258</v>
      </c>
      <c r="C124" s="125"/>
      <c r="D124" s="125"/>
      <c r="E124" s="125"/>
      <c r="F124" s="128"/>
      <c r="G124" s="80"/>
      <c r="H124" s="80"/>
      <c r="I124" s="81"/>
      <c r="J124" s="82"/>
      <c r="K124" s="128"/>
      <c r="L124" s="80"/>
      <c r="M124" s="80"/>
      <c r="N124" s="81"/>
      <c r="O124" s="82"/>
      <c r="P124" s="129"/>
    </row>
    <row r="125" spans="1:16">
      <c r="A125" s="126" t="s">
        <v>269</v>
      </c>
      <c r="B125" s="127" t="s">
        <v>258</v>
      </c>
      <c r="C125" s="125"/>
      <c r="D125" s="125"/>
      <c r="E125" s="125"/>
      <c r="F125" s="128"/>
      <c r="G125" s="80"/>
      <c r="H125" s="80"/>
      <c r="I125" s="81"/>
      <c r="J125" s="82"/>
      <c r="K125" s="128"/>
      <c r="L125" s="80"/>
      <c r="M125" s="80"/>
      <c r="N125" s="81"/>
      <c r="O125" s="82"/>
      <c r="P125" s="129"/>
    </row>
    <row r="126" spans="1:16">
      <c r="A126" s="126" t="s">
        <v>269</v>
      </c>
      <c r="B126" s="127" t="s">
        <v>258</v>
      </c>
      <c r="C126" s="125"/>
      <c r="D126" s="125"/>
      <c r="E126" s="125"/>
      <c r="F126" s="128"/>
      <c r="G126" s="80"/>
      <c r="H126" s="80"/>
      <c r="I126" s="81"/>
      <c r="J126" s="82"/>
      <c r="K126" s="128"/>
      <c r="L126" s="80"/>
      <c r="M126" s="80"/>
      <c r="N126" s="81"/>
      <c r="O126" s="82"/>
      <c r="P126" s="129"/>
    </row>
    <row r="127" spans="1:16">
      <c r="A127" s="126" t="s">
        <v>269</v>
      </c>
      <c r="B127" s="127" t="s">
        <v>259</v>
      </c>
      <c r="C127" s="125"/>
      <c r="D127" s="125"/>
      <c r="E127" s="125"/>
      <c r="F127" s="128"/>
      <c r="G127" s="80"/>
      <c r="H127" s="80"/>
      <c r="I127" s="81"/>
      <c r="J127" s="82"/>
      <c r="K127" s="128"/>
      <c r="L127" s="80"/>
      <c r="M127" s="80"/>
      <c r="N127" s="81"/>
      <c r="O127" s="82"/>
      <c r="P127" s="129"/>
    </row>
    <row r="128" spans="1:16">
      <c r="A128" s="126" t="s">
        <v>269</v>
      </c>
      <c r="B128" s="127" t="s">
        <v>259</v>
      </c>
      <c r="C128" s="125"/>
      <c r="D128" s="125"/>
      <c r="E128" s="125"/>
      <c r="F128" s="128"/>
      <c r="G128" s="80"/>
      <c r="H128" s="80"/>
      <c r="I128" s="81"/>
      <c r="J128" s="82"/>
      <c r="K128" s="128"/>
      <c r="L128" s="80"/>
      <c r="M128" s="80"/>
      <c r="N128" s="81"/>
      <c r="O128" s="82"/>
      <c r="P128" s="129"/>
    </row>
    <row r="129" spans="1:16">
      <c r="A129" s="126" t="s">
        <v>269</v>
      </c>
      <c r="B129" s="127" t="s">
        <v>259</v>
      </c>
      <c r="C129" s="165"/>
      <c r="D129" s="165"/>
      <c r="E129" s="165"/>
      <c r="F129" s="166"/>
      <c r="G129" s="167"/>
      <c r="H129" s="167"/>
      <c r="I129" s="168"/>
      <c r="J129" s="169"/>
      <c r="K129" s="166"/>
      <c r="L129" s="167"/>
      <c r="M129" s="167"/>
      <c r="N129" s="168"/>
      <c r="O129" s="169"/>
      <c r="P129" s="170"/>
    </row>
    <row r="130" spans="1:16">
      <c r="A130" s="126" t="s">
        <v>269</v>
      </c>
      <c r="B130" s="127" t="s">
        <v>260</v>
      </c>
      <c r="C130" s="171"/>
      <c r="D130" s="171"/>
      <c r="E130" s="171"/>
      <c r="F130" s="172"/>
      <c r="G130" s="173"/>
      <c r="H130" s="173"/>
      <c r="I130" s="174"/>
      <c r="J130" s="175"/>
      <c r="K130" s="172"/>
      <c r="L130" s="173"/>
      <c r="M130" s="173"/>
      <c r="N130" s="174"/>
      <c r="O130" s="175"/>
      <c r="P130" s="176"/>
    </row>
    <row r="131" spans="1:16">
      <c r="A131" s="126" t="s">
        <v>269</v>
      </c>
      <c r="B131" s="127" t="s">
        <v>260</v>
      </c>
      <c r="C131" s="125"/>
      <c r="D131" s="125"/>
      <c r="E131" s="125"/>
      <c r="F131" s="128"/>
      <c r="G131" s="80"/>
      <c r="H131" s="80"/>
      <c r="I131" s="81"/>
      <c r="J131" s="82"/>
      <c r="K131" s="128"/>
      <c r="L131" s="80"/>
      <c r="M131" s="80"/>
      <c r="N131" s="81"/>
      <c r="O131" s="82"/>
      <c r="P131" s="129"/>
    </row>
    <row r="132" spans="1:16">
      <c r="A132" s="126" t="s">
        <v>269</v>
      </c>
      <c r="B132" s="127" t="s">
        <v>260</v>
      </c>
      <c r="C132" s="165"/>
      <c r="D132" s="165"/>
      <c r="E132" s="165"/>
      <c r="F132" s="166"/>
      <c r="G132" s="167"/>
      <c r="H132" s="167"/>
      <c r="I132" s="168"/>
      <c r="J132" s="169"/>
      <c r="K132" s="166"/>
      <c r="L132" s="167"/>
      <c r="M132" s="167"/>
      <c r="N132" s="168"/>
      <c r="O132" s="169"/>
      <c r="P132" s="170"/>
    </row>
    <row r="133" spans="1:16">
      <c r="A133" s="126" t="s">
        <v>269</v>
      </c>
      <c r="B133" s="127" t="s">
        <v>261</v>
      </c>
      <c r="C133" s="171"/>
      <c r="D133" s="171"/>
      <c r="E133" s="171"/>
      <c r="F133" s="172"/>
      <c r="G133" s="173"/>
      <c r="H133" s="173"/>
      <c r="I133" s="174"/>
      <c r="J133" s="175"/>
      <c r="K133" s="172"/>
      <c r="L133" s="173"/>
      <c r="M133" s="173"/>
      <c r="N133" s="174"/>
      <c r="O133" s="175"/>
      <c r="P133" s="176"/>
    </row>
    <row r="134" spans="1:16">
      <c r="A134" s="126" t="s">
        <v>269</v>
      </c>
      <c r="B134" s="127" t="s">
        <v>261</v>
      </c>
      <c r="C134" s="125"/>
      <c r="D134" s="125"/>
      <c r="E134" s="125"/>
      <c r="F134" s="128"/>
      <c r="G134" s="80"/>
      <c r="H134" s="80"/>
      <c r="I134" s="81"/>
      <c r="J134" s="82"/>
      <c r="K134" s="128"/>
      <c r="L134" s="80"/>
      <c r="M134" s="80"/>
      <c r="N134" s="81"/>
      <c r="O134" s="82"/>
      <c r="P134" s="129"/>
    </row>
    <row r="135" spans="1:16">
      <c r="A135" s="126" t="s">
        <v>269</v>
      </c>
      <c r="B135" s="127" t="s">
        <v>261</v>
      </c>
      <c r="C135" s="165"/>
      <c r="D135" s="165"/>
      <c r="E135" s="165"/>
      <c r="F135" s="166"/>
      <c r="G135" s="167"/>
      <c r="H135" s="167"/>
      <c r="I135" s="168"/>
      <c r="J135" s="169"/>
      <c r="K135" s="166"/>
      <c r="L135" s="167"/>
      <c r="M135" s="167"/>
      <c r="N135" s="168"/>
      <c r="O135" s="169"/>
      <c r="P135" s="170"/>
    </row>
    <row r="136" spans="1:16">
      <c r="A136" s="126" t="s">
        <v>269</v>
      </c>
      <c r="B136" s="127" t="s">
        <v>262</v>
      </c>
      <c r="C136" s="171">
        <v>43647</v>
      </c>
      <c r="D136" s="171">
        <v>44012</v>
      </c>
      <c r="E136" s="171"/>
      <c r="F136" s="172" t="s">
        <v>65</v>
      </c>
      <c r="G136" s="173">
        <v>145000000</v>
      </c>
      <c r="H136" s="173"/>
      <c r="I136" s="174">
        <v>9.5</v>
      </c>
      <c r="J136" s="175"/>
      <c r="K136" s="172" t="s">
        <v>65</v>
      </c>
      <c r="L136" s="173">
        <v>1250000000</v>
      </c>
      <c r="M136" s="173"/>
      <c r="N136" s="174">
        <v>9.5</v>
      </c>
      <c r="O136" s="175"/>
      <c r="P136" s="176"/>
    </row>
    <row r="137" spans="1:16">
      <c r="A137" s="126" t="s">
        <v>269</v>
      </c>
      <c r="B137" s="127" t="s">
        <v>262</v>
      </c>
      <c r="C137" s="125">
        <v>44013</v>
      </c>
      <c r="D137" s="125">
        <v>44377</v>
      </c>
      <c r="E137" s="125"/>
      <c r="F137" s="128" t="s">
        <v>65</v>
      </c>
      <c r="G137" s="80">
        <v>145000000</v>
      </c>
      <c r="H137" s="80"/>
      <c r="I137" s="81">
        <v>9.5</v>
      </c>
      <c r="J137" s="82"/>
      <c r="K137" s="128" t="s">
        <v>65</v>
      </c>
      <c r="L137" s="80">
        <v>1250000000</v>
      </c>
      <c r="M137" s="80"/>
      <c r="N137" s="81">
        <v>9.5</v>
      </c>
      <c r="O137" s="82"/>
      <c r="P137" s="129"/>
    </row>
    <row r="138" spans="1:16">
      <c r="A138" s="126" t="s">
        <v>269</v>
      </c>
      <c r="B138" s="127" t="s">
        <v>262</v>
      </c>
      <c r="C138" s="165">
        <v>44378</v>
      </c>
      <c r="D138" s="165">
        <v>44742</v>
      </c>
      <c r="E138" s="165"/>
      <c r="F138" s="166" t="s">
        <v>65</v>
      </c>
      <c r="G138" s="167">
        <v>120000000</v>
      </c>
      <c r="H138" s="167"/>
      <c r="I138" s="168">
        <v>9.5</v>
      </c>
      <c r="J138" s="169"/>
      <c r="K138" s="166" t="s">
        <v>65</v>
      </c>
      <c r="L138" s="167">
        <v>1000000000</v>
      </c>
      <c r="M138" s="167"/>
      <c r="N138" s="168">
        <v>9.5</v>
      </c>
      <c r="O138" s="169"/>
      <c r="P138" s="170"/>
    </row>
    <row r="139" spans="1:16">
      <c r="A139" s="126" t="s">
        <v>269</v>
      </c>
      <c r="B139" s="127" t="s">
        <v>263</v>
      </c>
      <c r="C139" s="177">
        <v>43647</v>
      </c>
      <c r="D139" s="177">
        <v>44012</v>
      </c>
      <c r="E139" s="177"/>
      <c r="F139" s="178" t="s">
        <v>65</v>
      </c>
      <c r="G139" s="179">
        <v>50000000</v>
      </c>
      <c r="H139" s="179"/>
      <c r="I139" s="180">
        <v>15</v>
      </c>
      <c r="J139" s="181"/>
      <c r="K139" s="178" t="s">
        <v>65</v>
      </c>
      <c r="L139" s="179">
        <v>750000000</v>
      </c>
      <c r="M139" s="179"/>
      <c r="N139" s="180">
        <v>15</v>
      </c>
      <c r="O139" s="181"/>
      <c r="P139" s="182"/>
    </row>
    <row r="140" spans="1:16">
      <c r="A140" s="126" t="s">
        <v>269</v>
      </c>
      <c r="B140" s="127" t="s">
        <v>263</v>
      </c>
      <c r="C140" s="125">
        <v>44013</v>
      </c>
      <c r="D140" s="125">
        <v>44377</v>
      </c>
      <c r="E140" s="125"/>
      <c r="F140" s="128" t="s">
        <v>65</v>
      </c>
      <c r="G140" s="80">
        <v>50000000</v>
      </c>
      <c r="H140" s="80"/>
      <c r="I140" s="81">
        <v>15</v>
      </c>
      <c r="J140" s="82"/>
      <c r="K140" s="128" t="s">
        <v>65</v>
      </c>
      <c r="L140" s="80">
        <v>750000000</v>
      </c>
      <c r="M140" s="80"/>
      <c r="N140" s="81">
        <v>15</v>
      </c>
      <c r="O140" s="82"/>
      <c r="P140" s="129"/>
    </row>
    <row r="141" spans="1:16">
      <c r="A141" s="126" t="s">
        <v>269</v>
      </c>
      <c r="B141" s="127" t="s">
        <v>263</v>
      </c>
      <c r="C141" s="125">
        <v>44378</v>
      </c>
      <c r="D141" s="125">
        <v>44742</v>
      </c>
      <c r="E141" s="125"/>
      <c r="F141" s="128" t="s">
        <v>65</v>
      </c>
      <c r="G141" s="80">
        <v>50000000</v>
      </c>
      <c r="H141" s="80"/>
      <c r="I141" s="81">
        <v>10</v>
      </c>
      <c r="J141" s="82"/>
      <c r="K141" s="128" t="s">
        <v>65</v>
      </c>
      <c r="L141" s="80">
        <v>750000000</v>
      </c>
      <c r="M141" s="80"/>
      <c r="N141" s="81">
        <v>10</v>
      </c>
      <c r="O141" s="82"/>
      <c r="P141" s="129"/>
    </row>
    <row r="142" spans="1:16">
      <c r="A142" s="126" t="s">
        <v>269</v>
      </c>
      <c r="B142" s="127" t="s">
        <v>264</v>
      </c>
      <c r="C142" s="125"/>
      <c r="D142" s="125"/>
      <c r="E142" s="125"/>
      <c r="F142" s="128"/>
      <c r="G142" s="80"/>
      <c r="H142" s="80"/>
      <c r="I142" s="81"/>
      <c r="J142" s="82"/>
      <c r="K142" s="128"/>
      <c r="L142" s="80"/>
      <c r="M142" s="80"/>
      <c r="N142" s="81"/>
      <c r="O142" s="82"/>
      <c r="P142" s="129"/>
    </row>
    <row r="143" spans="1:16">
      <c r="A143" s="126" t="s">
        <v>269</v>
      </c>
      <c r="B143" s="127" t="s">
        <v>264</v>
      </c>
      <c r="C143" s="125">
        <v>44180</v>
      </c>
      <c r="D143" s="125">
        <v>44544</v>
      </c>
      <c r="E143" s="125"/>
      <c r="F143" s="128" t="s">
        <v>65</v>
      </c>
      <c r="G143" s="80">
        <v>70000000</v>
      </c>
      <c r="H143" s="80">
        <v>0</v>
      </c>
      <c r="I143" s="81">
        <v>5</v>
      </c>
      <c r="J143" s="82"/>
      <c r="K143" s="128" t="s">
        <v>65</v>
      </c>
      <c r="L143" s="80">
        <v>850000000</v>
      </c>
      <c r="M143" s="80">
        <v>0</v>
      </c>
      <c r="N143" s="81">
        <v>5</v>
      </c>
      <c r="O143" s="82"/>
      <c r="P143" s="129"/>
    </row>
    <row r="144" spans="1:16">
      <c r="A144" s="126" t="s">
        <v>269</v>
      </c>
      <c r="B144" s="127" t="s">
        <v>264</v>
      </c>
      <c r="C144" s="125">
        <v>44545</v>
      </c>
      <c r="D144" s="125">
        <v>44909</v>
      </c>
      <c r="E144" s="125"/>
      <c r="F144" s="128" t="s">
        <v>65</v>
      </c>
      <c r="G144" s="80">
        <v>100000000</v>
      </c>
      <c r="H144" s="80">
        <v>0</v>
      </c>
      <c r="I144" s="81">
        <v>5</v>
      </c>
      <c r="J144" s="82"/>
      <c r="K144" s="128" t="s">
        <v>65</v>
      </c>
      <c r="L144" s="80">
        <v>1000000000</v>
      </c>
      <c r="M144" s="80">
        <v>0</v>
      </c>
      <c r="N144" s="81">
        <v>5</v>
      </c>
      <c r="O144" s="82"/>
      <c r="P144" s="129"/>
    </row>
    <row r="145" spans="1:17">
      <c r="A145" s="126" t="s">
        <v>269</v>
      </c>
      <c r="B145" s="127" t="s">
        <v>265</v>
      </c>
      <c r="C145" s="125"/>
      <c r="D145" s="125"/>
      <c r="E145" s="125"/>
      <c r="F145" s="128"/>
      <c r="G145" s="80"/>
      <c r="H145" s="80"/>
      <c r="I145" s="81"/>
      <c r="J145" s="82"/>
      <c r="K145" s="128"/>
      <c r="L145" s="80"/>
      <c r="M145" s="80"/>
      <c r="N145" s="81"/>
      <c r="O145" s="82"/>
      <c r="P145" s="129"/>
    </row>
    <row r="146" spans="1:17">
      <c r="A146" s="126" t="s">
        <v>269</v>
      </c>
      <c r="B146" s="127" t="s">
        <v>265</v>
      </c>
      <c r="C146" s="125"/>
      <c r="D146" s="125"/>
      <c r="E146" s="125"/>
      <c r="F146" s="128"/>
      <c r="G146" s="80"/>
      <c r="H146" s="80"/>
      <c r="I146" s="81"/>
      <c r="J146" s="82"/>
      <c r="K146" s="128"/>
      <c r="L146" s="80"/>
      <c r="M146" s="80"/>
      <c r="N146" s="81"/>
      <c r="O146" s="82"/>
      <c r="P146" s="129"/>
    </row>
    <row r="147" spans="1:17">
      <c r="A147" s="126" t="s">
        <v>269</v>
      </c>
      <c r="B147" s="127" t="s">
        <v>265</v>
      </c>
      <c r="C147" s="153"/>
      <c r="D147" s="153"/>
      <c r="E147" s="153"/>
      <c r="F147" s="128"/>
      <c r="G147" s="80"/>
      <c r="H147" s="80"/>
      <c r="I147" s="81"/>
      <c r="J147" s="82"/>
      <c r="K147" s="128"/>
      <c r="L147" s="80"/>
      <c r="M147" s="80"/>
      <c r="N147" s="81"/>
      <c r="O147" s="82"/>
      <c r="P147" s="129"/>
    </row>
    <row r="148" spans="1:17">
      <c r="A148" s="126" t="s">
        <v>269</v>
      </c>
      <c r="B148" s="127" t="s">
        <v>266</v>
      </c>
      <c r="C148" s="125">
        <v>43785</v>
      </c>
      <c r="D148" s="125">
        <v>44150</v>
      </c>
      <c r="E148" s="125"/>
      <c r="F148" s="128" t="s">
        <v>65</v>
      </c>
      <c r="G148" s="80">
        <v>150000000</v>
      </c>
      <c r="H148" s="80">
        <v>0</v>
      </c>
      <c r="I148" s="81">
        <v>10</v>
      </c>
      <c r="J148" s="82"/>
      <c r="K148" s="128" t="s">
        <v>65</v>
      </c>
      <c r="L148" s="80">
        <v>1000000000</v>
      </c>
      <c r="M148" s="80">
        <v>0</v>
      </c>
      <c r="N148" s="81">
        <v>10</v>
      </c>
      <c r="O148" s="82"/>
      <c r="P148" s="129"/>
    </row>
    <row r="149" spans="1:17">
      <c r="A149" s="126" t="s">
        <v>269</v>
      </c>
      <c r="B149" s="127" t="s">
        <v>266</v>
      </c>
      <c r="C149" s="125">
        <v>44151</v>
      </c>
      <c r="D149" s="125">
        <v>44545</v>
      </c>
      <c r="E149" s="125"/>
      <c r="F149" s="128" t="s">
        <v>65</v>
      </c>
      <c r="G149" s="80">
        <v>200000000</v>
      </c>
      <c r="H149" s="80">
        <v>0</v>
      </c>
      <c r="I149" s="81">
        <v>13.2</v>
      </c>
      <c r="J149" s="82"/>
      <c r="K149" s="128" t="s">
        <v>65</v>
      </c>
      <c r="L149" s="80">
        <v>1000000000</v>
      </c>
      <c r="M149" s="80">
        <v>0</v>
      </c>
      <c r="N149" s="81">
        <v>13.2</v>
      </c>
      <c r="O149" s="82"/>
      <c r="P149" s="163"/>
      <c r="Q149" s="164">
        <v>8</v>
      </c>
    </row>
    <row r="150" spans="1:17">
      <c r="A150" s="126" t="s">
        <v>269</v>
      </c>
      <c r="B150" s="127" t="s">
        <v>266</v>
      </c>
      <c r="C150" s="153">
        <v>44546</v>
      </c>
      <c r="D150" s="153">
        <v>44910</v>
      </c>
      <c r="E150" s="153"/>
      <c r="F150" s="128" t="s">
        <v>65</v>
      </c>
      <c r="G150" s="80">
        <v>200000000</v>
      </c>
      <c r="H150" s="80">
        <v>0</v>
      </c>
      <c r="I150" s="81">
        <v>13.2</v>
      </c>
      <c r="J150" s="82"/>
      <c r="K150" s="128" t="s">
        <v>65</v>
      </c>
      <c r="L150" s="80">
        <v>1000000000</v>
      </c>
      <c r="M150" s="80">
        <v>0</v>
      </c>
      <c r="N150" s="81">
        <v>13.2</v>
      </c>
      <c r="O150" s="82"/>
      <c r="P150" s="129"/>
    </row>
    <row r="151" spans="1:17">
      <c r="A151" s="126" t="s">
        <v>329</v>
      </c>
      <c r="B151" s="127" t="s">
        <v>224</v>
      </c>
      <c r="C151" s="125">
        <v>43739</v>
      </c>
      <c r="D151" s="125">
        <v>44104</v>
      </c>
      <c r="E151" s="125"/>
      <c r="F151" s="128" t="s">
        <v>65</v>
      </c>
      <c r="G151" s="80">
        <v>75000000</v>
      </c>
      <c r="H151" s="80">
        <v>0</v>
      </c>
      <c r="I151" s="81">
        <v>16.5</v>
      </c>
      <c r="J151" s="82"/>
      <c r="K151" s="128" t="s">
        <v>65</v>
      </c>
      <c r="L151" s="80">
        <v>1250000000</v>
      </c>
      <c r="M151" s="80">
        <v>0</v>
      </c>
      <c r="N151" s="81">
        <v>16.5</v>
      </c>
      <c r="O151" s="82"/>
      <c r="P151" s="129"/>
    </row>
    <row r="152" spans="1:17">
      <c r="A152" s="126" t="s">
        <v>329</v>
      </c>
      <c r="B152" s="127" t="s">
        <v>224</v>
      </c>
      <c r="C152" s="125">
        <v>44105</v>
      </c>
      <c r="D152" s="125">
        <v>44469</v>
      </c>
      <c r="E152" s="125"/>
      <c r="F152" s="128" t="s">
        <v>65</v>
      </c>
      <c r="G152" s="80">
        <v>75000000</v>
      </c>
      <c r="H152" s="80">
        <v>0</v>
      </c>
      <c r="I152" s="81">
        <v>8.5</v>
      </c>
      <c r="J152" s="82"/>
      <c r="K152" s="128" t="s">
        <v>65</v>
      </c>
      <c r="L152" s="80">
        <v>1250000000</v>
      </c>
      <c r="M152" s="80">
        <v>0</v>
      </c>
      <c r="N152" s="81">
        <v>8.5</v>
      </c>
      <c r="O152" s="82"/>
      <c r="P152" s="129"/>
    </row>
    <row r="153" spans="1:17">
      <c r="A153" s="126" t="s">
        <v>329</v>
      </c>
      <c r="B153" s="127" t="s">
        <v>224</v>
      </c>
      <c r="C153" s="153">
        <v>44470</v>
      </c>
      <c r="D153" s="153">
        <v>44834</v>
      </c>
      <c r="E153" s="153"/>
      <c r="F153" s="128" t="s">
        <v>65</v>
      </c>
      <c r="G153" s="80">
        <v>100000000</v>
      </c>
      <c r="H153" s="80">
        <v>0</v>
      </c>
      <c r="I153" s="81">
        <v>8.5</v>
      </c>
      <c r="J153" s="82"/>
      <c r="K153" s="128" t="s">
        <v>65</v>
      </c>
      <c r="L153" s="80">
        <v>1250000000</v>
      </c>
      <c r="M153" s="80">
        <v>0</v>
      </c>
      <c r="N153" s="81">
        <v>8.5</v>
      </c>
      <c r="O153" s="82"/>
      <c r="P153" s="129"/>
    </row>
    <row r="154" spans="1:17">
      <c r="A154" s="126" t="s">
        <v>329</v>
      </c>
      <c r="B154" s="127" t="s">
        <v>230</v>
      </c>
      <c r="C154" s="153"/>
      <c r="D154" s="153"/>
      <c r="E154" s="153"/>
      <c r="F154" s="128"/>
      <c r="G154" s="80"/>
      <c r="H154" s="80"/>
      <c r="I154" s="81"/>
      <c r="J154" s="82"/>
      <c r="K154" s="128"/>
      <c r="L154" s="80"/>
      <c r="M154" s="80"/>
      <c r="N154" s="81"/>
      <c r="O154" s="82"/>
      <c r="P154" s="129"/>
    </row>
    <row r="155" spans="1:17">
      <c r="A155" s="126" t="s">
        <v>329</v>
      </c>
      <c r="B155" s="127" t="s">
        <v>230</v>
      </c>
      <c r="C155" s="153"/>
      <c r="D155" s="153"/>
      <c r="E155" s="153"/>
      <c r="F155" s="128"/>
      <c r="G155" s="80"/>
      <c r="H155" s="80"/>
      <c r="I155" s="81"/>
      <c r="J155" s="82"/>
      <c r="K155" s="128"/>
      <c r="L155" s="80"/>
      <c r="M155" s="80"/>
      <c r="N155" s="81"/>
      <c r="O155" s="82"/>
      <c r="P155" s="129"/>
    </row>
    <row r="156" spans="1:17">
      <c r="A156" s="126" t="s">
        <v>329</v>
      </c>
      <c r="B156" s="127" t="s">
        <v>230</v>
      </c>
      <c r="C156" s="153"/>
      <c r="D156" s="153"/>
      <c r="E156" s="153"/>
      <c r="F156" s="128"/>
      <c r="G156" s="80"/>
      <c r="H156" s="80"/>
      <c r="I156" s="81"/>
      <c r="J156" s="82"/>
      <c r="K156" s="128"/>
      <c r="L156" s="80"/>
      <c r="M156" s="80"/>
      <c r="N156" s="81"/>
      <c r="O156" s="82"/>
      <c r="P156" s="129"/>
    </row>
    <row r="157" spans="1:17">
      <c r="A157" s="126" t="s">
        <v>329</v>
      </c>
      <c r="B157" s="127" t="s">
        <v>233</v>
      </c>
      <c r="C157" s="153"/>
      <c r="D157" s="153"/>
      <c r="E157" s="153"/>
      <c r="F157" s="128"/>
      <c r="G157" s="80"/>
      <c r="H157" s="80"/>
      <c r="I157" s="81"/>
      <c r="J157" s="82"/>
      <c r="K157" s="128"/>
      <c r="L157" s="80"/>
      <c r="M157" s="80"/>
      <c r="N157" s="81"/>
      <c r="O157" s="82"/>
      <c r="P157" s="129"/>
    </row>
    <row r="158" spans="1:17">
      <c r="A158" s="126" t="s">
        <v>329</v>
      </c>
      <c r="B158" s="127" t="s">
        <v>233</v>
      </c>
      <c r="C158" s="153">
        <v>43814</v>
      </c>
      <c r="D158" s="153">
        <v>44105</v>
      </c>
      <c r="E158" s="153"/>
      <c r="F158" s="128" t="s">
        <v>65</v>
      </c>
      <c r="G158" s="80">
        <v>100000000</v>
      </c>
      <c r="H158" s="80">
        <v>0</v>
      </c>
      <c r="I158" s="81">
        <v>2.5</v>
      </c>
      <c r="J158" s="82"/>
      <c r="K158" s="128" t="s">
        <v>65</v>
      </c>
      <c r="L158" s="80">
        <v>1250000000</v>
      </c>
      <c r="M158" s="80">
        <v>0</v>
      </c>
      <c r="N158" s="81">
        <v>2.5</v>
      </c>
      <c r="O158" s="82"/>
      <c r="P158" s="129"/>
    </row>
    <row r="159" spans="1:17">
      <c r="A159" s="126" t="s">
        <v>329</v>
      </c>
      <c r="B159" s="127" t="s">
        <v>233</v>
      </c>
      <c r="C159" s="153" t="s">
        <v>325</v>
      </c>
      <c r="D159" s="153"/>
      <c r="E159" s="153"/>
      <c r="F159" s="128"/>
      <c r="G159" s="80"/>
      <c r="H159" s="80"/>
      <c r="I159" s="81"/>
      <c r="J159" s="82"/>
      <c r="K159" s="128"/>
      <c r="L159" s="80"/>
      <c r="M159" s="80"/>
      <c r="N159" s="81"/>
      <c r="O159" s="82"/>
      <c r="P159" s="129"/>
    </row>
    <row r="160" spans="1:17">
      <c r="A160" s="126" t="s">
        <v>329</v>
      </c>
      <c r="B160" s="127" t="s">
        <v>236</v>
      </c>
      <c r="C160" s="153">
        <v>43647</v>
      </c>
      <c r="D160" s="153">
        <v>44012</v>
      </c>
      <c r="E160" s="153"/>
      <c r="F160" s="128" t="s">
        <v>65</v>
      </c>
      <c r="G160" s="80">
        <v>65000000</v>
      </c>
      <c r="H160" s="80">
        <v>0</v>
      </c>
      <c r="I160" s="81">
        <v>5</v>
      </c>
      <c r="J160" s="82"/>
      <c r="K160" s="128" t="s">
        <v>65</v>
      </c>
      <c r="L160" s="80">
        <v>1250000000</v>
      </c>
      <c r="M160" s="80">
        <v>0</v>
      </c>
      <c r="N160" s="81">
        <v>5</v>
      </c>
      <c r="O160" s="82"/>
      <c r="P160" s="129"/>
    </row>
    <row r="161" spans="1:17">
      <c r="A161" s="126" t="s">
        <v>329</v>
      </c>
      <c r="B161" s="127" t="s">
        <v>236</v>
      </c>
      <c r="C161" s="153">
        <v>44013</v>
      </c>
      <c r="D161" s="153">
        <v>44544</v>
      </c>
      <c r="E161" s="153"/>
      <c r="F161" s="128" t="s">
        <v>65</v>
      </c>
      <c r="G161" s="80">
        <v>65000000</v>
      </c>
      <c r="H161" s="80">
        <v>0</v>
      </c>
      <c r="I161" s="81">
        <v>9.5</v>
      </c>
      <c r="J161" s="82"/>
      <c r="K161" s="128" t="s">
        <v>65</v>
      </c>
      <c r="L161" s="80">
        <v>1250000000</v>
      </c>
      <c r="M161" s="80">
        <v>0</v>
      </c>
      <c r="N161" s="81">
        <v>9.5</v>
      </c>
      <c r="O161" s="82"/>
      <c r="P161" s="163"/>
      <c r="Q161" s="164">
        <v>9</v>
      </c>
    </row>
    <row r="162" spans="1:17">
      <c r="A162" s="126" t="s">
        <v>329</v>
      </c>
      <c r="B162" s="127" t="s">
        <v>236</v>
      </c>
      <c r="C162" s="153">
        <v>44545</v>
      </c>
      <c r="D162" s="153">
        <v>44909</v>
      </c>
      <c r="E162" s="153"/>
      <c r="F162" s="128" t="s">
        <v>65</v>
      </c>
      <c r="G162" s="80">
        <v>65000000</v>
      </c>
      <c r="H162" s="80">
        <v>0</v>
      </c>
      <c r="I162" s="81">
        <v>9.5</v>
      </c>
      <c r="J162" s="82"/>
      <c r="K162" s="128" t="s">
        <v>65</v>
      </c>
      <c r="L162" s="80">
        <v>1250000000</v>
      </c>
      <c r="M162" s="80">
        <v>0</v>
      </c>
      <c r="N162" s="81">
        <v>9.5</v>
      </c>
      <c r="O162" s="82"/>
      <c r="P162" s="129"/>
    </row>
    <row r="163" spans="1:17">
      <c r="A163" s="126" t="s">
        <v>329</v>
      </c>
      <c r="B163" s="127" t="s">
        <v>239</v>
      </c>
      <c r="C163" s="153"/>
      <c r="D163" s="153"/>
      <c r="E163" s="153"/>
      <c r="F163" s="128"/>
      <c r="G163" s="80"/>
      <c r="H163" s="80"/>
      <c r="I163" s="81"/>
      <c r="J163" s="82"/>
      <c r="K163" s="128"/>
      <c r="L163" s="80"/>
      <c r="M163" s="80"/>
      <c r="N163" s="81"/>
      <c r="O163" s="82"/>
      <c r="P163" s="129"/>
    </row>
    <row r="164" spans="1:17">
      <c r="A164" s="126" t="s">
        <v>329</v>
      </c>
      <c r="B164" s="127" t="s">
        <v>239</v>
      </c>
      <c r="C164" s="153"/>
      <c r="D164" s="153"/>
      <c r="E164" s="153"/>
      <c r="F164" s="128"/>
      <c r="G164" s="80"/>
      <c r="H164" s="80"/>
      <c r="I164" s="81"/>
      <c r="J164" s="82"/>
      <c r="K164" s="128"/>
      <c r="L164" s="80"/>
      <c r="M164" s="80"/>
      <c r="N164" s="81"/>
      <c r="O164" s="82"/>
      <c r="P164" s="129"/>
    </row>
    <row r="165" spans="1:17">
      <c r="A165" s="126" t="s">
        <v>329</v>
      </c>
      <c r="B165" s="127" t="s">
        <v>239</v>
      </c>
      <c r="C165" s="153"/>
      <c r="D165" s="153"/>
      <c r="E165" s="153"/>
      <c r="F165" s="128"/>
      <c r="G165" s="80"/>
      <c r="H165" s="80"/>
      <c r="I165" s="81"/>
      <c r="J165" s="82"/>
      <c r="K165" s="128"/>
      <c r="L165" s="80"/>
      <c r="M165" s="80"/>
      <c r="N165" s="81"/>
      <c r="O165" s="82"/>
      <c r="P165" s="129"/>
    </row>
    <row r="166" spans="1:17">
      <c r="A166" s="126" t="s">
        <v>329</v>
      </c>
      <c r="B166" s="127" t="s">
        <v>247</v>
      </c>
      <c r="C166" s="153"/>
      <c r="D166" s="153"/>
      <c r="E166" s="153"/>
      <c r="F166" s="128"/>
      <c r="G166" s="80"/>
      <c r="H166" s="80"/>
      <c r="I166" s="81"/>
      <c r="J166" s="82"/>
      <c r="K166" s="128"/>
      <c r="L166" s="80"/>
      <c r="M166" s="80"/>
      <c r="N166" s="81"/>
      <c r="O166" s="82"/>
      <c r="P166" s="129"/>
    </row>
    <row r="167" spans="1:17">
      <c r="A167" s="126" t="s">
        <v>329</v>
      </c>
      <c r="B167" s="127" t="s">
        <v>247</v>
      </c>
      <c r="C167" s="153"/>
      <c r="D167" s="153"/>
      <c r="E167" s="153"/>
      <c r="F167" s="128"/>
      <c r="G167" s="80"/>
      <c r="H167" s="80"/>
      <c r="I167" s="81"/>
      <c r="J167" s="82"/>
      <c r="K167" s="128"/>
      <c r="L167" s="80"/>
      <c r="M167" s="80"/>
      <c r="N167" s="81"/>
      <c r="O167" s="82"/>
      <c r="P167" s="129"/>
    </row>
    <row r="168" spans="1:17">
      <c r="A168" s="126" t="s">
        <v>329</v>
      </c>
      <c r="B168" s="127" t="s">
        <v>247</v>
      </c>
      <c r="C168" s="153"/>
      <c r="D168" s="153"/>
      <c r="E168" s="153"/>
      <c r="F168" s="128"/>
      <c r="G168" s="80"/>
      <c r="H168" s="80"/>
      <c r="I168" s="81"/>
      <c r="J168" s="82"/>
      <c r="K168" s="128"/>
      <c r="L168" s="80"/>
      <c r="M168" s="80"/>
      <c r="N168" s="81"/>
      <c r="O168" s="82"/>
      <c r="P168" s="129"/>
    </row>
    <row r="169" spans="1:17">
      <c r="A169" s="126" t="s">
        <v>329</v>
      </c>
      <c r="B169" s="127" t="s">
        <v>252</v>
      </c>
      <c r="C169" s="153">
        <v>43814</v>
      </c>
      <c r="D169" s="153">
        <v>44179</v>
      </c>
      <c r="E169" s="153"/>
      <c r="F169" s="128" t="s">
        <v>65</v>
      </c>
      <c r="G169" s="80">
        <v>10000000</v>
      </c>
      <c r="H169" s="80">
        <v>0</v>
      </c>
      <c r="I169" s="81">
        <v>6</v>
      </c>
      <c r="J169" s="82"/>
      <c r="K169" s="128" t="s">
        <v>65</v>
      </c>
      <c r="L169" s="80">
        <v>500000000</v>
      </c>
      <c r="M169" s="80">
        <v>0</v>
      </c>
      <c r="N169" s="81">
        <v>6</v>
      </c>
      <c r="O169" s="82"/>
      <c r="P169" s="129"/>
    </row>
    <row r="170" spans="1:17">
      <c r="A170" s="126" t="s">
        <v>329</v>
      </c>
      <c r="B170" s="127" t="s">
        <v>252</v>
      </c>
      <c r="C170" s="153">
        <v>44180</v>
      </c>
      <c r="D170" s="153">
        <v>44544</v>
      </c>
      <c r="E170" s="153"/>
      <c r="F170" s="128" t="s">
        <v>65</v>
      </c>
      <c r="G170" s="80">
        <v>10000000</v>
      </c>
      <c r="H170" s="80">
        <v>0</v>
      </c>
      <c r="I170" s="81">
        <v>6</v>
      </c>
      <c r="J170" s="82"/>
      <c r="K170" s="128" t="s">
        <v>65</v>
      </c>
      <c r="L170" s="80">
        <v>500000000</v>
      </c>
      <c r="M170" s="80">
        <v>0</v>
      </c>
      <c r="N170" s="81">
        <v>6</v>
      </c>
      <c r="O170" s="82"/>
      <c r="P170" s="129"/>
    </row>
    <row r="171" spans="1:17">
      <c r="A171" s="126" t="s">
        <v>329</v>
      </c>
      <c r="B171" s="127" t="s">
        <v>252</v>
      </c>
      <c r="C171" s="153">
        <v>44545</v>
      </c>
      <c r="D171" s="153">
        <v>44909</v>
      </c>
      <c r="E171" s="153"/>
      <c r="F171" s="128" t="s">
        <v>65</v>
      </c>
      <c r="G171" s="80">
        <v>25000000</v>
      </c>
      <c r="H171" s="80">
        <v>0</v>
      </c>
      <c r="I171" s="81">
        <v>6</v>
      </c>
      <c r="J171" s="82"/>
      <c r="K171" s="128" t="s">
        <v>65</v>
      </c>
      <c r="L171" s="80">
        <v>500000000</v>
      </c>
      <c r="M171" s="80">
        <v>0</v>
      </c>
      <c r="N171" s="81">
        <v>6</v>
      </c>
      <c r="O171" s="82"/>
      <c r="P171" s="129"/>
    </row>
    <row r="172" spans="1:17">
      <c r="A172" s="126" t="s">
        <v>329</v>
      </c>
      <c r="B172" s="127" t="s">
        <v>257</v>
      </c>
      <c r="C172" s="153">
        <v>43816</v>
      </c>
      <c r="D172" s="153">
        <v>44181</v>
      </c>
      <c r="E172" s="153"/>
      <c r="F172" s="128" t="s">
        <v>65</v>
      </c>
      <c r="G172" s="80">
        <v>75000000</v>
      </c>
      <c r="H172" s="80">
        <v>0</v>
      </c>
      <c r="I172" s="81">
        <v>10</v>
      </c>
      <c r="J172" s="82"/>
      <c r="K172" s="128" t="s">
        <v>65</v>
      </c>
      <c r="L172" s="80">
        <v>1000000000</v>
      </c>
      <c r="M172" s="80">
        <v>0</v>
      </c>
      <c r="N172" s="81">
        <v>10</v>
      </c>
      <c r="O172" s="82"/>
      <c r="P172" s="129"/>
    </row>
    <row r="173" spans="1:17">
      <c r="A173" s="126" t="s">
        <v>329</v>
      </c>
      <c r="B173" s="127" t="s">
        <v>257</v>
      </c>
      <c r="C173" s="153">
        <v>44182</v>
      </c>
      <c r="D173" s="153">
        <v>44546</v>
      </c>
      <c r="E173" s="153"/>
      <c r="F173" s="128" t="s">
        <v>65</v>
      </c>
      <c r="G173" s="80">
        <v>75000000</v>
      </c>
      <c r="H173" s="80">
        <v>0</v>
      </c>
      <c r="I173" s="81">
        <v>10</v>
      </c>
      <c r="J173" s="82"/>
      <c r="K173" s="128" t="s">
        <v>65</v>
      </c>
      <c r="L173" s="80">
        <v>1000000000</v>
      </c>
      <c r="M173" s="80">
        <v>0</v>
      </c>
      <c r="N173" s="81">
        <v>10</v>
      </c>
      <c r="O173" s="82"/>
      <c r="P173" s="129"/>
    </row>
    <row r="174" spans="1:17">
      <c r="A174" s="126" t="s">
        <v>329</v>
      </c>
      <c r="B174" s="127" t="s">
        <v>257</v>
      </c>
      <c r="C174" s="153">
        <v>44547</v>
      </c>
      <c r="D174" s="153">
        <v>44911</v>
      </c>
      <c r="E174" s="153"/>
      <c r="F174" s="128" t="s">
        <v>65</v>
      </c>
      <c r="G174" s="80">
        <v>75000000</v>
      </c>
      <c r="H174" s="80">
        <v>0</v>
      </c>
      <c r="I174" s="81">
        <v>10</v>
      </c>
      <c r="J174" s="82"/>
      <c r="K174" s="128" t="s">
        <v>65</v>
      </c>
      <c r="L174" s="80">
        <v>1000000000</v>
      </c>
      <c r="M174" s="80">
        <v>0</v>
      </c>
      <c r="N174" s="81">
        <v>10</v>
      </c>
      <c r="O174" s="82"/>
      <c r="P174" s="129"/>
      <c r="Q174" s="161">
        <v>10</v>
      </c>
    </row>
    <row r="175" spans="1:17">
      <c r="A175" s="126" t="s">
        <v>330</v>
      </c>
      <c r="B175" s="127" t="s">
        <v>211</v>
      </c>
      <c r="C175" s="153"/>
      <c r="D175" s="153"/>
      <c r="E175" s="153"/>
      <c r="F175" s="128"/>
      <c r="G175" s="80"/>
      <c r="H175" s="80"/>
      <c r="I175" s="81"/>
      <c r="J175" s="82"/>
      <c r="K175" s="128"/>
      <c r="L175" s="80"/>
      <c r="M175" s="80"/>
      <c r="N175" s="81"/>
      <c r="O175" s="82"/>
      <c r="P175" s="129"/>
    </row>
    <row r="176" spans="1:17">
      <c r="A176" s="126" t="s">
        <v>330</v>
      </c>
      <c r="B176" s="127" t="s">
        <v>211</v>
      </c>
      <c r="C176" s="153"/>
      <c r="D176" s="153"/>
      <c r="E176" s="153"/>
      <c r="F176" s="128"/>
      <c r="G176" s="80"/>
      <c r="H176" s="80"/>
      <c r="I176" s="81"/>
      <c r="J176" s="82"/>
      <c r="K176" s="128"/>
      <c r="L176" s="80"/>
      <c r="M176" s="80"/>
      <c r="N176" s="81"/>
      <c r="O176" s="82"/>
      <c r="P176" s="129"/>
    </row>
    <row r="177" spans="1:16">
      <c r="A177" s="126" t="s">
        <v>330</v>
      </c>
      <c r="B177" s="127" t="s">
        <v>211</v>
      </c>
      <c r="C177" s="153"/>
      <c r="D177" s="153"/>
      <c r="E177" s="153"/>
      <c r="F177" s="128"/>
      <c r="G177" s="80"/>
      <c r="H177" s="80"/>
      <c r="I177" s="81"/>
      <c r="J177" s="82"/>
      <c r="K177" s="128"/>
      <c r="L177" s="80"/>
      <c r="M177" s="80"/>
      <c r="N177" s="81"/>
      <c r="O177" s="82"/>
      <c r="P177" s="129"/>
    </row>
    <row r="178" spans="1:16">
      <c r="A178" s="126" t="s">
        <v>330</v>
      </c>
      <c r="B178" s="127" t="s">
        <v>199</v>
      </c>
      <c r="C178" s="153">
        <v>43770</v>
      </c>
      <c r="D178" s="153">
        <v>44135</v>
      </c>
      <c r="E178" s="153"/>
      <c r="F178" s="128"/>
      <c r="G178" s="80"/>
      <c r="H178" s="80"/>
      <c r="I178" s="81"/>
      <c r="J178" s="82"/>
      <c r="K178" s="128" t="s">
        <v>65</v>
      </c>
      <c r="L178" s="80">
        <v>1650000000</v>
      </c>
      <c r="M178" s="80"/>
      <c r="N178" s="81">
        <v>7.5</v>
      </c>
      <c r="O178" s="82"/>
      <c r="P178" s="129"/>
    </row>
    <row r="179" spans="1:16">
      <c r="A179" s="126" t="s">
        <v>330</v>
      </c>
      <c r="B179" s="127" t="s">
        <v>199</v>
      </c>
      <c r="C179" s="153">
        <v>44136</v>
      </c>
      <c r="D179" s="153">
        <v>44500</v>
      </c>
      <c r="E179" s="153"/>
      <c r="F179" s="128"/>
      <c r="G179" s="80"/>
      <c r="H179" s="80"/>
      <c r="I179" s="81"/>
      <c r="J179" s="82"/>
      <c r="K179" s="128" t="s">
        <v>65</v>
      </c>
      <c r="L179" s="80">
        <v>1650000000</v>
      </c>
      <c r="M179" s="80"/>
      <c r="N179" s="81">
        <v>7.5</v>
      </c>
      <c r="O179" s="82"/>
      <c r="P179" s="129"/>
    </row>
    <row r="180" spans="1:16">
      <c r="A180" s="126" t="s">
        <v>330</v>
      </c>
      <c r="B180" s="127" t="s">
        <v>199</v>
      </c>
      <c r="C180" s="153">
        <v>44501</v>
      </c>
      <c r="D180" s="153">
        <v>44865</v>
      </c>
      <c r="E180" s="153"/>
      <c r="F180" s="128"/>
      <c r="G180" s="80"/>
      <c r="H180" s="80"/>
      <c r="I180" s="81"/>
      <c r="J180" s="82"/>
      <c r="K180" s="128" t="s">
        <v>65</v>
      </c>
      <c r="L180" s="80">
        <v>1650000000</v>
      </c>
      <c r="M180" s="80"/>
      <c r="N180" s="81">
        <v>7.5</v>
      </c>
      <c r="O180" s="82"/>
      <c r="P180" s="129"/>
    </row>
    <row r="181" spans="1:16">
      <c r="A181" s="126" t="s">
        <v>330</v>
      </c>
      <c r="B181" s="127" t="s">
        <v>200</v>
      </c>
      <c r="C181" s="153">
        <v>43600</v>
      </c>
      <c r="D181" s="153">
        <v>43965</v>
      </c>
      <c r="E181" s="153"/>
      <c r="F181" s="128"/>
      <c r="G181" s="80"/>
      <c r="H181" s="80"/>
      <c r="I181" s="81"/>
      <c r="J181" s="82"/>
      <c r="K181" s="128" t="s">
        <v>65</v>
      </c>
      <c r="L181" s="80">
        <v>1750000000</v>
      </c>
      <c r="M181" s="80"/>
      <c r="N181" s="81">
        <v>25</v>
      </c>
      <c r="O181" s="82"/>
      <c r="P181" s="129"/>
    </row>
    <row r="182" spans="1:16">
      <c r="A182" s="126" t="s">
        <v>330</v>
      </c>
      <c r="B182" s="127" t="s">
        <v>200</v>
      </c>
      <c r="C182" s="153">
        <v>43966</v>
      </c>
      <c r="D182" s="153">
        <v>44330</v>
      </c>
      <c r="E182" s="153"/>
      <c r="F182" s="128"/>
      <c r="G182" s="80"/>
      <c r="H182" s="80"/>
      <c r="I182" s="81"/>
      <c r="J182" s="82"/>
      <c r="K182" s="128" t="s">
        <v>65</v>
      </c>
      <c r="L182" s="80">
        <v>1750000000</v>
      </c>
      <c r="M182" s="80"/>
      <c r="N182" s="81">
        <v>20</v>
      </c>
      <c r="O182" s="82"/>
      <c r="P182" s="129"/>
    </row>
    <row r="183" spans="1:16">
      <c r="A183" s="126" t="s">
        <v>330</v>
      </c>
      <c r="B183" s="127" t="s">
        <v>200</v>
      </c>
      <c r="C183" s="153">
        <v>44331</v>
      </c>
      <c r="D183" s="153">
        <v>44695</v>
      </c>
      <c r="E183" s="153"/>
      <c r="F183" s="128"/>
      <c r="G183" s="80"/>
      <c r="H183" s="80"/>
      <c r="I183" s="81"/>
      <c r="J183" s="82"/>
      <c r="K183" s="128" t="s">
        <v>65</v>
      </c>
      <c r="L183" s="80">
        <v>1750000000</v>
      </c>
      <c r="M183" s="80"/>
      <c r="N183" s="81">
        <v>15</v>
      </c>
      <c r="O183" s="82"/>
      <c r="P183" s="129"/>
    </row>
    <row r="184" spans="1:16">
      <c r="A184" s="126" t="s">
        <v>330</v>
      </c>
      <c r="B184" s="127" t="s">
        <v>201</v>
      </c>
      <c r="C184" s="153"/>
      <c r="D184" s="153"/>
      <c r="E184" s="153"/>
      <c r="F184" s="128"/>
      <c r="G184" s="80"/>
      <c r="H184" s="80"/>
      <c r="I184" s="81"/>
      <c r="J184" s="82"/>
      <c r="K184" s="128"/>
      <c r="L184" s="80"/>
      <c r="M184" s="80"/>
      <c r="N184" s="81"/>
      <c r="O184" s="82"/>
      <c r="P184" s="129"/>
    </row>
    <row r="185" spans="1:16">
      <c r="A185" s="126" t="s">
        <v>330</v>
      </c>
      <c r="B185" s="127" t="s">
        <v>201</v>
      </c>
      <c r="C185" s="153"/>
      <c r="D185" s="153"/>
      <c r="E185" s="153"/>
      <c r="F185" s="128"/>
      <c r="G185" s="80"/>
      <c r="H185" s="80"/>
      <c r="I185" s="81"/>
      <c r="J185" s="82"/>
      <c r="K185" s="128"/>
      <c r="L185" s="80"/>
      <c r="M185" s="80"/>
      <c r="N185" s="81"/>
      <c r="O185" s="82"/>
      <c r="P185" s="129"/>
    </row>
    <row r="186" spans="1:16">
      <c r="A186" s="126" t="s">
        <v>330</v>
      </c>
      <c r="B186" s="127" t="s">
        <v>201</v>
      </c>
      <c r="C186" s="153"/>
      <c r="D186" s="153"/>
      <c r="E186" s="153"/>
      <c r="F186" s="128"/>
      <c r="G186" s="80"/>
      <c r="H186" s="80"/>
      <c r="I186" s="81"/>
      <c r="J186" s="82"/>
      <c r="K186" s="128"/>
      <c r="L186" s="80"/>
      <c r="M186" s="80"/>
      <c r="N186" s="81"/>
      <c r="O186" s="82"/>
      <c r="P186" s="129"/>
    </row>
    <row r="187" spans="1:16">
      <c r="A187" s="126" t="s">
        <v>330</v>
      </c>
      <c r="B187" s="127" t="s">
        <v>202</v>
      </c>
      <c r="C187" s="153">
        <v>43831</v>
      </c>
      <c r="D187" s="153">
        <v>44196</v>
      </c>
      <c r="E187" s="153"/>
      <c r="F187" s="128"/>
      <c r="G187" s="80"/>
      <c r="H187" s="80"/>
      <c r="I187" s="81"/>
      <c r="J187" s="82"/>
      <c r="K187" s="128" t="s">
        <v>65</v>
      </c>
      <c r="L187" s="80">
        <v>2000000000</v>
      </c>
      <c r="M187" s="80" t="s">
        <v>34</v>
      </c>
      <c r="N187" s="81">
        <v>4</v>
      </c>
      <c r="O187" s="82"/>
      <c r="P187" s="129"/>
    </row>
    <row r="188" spans="1:16">
      <c r="A188" s="126" t="s">
        <v>330</v>
      </c>
      <c r="B188" s="127" t="s">
        <v>202</v>
      </c>
      <c r="C188" s="153">
        <v>44197</v>
      </c>
      <c r="D188" s="153">
        <v>44561</v>
      </c>
      <c r="E188" s="153"/>
      <c r="F188" s="128"/>
      <c r="G188" s="80"/>
      <c r="H188" s="80"/>
      <c r="I188" s="81"/>
      <c r="J188" s="82"/>
      <c r="K188" s="128" t="s">
        <v>65</v>
      </c>
      <c r="L188" s="80">
        <v>2000000000</v>
      </c>
      <c r="M188" s="80" t="s">
        <v>34</v>
      </c>
      <c r="N188" s="81">
        <v>15</v>
      </c>
      <c r="O188" s="82"/>
      <c r="P188" s="129"/>
    </row>
    <row r="189" spans="1:16">
      <c r="A189" s="126" t="s">
        <v>330</v>
      </c>
      <c r="B189" s="127" t="s">
        <v>202</v>
      </c>
      <c r="C189" s="153">
        <v>44562</v>
      </c>
      <c r="D189" s="153">
        <v>44926</v>
      </c>
      <c r="E189" s="153"/>
      <c r="F189" s="128"/>
      <c r="G189" s="80"/>
      <c r="H189" s="80"/>
      <c r="I189" s="81"/>
      <c r="J189" s="82"/>
      <c r="K189" s="128" t="s">
        <v>65</v>
      </c>
      <c r="L189" s="80">
        <v>1750000000</v>
      </c>
      <c r="M189" s="80" t="s">
        <v>34</v>
      </c>
      <c r="N189" s="81">
        <v>8.4</v>
      </c>
      <c r="O189" s="82"/>
      <c r="P189" s="129"/>
    </row>
    <row r="190" spans="1:16">
      <c r="A190" s="126" t="s">
        <v>330</v>
      </c>
      <c r="B190" s="127" t="s">
        <v>212</v>
      </c>
      <c r="C190" s="153"/>
      <c r="D190" s="153"/>
      <c r="E190" s="153"/>
      <c r="F190" s="128"/>
      <c r="G190" s="80"/>
      <c r="H190" s="80"/>
      <c r="I190" s="81"/>
      <c r="J190" s="82"/>
      <c r="K190" s="128"/>
      <c r="L190" s="80"/>
      <c r="M190" s="80"/>
      <c r="N190" s="81"/>
      <c r="O190" s="82"/>
      <c r="P190" s="129"/>
    </row>
    <row r="191" spans="1:16">
      <c r="A191" s="126" t="s">
        <v>330</v>
      </c>
      <c r="B191" s="127" t="s">
        <v>212</v>
      </c>
      <c r="C191" s="153"/>
      <c r="D191" s="153"/>
      <c r="E191" s="153"/>
      <c r="F191" s="128"/>
      <c r="G191" s="80"/>
      <c r="H191" s="80"/>
      <c r="I191" s="81"/>
      <c r="J191" s="82"/>
      <c r="K191" s="128"/>
      <c r="L191" s="80"/>
      <c r="M191" s="80"/>
      <c r="N191" s="81"/>
      <c r="O191" s="82"/>
      <c r="P191" s="129"/>
    </row>
    <row r="192" spans="1:16">
      <c r="A192" s="126" t="s">
        <v>330</v>
      </c>
      <c r="B192" s="127" t="s">
        <v>212</v>
      </c>
      <c r="C192" s="153"/>
      <c r="D192" s="153"/>
      <c r="E192" s="153"/>
      <c r="F192" s="128"/>
      <c r="G192" s="80"/>
      <c r="H192" s="80"/>
      <c r="I192" s="81"/>
      <c r="J192" s="82"/>
      <c r="K192" s="128"/>
      <c r="L192" s="80"/>
      <c r="M192" s="80"/>
      <c r="N192" s="81"/>
      <c r="O192" s="82"/>
      <c r="P192" s="129"/>
    </row>
    <row r="193" spans="1:16">
      <c r="A193" s="126" t="s">
        <v>330</v>
      </c>
      <c r="B193" s="127" t="s">
        <v>203</v>
      </c>
      <c r="C193" s="153"/>
      <c r="D193" s="153"/>
      <c r="E193" s="153"/>
      <c r="F193" s="128"/>
      <c r="G193" s="80"/>
      <c r="H193" s="80"/>
      <c r="I193" s="81"/>
      <c r="J193" s="82"/>
      <c r="K193" s="128"/>
      <c r="L193" s="80"/>
      <c r="M193" s="80"/>
      <c r="N193" s="81"/>
      <c r="O193" s="82"/>
      <c r="P193" s="129"/>
    </row>
    <row r="194" spans="1:16">
      <c r="A194" s="126" t="s">
        <v>330</v>
      </c>
      <c r="B194" s="127" t="s">
        <v>203</v>
      </c>
      <c r="C194" s="153"/>
      <c r="D194" s="153"/>
      <c r="E194" s="153"/>
      <c r="F194" s="128"/>
      <c r="G194" s="80"/>
      <c r="H194" s="80"/>
      <c r="I194" s="81"/>
      <c r="J194" s="82"/>
      <c r="K194" s="128"/>
      <c r="L194" s="80"/>
      <c r="M194" s="80"/>
      <c r="N194" s="81"/>
      <c r="O194" s="82"/>
      <c r="P194" s="129"/>
    </row>
    <row r="195" spans="1:16">
      <c r="A195" s="126" t="s">
        <v>330</v>
      </c>
      <c r="B195" s="127" t="s">
        <v>203</v>
      </c>
      <c r="C195" s="153"/>
      <c r="D195" s="153"/>
      <c r="E195" s="153"/>
      <c r="F195" s="128"/>
      <c r="G195" s="80"/>
      <c r="H195" s="80"/>
      <c r="I195" s="81"/>
      <c r="J195" s="82"/>
      <c r="K195" s="128"/>
      <c r="L195" s="80"/>
      <c r="M195" s="80"/>
      <c r="N195" s="81"/>
      <c r="O195" s="82"/>
      <c r="P195" s="129"/>
    </row>
    <row r="196" spans="1:16">
      <c r="A196" s="126" t="s">
        <v>330</v>
      </c>
      <c r="B196" s="127" t="s">
        <v>213</v>
      </c>
      <c r="C196" s="153"/>
      <c r="D196" s="153"/>
      <c r="E196" s="153"/>
      <c r="F196" s="128"/>
      <c r="G196" s="80"/>
      <c r="H196" s="80"/>
      <c r="I196" s="81"/>
      <c r="J196" s="82"/>
      <c r="K196" s="128"/>
      <c r="L196" s="80"/>
      <c r="M196" s="80"/>
      <c r="N196" s="81"/>
      <c r="O196" s="82"/>
      <c r="P196" s="129"/>
    </row>
    <row r="197" spans="1:16">
      <c r="A197" s="126" t="s">
        <v>330</v>
      </c>
      <c r="B197" s="127" t="s">
        <v>213</v>
      </c>
      <c r="C197" s="125"/>
      <c r="D197" s="125"/>
      <c r="E197" s="125"/>
      <c r="F197" s="128"/>
      <c r="G197" s="80"/>
      <c r="H197" s="80"/>
      <c r="I197" s="81"/>
      <c r="J197" s="82"/>
      <c r="K197" s="128"/>
      <c r="L197" s="80"/>
      <c r="M197" s="80"/>
      <c r="N197" s="81"/>
      <c r="O197" s="82"/>
      <c r="P197" s="129"/>
    </row>
    <row r="198" spans="1:16">
      <c r="A198" s="126" t="s">
        <v>330</v>
      </c>
      <c r="B198" s="127" t="s">
        <v>213</v>
      </c>
      <c r="C198" s="183"/>
      <c r="D198" s="183"/>
      <c r="E198" s="183"/>
      <c r="F198" s="184"/>
      <c r="G198" s="185"/>
      <c r="H198" s="185"/>
      <c r="I198" s="186"/>
      <c r="J198" s="187"/>
      <c r="K198" s="184"/>
      <c r="L198" s="185"/>
      <c r="M198" s="185"/>
      <c r="N198" s="186"/>
      <c r="O198" s="187"/>
      <c r="P198" s="188"/>
    </row>
    <row r="199" spans="1:16">
      <c r="A199" s="126" t="s">
        <v>330</v>
      </c>
      <c r="B199" s="127" t="s">
        <v>204</v>
      </c>
      <c r="C199" s="171">
        <v>43555</v>
      </c>
      <c r="D199" s="171">
        <v>43920</v>
      </c>
      <c r="E199" s="171"/>
      <c r="F199" s="172"/>
      <c r="G199" s="173"/>
      <c r="H199" s="173"/>
      <c r="I199" s="174"/>
      <c r="J199" s="175"/>
      <c r="K199" s="172" t="s">
        <v>65</v>
      </c>
      <c r="L199" s="173">
        <v>1027500000</v>
      </c>
      <c r="M199" s="173" t="s">
        <v>34</v>
      </c>
      <c r="N199" s="174">
        <v>9.4</v>
      </c>
      <c r="O199" s="175"/>
      <c r="P199" s="176"/>
    </row>
    <row r="200" spans="1:16">
      <c r="A200" s="126" t="s">
        <v>330</v>
      </c>
      <c r="B200" s="127" t="s">
        <v>204</v>
      </c>
      <c r="C200" s="125">
        <v>43921</v>
      </c>
      <c r="D200" s="125">
        <v>44285</v>
      </c>
      <c r="E200" s="125"/>
      <c r="F200" s="128"/>
      <c r="G200" s="80"/>
      <c r="H200" s="80"/>
      <c r="I200" s="81"/>
      <c r="J200" s="82"/>
      <c r="K200" s="128" t="s">
        <v>65</v>
      </c>
      <c r="L200" s="80">
        <v>1027500000</v>
      </c>
      <c r="M200" s="80" t="s">
        <v>34</v>
      </c>
      <c r="N200" s="81">
        <v>14.5</v>
      </c>
      <c r="O200" s="82"/>
      <c r="P200" s="129"/>
    </row>
    <row r="201" spans="1:16">
      <c r="A201" s="126" t="s">
        <v>330</v>
      </c>
      <c r="B201" s="127" t="s">
        <v>204</v>
      </c>
      <c r="C201" s="125">
        <v>44286</v>
      </c>
      <c r="D201" s="125">
        <v>44650</v>
      </c>
      <c r="E201" s="125"/>
      <c r="F201" s="128"/>
      <c r="G201" s="80"/>
      <c r="H201" s="80"/>
      <c r="I201" s="81"/>
      <c r="J201" s="82"/>
      <c r="K201" s="128" t="s">
        <v>65</v>
      </c>
      <c r="L201" s="80">
        <v>1027500000</v>
      </c>
      <c r="M201" s="80" t="s">
        <v>34</v>
      </c>
      <c r="N201" s="81">
        <v>15</v>
      </c>
      <c r="O201" s="82"/>
      <c r="P201" s="129"/>
    </row>
    <row r="202" spans="1:16">
      <c r="A202" s="126" t="s">
        <v>330</v>
      </c>
      <c r="B202" s="127" t="s">
        <v>205</v>
      </c>
      <c r="C202" s="125"/>
      <c r="D202" s="125"/>
      <c r="E202" s="125"/>
      <c r="F202" s="128"/>
      <c r="G202" s="80"/>
      <c r="H202" s="80"/>
      <c r="I202" s="81"/>
      <c r="J202" s="82"/>
      <c r="K202" s="128"/>
      <c r="L202" s="80"/>
      <c r="M202" s="80"/>
      <c r="N202" s="81"/>
      <c r="O202" s="82"/>
      <c r="P202" s="129"/>
    </row>
    <row r="203" spans="1:16">
      <c r="A203" s="126" t="s">
        <v>330</v>
      </c>
      <c r="B203" s="127" t="s">
        <v>205</v>
      </c>
      <c r="C203" s="125"/>
      <c r="D203" s="125"/>
      <c r="E203" s="125"/>
      <c r="F203" s="128"/>
      <c r="G203" s="80"/>
      <c r="H203" s="80"/>
      <c r="I203" s="81"/>
      <c r="J203" s="82"/>
      <c r="K203" s="128"/>
      <c r="L203" s="80"/>
      <c r="M203" s="80"/>
      <c r="N203" s="81"/>
      <c r="O203" s="82"/>
      <c r="P203" s="129"/>
    </row>
    <row r="204" spans="1:16">
      <c r="A204" s="126" t="s">
        <v>330</v>
      </c>
      <c r="B204" s="127" t="s">
        <v>205</v>
      </c>
      <c r="C204" s="125"/>
      <c r="D204" s="125"/>
      <c r="E204" s="125"/>
      <c r="F204" s="128"/>
      <c r="G204" s="80"/>
      <c r="H204" s="80"/>
      <c r="I204" s="81"/>
      <c r="J204" s="82"/>
      <c r="K204" s="128"/>
      <c r="L204" s="80"/>
      <c r="M204" s="80"/>
      <c r="N204" s="81"/>
      <c r="O204" s="82"/>
      <c r="P204" s="129"/>
    </row>
    <row r="205" spans="1:16">
      <c r="A205" s="126" t="s">
        <v>330</v>
      </c>
      <c r="B205" s="127" t="s">
        <v>206</v>
      </c>
      <c r="C205" s="125">
        <v>43922</v>
      </c>
      <c r="D205" s="125">
        <v>44196</v>
      </c>
      <c r="E205" s="125"/>
      <c r="F205" s="128"/>
      <c r="G205" s="80"/>
      <c r="H205" s="80"/>
      <c r="I205" s="81"/>
      <c r="J205" s="82"/>
      <c r="K205" s="128" t="s">
        <v>65</v>
      </c>
      <c r="L205" s="80">
        <v>1950000000</v>
      </c>
      <c r="M205" s="80" t="s">
        <v>34</v>
      </c>
      <c r="N205" s="81">
        <v>12.5</v>
      </c>
      <c r="O205" s="82"/>
      <c r="P205" s="129"/>
    </row>
    <row r="206" spans="1:16">
      <c r="A206" s="126" t="s">
        <v>330</v>
      </c>
      <c r="B206" s="127" t="s">
        <v>206</v>
      </c>
      <c r="C206" s="125">
        <v>44197</v>
      </c>
      <c r="D206" s="125">
        <v>44561</v>
      </c>
      <c r="E206" s="125"/>
      <c r="F206" s="128"/>
      <c r="G206" s="80"/>
      <c r="H206" s="80"/>
      <c r="I206" s="81"/>
      <c r="J206" s="82"/>
      <c r="K206" s="128" t="s">
        <v>65</v>
      </c>
      <c r="L206" s="80">
        <v>1950000000</v>
      </c>
      <c r="M206" s="80" t="s">
        <v>34</v>
      </c>
      <c r="N206" s="81">
        <v>12.5</v>
      </c>
      <c r="O206" s="82"/>
      <c r="P206" s="129"/>
    </row>
    <row r="207" spans="1:16">
      <c r="A207" s="126" t="s">
        <v>330</v>
      </c>
      <c r="B207" s="127" t="s">
        <v>206</v>
      </c>
      <c r="C207" s="125">
        <v>44562</v>
      </c>
      <c r="D207" s="125">
        <v>44926</v>
      </c>
      <c r="E207" s="125"/>
      <c r="F207" s="128"/>
      <c r="G207" s="80"/>
      <c r="H207" s="80"/>
      <c r="I207" s="81"/>
      <c r="J207" s="82"/>
      <c r="K207" s="128" t="s">
        <v>65</v>
      </c>
      <c r="L207" s="80">
        <v>1750000000</v>
      </c>
      <c r="M207" s="80" t="s">
        <v>34</v>
      </c>
      <c r="N207" s="81">
        <v>12.5</v>
      </c>
      <c r="O207" s="82"/>
      <c r="P207" s="129"/>
    </row>
    <row r="208" spans="1:16">
      <c r="A208" s="126" t="s">
        <v>330</v>
      </c>
      <c r="B208" s="127" t="s">
        <v>207</v>
      </c>
      <c r="C208" s="125">
        <v>43586</v>
      </c>
      <c r="D208" s="125">
        <v>44135</v>
      </c>
      <c r="E208" s="125"/>
      <c r="F208" s="128"/>
      <c r="G208" s="80"/>
      <c r="H208" s="80"/>
      <c r="I208" s="81"/>
      <c r="J208" s="82"/>
      <c r="K208" s="128" t="s">
        <v>65</v>
      </c>
      <c r="L208" s="80">
        <v>1950000000</v>
      </c>
      <c r="M208" s="80" t="s">
        <v>34</v>
      </c>
      <c r="N208" s="81">
        <v>25</v>
      </c>
      <c r="O208" s="82"/>
      <c r="P208" s="129"/>
    </row>
    <row r="209" spans="1:16">
      <c r="A209" s="126" t="s">
        <v>330</v>
      </c>
      <c r="B209" s="127" t="s">
        <v>207</v>
      </c>
      <c r="C209" s="125">
        <v>44136</v>
      </c>
      <c r="D209" s="125">
        <v>44500</v>
      </c>
      <c r="E209" s="125"/>
      <c r="F209" s="128"/>
      <c r="G209" s="80"/>
      <c r="H209" s="80"/>
      <c r="I209" s="81"/>
      <c r="J209" s="82"/>
      <c r="K209" s="128" t="s">
        <v>65</v>
      </c>
      <c r="L209" s="80">
        <v>1950000000</v>
      </c>
      <c r="M209" s="80" t="s">
        <v>34</v>
      </c>
      <c r="N209" s="81">
        <v>15</v>
      </c>
      <c r="O209" s="82"/>
      <c r="P209" s="129"/>
    </row>
    <row r="210" spans="1:16">
      <c r="A210" s="126" t="s">
        <v>330</v>
      </c>
      <c r="B210" s="127" t="s">
        <v>207</v>
      </c>
      <c r="C210" s="125">
        <v>44501</v>
      </c>
      <c r="D210" s="125">
        <v>44865</v>
      </c>
      <c r="E210" s="125"/>
      <c r="F210" s="128"/>
      <c r="G210" s="80"/>
      <c r="H210" s="80"/>
      <c r="I210" s="81"/>
      <c r="J210" s="82"/>
      <c r="K210" s="128" t="s">
        <v>65</v>
      </c>
      <c r="L210" s="80">
        <v>1250000000</v>
      </c>
      <c r="M210" s="80" t="s">
        <v>34</v>
      </c>
      <c r="N210" s="81">
        <v>15</v>
      </c>
      <c r="O210" s="82"/>
      <c r="P210" s="129"/>
    </row>
    <row r="211" spans="1:16">
      <c r="A211" s="126" t="s">
        <v>330</v>
      </c>
      <c r="B211" s="127" t="s">
        <v>214</v>
      </c>
      <c r="C211" s="125">
        <v>43739</v>
      </c>
      <c r="D211" s="125">
        <v>44104</v>
      </c>
      <c r="E211" s="125"/>
      <c r="F211" s="128"/>
      <c r="G211" s="80"/>
      <c r="H211" s="80"/>
      <c r="I211" s="81"/>
      <c r="J211" s="82"/>
      <c r="K211" s="128" t="s">
        <v>65</v>
      </c>
      <c r="L211" s="80">
        <v>1500000000</v>
      </c>
      <c r="M211" s="80"/>
      <c r="N211" s="81">
        <v>11.56</v>
      </c>
      <c r="O211" s="82"/>
      <c r="P211" s="129"/>
    </row>
    <row r="212" spans="1:16">
      <c r="A212" s="126" t="s">
        <v>330</v>
      </c>
      <c r="B212" s="127" t="s">
        <v>214</v>
      </c>
      <c r="C212" s="125">
        <v>43739</v>
      </c>
      <c r="D212" s="125">
        <v>44104</v>
      </c>
      <c r="E212" s="125"/>
      <c r="F212" s="128"/>
      <c r="G212" s="80"/>
      <c r="H212" s="80"/>
      <c r="I212" s="81"/>
      <c r="J212" s="82"/>
      <c r="K212" s="128" t="s">
        <v>65</v>
      </c>
      <c r="L212" s="80">
        <v>1500000000</v>
      </c>
      <c r="M212" s="80">
        <v>1500000000</v>
      </c>
      <c r="N212" s="81">
        <v>15.25</v>
      </c>
      <c r="O212" s="82"/>
      <c r="P212" s="129"/>
    </row>
    <row r="213" spans="1:16">
      <c r="A213" s="126" t="s">
        <v>330</v>
      </c>
      <c r="B213" s="127" t="s">
        <v>214</v>
      </c>
      <c r="C213" s="125">
        <v>44105</v>
      </c>
      <c r="D213" s="125">
        <v>44469</v>
      </c>
      <c r="E213" s="125"/>
      <c r="F213" s="128"/>
      <c r="G213" s="80"/>
      <c r="H213" s="80"/>
      <c r="I213" s="81"/>
      <c r="J213" s="82"/>
      <c r="K213" s="128" t="s">
        <v>65</v>
      </c>
      <c r="L213" s="80">
        <v>1500000000</v>
      </c>
      <c r="M213" s="80"/>
      <c r="N213" s="81">
        <v>12.05</v>
      </c>
      <c r="O213" s="82"/>
      <c r="P213" s="129"/>
    </row>
    <row r="214" spans="1:16">
      <c r="A214" s="126" t="s">
        <v>330</v>
      </c>
      <c r="B214" s="127" t="s">
        <v>214</v>
      </c>
      <c r="C214" s="125">
        <v>44105</v>
      </c>
      <c r="D214" s="125">
        <v>44469</v>
      </c>
      <c r="E214" s="125"/>
      <c r="F214" s="128"/>
      <c r="G214" s="80"/>
      <c r="H214" s="80"/>
      <c r="I214" s="81"/>
      <c r="J214" s="82"/>
      <c r="K214" s="128" t="s">
        <v>65</v>
      </c>
      <c r="L214" s="80">
        <v>1500000000</v>
      </c>
      <c r="M214" s="80">
        <v>1500000000</v>
      </c>
      <c r="N214" s="81">
        <v>15.25</v>
      </c>
      <c r="O214" s="82"/>
      <c r="P214" s="129"/>
    </row>
    <row r="215" spans="1:16">
      <c r="A215" s="126" t="s">
        <v>330</v>
      </c>
      <c r="B215" s="127" t="s">
        <v>214</v>
      </c>
      <c r="C215" s="125">
        <v>44470</v>
      </c>
      <c r="D215" s="125">
        <v>44834</v>
      </c>
      <c r="E215" s="125"/>
      <c r="F215" s="128"/>
      <c r="G215" s="80"/>
      <c r="H215" s="80"/>
      <c r="I215" s="81"/>
      <c r="J215" s="82"/>
      <c r="K215" s="128" t="s">
        <v>65</v>
      </c>
      <c r="L215" s="80">
        <v>1500000000</v>
      </c>
      <c r="M215" s="80"/>
      <c r="N215" s="81">
        <v>12.05</v>
      </c>
      <c r="O215" s="82"/>
      <c r="P215" s="129"/>
    </row>
    <row r="216" spans="1:16">
      <c r="A216" s="126" t="s">
        <v>330</v>
      </c>
      <c r="B216" s="127" t="s">
        <v>214</v>
      </c>
      <c r="C216" s="125">
        <v>44470</v>
      </c>
      <c r="D216" s="125">
        <v>44834</v>
      </c>
      <c r="E216" s="125"/>
      <c r="F216" s="128"/>
      <c r="G216" s="80"/>
      <c r="H216" s="80"/>
      <c r="I216" s="81"/>
      <c r="J216" s="82"/>
      <c r="K216" s="128" t="s">
        <v>65</v>
      </c>
      <c r="L216" s="80">
        <v>1500000000</v>
      </c>
      <c r="M216" s="80">
        <v>1500000000</v>
      </c>
      <c r="N216" s="81">
        <v>15.25</v>
      </c>
      <c r="O216" s="82"/>
      <c r="P216" s="129"/>
    </row>
    <row r="217" spans="1:16">
      <c r="A217" s="126" t="s">
        <v>330</v>
      </c>
      <c r="B217" s="127" t="s">
        <v>215</v>
      </c>
      <c r="C217" s="125">
        <v>44150</v>
      </c>
      <c r="D217" s="125">
        <v>44514</v>
      </c>
      <c r="E217" s="125"/>
      <c r="F217" s="128"/>
      <c r="G217" s="80"/>
      <c r="H217" s="80"/>
      <c r="I217" s="81"/>
      <c r="J217" s="82"/>
      <c r="K217" s="128" t="s">
        <v>65</v>
      </c>
      <c r="L217" s="80">
        <v>1500000000</v>
      </c>
      <c r="M217" s="80"/>
      <c r="N217" s="81">
        <v>7</v>
      </c>
      <c r="O217" s="82"/>
      <c r="P217" s="129"/>
    </row>
    <row r="218" spans="1:16">
      <c r="A218" s="126" t="s">
        <v>330</v>
      </c>
      <c r="B218" s="127" t="s">
        <v>215</v>
      </c>
      <c r="C218" s="125">
        <v>44150</v>
      </c>
      <c r="D218" s="125">
        <v>44514</v>
      </c>
      <c r="E218" s="125"/>
      <c r="F218" s="128"/>
      <c r="G218" s="80"/>
      <c r="H218" s="80"/>
      <c r="I218" s="81"/>
      <c r="J218" s="82"/>
      <c r="K218" s="128" t="s">
        <v>65</v>
      </c>
      <c r="L218" s="80">
        <v>1500000000</v>
      </c>
      <c r="M218" s="80">
        <v>1500000000</v>
      </c>
      <c r="N218" s="81">
        <v>7</v>
      </c>
      <c r="O218" s="82"/>
      <c r="P218" s="129"/>
    </row>
    <row r="219" spans="1:16">
      <c r="A219" s="126" t="s">
        <v>330</v>
      </c>
      <c r="B219" s="127" t="s">
        <v>215</v>
      </c>
      <c r="C219" s="125">
        <v>44150</v>
      </c>
      <c r="D219" s="125">
        <v>44514</v>
      </c>
      <c r="E219" s="125"/>
      <c r="F219" s="128"/>
      <c r="G219" s="80"/>
      <c r="H219" s="80"/>
      <c r="I219" s="81"/>
      <c r="J219" s="82"/>
      <c r="K219" s="128" t="s">
        <v>65</v>
      </c>
      <c r="L219" s="80">
        <v>1500000000</v>
      </c>
      <c r="M219" s="80">
        <v>3000000000</v>
      </c>
      <c r="N219" s="81">
        <v>7</v>
      </c>
      <c r="O219" s="82"/>
      <c r="P219" s="129"/>
    </row>
    <row r="220" spans="1:16">
      <c r="A220" s="126" t="s">
        <v>330</v>
      </c>
      <c r="B220" s="127" t="s">
        <v>215</v>
      </c>
      <c r="C220" s="125">
        <v>44515</v>
      </c>
      <c r="D220" s="125">
        <v>44879</v>
      </c>
      <c r="E220" s="125"/>
      <c r="F220" s="128"/>
      <c r="G220" s="80"/>
      <c r="H220" s="80"/>
      <c r="I220" s="81"/>
      <c r="J220" s="82"/>
      <c r="K220" s="128" t="s">
        <v>65</v>
      </c>
      <c r="L220" s="80">
        <v>1500000000</v>
      </c>
      <c r="M220" s="80"/>
      <c r="N220" s="81">
        <v>7</v>
      </c>
      <c r="O220" s="82"/>
      <c r="P220" s="129"/>
    </row>
    <row r="221" spans="1:16">
      <c r="A221" s="126" t="s">
        <v>330</v>
      </c>
      <c r="B221" s="127" t="s">
        <v>215</v>
      </c>
      <c r="C221" s="125">
        <v>44515</v>
      </c>
      <c r="D221" s="125">
        <v>44879</v>
      </c>
      <c r="E221" s="125"/>
      <c r="F221" s="128"/>
      <c r="G221" s="80"/>
      <c r="H221" s="80"/>
      <c r="I221" s="81"/>
      <c r="J221" s="82"/>
      <c r="K221" s="128" t="s">
        <v>65</v>
      </c>
      <c r="L221" s="80">
        <v>1500000000</v>
      </c>
      <c r="M221" s="80">
        <v>1500000000</v>
      </c>
      <c r="N221" s="81">
        <v>7</v>
      </c>
      <c r="O221" s="82"/>
      <c r="P221" s="129"/>
    </row>
    <row r="222" spans="1:16">
      <c r="A222" s="126" t="s">
        <v>330</v>
      </c>
      <c r="B222" s="127" t="s">
        <v>215</v>
      </c>
      <c r="C222" s="125">
        <v>44515</v>
      </c>
      <c r="D222" s="125">
        <v>44879</v>
      </c>
      <c r="E222" s="125"/>
      <c r="F222" s="128"/>
      <c r="G222" s="80"/>
      <c r="H222" s="80"/>
      <c r="I222" s="81"/>
      <c r="J222" s="82"/>
      <c r="K222" s="128" t="s">
        <v>65</v>
      </c>
      <c r="L222" s="80">
        <v>1500000000</v>
      </c>
      <c r="M222" s="80">
        <v>3000000000</v>
      </c>
      <c r="N222" s="81">
        <v>7</v>
      </c>
      <c r="O222" s="82"/>
      <c r="P222" s="129"/>
    </row>
    <row r="223" spans="1:16">
      <c r="A223" s="126" t="s">
        <v>330</v>
      </c>
      <c r="B223" s="127" t="s">
        <v>216</v>
      </c>
      <c r="C223" s="125"/>
      <c r="D223" s="125"/>
      <c r="E223" s="125"/>
      <c r="F223" s="128"/>
      <c r="G223" s="80"/>
      <c r="H223" s="80"/>
      <c r="I223" s="81"/>
      <c r="J223" s="82"/>
      <c r="K223" s="128"/>
      <c r="L223" s="80"/>
      <c r="M223" s="80"/>
      <c r="N223" s="81"/>
      <c r="O223" s="82"/>
      <c r="P223" s="129"/>
    </row>
    <row r="224" spans="1:16">
      <c r="A224" s="126" t="s">
        <v>330</v>
      </c>
      <c r="B224" s="127" t="s">
        <v>216</v>
      </c>
      <c r="C224" s="125"/>
      <c r="D224" s="125"/>
      <c r="E224" s="125"/>
      <c r="F224" s="128"/>
      <c r="G224" s="80"/>
      <c r="H224" s="80"/>
      <c r="I224" s="81"/>
      <c r="J224" s="82"/>
      <c r="K224" s="128"/>
      <c r="L224" s="80"/>
      <c r="M224" s="80"/>
      <c r="N224" s="81"/>
      <c r="O224" s="82"/>
      <c r="P224" s="129"/>
    </row>
    <row r="225" spans="1:16">
      <c r="A225" s="126" t="s">
        <v>330</v>
      </c>
      <c r="B225" s="127" t="s">
        <v>216</v>
      </c>
      <c r="C225" s="125"/>
      <c r="D225" s="125"/>
      <c r="E225" s="125"/>
      <c r="F225" s="128"/>
      <c r="G225" s="80"/>
      <c r="H225" s="80"/>
      <c r="I225" s="81"/>
      <c r="J225" s="82"/>
      <c r="K225" s="128"/>
      <c r="L225" s="80"/>
      <c r="M225" s="80"/>
      <c r="N225" s="81"/>
      <c r="O225" s="82"/>
      <c r="P225" s="129"/>
    </row>
    <row r="226" spans="1:16">
      <c r="A226" s="126" t="s">
        <v>330</v>
      </c>
      <c r="B226" s="127" t="s">
        <v>122</v>
      </c>
      <c r="C226" s="125">
        <v>44131</v>
      </c>
      <c r="D226" s="125">
        <v>44495</v>
      </c>
      <c r="E226" s="125"/>
      <c r="F226" s="128"/>
      <c r="G226" s="80"/>
      <c r="H226" s="80"/>
      <c r="I226" s="81"/>
      <c r="J226" s="82"/>
      <c r="K226" s="128" t="s">
        <v>65</v>
      </c>
      <c r="L226" s="80">
        <v>1250000000</v>
      </c>
      <c r="M226" s="80"/>
      <c r="N226" s="81">
        <v>3.8</v>
      </c>
      <c r="O226" s="82"/>
      <c r="P226" s="129"/>
    </row>
    <row r="227" spans="1:16">
      <c r="A227" s="126" t="s">
        <v>330</v>
      </c>
      <c r="B227" s="127" t="s">
        <v>122</v>
      </c>
      <c r="C227" s="125"/>
      <c r="D227" s="125"/>
      <c r="E227" s="125"/>
      <c r="F227" s="128"/>
      <c r="G227" s="80"/>
      <c r="H227" s="80"/>
      <c r="I227" s="81"/>
      <c r="J227" s="82"/>
      <c r="K227" s="128"/>
      <c r="L227" s="80"/>
      <c r="M227" s="80"/>
      <c r="N227" s="81"/>
      <c r="O227" s="82"/>
      <c r="P227" s="129"/>
    </row>
    <row r="228" spans="1:16">
      <c r="A228" s="126" t="s">
        <v>330</v>
      </c>
      <c r="B228" s="127" t="s">
        <v>122</v>
      </c>
      <c r="C228" s="125"/>
      <c r="D228" s="125"/>
      <c r="E228" s="125"/>
      <c r="F228" s="128"/>
      <c r="G228" s="80"/>
      <c r="H228" s="80"/>
      <c r="I228" s="81"/>
      <c r="J228" s="82"/>
      <c r="K228" s="128"/>
      <c r="L228" s="80"/>
      <c r="M228" s="80"/>
      <c r="N228" s="81"/>
      <c r="O228" s="82"/>
      <c r="P228" s="129"/>
    </row>
    <row r="229" spans="1:16">
      <c r="A229" s="126" t="s">
        <v>330</v>
      </c>
      <c r="B229" s="127" t="s">
        <v>208</v>
      </c>
      <c r="C229" s="125">
        <v>43556</v>
      </c>
      <c r="D229" s="125">
        <v>43921</v>
      </c>
      <c r="E229" s="125"/>
      <c r="F229" s="128"/>
      <c r="G229" s="80"/>
      <c r="H229" s="80"/>
      <c r="I229" s="81"/>
      <c r="J229" s="82"/>
      <c r="K229" s="128" t="s">
        <v>65</v>
      </c>
      <c r="L229" s="80">
        <v>2127850000</v>
      </c>
      <c r="M229" s="80"/>
      <c r="N229" s="81">
        <v>20</v>
      </c>
      <c r="O229" s="82"/>
      <c r="P229" s="129"/>
    </row>
    <row r="230" spans="1:16">
      <c r="A230" s="126" t="s">
        <v>330</v>
      </c>
      <c r="B230" s="127" t="s">
        <v>208</v>
      </c>
      <c r="C230" s="125">
        <v>43922</v>
      </c>
      <c r="D230" s="125">
        <v>44286</v>
      </c>
      <c r="E230" s="125"/>
      <c r="F230" s="128"/>
      <c r="G230" s="80"/>
      <c r="H230" s="80"/>
      <c r="I230" s="81"/>
      <c r="J230" s="82"/>
      <c r="K230" s="128" t="s">
        <v>65</v>
      </c>
      <c r="L230" s="80">
        <v>2200000000</v>
      </c>
      <c r="M230" s="80"/>
      <c r="N230" s="81">
        <v>12.5</v>
      </c>
      <c r="O230" s="82"/>
      <c r="P230" s="129"/>
    </row>
    <row r="231" spans="1:16">
      <c r="A231" s="126" t="s">
        <v>330</v>
      </c>
      <c r="B231" s="127" t="s">
        <v>208</v>
      </c>
      <c r="C231" s="125">
        <v>44287</v>
      </c>
      <c r="D231" s="125">
        <v>44651</v>
      </c>
      <c r="E231" s="125"/>
      <c r="F231" s="128"/>
      <c r="G231" s="80"/>
      <c r="H231" s="80"/>
      <c r="I231" s="81"/>
      <c r="J231" s="82"/>
      <c r="K231" s="128" t="s">
        <v>65</v>
      </c>
      <c r="L231" s="80">
        <v>2200000000</v>
      </c>
      <c r="M231" s="80"/>
      <c r="N231" s="81">
        <v>12.5</v>
      </c>
      <c r="O231" s="82"/>
      <c r="P231" s="129"/>
    </row>
    <row r="232" spans="1:16">
      <c r="A232" s="126" t="s">
        <v>330</v>
      </c>
      <c r="B232" s="127" t="s">
        <v>217</v>
      </c>
      <c r="C232" s="125"/>
      <c r="D232" s="125"/>
      <c r="E232" s="125"/>
      <c r="F232" s="128"/>
      <c r="G232" s="80"/>
      <c r="H232" s="80"/>
      <c r="I232" s="81"/>
      <c r="J232" s="82"/>
      <c r="K232" s="128"/>
      <c r="L232" s="80"/>
      <c r="M232" s="80"/>
      <c r="N232" s="81"/>
      <c r="O232" s="82"/>
      <c r="P232" s="129"/>
    </row>
    <row r="233" spans="1:16">
      <c r="A233" s="126" t="s">
        <v>330</v>
      </c>
      <c r="B233" s="127" t="s">
        <v>217</v>
      </c>
      <c r="C233" s="125"/>
      <c r="D233" s="125"/>
      <c r="E233" s="125"/>
      <c r="F233" s="128"/>
      <c r="G233" s="80"/>
      <c r="H233" s="80"/>
      <c r="I233" s="81"/>
      <c r="J233" s="82"/>
      <c r="K233" s="128"/>
      <c r="L233" s="80"/>
      <c r="M233" s="80"/>
      <c r="N233" s="81"/>
      <c r="O233" s="82"/>
      <c r="P233" s="129"/>
    </row>
    <row r="234" spans="1:16">
      <c r="A234" s="126" t="s">
        <v>330</v>
      </c>
      <c r="B234" s="127" t="s">
        <v>217</v>
      </c>
      <c r="C234" s="125"/>
      <c r="D234" s="125"/>
      <c r="E234" s="125"/>
      <c r="F234" s="128"/>
      <c r="G234" s="80"/>
      <c r="H234" s="80"/>
      <c r="I234" s="81"/>
      <c r="J234" s="82"/>
      <c r="K234" s="128"/>
      <c r="L234" s="80"/>
      <c r="M234" s="80"/>
      <c r="N234" s="81"/>
      <c r="O234" s="82"/>
      <c r="P234" s="129"/>
    </row>
    <row r="235" spans="1:16">
      <c r="A235" s="126" t="s">
        <v>330</v>
      </c>
      <c r="B235" s="127" t="s">
        <v>209</v>
      </c>
      <c r="C235" s="125">
        <v>43831</v>
      </c>
      <c r="D235" s="125">
        <v>44196</v>
      </c>
      <c r="E235" s="125"/>
      <c r="F235" s="128"/>
      <c r="G235" s="80"/>
      <c r="H235" s="80"/>
      <c r="I235" s="81"/>
      <c r="J235" s="82"/>
      <c r="K235" s="128" t="s">
        <v>65</v>
      </c>
      <c r="L235" s="80">
        <v>2034821424</v>
      </c>
      <c r="M235" s="80"/>
      <c r="N235" s="81">
        <v>10</v>
      </c>
      <c r="O235" s="82"/>
      <c r="P235" s="129"/>
    </row>
    <row r="236" spans="1:16">
      <c r="A236" s="126" t="s">
        <v>330</v>
      </c>
      <c r="B236" s="127" t="s">
        <v>209</v>
      </c>
      <c r="C236" s="125">
        <v>44197</v>
      </c>
      <c r="D236" s="125">
        <v>44561</v>
      </c>
      <c r="E236" s="125"/>
      <c r="F236" s="128"/>
      <c r="G236" s="80"/>
      <c r="H236" s="80"/>
      <c r="I236" s="81"/>
      <c r="J236" s="82"/>
      <c r="K236" s="128" t="s">
        <v>65</v>
      </c>
      <c r="L236" s="80">
        <v>1676250000</v>
      </c>
      <c r="M236" s="80"/>
      <c r="N236" s="81">
        <v>18.5</v>
      </c>
      <c r="O236" s="82"/>
      <c r="P236" s="129"/>
    </row>
    <row r="237" spans="1:16">
      <c r="A237" s="126" t="s">
        <v>330</v>
      </c>
      <c r="B237" s="127" t="s">
        <v>209</v>
      </c>
      <c r="C237" s="125">
        <v>44562</v>
      </c>
      <c r="D237" s="125">
        <v>44926</v>
      </c>
      <c r="E237" s="125"/>
      <c r="F237" s="128"/>
      <c r="G237" s="80"/>
      <c r="H237" s="80"/>
      <c r="I237" s="81"/>
      <c r="J237" s="82"/>
      <c r="K237" s="128" t="s">
        <v>65</v>
      </c>
      <c r="L237" s="80">
        <v>1676250000</v>
      </c>
      <c r="M237" s="80"/>
      <c r="N237" s="81">
        <v>18.5</v>
      </c>
      <c r="O237" s="82"/>
      <c r="P237" s="129"/>
    </row>
    <row r="238" spans="1:16">
      <c r="A238" s="126" t="s">
        <v>330</v>
      </c>
      <c r="B238" s="127" t="s">
        <v>210</v>
      </c>
      <c r="C238" s="125"/>
      <c r="D238" s="125"/>
      <c r="E238" s="125"/>
      <c r="F238" s="128"/>
      <c r="G238" s="80"/>
      <c r="H238" s="80"/>
      <c r="I238" s="81"/>
      <c r="J238" s="82"/>
      <c r="K238" s="128"/>
      <c r="L238" s="80"/>
      <c r="M238" s="80"/>
      <c r="N238" s="81"/>
      <c r="O238" s="82"/>
      <c r="P238" s="129"/>
    </row>
    <row r="239" spans="1:16">
      <c r="A239" s="126" t="s">
        <v>330</v>
      </c>
      <c r="B239" s="127" t="s">
        <v>210</v>
      </c>
      <c r="C239" s="125"/>
      <c r="D239" s="125"/>
      <c r="E239" s="125"/>
      <c r="F239" s="128"/>
      <c r="G239" s="80"/>
      <c r="H239" s="80"/>
      <c r="I239" s="81"/>
      <c r="J239" s="82"/>
      <c r="K239" s="128"/>
      <c r="L239" s="80"/>
      <c r="M239" s="80"/>
      <c r="N239" s="81"/>
      <c r="O239" s="82"/>
      <c r="P239" s="129"/>
    </row>
  </sheetData>
  <mergeCells count="3">
    <mergeCell ref="A2:P2"/>
    <mergeCell ref="A4:P4"/>
    <mergeCell ref="A5:P5"/>
  </mergeCells>
  <conditionalFormatting sqref="A111:A112 C111:P112 A114:A115 C114:P115 A239 C239:P239 A233:A237 A220:A222 C220:P222 A126:A128 C126:P128 A130 C130:P130 A133:A134 C133:P134 C224:P224 A224:A231 A117:A124 C117:P124 A136 C136:P136 A139:A197 O92:P93 A19:A74 C227:P227 C225:E226 L225:P226 C230:P231 C228:E229 L228:P229 G225:J226 G228:J229 A199:A209 C199:P209 C94:P109 C139:P197 C19:P74 C233:P237 C84:P91 A84:A109">
    <cfRule type="expression" dxfId="98" priority="65" stopIfTrue="1">
      <formula>+$B19&lt;&gt;$B20</formula>
    </cfRule>
  </conditionalFormatting>
  <conditionalFormatting sqref="B19:B74 B220:B239 B84:B209">
    <cfRule type="expression" dxfId="97" priority="62" stopIfTrue="1">
      <formula>AND(B19&lt;&gt;OFFSET(B19,1,0),VLOOKUP(B19,AN_ListA,1,FALSE)=B19)</formula>
    </cfRule>
    <cfRule type="expression" dxfId="96" priority="63" stopIfTrue="1">
      <formula>B19&lt;&gt;OFFSET(B19,1,0)</formula>
    </cfRule>
    <cfRule type="expression" dxfId="95" priority="64" stopIfTrue="1">
      <formula>VLOOKUP(B19,AN_ListA,1,FALSE)=B19</formula>
    </cfRule>
  </conditionalFormatting>
  <conditionalFormatting sqref="C37:P37 A37 C60:P60 A60 C19:P19 C22:P22 C25:P25 A19 A22 A25 C40:P40 A40 A43 A46 A49 A52 C43:P43 C49:P49 C52:P52 C46:P46">
    <cfRule type="expression" dxfId="94" priority="61" stopIfTrue="1">
      <formula>+$B19&lt;&gt;$B21</formula>
    </cfRule>
  </conditionalFormatting>
  <conditionalFormatting sqref="B145:B146 B149 B152">
    <cfRule type="expression" dxfId="93" priority="58" stopIfTrue="1">
      <formula>AND(B145&lt;&gt;OFFSET(B145,1,0),VLOOKUP(B145,AN_ListA,1,FALSE)=B145)</formula>
    </cfRule>
    <cfRule type="expression" dxfId="92" priority="59" stopIfTrue="1">
      <formula>B145&lt;&gt;OFFSET(B145,1,0)</formula>
    </cfRule>
    <cfRule type="expression" dxfId="91" priority="60" stopIfTrue="1">
      <formula>VLOOKUP(B145,AN_ListA,1,FALSE)=B145</formula>
    </cfRule>
  </conditionalFormatting>
  <conditionalFormatting sqref="A236 A234 C234:P234 A231 C231:P231 A229 A206 C206:P206 A202 C202:P202 A197 C197:P197 A127 C127:P127 A146 C146:P146 C229:E229 A149 A152 C152:P152 C225:E226 L225:N226 L229:P229 G225:J226 G229:J229 C94:P109 C149:P149 C236:P236">
    <cfRule type="expression" dxfId="90" priority="66" stopIfTrue="1">
      <formula>+$B94&lt;&gt;#REF!</formula>
    </cfRule>
  </conditionalFormatting>
  <conditionalFormatting sqref="C38:P38 A38 C20:P20 C23:P23 A20 A23 C41:P41 C44:P44 C47:P47 C50:P50 C53:P53 A41 A44 A47 A50 A53 C55:P59 A55:A59 A63:A71 A26:A36 K40 K43 K49 K52 K46 C63:P71 K72:K74">
    <cfRule type="expression" dxfId="89" priority="57" stopIfTrue="1">
      <formula>+$B20&lt;&gt;$B21</formula>
    </cfRule>
  </conditionalFormatting>
  <conditionalFormatting sqref="B38 B20 B23 B41 B44 B47 B50 B53 B55:B59 B63:B71 B26:B36">
    <cfRule type="expression" dxfId="88" priority="54" stopIfTrue="1">
      <formula>AND(B20&lt;&gt;OFFSET(B20,1,0),VLOOKUP(B20,AN_ListA,1,FALSE)=B20)</formula>
    </cfRule>
    <cfRule type="expression" dxfId="87" priority="55" stopIfTrue="1">
      <formula>B20&lt;&gt;OFFSET(B20,1,0)</formula>
    </cfRule>
    <cfRule type="expression" dxfId="86" priority="56" stopIfTrue="1">
      <formula>VLOOKUP(B20,AN_ListA,1,FALSE)=B20</formula>
    </cfRule>
  </conditionalFormatting>
  <conditionalFormatting sqref="C61:P61 A61">
    <cfRule type="expression" dxfId="85" priority="53" stopIfTrue="1">
      <formula>+$B61&lt;&gt;$B62</formula>
    </cfRule>
  </conditionalFormatting>
  <conditionalFormatting sqref="B61">
    <cfRule type="expression" dxfId="84" priority="50" stopIfTrue="1">
      <formula>AND(B61&lt;&gt;OFFSET(B61,1,0),VLOOKUP(B61,AN_ListA,1,FALSE)=B61)</formula>
    </cfRule>
    <cfRule type="expression" dxfId="83" priority="51" stopIfTrue="1">
      <formula>B61&lt;&gt;OFFSET(B61,1,0)</formula>
    </cfRule>
    <cfRule type="expression" dxfId="82" priority="52" stopIfTrue="1">
      <formula>VLOOKUP(B61,AN_ListA,1,FALSE)=B61</formula>
    </cfRule>
  </conditionalFormatting>
  <conditionalFormatting sqref="C72:P74 A72:A74">
    <cfRule type="expression" dxfId="81" priority="49" stopIfTrue="1">
      <formula>+$B72&lt;&gt;$B73</formula>
    </cfRule>
  </conditionalFormatting>
  <conditionalFormatting sqref="B72:B74">
    <cfRule type="expression" dxfId="80" priority="46" stopIfTrue="1">
      <formula>AND(B72&lt;&gt;OFFSET(B72,1,0),VLOOKUP(B72,AN_ListA,1,FALSE)=B72)</formula>
    </cfRule>
    <cfRule type="expression" dxfId="79" priority="47" stopIfTrue="1">
      <formula>B72&lt;&gt;OFFSET(B72,1,0)</formula>
    </cfRule>
    <cfRule type="expression" dxfId="78" priority="48" stopIfTrue="1">
      <formula>VLOOKUP(B72,AN_ListA,1,FALSE)=B72</formula>
    </cfRule>
  </conditionalFormatting>
  <conditionalFormatting sqref="B84:B109 B117:B122">
    <cfRule type="expression" dxfId="77" priority="42" stopIfTrue="1">
      <formula>AND(B84&lt;&gt;OFFSET(B84,1,0),VLOOKUP(B84,AN_ListA,1,FALSE)=B84)</formula>
    </cfRule>
    <cfRule type="expression" dxfId="76" priority="43" stopIfTrue="1">
      <formula>B84&lt;&gt;OFFSET(B84,1,0)</formula>
    </cfRule>
    <cfRule type="expression" dxfId="75" priority="44" stopIfTrue="1">
      <formula>VLOOKUP(B84,AN_ListA,1,FALSE)=B84</formula>
    </cfRule>
  </conditionalFormatting>
  <conditionalFormatting sqref="A84:A109 C84:P91 A117:A122 C117:P122 O92:P93">
    <cfRule type="expression" dxfId="74" priority="45" stopIfTrue="1">
      <formula>+$B84&lt;&gt;#REF!</formula>
    </cfRule>
  </conditionalFormatting>
  <conditionalFormatting sqref="B133 B139 B141 B143">
    <cfRule type="expression" dxfId="73" priority="38" stopIfTrue="1">
      <formula>AND(B133&lt;&gt;OFFSET(B133,1,0),VLOOKUP(B133,AN_ListA,1,FALSE)=B133)</formula>
    </cfRule>
    <cfRule type="expression" dxfId="72" priority="39" stopIfTrue="1">
      <formula>B133&lt;&gt;OFFSET(B133,1,0)</formula>
    </cfRule>
    <cfRule type="expression" dxfId="71" priority="40" stopIfTrue="1">
      <formula>VLOOKUP(B133,AN_ListA,1,FALSE)=B133</formula>
    </cfRule>
  </conditionalFormatting>
  <conditionalFormatting sqref="A133 C133:P133 A139 A141 A143 C139:P139 C141:P141 C143:P143">
    <cfRule type="expression" dxfId="70" priority="41" stopIfTrue="1">
      <formula>+$B133&lt;&gt;#REF!</formula>
    </cfRule>
  </conditionalFormatting>
  <conditionalFormatting sqref="A147 C147:P147 A150 A153:A196 C150:P150">
    <cfRule type="expression" dxfId="69" priority="37" stopIfTrue="1">
      <formula>+$B147&lt;&gt;$B148</formula>
    </cfRule>
  </conditionalFormatting>
  <conditionalFormatting sqref="B147 B150 B153:B196">
    <cfRule type="expression" dxfId="68" priority="34" stopIfTrue="1">
      <formula>AND(B147&lt;&gt;OFFSET(B147,1,0),VLOOKUP(B147,AN_ListA,1,FALSE)=B147)</formula>
    </cfRule>
    <cfRule type="expression" dxfId="67" priority="35" stopIfTrue="1">
      <formula>B147&lt;&gt;OFFSET(B147,1,0)</formula>
    </cfRule>
    <cfRule type="expression" dxfId="66" priority="36" stopIfTrue="1">
      <formula>VLOOKUP(B147,AN_ListA,1,FALSE)=B147</formula>
    </cfRule>
  </conditionalFormatting>
  <conditionalFormatting sqref="B224">
    <cfRule type="expression" dxfId="65" priority="30" stopIfTrue="1">
      <formula>AND(B224&lt;&gt;OFFSET(B224,1,0),VLOOKUP(B224,AN_ListA,1,FALSE)=B224)</formula>
    </cfRule>
    <cfRule type="expression" dxfId="64" priority="31" stopIfTrue="1">
      <formula>B224&lt;&gt;OFFSET(B224,1,0)</formula>
    </cfRule>
    <cfRule type="expression" dxfId="63" priority="32" stopIfTrue="1">
      <formula>VLOOKUP(B224,AN_ListA,1,FALSE)=B224</formula>
    </cfRule>
  </conditionalFormatting>
  <conditionalFormatting sqref="A224 C224:P224">
    <cfRule type="expression" dxfId="62" priority="33" stopIfTrue="1">
      <formula>+$B224&lt;&gt;#REF!</formula>
    </cfRule>
  </conditionalFormatting>
  <conditionalFormatting sqref="C147:P147 C153:P196 C150:P150">
    <cfRule type="expression" dxfId="61" priority="29" stopIfTrue="1">
      <formula>+$B147&lt;&gt;#REF!</formula>
    </cfRule>
  </conditionalFormatting>
  <conditionalFormatting sqref="C111:N111">
    <cfRule type="expression" dxfId="60" priority="28" stopIfTrue="1">
      <formula>+$B111&lt;&gt;#REF!</formula>
    </cfRule>
  </conditionalFormatting>
  <conditionalFormatting sqref="C114:O114 A137:A138 C137:P138">
    <cfRule type="expression" dxfId="59" priority="27" stopIfTrue="1">
      <formula>+$B114&lt;&gt;#REF!</formula>
    </cfRule>
  </conditionalFormatting>
  <conditionalFormatting sqref="C237:N237">
    <cfRule type="expression" dxfId="58" priority="26" stopIfTrue="1">
      <formula>+$B237&lt;&gt;#REF!</formula>
    </cfRule>
  </conditionalFormatting>
  <conditionalFormatting sqref="C228:E228 L228:N228 G228:J228">
    <cfRule type="expression" dxfId="57" priority="25" stopIfTrue="1">
      <formula>+$B228&lt;&gt;#REF!</formula>
    </cfRule>
  </conditionalFormatting>
  <conditionalFormatting sqref="G228:J228 L228:N228">
    <cfRule type="expression" dxfId="56" priority="24" stopIfTrue="1">
      <formula>+$B228&lt;&gt;#REF!</formula>
    </cfRule>
  </conditionalFormatting>
  <conditionalFormatting sqref="A145 C145:P145">
    <cfRule type="expression" dxfId="55" priority="67" stopIfTrue="1">
      <formula>+$B145&lt;&gt;#REF!</formula>
    </cfRule>
  </conditionalFormatting>
  <conditionalFormatting sqref="A110 C110:P110 A113 C113:P113 A116 C116:P116 A198 C198:P198 A201 C201:P201 A232 C232:P232 A223 C223:P223 A129 C129:P129 A125 C125:P125 A207:A209 C207:P209 A131:A132 C131:P132 A238 C238:P238">
    <cfRule type="expression" dxfId="54" priority="68" stopIfTrue="1">
      <formula>+$B110&lt;&gt;#REF!</formula>
    </cfRule>
  </conditionalFormatting>
  <conditionalFormatting sqref="A135 C135:P135">
    <cfRule type="expression" dxfId="53" priority="69" stopIfTrue="1">
      <formula>+$B135&lt;&gt;#REF!</formula>
    </cfRule>
  </conditionalFormatting>
  <conditionalFormatting sqref="C92:N93">
    <cfRule type="expression" dxfId="52" priority="23" stopIfTrue="1">
      <formula>+$B92&lt;&gt;$B93</formula>
    </cfRule>
  </conditionalFormatting>
  <conditionalFormatting sqref="C92:N93">
    <cfRule type="expression" dxfId="51" priority="22" stopIfTrue="1">
      <formula>+$B92&lt;&gt;#REF!</formula>
    </cfRule>
  </conditionalFormatting>
  <conditionalFormatting sqref="K225 K228">
    <cfRule type="expression" dxfId="50" priority="20" stopIfTrue="1">
      <formula>+$B225&lt;&gt;$B226</formula>
    </cfRule>
  </conditionalFormatting>
  <conditionalFormatting sqref="K225 K228">
    <cfRule type="expression" dxfId="49" priority="19" stopIfTrue="1">
      <formula>+$B225&lt;&gt;#REF!</formula>
    </cfRule>
  </conditionalFormatting>
  <conditionalFormatting sqref="K226 K229">
    <cfRule type="expression" dxfId="48" priority="21" stopIfTrue="1">
      <formula>+$B226&lt;&gt;#REF!</formula>
    </cfRule>
  </conditionalFormatting>
  <conditionalFormatting sqref="F225 F228">
    <cfRule type="expression" dxfId="47" priority="17" stopIfTrue="1">
      <formula>+$B225&lt;&gt;$B226</formula>
    </cfRule>
  </conditionalFormatting>
  <conditionalFormatting sqref="F225 F228">
    <cfRule type="expression" dxfId="46" priority="16" stopIfTrue="1">
      <formula>+$B225&lt;&gt;#REF!</formula>
    </cfRule>
  </conditionalFormatting>
  <conditionalFormatting sqref="F226 F229">
    <cfRule type="expression" dxfId="45" priority="18" stopIfTrue="1">
      <formula>+$B226&lt;&gt;#REF!</formula>
    </cfRule>
  </conditionalFormatting>
  <conditionalFormatting sqref="A210:A219 C210:P219">
    <cfRule type="expression" dxfId="44" priority="14" stopIfTrue="1">
      <formula>+$B210&lt;&gt;$B211</formula>
    </cfRule>
  </conditionalFormatting>
  <conditionalFormatting sqref="B210:B219">
    <cfRule type="expression" dxfId="43" priority="11" stopIfTrue="1">
      <formula>AND(B210&lt;&gt;OFFSET(B210,1,0),VLOOKUP(B210,AN_ListA,1,FALSE)=B210)</formula>
    </cfRule>
    <cfRule type="expression" dxfId="42" priority="12" stopIfTrue="1">
      <formula>B210&lt;&gt;OFFSET(B210,1,0)</formula>
    </cfRule>
    <cfRule type="expression" dxfId="41" priority="13" stopIfTrue="1">
      <formula>VLOOKUP(B210,AN_ListA,1,FALSE)=B210</formula>
    </cfRule>
  </conditionalFormatting>
  <conditionalFormatting sqref="A210:A219 C210:P219">
    <cfRule type="expression" dxfId="40" priority="15" stopIfTrue="1">
      <formula>+$B210&lt;&gt;#REF!</formula>
    </cfRule>
  </conditionalFormatting>
  <conditionalFormatting sqref="D237">
    <cfRule type="expression" dxfId="39" priority="10" stopIfTrue="1">
      <formula>+$B237&lt;&gt;#REF!</formula>
    </cfRule>
  </conditionalFormatting>
  <conditionalFormatting sqref="A75:A83 C75:P83">
    <cfRule type="expression" dxfId="38" priority="9" stopIfTrue="1">
      <formula>+$B75&lt;&gt;$B76</formula>
    </cfRule>
  </conditionalFormatting>
  <conditionalFormatting sqref="B75:B83">
    <cfRule type="expression" dxfId="37" priority="6" stopIfTrue="1">
      <formula>AND(B75&lt;&gt;OFFSET(B75,1,0),VLOOKUP(B75,AN_ListA,1,FALSE)=B75)</formula>
    </cfRule>
    <cfRule type="expression" dxfId="36" priority="7" stopIfTrue="1">
      <formula>B75&lt;&gt;OFFSET(B75,1,0)</formula>
    </cfRule>
    <cfRule type="expression" dxfId="35" priority="8" stopIfTrue="1">
      <formula>VLOOKUP(B75,AN_ListA,1,FALSE)=B75</formula>
    </cfRule>
  </conditionalFormatting>
  <conditionalFormatting sqref="K75:K83">
    <cfRule type="expression" dxfId="34" priority="5" stopIfTrue="1">
      <formula>+$B75&lt;&gt;$B76</formula>
    </cfRule>
  </conditionalFormatting>
  <conditionalFormatting sqref="C75:P83 A75:A83">
    <cfRule type="expression" dxfId="33" priority="4" stopIfTrue="1">
      <formula>+$B75&lt;&gt;$B76</formula>
    </cfRule>
  </conditionalFormatting>
  <conditionalFormatting sqref="B75:B83">
    <cfRule type="expression" dxfId="32" priority="1" stopIfTrue="1">
      <formula>AND(B75&lt;&gt;OFFSET(B75,1,0),VLOOKUP(B75,AN_ListA,1,FALSE)=B75)</formula>
    </cfRule>
    <cfRule type="expression" dxfId="31" priority="2" stopIfTrue="1">
      <formula>B75&lt;&gt;OFFSET(B75,1,0)</formula>
    </cfRule>
    <cfRule type="expression" dxfId="30" priority="3" stopIfTrue="1">
      <formula>VLOOKUP(B75,AN_ListA,1,FALSE)=B75</formula>
    </cfRule>
  </conditionalFormatting>
  <dataValidations count="7">
    <dataValidation type="list" showInputMessage="1" showErrorMessage="1" sqref="B19:B146" xr:uid="{00000000-0002-0000-0C00-000000000000}">
      <formula1>Insured_ListA</formula1>
    </dataValidation>
    <dataValidation type="list" allowBlank="1" showInputMessage="1" showErrorMessage="1" sqref="P64963:P65308 JA64963:JA65308 SW64963:SW65308 ACS64963:ACS65308 AMO64963:AMO65308 AWK64963:AWK65308 BGG64963:BGG65308 BQC64963:BQC65308 BZY64963:BZY65308 CJU64963:CJU65308 CTQ64963:CTQ65308 DDM64963:DDM65308 DNI64963:DNI65308 DXE64963:DXE65308 EHA64963:EHA65308 EQW64963:EQW65308 FAS64963:FAS65308 FKO64963:FKO65308 FUK64963:FUK65308 GEG64963:GEG65308 GOC64963:GOC65308 GXY64963:GXY65308 HHU64963:HHU65308 HRQ64963:HRQ65308 IBM64963:IBM65308 ILI64963:ILI65308 IVE64963:IVE65308 JFA64963:JFA65308 JOW64963:JOW65308 JYS64963:JYS65308 KIO64963:KIO65308 KSK64963:KSK65308 LCG64963:LCG65308 LMC64963:LMC65308 LVY64963:LVY65308 MFU64963:MFU65308 MPQ64963:MPQ65308 MZM64963:MZM65308 NJI64963:NJI65308 NTE64963:NTE65308 ODA64963:ODA65308 OMW64963:OMW65308 OWS64963:OWS65308 PGO64963:PGO65308 PQK64963:PQK65308 QAG64963:QAG65308 QKC64963:QKC65308 QTY64963:QTY65308 RDU64963:RDU65308 RNQ64963:RNQ65308 RXM64963:RXM65308 SHI64963:SHI65308 SRE64963:SRE65308 TBA64963:TBA65308 TKW64963:TKW65308 TUS64963:TUS65308 UEO64963:UEO65308 UOK64963:UOK65308 UYG64963:UYG65308 VIC64963:VIC65308 VRY64963:VRY65308 WBU64963:WBU65308 WLQ64963:WLQ65308 WVM64963:WVM65308 P130499:P130844 JA130499:JA130844 SW130499:SW130844 ACS130499:ACS130844 AMO130499:AMO130844 AWK130499:AWK130844 BGG130499:BGG130844 BQC130499:BQC130844 BZY130499:BZY130844 CJU130499:CJU130844 CTQ130499:CTQ130844 DDM130499:DDM130844 DNI130499:DNI130844 DXE130499:DXE130844 EHA130499:EHA130844 EQW130499:EQW130844 FAS130499:FAS130844 FKO130499:FKO130844 FUK130499:FUK130844 GEG130499:GEG130844 GOC130499:GOC130844 GXY130499:GXY130844 HHU130499:HHU130844 HRQ130499:HRQ130844 IBM130499:IBM130844 ILI130499:ILI130844 IVE130499:IVE130844 JFA130499:JFA130844 JOW130499:JOW130844 JYS130499:JYS130844 KIO130499:KIO130844 KSK130499:KSK130844 LCG130499:LCG130844 LMC130499:LMC130844 LVY130499:LVY130844 MFU130499:MFU130844 MPQ130499:MPQ130844 MZM130499:MZM130844 NJI130499:NJI130844 NTE130499:NTE130844 ODA130499:ODA130844 OMW130499:OMW130844 OWS130499:OWS130844 PGO130499:PGO130844 PQK130499:PQK130844 QAG130499:QAG130844 QKC130499:QKC130844 QTY130499:QTY130844 RDU130499:RDU130844 RNQ130499:RNQ130844 RXM130499:RXM130844 SHI130499:SHI130844 SRE130499:SRE130844 TBA130499:TBA130844 TKW130499:TKW130844 TUS130499:TUS130844 UEO130499:UEO130844 UOK130499:UOK130844 UYG130499:UYG130844 VIC130499:VIC130844 VRY130499:VRY130844 WBU130499:WBU130844 WLQ130499:WLQ130844 WVM130499:WVM130844 P196035:P196380 JA196035:JA196380 SW196035:SW196380 ACS196035:ACS196380 AMO196035:AMO196380 AWK196035:AWK196380 BGG196035:BGG196380 BQC196035:BQC196380 BZY196035:BZY196380 CJU196035:CJU196380 CTQ196035:CTQ196380 DDM196035:DDM196380 DNI196035:DNI196380 DXE196035:DXE196380 EHA196035:EHA196380 EQW196035:EQW196380 FAS196035:FAS196380 FKO196035:FKO196380 FUK196035:FUK196380 GEG196035:GEG196380 GOC196035:GOC196380 GXY196035:GXY196380 HHU196035:HHU196380 HRQ196035:HRQ196380 IBM196035:IBM196380 ILI196035:ILI196380 IVE196035:IVE196380 JFA196035:JFA196380 JOW196035:JOW196380 JYS196035:JYS196380 KIO196035:KIO196380 KSK196035:KSK196380 LCG196035:LCG196380 LMC196035:LMC196380 LVY196035:LVY196380 MFU196035:MFU196380 MPQ196035:MPQ196380 MZM196035:MZM196380 NJI196035:NJI196380 NTE196035:NTE196380 ODA196035:ODA196380 OMW196035:OMW196380 OWS196035:OWS196380 PGO196035:PGO196380 PQK196035:PQK196380 QAG196035:QAG196380 QKC196035:QKC196380 QTY196035:QTY196380 RDU196035:RDU196380 RNQ196035:RNQ196380 RXM196035:RXM196380 SHI196035:SHI196380 SRE196035:SRE196380 TBA196035:TBA196380 TKW196035:TKW196380 TUS196035:TUS196380 UEO196035:UEO196380 UOK196035:UOK196380 UYG196035:UYG196380 VIC196035:VIC196380 VRY196035:VRY196380 WBU196035:WBU196380 WLQ196035:WLQ196380 WVM196035:WVM196380 P261571:P261916 JA261571:JA261916 SW261571:SW261916 ACS261571:ACS261916 AMO261571:AMO261916 AWK261571:AWK261916 BGG261571:BGG261916 BQC261571:BQC261916 BZY261571:BZY261916 CJU261571:CJU261916 CTQ261571:CTQ261916 DDM261571:DDM261916 DNI261571:DNI261916 DXE261571:DXE261916 EHA261571:EHA261916 EQW261571:EQW261916 FAS261571:FAS261916 FKO261571:FKO261916 FUK261571:FUK261916 GEG261571:GEG261916 GOC261571:GOC261916 GXY261571:GXY261916 HHU261571:HHU261916 HRQ261571:HRQ261916 IBM261571:IBM261916 ILI261571:ILI261916 IVE261571:IVE261916 JFA261571:JFA261916 JOW261571:JOW261916 JYS261571:JYS261916 KIO261571:KIO261916 KSK261571:KSK261916 LCG261571:LCG261916 LMC261571:LMC261916 LVY261571:LVY261916 MFU261571:MFU261916 MPQ261571:MPQ261916 MZM261571:MZM261916 NJI261571:NJI261916 NTE261571:NTE261916 ODA261571:ODA261916 OMW261571:OMW261916 OWS261571:OWS261916 PGO261571:PGO261916 PQK261571:PQK261916 QAG261571:QAG261916 QKC261571:QKC261916 QTY261571:QTY261916 RDU261571:RDU261916 RNQ261571:RNQ261916 RXM261571:RXM261916 SHI261571:SHI261916 SRE261571:SRE261916 TBA261571:TBA261916 TKW261571:TKW261916 TUS261571:TUS261916 UEO261571:UEO261916 UOK261571:UOK261916 UYG261571:UYG261916 VIC261571:VIC261916 VRY261571:VRY261916 WBU261571:WBU261916 WLQ261571:WLQ261916 WVM261571:WVM261916 P327107:P327452 JA327107:JA327452 SW327107:SW327452 ACS327107:ACS327452 AMO327107:AMO327452 AWK327107:AWK327452 BGG327107:BGG327452 BQC327107:BQC327452 BZY327107:BZY327452 CJU327107:CJU327452 CTQ327107:CTQ327452 DDM327107:DDM327452 DNI327107:DNI327452 DXE327107:DXE327452 EHA327107:EHA327452 EQW327107:EQW327452 FAS327107:FAS327452 FKO327107:FKO327452 FUK327107:FUK327452 GEG327107:GEG327452 GOC327107:GOC327452 GXY327107:GXY327452 HHU327107:HHU327452 HRQ327107:HRQ327452 IBM327107:IBM327452 ILI327107:ILI327452 IVE327107:IVE327452 JFA327107:JFA327452 JOW327107:JOW327452 JYS327107:JYS327452 KIO327107:KIO327452 KSK327107:KSK327452 LCG327107:LCG327452 LMC327107:LMC327452 LVY327107:LVY327452 MFU327107:MFU327452 MPQ327107:MPQ327452 MZM327107:MZM327452 NJI327107:NJI327452 NTE327107:NTE327452 ODA327107:ODA327452 OMW327107:OMW327452 OWS327107:OWS327452 PGO327107:PGO327452 PQK327107:PQK327452 QAG327107:QAG327452 QKC327107:QKC327452 QTY327107:QTY327452 RDU327107:RDU327452 RNQ327107:RNQ327452 RXM327107:RXM327452 SHI327107:SHI327452 SRE327107:SRE327452 TBA327107:TBA327452 TKW327107:TKW327452 TUS327107:TUS327452 UEO327107:UEO327452 UOK327107:UOK327452 UYG327107:UYG327452 VIC327107:VIC327452 VRY327107:VRY327452 WBU327107:WBU327452 WLQ327107:WLQ327452 WVM327107:WVM327452 P392643:P392988 JA392643:JA392988 SW392643:SW392988 ACS392643:ACS392988 AMO392643:AMO392988 AWK392643:AWK392988 BGG392643:BGG392988 BQC392643:BQC392988 BZY392643:BZY392988 CJU392643:CJU392988 CTQ392643:CTQ392988 DDM392643:DDM392988 DNI392643:DNI392988 DXE392643:DXE392988 EHA392643:EHA392988 EQW392643:EQW392988 FAS392643:FAS392988 FKO392643:FKO392988 FUK392643:FUK392988 GEG392643:GEG392988 GOC392643:GOC392988 GXY392643:GXY392988 HHU392643:HHU392988 HRQ392643:HRQ392988 IBM392643:IBM392988 ILI392643:ILI392988 IVE392643:IVE392988 JFA392643:JFA392988 JOW392643:JOW392988 JYS392643:JYS392988 KIO392643:KIO392988 KSK392643:KSK392988 LCG392643:LCG392988 LMC392643:LMC392988 LVY392643:LVY392988 MFU392643:MFU392988 MPQ392643:MPQ392988 MZM392643:MZM392988 NJI392643:NJI392988 NTE392643:NTE392988 ODA392643:ODA392988 OMW392643:OMW392988 OWS392643:OWS392988 PGO392643:PGO392988 PQK392643:PQK392988 QAG392643:QAG392988 QKC392643:QKC392988 QTY392643:QTY392988 RDU392643:RDU392988 RNQ392643:RNQ392988 RXM392643:RXM392988 SHI392643:SHI392988 SRE392643:SRE392988 TBA392643:TBA392988 TKW392643:TKW392988 TUS392643:TUS392988 UEO392643:UEO392988 UOK392643:UOK392988 UYG392643:UYG392988 VIC392643:VIC392988 VRY392643:VRY392988 WBU392643:WBU392988 WLQ392643:WLQ392988 WVM392643:WVM392988 P458179:P458524 JA458179:JA458524 SW458179:SW458524 ACS458179:ACS458524 AMO458179:AMO458524 AWK458179:AWK458524 BGG458179:BGG458524 BQC458179:BQC458524 BZY458179:BZY458524 CJU458179:CJU458524 CTQ458179:CTQ458524 DDM458179:DDM458524 DNI458179:DNI458524 DXE458179:DXE458524 EHA458179:EHA458524 EQW458179:EQW458524 FAS458179:FAS458524 FKO458179:FKO458524 FUK458179:FUK458524 GEG458179:GEG458524 GOC458179:GOC458524 GXY458179:GXY458524 HHU458179:HHU458524 HRQ458179:HRQ458524 IBM458179:IBM458524 ILI458179:ILI458524 IVE458179:IVE458524 JFA458179:JFA458524 JOW458179:JOW458524 JYS458179:JYS458524 KIO458179:KIO458524 KSK458179:KSK458524 LCG458179:LCG458524 LMC458179:LMC458524 LVY458179:LVY458524 MFU458179:MFU458524 MPQ458179:MPQ458524 MZM458179:MZM458524 NJI458179:NJI458524 NTE458179:NTE458524 ODA458179:ODA458524 OMW458179:OMW458524 OWS458179:OWS458524 PGO458179:PGO458524 PQK458179:PQK458524 QAG458179:QAG458524 QKC458179:QKC458524 QTY458179:QTY458524 RDU458179:RDU458524 RNQ458179:RNQ458524 RXM458179:RXM458524 SHI458179:SHI458524 SRE458179:SRE458524 TBA458179:TBA458524 TKW458179:TKW458524 TUS458179:TUS458524 UEO458179:UEO458524 UOK458179:UOK458524 UYG458179:UYG458524 VIC458179:VIC458524 VRY458179:VRY458524 WBU458179:WBU458524 WLQ458179:WLQ458524 WVM458179:WVM458524 P523715:P524060 JA523715:JA524060 SW523715:SW524060 ACS523715:ACS524060 AMO523715:AMO524060 AWK523715:AWK524060 BGG523715:BGG524060 BQC523715:BQC524060 BZY523715:BZY524060 CJU523715:CJU524060 CTQ523715:CTQ524060 DDM523715:DDM524060 DNI523715:DNI524060 DXE523715:DXE524060 EHA523715:EHA524060 EQW523715:EQW524060 FAS523715:FAS524060 FKO523715:FKO524060 FUK523715:FUK524060 GEG523715:GEG524060 GOC523715:GOC524060 GXY523715:GXY524060 HHU523715:HHU524060 HRQ523715:HRQ524060 IBM523715:IBM524060 ILI523715:ILI524060 IVE523715:IVE524060 JFA523715:JFA524060 JOW523715:JOW524060 JYS523715:JYS524060 KIO523715:KIO524060 KSK523715:KSK524060 LCG523715:LCG524060 LMC523715:LMC524060 LVY523715:LVY524060 MFU523715:MFU524060 MPQ523715:MPQ524060 MZM523715:MZM524060 NJI523715:NJI524060 NTE523715:NTE524060 ODA523715:ODA524060 OMW523715:OMW524060 OWS523715:OWS524060 PGO523715:PGO524060 PQK523715:PQK524060 QAG523715:QAG524060 QKC523715:QKC524060 QTY523715:QTY524060 RDU523715:RDU524060 RNQ523715:RNQ524060 RXM523715:RXM524060 SHI523715:SHI524060 SRE523715:SRE524060 TBA523715:TBA524060 TKW523715:TKW524060 TUS523715:TUS524060 UEO523715:UEO524060 UOK523715:UOK524060 UYG523715:UYG524060 VIC523715:VIC524060 VRY523715:VRY524060 WBU523715:WBU524060 WLQ523715:WLQ524060 WVM523715:WVM524060 P589251:P589596 JA589251:JA589596 SW589251:SW589596 ACS589251:ACS589596 AMO589251:AMO589596 AWK589251:AWK589596 BGG589251:BGG589596 BQC589251:BQC589596 BZY589251:BZY589596 CJU589251:CJU589596 CTQ589251:CTQ589596 DDM589251:DDM589596 DNI589251:DNI589596 DXE589251:DXE589596 EHA589251:EHA589596 EQW589251:EQW589596 FAS589251:FAS589596 FKO589251:FKO589596 FUK589251:FUK589596 GEG589251:GEG589596 GOC589251:GOC589596 GXY589251:GXY589596 HHU589251:HHU589596 HRQ589251:HRQ589596 IBM589251:IBM589596 ILI589251:ILI589596 IVE589251:IVE589596 JFA589251:JFA589596 JOW589251:JOW589596 JYS589251:JYS589596 KIO589251:KIO589596 KSK589251:KSK589596 LCG589251:LCG589596 LMC589251:LMC589596 LVY589251:LVY589596 MFU589251:MFU589596 MPQ589251:MPQ589596 MZM589251:MZM589596 NJI589251:NJI589596 NTE589251:NTE589596 ODA589251:ODA589596 OMW589251:OMW589596 OWS589251:OWS589596 PGO589251:PGO589596 PQK589251:PQK589596 QAG589251:QAG589596 QKC589251:QKC589596 QTY589251:QTY589596 RDU589251:RDU589596 RNQ589251:RNQ589596 RXM589251:RXM589596 SHI589251:SHI589596 SRE589251:SRE589596 TBA589251:TBA589596 TKW589251:TKW589596 TUS589251:TUS589596 UEO589251:UEO589596 UOK589251:UOK589596 UYG589251:UYG589596 VIC589251:VIC589596 VRY589251:VRY589596 WBU589251:WBU589596 WLQ589251:WLQ589596 WVM589251:WVM589596 P654787:P655132 JA654787:JA655132 SW654787:SW655132 ACS654787:ACS655132 AMO654787:AMO655132 AWK654787:AWK655132 BGG654787:BGG655132 BQC654787:BQC655132 BZY654787:BZY655132 CJU654787:CJU655132 CTQ654787:CTQ655132 DDM654787:DDM655132 DNI654787:DNI655132 DXE654787:DXE655132 EHA654787:EHA655132 EQW654787:EQW655132 FAS654787:FAS655132 FKO654787:FKO655132 FUK654787:FUK655132 GEG654787:GEG655132 GOC654787:GOC655132 GXY654787:GXY655132 HHU654787:HHU655132 HRQ654787:HRQ655132 IBM654787:IBM655132 ILI654787:ILI655132 IVE654787:IVE655132 JFA654787:JFA655132 JOW654787:JOW655132 JYS654787:JYS655132 KIO654787:KIO655132 KSK654787:KSK655132 LCG654787:LCG655132 LMC654787:LMC655132 LVY654787:LVY655132 MFU654787:MFU655132 MPQ654787:MPQ655132 MZM654787:MZM655132 NJI654787:NJI655132 NTE654787:NTE655132 ODA654787:ODA655132 OMW654787:OMW655132 OWS654787:OWS655132 PGO654787:PGO655132 PQK654787:PQK655132 QAG654787:QAG655132 QKC654787:QKC655132 QTY654787:QTY655132 RDU654787:RDU655132 RNQ654787:RNQ655132 RXM654787:RXM655132 SHI654787:SHI655132 SRE654787:SRE655132 TBA654787:TBA655132 TKW654787:TKW655132 TUS654787:TUS655132 UEO654787:UEO655132 UOK654787:UOK655132 UYG654787:UYG655132 VIC654787:VIC655132 VRY654787:VRY655132 WBU654787:WBU655132 WLQ654787:WLQ655132 WVM654787:WVM655132 P720323:P720668 JA720323:JA720668 SW720323:SW720668 ACS720323:ACS720668 AMO720323:AMO720668 AWK720323:AWK720668 BGG720323:BGG720668 BQC720323:BQC720668 BZY720323:BZY720668 CJU720323:CJU720668 CTQ720323:CTQ720668 DDM720323:DDM720668 DNI720323:DNI720668 DXE720323:DXE720668 EHA720323:EHA720668 EQW720323:EQW720668 FAS720323:FAS720668 FKO720323:FKO720668 FUK720323:FUK720668 GEG720323:GEG720668 GOC720323:GOC720668 GXY720323:GXY720668 HHU720323:HHU720668 HRQ720323:HRQ720668 IBM720323:IBM720668 ILI720323:ILI720668 IVE720323:IVE720668 JFA720323:JFA720668 JOW720323:JOW720668 JYS720323:JYS720668 KIO720323:KIO720668 KSK720323:KSK720668 LCG720323:LCG720668 LMC720323:LMC720668 LVY720323:LVY720668 MFU720323:MFU720668 MPQ720323:MPQ720668 MZM720323:MZM720668 NJI720323:NJI720668 NTE720323:NTE720668 ODA720323:ODA720668 OMW720323:OMW720668 OWS720323:OWS720668 PGO720323:PGO720668 PQK720323:PQK720668 QAG720323:QAG720668 QKC720323:QKC720668 QTY720323:QTY720668 RDU720323:RDU720668 RNQ720323:RNQ720668 RXM720323:RXM720668 SHI720323:SHI720668 SRE720323:SRE720668 TBA720323:TBA720668 TKW720323:TKW720668 TUS720323:TUS720668 UEO720323:UEO720668 UOK720323:UOK720668 UYG720323:UYG720668 VIC720323:VIC720668 VRY720323:VRY720668 WBU720323:WBU720668 WLQ720323:WLQ720668 WVM720323:WVM720668 P785859:P786204 JA785859:JA786204 SW785859:SW786204 ACS785859:ACS786204 AMO785859:AMO786204 AWK785859:AWK786204 BGG785859:BGG786204 BQC785859:BQC786204 BZY785859:BZY786204 CJU785859:CJU786204 CTQ785859:CTQ786204 DDM785859:DDM786204 DNI785859:DNI786204 DXE785859:DXE786204 EHA785859:EHA786204 EQW785859:EQW786204 FAS785859:FAS786204 FKO785859:FKO786204 FUK785859:FUK786204 GEG785859:GEG786204 GOC785859:GOC786204 GXY785859:GXY786204 HHU785859:HHU786204 HRQ785859:HRQ786204 IBM785859:IBM786204 ILI785859:ILI786204 IVE785859:IVE786204 JFA785859:JFA786204 JOW785859:JOW786204 JYS785859:JYS786204 KIO785859:KIO786204 KSK785859:KSK786204 LCG785859:LCG786204 LMC785859:LMC786204 LVY785859:LVY786204 MFU785859:MFU786204 MPQ785859:MPQ786204 MZM785859:MZM786204 NJI785859:NJI786204 NTE785859:NTE786204 ODA785859:ODA786204 OMW785859:OMW786204 OWS785859:OWS786204 PGO785859:PGO786204 PQK785859:PQK786204 QAG785859:QAG786204 QKC785859:QKC786204 QTY785859:QTY786204 RDU785859:RDU786204 RNQ785859:RNQ786204 RXM785859:RXM786204 SHI785859:SHI786204 SRE785859:SRE786204 TBA785859:TBA786204 TKW785859:TKW786204 TUS785859:TUS786204 UEO785859:UEO786204 UOK785859:UOK786204 UYG785859:UYG786204 VIC785859:VIC786204 VRY785859:VRY786204 WBU785859:WBU786204 WLQ785859:WLQ786204 WVM785859:WVM786204 P851395:P851740 JA851395:JA851740 SW851395:SW851740 ACS851395:ACS851740 AMO851395:AMO851740 AWK851395:AWK851740 BGG851395:BGG851740 BQC851395:BQC851740 BZY851395:BZY851740 CJU851395:CJU851740 CTQ851395:CTQ851740 DDM851395:DDM851740 DNI851395:DNI851740 DXE851395:DXE851740 EHA851395:EHA851740 EQW851395:EQW851740 FAS851395:FAS851740 FKO851395:FKO851740 FUK851395:FUK851740 GEG851395:GEG851740 GOC851395:GOC851740 GXY851395:GXY851740 HHU851395:HHU851740 HRQ851395:HRQ851740 IBM851395:IBM851740 ILI851395:ILI851740 IVE851395:IVE851740 JFA851395:JFA851740 JOW851395:JOW851740 JYS851395:JYS851740 KIO851395:KIO851740 KSK851395:KSK851740 LCG851395:LCG851740 LMC851395:LMC851740 LVY851395:LVY851740 MFU851395:MFU851740 MPQ851395:MPQ851740 MZM851395:MZM851740 NJI851395:NJI851740 NTE851395:NTE851740 ODA851395:ODA851740 OMW851395:OMW851740 OWS851395:OWS851740 PGO851395:PGO851740 PQK851395:PQK851740 QAG851395:QAG851740 QKC851395:QKC851740 QTY851395:QTY851740 RDU851395:RDU851740 RNQ851395:RNQ851740 RXM851395:RXM851740 SHI851395:SHI851740 SRE851395:SRE851740 TBA851395:TBA851740 TKW851395:TKW851740 TUS851395:TUS851740 UEO851395:UEO851740 UOK851395:UOK851740 UYG851395:UYG851740 VIC851395:VIC851740 VRY851395:VRY851740 WBU851395:WBU851740 WLQ851395:WLQ851740 WVM851395:WVM851740 P916931:P917276 JA916931:JA917276 SW916931:SW917276 ACS916931:ACS917276 AMO916931:AMO917276 AWK916931:AWK917276 BGG916931:BGG917276 BQC916931:BQC917276 BZY916931:BZY917276 CJU916931:CJU917276 CTQ916931:CTQ917276 DDM916931:DDM917276 DNI916931:DNI917276 DXE916931:DXE917276 EHA916931:EHA917276 EQW916931:EQW917276 FAS916931:FAS917276 FKO916931:FKO917276 FUK916931:FUK917276 GEG916931:GEG917276 GOC916931:GOC917276 GXY916931:GXY917276 HHU916931:HHU917276 HRQ916931:HRQ917276 IBM916931:IBM917276 ILI916931:ILI917276 IVE916931:IVE917276 JFA916931:JFA917276 JOW916931:JOW917276 JYS916931:JYS917276 KIO916931:KIO917276 KSK916931:KSK917276 LCG916931:LCG917276 LMC916931:LMC917276 LVY916931:LVY917276 MFU916931:MFU917276 MPQ916931:MPQ917276 MZM916931:MZM917276 NJI916931:NJI917276 NTE916931:NTE917276 ODA916931:ODA917276 OMW916931:OMW917276 OWS916931:OWS917276 PGO916931:PGO917276 PQK916931:PQK917276 QAG916931:QAG917276 QKC916931:QKC917276 QTY916931:QTY917276 RDU916931:RDU917276 RNQ916931:RNQ917276 RXM916931:RXM917276 SHI916931:SHI917276 SRE916931:SRE917276 TBA916931:TBA917276 TKW916931:TKW917276 TUS916931:TUS917276 UEO916931:UEO917276 UOK916931:UOK917276 UYG916931:UYG917276 VIC916931:VIC917276 VRY916931:VRY917276 WBU916931:WBU917276 WLQ916931:WLQ917276 WVM916931:WVM917276 P982467:P982812 JA982467:JA982812 SW982467:SW982812 ACS982467:ACS982812 AMO982467:AMO982812 AWK982467:AWK982812 BGG982467:BGG982812 BQC982467:BQC982812 BZY982467:BZY982812 CJU982467:CJU982812 CTQ982467:CTQ982812 DDM982467:DDM982812 DNI982467:DNI982812 DXE982467:DXE982812 EHA982467:EHA982812 EQW982467:EQW982812 FAS982467:FAS982812 FKO982467:FKO982812 FUK982467:FUK982812 GEG982467:GEG982812 GOC982467:GOC982812 GXY982467:GXY982812 HHU982467:HHU982812 HRQ982467:HRQ982812 IBM982467:IBM982812 ILI982467:ILI982812 IVE982467:IVE982812 JFA982467:JFA982812 JOW982467:JOW982812 JYS982467:JYS982812 KIO982467:KIO982812 KSK982467:KSK982812 LCG982467:LCG982812 LMC982467:LMC982812 LVY982467:LVY982812 MFU982467:MFU982812 MPQ982467:MPQ982812 MZM982467:MZM982812 NJI982467:NJI982812 NTE982467:NTE982812 ODA982467:ODA982812 OMW982467:OMW982812 OWS982467:OWS982812 PGO982467:PGO982812 PQK982467:PQK982812 QAG982467:QAG982812 QKC982467:QKC982812 QTY982467:QTY982812 RDU982467:RDU982812 RNQ982467:RNQ982812 RXM982467:RXM982812 SHI982467:SHI982812 SRE982467:SRE982812 TBA982467:TBA982812 TKW982467:TKW982812 TUS982467:TUS982812 UEO982467:UEO982812 UOK982467:UOK982812 UYG982467:UYG982812 VIC982467:VIC982812 VRY982467:VRY982812 WBU982467:WBU982812 WLQ982467:WLQ982812 WVM982467:WVM982812" xr:uid="{00000000-0002-0000-0C00-000001000000}">
      <formula1>Reg_List</formula1>
    </dataValidation>
    <dataValidation type="list" allowBlank="1" showInputMessage="1" showErrorMessage="1" sqref="A64963:A65308 IL64963:IL65308 SH64963:SH65308 ACD64963:ACD65308 ALZ64963:ALZ65308 AVV64963:AVV65308 BFR64963:BFR65308 BPN64963:BPN65308 BZJ64963:BZJ65308 CJF64963:CJF65308 CTB64963:CTB65308 DCX64963:DCX65308 DMT64963:DMT65308 DWP64963:DWP65308 EGL64963:EGL65308 EQH64963:EQH65308 FAD64963:FAD65308 FJZ64963:FJZ65308 FTV64963:FTV65308 GDR64963:GDR65308 GNN64963:GNN65308 GXJ64963:GXJ65308 HHF64963:HHF65308 HRB64963:HRB65308 IAX64963:IAX65308 IKT64963:IKT65308 IUP64963:IUP65308 JEL64963:JEL65308 JOH64963:JOH65308 JYD64963:JYD65308 KHZ64963:KHZ65308 KRV64963:KRV65308 LBR64963:LBR65308 LLN64963:LLN65308 LVJ64963:LVJ65308 MFF64963:MFF65308 MPB64963:MPB65308 MYX64963:MYX65308 NIT64963:NIT65308 NSP64963:NSP65308 OCL64963:OCL65308 OMH64963:OMH65308 OWD64963:OWD65308 PFZ64963:PFZ65308 PPV64963:PPV65308 PZR64963:PZR65308 QJN64963:QJN65308 QTJ64963:QTJ65308 RDF64963:RDF65308 RNB64963:RNB65308 RWX64963:RWX65308 SGT64963:SGT65308 SQP64963:SQP65308 TAL64963:TAL65308 TKH64963:TKH65308 TUD64963:TUD65308 UDZ64963:UDZ65308 UNV64963:UNV65308 UXR64963:UXR65308 VHN64963:VHN65308 VRJ64963:VRJ65308 WBF64963:WBF65308 WLB64963:WLB65308 WUX64963:WUX65308 A130499:A130844 IL130499:IL130844 SH130499:SH130844 ACD130499:ACD130844 ALZ130499:ALZ130844 AVV130499:AVV130844 BFR130499:BFR130844 BPN130499:BPN130844 BZJ130499:BZJ130844 CJF130499:CJF130844 CTB130499:CTB130844 DCX130499:DCX130844 DMT130499:DMT130844 DWP130499:DWP130844 EGL130499:EGL130844 EQH130499:EQH130844 FAD130499:FAD130844 FJZ130499:FJZ130844 FTV130499:FTV130844 GDR130499:GDR130844 GNN130499:GNN130844 GXJ130499:GXJ130844 HHF130499:HHF130844 HRB130499:HRB130844 IAX130499:IAX130844 IKT130499:IKT130844 IUP130499:IUP130844 JEL130499:JEL130844 JOH130499:JOH130844 JYD130499:JYD130844 KHZ130499:KHZ130844 KRV130499:KRV130844 LBR130499:LBR130844 LLN130499:LLN130844 LVJ130499:LVJ130844 MFF130499:MFF130844 MPB130499:MPB130844 MYX130499:MYX130844 NIT130499:NIT130844 NSP130499:NSP130844 OCL130499:OCL130844 OMH130499:OMH130844 OWD130499:OWD130844 PFZ130499:PFZ130844 PPV130499:PPV130844 PZR130499:PZR130844 QJN130499:QJN130844 QTJ130499:QTJ130844 RDF130499:RDF130844 RNB130499:RNB130844 RWX130499:RWX130844 SGT130499:SGT130844 SQP130499:SQP130844 TAL130499:TAL130844 TKH130499:TKH130844 TUD130499:TUD130844 UDZ130499:UDZ130844 UNV130499:UNV130844 UXR130499:UXR130844 VHN130499:VHN130844 VRJ130499:VRJ130844 WBF130499:WBF130844 WLB130499:WLB130844 WUX130499:WUX130844 A196035:A196380 IL196035:IL196380 SH196035:SH196380 ACD196035:ACD196380 ALZ196035:ALZ196380 AVV196035:AVV196380 BFR196035:BFR196380 BPN196035:BPN196380 BZJ196035:BZJ196380 CJF196035:CJF196380 CTB196035:CTB196380 DCX196035:DCX196380 DMT196035:DMT196380 DWP196035:DWP196380 EGL196035:EGL196380 EQH196035:EQH196380 FAD196035:FAD196380 FJZ196035:FJZ196380 FTV196035:FTV196380 GDR196035:GDR196380 GNN196035:GNN196380 GXJ196035:GXJ196380 HHF196035:HHF196380 HRB196035:HRB196380 IAX196035:IAX196380 IKT196035:IKT196380 IUP196035:IUP196380 JEL196035:JEL196380 JOH196035:JOH196380 JYD196035:JYD196380 KHZ196035:KHZ196380 KRV196035:KRV196380 LBR196035:LBR196380 LLN196035:LLN196380 LVJ196035:LVJ196380 MFF196035:MFF196380 MPB196035:MPB196380 MYX196035:MYX196380 NIT196035:NIT196380 NSP196035:NSP196380 OCL196035:OCL196380 OMH196035:OMH196380 OWD196035:OWD196380 PFZ196035:PFZ196380 PPV196035:PPV196380 PZR196035:PZR196380 QJN196035:QJN196380 QTJ196035:QTJ196380 RDF196035:RDF196380 RNB196035:RNB196380 RWX196035:RWX196380 SGT196035:SGT196380 SQP196035:SQP196380 TAL196035:TAL196380 TKH196035:TKH196380 TUD196035:TUD196380 UDZ196035:UDZ196380 UNV196035:UNV196380 UXR196035:UXR196380 VHN196035:VHN196380 VRJ196035:VRJ196380 WBF196035:WBF196380 WLB196035:WLB196380 WUX196035:WUX196380 A261571:A261916 IL261571:IL261916 SH261571:SH261916 ACD261571:ACD261916 ALZ261571:ALZ261916 AVV261571:AVV261916 BFR261571:BFR261916 BPN261571:BPN261916 BZJ261571:BZJ261916 CJF261571:CJF261916 CTB261571:CTB261916 DCX261571:DCX261916 DMT261571:DMT261916 DWP261571:DWP261916 EGL261571:EGL261916 EQH261571:EQH261916 FAD261571:FAD261916 FJZ261571:FJZ261916 FTV261571:FTV261916 GDR261571:GDR261916 GNN261571:GNN261916 GXJ261571:GXJ261916 HHF261571:HHF261916 HRB261571:HRB261916 IAX261571:IAX261916 IKT261571:IKT261916 IUP261571:IUP261916 JEL261571:JEL261916 JOH261571:JOH261916 JYD261571:JYD261916 KHZ261571:KHZ261916 KRV261571:KRV261916 LBR261571:LBR261916 LLN261571:LLN261916 LVJ261571:LVJ261916 MFF261571:MFF261916 MPB261571:MPB261916 MYX261571:MYX261916 NIT261571:NIT261916 NSP261571:NSP261916 OCL261571:OCL261916 OMH261571:OMH261916 OWD261571:OWD261916 PFZ261571:PFZ261916 PPV261571:PPV261916 PZR261571:PZR261916 QJN261571:QJN261916 QTJ261571:QTJ261916 RDF261571:RDF261916 RNB261571:RNB261916 RWX261571:RWX261916 SGT261571:SGT261916 SQP261571:SQP261916 TAL261571:TAL261916 TKH261571:TKH261916 TUD261571:TUD261916 UDZ261571:UDZ261916 UNV261571:UNV261916 UXR261571:UXR261916 VHN261571:VHN261916 VRJ261571:VRJ261916 WBF261571:WBF261916 WLB261571:WLB261916 WUX261571:WUX261916 A327107:A327452 IL327107:IL327452 SH327107:SH327452 ACD327107:ACD327452 ALZ327107:ALZ327452 AVV327107:AVV327452 BFR327107:BFR327452 BPN327107:BPN327452 BZJ327107:BZJ327452 CJF327107:CJF327452 CTB327107:CTB327452 DCX327107:DCX327452 DMT327107:DMT327452 DWP327107:DWP327452 EGL327107:EGL327452 EQH327107:EQH327452 FAD327107:FAD327452 FJZ327107:FJZ327452 FTV327107:FTV327452 GDR327107:GDR327452 GNN327107:GNN327452 GXJ327107:GXJ327452 HHF327107:HHF327452 HRB327107:HRB327452 IAX327107:IAX327452 IKT327107:IKT327452 IUP327107:IUP327452 JEL327107:JEL327452 JOH327107:JOH327452 JYD327107:JYD327452 KHZ327107:KHZ327452 KRV327107:KRV327452 LBR327107:LBR327452 LLN327107:LLN327452 LVJ327107:LVJ327452 MFF327107:MFF327452 MPB327107:MPB327452 MYX327107:MYX327452 NIT327107:NIT327452 NSP327107:NSP327452 OCL327107:OCL327452 OMH327107:OMH327452 OWD327107:OWD327452 PFZ327107:PFZ327452 PPV327107:PPV327452 PZR327107:PZR327452 QJN327107:QJN327452 QTJ327107:QTJ327452 RDF327107:RDF327452 RNB327107:RNB327452 RWX327107:RWX327452 SGT327107:SGT327452 SQP327107:SQP327452 TAL327107:TAL327452 TKH327107:TKH327452 TUD327107:TUD327452 UDZ327107:UDZ327452 UNV327107:UNV327452 UXR327107:UXR327452 VHN327107:VHN327452 VRJ327107:VRJ327452 WBF327107:WBF327452 WLB327107:WLB327452 WUX327107:WUX327452 A392643:A392988 IL392643:IL392988 SH392643:SH392988 ACD392643:ACD392988 ALZ392643:ALZ392988 AVV392643:AVV392988 BFR392643:BFR392988 BPN392643:BPN392988 BZJ392643:BZJ392988 CJF392643:CJF392988 CTB392643:CTB392988 DCX392643:DCX392988 DMT392643:DMT392988 DWP392643:DWP392988 EGL392643:EGL392988 EQH392643:EQH392988 FAD392643:FAD392988 FJZ392643:FJZ392988 FTV392643:FTV392988 GDR392643:GDR392988 GNN392643:GNN392988 GXJ392643:GXJ392988 HHF392643:HHF392988 HRB392643:HRB392988 IAX392643:IAX392988 IKT392643:IKT392988 IUP392643:IUP392988 JEL392643:JEL392988 JOH392643:JOH392988 JYD392643:JYD392988 KHZ392643:KHZ392988 KRV392643:KRV392988 LBR392643:LBR392988 LLN392643:LLN392988 LVJ392643:LVJ392988 MFF392643:MFF392988 MPB392643:MPB392988 MYX392643:MYX392988 NIT392643:NIT392988 NSP392643:NSP392988 OCL392643:OCL392988 OMH392643:OMH392988 OWD392643:OWD392988 PFZ392643:PFZ392988 PPV392643:PPV392988 PZR392643:PZR392988 QJN392643:QJN392988 QTJ392643:QTJ392988 RDF392643:RDF392988 RNB392643:RNB392988 RWX392643:RWX392988 SGT392643:SGT392988 SQP392643:SQP392988 TAL392643:TAL392988 TKH392643:TKH392988 TUD392643:TUD392988 UDZ392643:UDZ392988 UNV392643:UNV392988 UXR392643:UXR392988 VHN392643:VHN392988 VRJ392643:VRJ392988 WBF392643:WBF392988 WLB392643:WLB392988 WUX392643:WUX392988 A458179:A458524 IL458179:IL458524 SH458179:SH458524 ACD458179:ACD458524 ALZ458179:ALZ458524 AVV458179:AVV458524 BFR458179:BFR458524 BPN458179:BPN458524 BZJ458179:BZJ458524 CJF458179:CJF458524 CTB458179:CTB458524 DCX458179:DCX458524 DMT458179:DMT458524 DWP458179:DWP458524 EGL458179:EGL458524 EQH458179:EQH458524 FAD458179:FAD458524 FJZ458179:FJZ458524 FTV458179:FTV458524 GDR458179:GDR458524 GNN458179:GNN458524 GXJ458179:GXJ458524 HHF458179:HHF458524 HRB458179:HRB458524 IAX458179:IAX458524 IKT458179:IKT458524 IUP458179:IUP458524 JEL458179:JEL458524 JOH458179:JOH458524 JYD458179:JYD458524 KHZ458179:KHZ458524 KRV458179:KRV458524 LBR458179:LBR458524 LLN458179:LLN458524 LVJ458179:LVJ458524 MFF458179:MFF458524 MPB458179:MPB458524 MYX458179:MYX458524 NIT458179:NIT458524 NSP458179:NSP458524 OCL458179:OCL458524 OMH458179:OMH458524 OWD458179:OWD458524 PFZ458179:PFZ458524 PPV458179:PPV458524 PZR458179:PZR458524 QJN458179:QJN458524 QTJ458179:QTJ458524 RDF458179:RDF458524 RNB458179:RNB458524 RWX458179:RWX458524 SGT458179:SGT458524 SQP458179:SQP458524 TAL458179:TAL458524 TKH458179:TKH458524 TUD458179:TUD458524 UDZ458179:UDZ458524 UNV458179:UNV458524 UXR458179:UXR458524 VHN458179:VHN458524 VRJ458179:VRJ458524 WBF458179:WBF458524 WLB458179:WLB458524 WUX458179:WUX458524 A523715:A524060 IL523715:IL524060 SH523715:SH524060 ACD523715:ACD524060 ALZ523715:ALZ524060 AVV523715:AVV524060 BFR523715:BFR524060 BPN523715:BPN524060 BZJ523715:BZJ524060 CJF523715:CJF524060 CTB523715:CTB524060 DCX523715:DCX524060 DMT523715:DMT524060 DWP523715:DWP524060 EGL523715:EGL524060 EQH523715:EQH524060 FAD523715:FAD524060 FJZ523715:FJZ524060 FTV523715:FTV524060 GDR523715:GDR524060 GNN523715:GNN524060 GXJ523715:GXJ524060 HHF523715:HHF524060 HRB523715:HRB524060 IAX523715:IAX524060 IKT523715:IKT524060 IUP523715:IUP524060 JEL523715:JEL524060 JOH523715:JOH524060 JYD523715:JYD524060 KHZ523715:KHZ524060 KRV523715:KRV524060 LBR523715:LBR524060 LLN523715:LLN524060 LVJ523715:LVJ524060 MFF523715:MFF524060 MPB523715:MPB524060 MYX523715:MYX524060 NIT523715:NIT524060 NSP523715:NSP524060 OCL523715:OCL524060 OMH523715:OMH524060 OWD523715:OWD524060 PFZ523715:PFZ524060 PPV523715:PPV524060 PZR523715:PZR524060 QJN523715:QJN524060 QTJ523715:QTJ524060 RDF523715:RDF524060 RNB523715:RNB524060 RWX523715:RWX524060 SGT523715:SGT524060 SQP523715:SQP524060 TAL523715:TAL524060 TKH523715:TKH524060 TUD523715:TUD524060 UDZ523715:UDZ524060 UNV523715:UNV524060 UXR523715:UXR524060 VHN523715:VHN524060 VRJ523715:VRJ524060 WBF523715:WBF524060 WLB523715:WLB524060 WUX523715:WUX524060 A589251:A589596 IL589251:IL589596 SH589251:SH589596 ACD589251:ACD589596 ALZ589251:ALZ589596 AVV589251:AVV589596 BFR589251:BFR589596 BPN589251:BPN589596 BZJ589251:BZJ589596 CJF589251:CJF589596 CTB589251:CTB589596 DCX589251:DCX589596 DMT589251:DMT589596 DWP589251:DWP589596 EGL589251:EGL589596 EQH589251:EQH589596 FAD589251:FAD589596 FJZ589251:FJZ589596 FTV589251:FTV589596 GDR589251:GDR589596 GNN589251:GNN589596 GXJ589251:GXJ589596 HHF589251:HHF589596 HRB589251:HRB589596 IAX589251:IAX589596 IKT589251:IKT589596 IUP589251:IUP589596 JEL589251:JEL589596 JOH589251:JOH589596 JYD589251:JYD589596 KHZ589251:KHZ589596 KRV589251:KRV589596 LBR589251:LBR589596 LLN589251:LLN589596 LVJ589251:LVJ589596 MFF589251:MFF589596 MPB589251:MPB589596 MYX589251:MYX589596 NIT589251:NIT589596 NSP589251:NSP589596 OCL589251:OCL589596 OMH589251:OMH589596 OWD589251:OWD589596 PFZ589251:PFZ589596 PPV589251:PPV589596 PZR589251:PZR589596 QJN589251:QJN589596 QTJ589251:QTJ589596 RDF589251:RDF589596 RNB589251:RNB589596 RWX589251:RWX589596 SGT589251:SGT589596 SQP589251:SQP589596 TAL589251:TAL589596 TKH589251:TKH589596 TUD589251:TUD589596 UDZ589251:UDZ589596 UNV589251:UNV589596 UXR589251:UXR589596 VHN589251:VHN589596 VRJ589251:VRJ589596 WBF589251:WBF589596 WLB589251:WLB589596 WUX589251:WUX589596 A654787:A655132 IL654787:IL655132 SH654787:SH655132 ACD654787:ACD655132 ALZ654787:ALZ655132 AVV654787:AVV655132 BFR654787:BFR655132 BPN654787:BPN655132 BZJ654787:BZJ655132 CJF654787:CJF655132 CTB654787:CTB655132 DCX654787:DCX655132 DMT654787:DMT655132 DWP654787:DWP655132 EGL654787:EGL655132 EQH654787:EQH655132 FAD654787:FAD655132 FJZ654787:FJZ655132 FTV654787:FTV655132 GDR654787:GDR655132 GNN654787:GNN655132 GXJ654787:GXJ655132 HHF654787:HHF655132 HRB654787:HRB655132 IAX654787:IAX655132 IKT654787:IKT655132 IUP654787:IUP655132 JEL654787:JEL655132 JOH654787:JOH655132 JYD654787:JYD655132 KHZ654787:KHZ655132 KRV654787:KRV655132 LBR654787:LBR655132 LLN654787:LLN655132 LVJ654787:LVJ655132 MFF654787:MFF655132 MPB654787:MPB655132 MYX654787:MYX655132 NIT654787:NIT655132 NSP654787:NSP655132 OCL654787:OCL655132 OMH654787:OMH655132 OWD654787:OWD655132 PFZ654787:PFZ655132 PPV654787:PPV655132 PZR654787:PZR655132 QJN654787:QJN655132 QTJ654787:QTJ655132 RDF654787:RDF655132 RNB654787:RNB655132 RWX654787:RWX655132 SGT654787:SGT655132 SQP654787:SQP655132 TAL654787:TAL655132 TKH654787:TKH655132 TUD654787:TUD655132 UDZ654787:UDZ655132 UNV654787:UNV655132 UXR654787:UXR655132 VHN654787:VHN655132 VRJ654787:VRJ655132 WBF654787:WBF655132 WLB654787:WLB655132 WUX654787:WUX655132 A720323:A720668 IL720323:IL720668 SH720323:SH720668 ACD720323:ACD720668 ALZ720323:ALZ720668 AVV720323:AVV720668 BFR720323:BFR720668 BPN720323:BPN720668 BZJ720323:BZJ720668 CJF720323:CJF720668 CTB720323:CTB720668 DCX720323:DCX720668 DMT720323:DMT720668 DWP720323:DWP720668 EGL720323:EGL720668 EQH720323:EQH720668 FAD720323:FAD720668 FJZ720323:FJZ720668 FTV720323:FTV720668 GDR720323:GDR720668 GNN720323:GNN720668 GXJ720323:GXJ720668 HHF720323:HHF720668 HRB720323:HRB720668 IAX720323:IAX720668 IKT720323:IKT720668 IUP720323:IUP720668 JEL720323:JEL720668 JOH720323:JOH720668 JYD720323:JYD720668 KHZ720323:KHZ720668 KRV720323:KRV720668 LBR720323:LBR720668 LLN720323:LLN720668 LVJ720323:LVJ720668 MFF720323:MFF720668 MPB720323:MPB720668 MYX720323:MYX720668 NIT720323:NIT720668 NSP720323:NSP720668 OCL720323:OCL720668 OMH720323:OMH720668 OWD720323:OWD720668 PFZ720323:PFZ720668 PPV720323:PPV720668 PZR720323:PZR720668 QJN720323:QJN720668 QTJ720323:QTJ720668 RDF720323:RDF720668 RNB720323:RNB720668 RWX720323:RWX720668 SGT720323:SGT720668 SQP720323:SQP720668 TAL720323:TAL720668 TKH720323:TKH720668 TUD720323:TUD720668 UDZ720323:UDZ720668 UNV720323:UNV720668 UXR720323:UXR720668 VHN720323:VHN720668 VRJ720323:VRJ720668 WBF720323:WBF720668 WLB720323:WLB720668 WUX720323:WUX720668 A785859:A786204 IL785859:IL786204 SH785859:SH786204 ACD785859:ACD786204 ALZ785859:ALZ786204 AVV785859:AVV786204 BFR785859:BFR786204 BPN785859:BPN786204 BZJ785859:BZJ786204 CJF785859:CJF786204 CTB785859:CTB786204 DCX785859:DCX786204 DMT785859:DMT786204 DWP785859:DWP786204 EGL785859:EGL786204 EQH785859:EQH786204 FAD785859:FAD786204 FJZ785859:FJZ786204 FTV785859:FTV786204 GDR785859:GDR786204 GNN785859:GNN786204 GXJ785859:GXJ786204 HHF785859:HHF786204 HRB785859:HRB786204 IAX785859:IAX786204 IKT785859:IKT786204 IUP785859:IUP786204 JEL785859:JEL786204 JOH785859:JOH786204 JYD785859:JYD786204 KHZ785859:KHZ786204 KRV785859:KRV786204 LBR785859:LBR786204 LLN785859:LLN786204 LVJ785859:LVJ786204 MFF785859:MFF786204 MPB785859:MPB786204 MYX785859:MYX786204 NIT785859:NIT786204 NSP785859:NSP786204 OCL785859:OCL786204 OMH785859:OMH786204 OWD785859:OWD786204 PFZ785859:PFZ786204 PPV785859:PPV786204 PZR785859:PZR786204 QJN785859:QJN786204 QTJ785859:QTJ786204 RDF785859:RDF786204 RNB785859:RNB786204 RWX785859:RWX786204 SGT785859:SGT786204 SQP785859:SQP786204 TAL785859:TAL786204 TKH785859:TKH786204 TUD785859:TUD786204 UDZ785859:UDZ786204 UNV785859:UNV786204 UXR785859:UXR786204 VHN785859:VHN786204 VRJ785859:VRJ786204 WBF785859:WBF786204 WLB785859:WLB786204 WUX785859:WUX786204 A851395:A851740 IL851395:IL851740 SH851395:SH851740 ACD851395:ACD851740 ALZ851395:ALZ851740 AVV851395:AVV851740 BFR851395:BFR851740 BPN851395:BPN851740 BZJ851395:BZJ851740 CJF851395:CJF851740 CTB851395:CTB851740 DCX851395:DCX851740 DMT851395:DMT851740 DWP851395:DWP851740 EGL851395:EGL851740 EQH851395:EQH851740 FAD851395:FAD851740 FJZ851395:FJZ851740 FTV851395:FTV851740 GDR851395:GDR851740 GNN851395:GNN851740 GXJ851395:GXJ851740 HHF851395:HHF851740 HRB851395:HRB851740 IAX851395:IAX851740 IKT851395:IKT851740 IUP851395:IUP851740 JEL851395:JEL851740 JOH851395:JOH851740 JYD851395:JYD851740 KHZ851395:KHZ851740 KRV851395:KRV851740 LBR851395:LBR851740 LLN851395:LLN851740 LVJ851395:LVJ851740 MFF851395:MFF851740 MPB851395:MPB851740 MYX851395:MYX851740 NIT851395:NIT851740 NSP851395:NSP851740 OCL851395:OCL851740 OMH851395:OMH851740 OWD851395:OWD851740 PFZ851395:PFZ851740 PPV851395:PPV851740 PZR851395:PZR851740 QJN851395:QJN851740 QTJ851395:QTJ851740 RDF851395:RDF851740 RNB851395:RNB851740 RWX851395:RWX851740 SGT851395:SGT851740 SQP851395:SQP851740 TAL851395:TAL851740 TKH851395:TKH851740 TUD851395:TUD851740 UDZ851395:UDZ851740 UNV851395:UNV851740 UXR851395:UXR851740 VHN851395:VHN851740 VRJ851395:VRJ851740 WBF851395:WBF851740 WLB851395:WLB851740 WUX851395:WUX851740 A916931:A917276 IL916931:IL917276 SH916931:SH917276 ACD916931:ACD917276 ALZ916931:ALZ917276 AVV916931:AVV917276 BFR916931:BFR917276 BPN916931:BPN917276 BZJ916931:BZJ917276 CJF916931:CJF917276 CTB916931:CTB917276 DCX916931:DCX917276 DMT916931:DMT917276 DWP916931:DWP917276 EGL916931:EGL917276 EQH916931:EQH917276 FAD916931:FAD917276 FJZ916931:FJZ917276 FTV916931:FTV917276 GDR916931:GDR917276 GNN916931:GNN917276 GXJ916931:GXJ917276 HHF916931:HHF917276 HRB916931:HRB917276 IAX916931:IAX917276 IKT916931:IKT917276 IUP916931:IUP917276 JEL916931:JEL917276 JOH916931:JOH917276 JYD916931:JYD917276 KHZ916931:KHZ917276 KRV916931:KRV917276 LBR916931:LBR917276 LLN916931:LLN917276 LVJ916931:LVJ917276 MFF916931:MFF917276 MPB916931:MPB917276 MYX916931:MYX917276 NIT916931:NIT917276 NSP916931:NSP917276 OCL916931:OCL917276 OMH916931:OMH917276 OWD916931:OWD917276 PFZ916931:PFZ917276 PPV916931:PPV917276 PZR916931:PZR917276 QJN916931:QJN917276 QTJ916931:QTJ917276 RDF916931:RDF917276 RNB916931:RNB917276 RWX916931:RWX917276 SGT916931:SGT917276 SQP916931:SQP917276 TAL916931:TAL917276 TKH916931:TKH917276 TUD916931:TUD917276 UDZ916931:UDZ917276 UNV916931:UNV917276 UXR916931:UXR917276 VHN916931:VHN917276 VRJ916931:VRJ917276 WBF916931:WBF917276 WLB916931:WLB917276 WUX916931:WUX917276 A982467:A982812 IL982467:IL982812 SH982467:SH982812 ACD982467:ACD982812 ALZ982467:ALZ982812 AVV982467:AVV982812 BFR982467:BFR982812 BPN982467:BPN982812 BZJ982467:BZJ982812 CJF982467:CJF982812 CTB982467:CTB982812 DCX982467:DCX982812 DMT982467:DMT982812 DWP982467:DWP982812 EGL982467:EGL982812 EQH982467:EQH982812 FAD982467:FAD982812 FJZ982467:FJZ982812 FTV982467:FTV982812 GDR982467:GDR982812 GNN982467:GNN982812 GXJ982467:GXJ982812 HHF982467:HHF982812 HRB982467:HRB982812 IAX982467:IAX982812 IKT982467:IKT982812 IUP982467:IUP982812 JEL982467:JEL982812 JOH982467:JOH982812 JYD982467:JYD982812 KHZ982467:KHZ982812 KRV982467:KRV982812 LBR982467:LBR982812 LLN982467:LLN982812 LVJ982467:LVJ982812 MFF982467:MFF982812 MPB982467:MPB982812 MYX982467:MYX982812 NIT982467:NIT982812 NSP982467:NSP982812 OCL982467:OCL982812 OMH982467:OMH982812 OWD982467:OWD982812 PFZ982467:PFZ982812 PPV982467:PPV982812 PZR982467:PZR982812 QJN982467:QJN982812 QTJ982467:QTJ982812 RDF982467:RDF982812 RNB982467:RNB982812 RWX982467:RWX982812 SGT982467:SGT982812 SQP982467:SQP982812 TAL982467:TAL982812 TKH982467:TKH982812 TUD982467:TUD982812 UDZ982467:UDZ982812 UNV982467:UNV982812 UXR982467:UXR982812 VHN982467:VHN982812 VRJ982467:VRJ982812 WBF982467:WBF982812 WLB982467:WLB982812 WUX982467:WUX982812" xr:uid="{00000000-0002-0000-0C00-000002000000}">
      <formula1>Schedule_List</formula1>
    </dataValidation>
    <dataValidation type="list" allowBlank="1" showInputMessage="1" showErrorMessage="1" sqref="B64963:B65308 IM64963:IM65308 SI64963:SI65308 ACE64963:ACE65308 AMA64963:AMA65308 AVW64963:AVW65308 BFS64963:BFS65308 BPO64963:BPO65308 BZK64963:BZK65308 CJG64963:CJG65308 CTC64963:CTC65308 DCY64963:DCY65308 DMU64963:DMU65308 DWQ64963:DWQ65308 EGM64963:EGM65308 EQI64963:EQI65308 FAE64963:FAE65308 FKA64963:FKA65308 FTW64963:FTW65308 GDS64963:GDS65308 GNO64963:GNO65308 GXK64963:GXK65308 HHG64963:HHG65308 HRC64963:HRC65308 IAY64963:IAY65308 IKU64963:IKU65308 IUQ64963:IUQ65308 JEM64963:JEM65308 JOI64963:JOI65308 JYE64963:JYE65308 KIA64963:KIA65308 KRW64963:KRW65308 LBS64963:LBS65308 LLO64963:LLO65308 LVK64963:LVK65308 MFG64963:MFG65308 MPC64963:MPC65308 MYY64963:MYY65308 NIU64963:NIU65308 NSQ64963:NSQ65308 OCM64963:OCM65308 OMI64963:OMI65308 OWE64963:OWE65308 PGA64963:PGA65308 PPW64963:PPW65308 PZS64963:PZS65308 QJO64963:QJO65308 QTK64963:QTK65308 RDG64963:RDG65308 RNC64963:RNC65308 RWY64963:RWY65308 SGU64963:SGU65308 SQQ64963:SQQ65308 TAM64963:TAM65308 TKI64963:TKI65308 TUE64963:TUE65308 UEA64963:UEA65308 UNW64963:UNW65308 UXS64963:UXS65308 VHO64963:VHO65308 VRK64963:VRK65308 WBG64963:WBG65308 WLC64963:WLC65308 WUY64963:WUY65308 B130499:B130844 IM130499:IM130844 SI130499:SI130844 ACE130499:ACE130844 AMA130499:AMA130844 AVW130499:AVW130844 BFS130499:BFS130844 BPO130499:BPO130844 BZK130499:BZK130844 CJG130499:CJG130844 CTC130499:CTC130844 DCY130499:DCY130844 DMU130499:DMU130844 DWQ130499:DWQ130844 EGM130499:EGM130844 EQI130499:EQI130844 FAE130499:FAE130844 FKA130499:FKA130844 FTW130499:FTW130844 GDS130499:GDS130844 GNO130499:GNO130844 GXK130499:GXK130844 HHG130499:HHG130844 HRC130499:HRC130844 IAY130499:IAY130844 IKU130499:IKU130844 IUQ130499:IUQ130844 JEM130499:JEM130844 JOI130499:JOI130844 JYE130499:JYE130844 KIA130499:KIA130844 KRW130499:KRW130844 LBS130499:LBS130844 LLO130499:LLO130844 LVK130499:LVK130844 MFG130499:MFG130844 MPC130499:MPC130844 MYY130499:MYY130844 NIU130499:NIU130844 NSQ130499:NSQ130844 OCM130499:OCM130844 OMI130499:OMI130844 OWE130499:OWE130844 PGA130499:PGA130844 PPW130499:PPW130844 PZS130499:PZS130844 QJO130499:QJO130844 QTK130499:QTK130844 RDG130499:RDG130844 RNC130499:RNC130844 RWY130499:RWY130844 SGU130499:SGU130844 SQQ130499:SQQ130844 TAM130499:TAM130844 TKI130499:TKI130844 TUE130499:TUE130844 UEA130499:UEA130844 UNW130499:UNW130844 UXS130499:UXS130844 VHO130499:VHO130844 VRK130499:VRK130844 WBG130499:WBG130844 WLC130499:WLC130844 WUY130499:WUY130844 B196035:B196380 IM196035:IM196380 SI196035:SI196380 ACE196035:ACE196380 AMA196035:AMA196380 AVW196035:AVW196380 BFS196035:BFS196380 BPO196035:BPO196380 BZK196035:BZK196380 CJG196035:CJG196380 CTC196035:CTC196380 DCY196035:DCY196380 DMU196035:DMU196380 DWQ196035:DWQ196380 EGM196035:EGM196380 EQI196035:EQI196380 FAE196035:FAE196380 FKA196035:FKA196380 FTW196035:FTW196380 GDS196035:GDS196380 GNO196035:GNO196380 GXK196035:GXK196380 HHG196035:HHG196380 HRC196035:HRC196380 IAY196035:IAY196380 IKU196035:IKU196380 IUQ196035:IUQ196380 JEM196035:JEM196380 JOI196035:JOI196380 JYE196035:JYE196380 KIA196035:KIA196380 KRW196035:KRW196380 LBS196035:LBS196380 LLO196035:LLO196380 LVK196035:LVK196380 MFG196035:MFG196380 MPC196035:MPC196380 MYY196035:MYY196380 NIU196035:NIU196380 NSQ196035:NSQ196380 OCM196035:OCM196380 OMI196035:OMI196380 OWE196035:OWE196380 PGA196035:PGA196380 PPW196035:PPW196380 PZS196035:PZS196380 QJO196035:QJO196380 QTK196035:QTK196380 RDG196035:RDG196380 RNC196035:RNC196380 RWY196035:RWY196380 SGU196035:SGU196380 SQQ196035:SQQ196380 TAM196035:TAM196380 TKI196035:TKI196380 TUE196035:TUE196380 UEA196035:UEA196380 UNW196035:UNW196380 UXS196035:UXS196380 VHO196035:VHO196380 VRK196035:VRK196380 WBG196035:WBG196380 WLC196035:WLC196380 WUY196035:WUY196380 B261571:B261916 IM261571:IM261916 SI261571:SI261916 ACE261571:ACE261916 AMA261571:AMA261916 AVW261571:AVW261916 BFS261571:BFS261916 BPO261571:BPO261916 BZK261571:BZK261916 CJG261571:CJG261916 CTC261571:CTC261916 DCY261571:DCY261916 DMU261571:DMU261916 DWQ261571:DWQ261916 EGM261571:EGM261916 EQI261571:EQI261916 FAE261571:FAE261916 FKA261571:FKA261916 FTW261571:FTW261916 GDS261571:GDS261916 GNO261571:GNO261916 GXK261571:GXK261916 HHG261571:HHG261916 HRC261571:HRC261916 IAY261571:IAY261916 IKU261571:IKU261916 IUQ261571:IUQ261916 JEM261571:JEM261916 JOI261571:JOI261916 JYE261571:JYE261916 KIA261571:KIA261916 KRW261571:KRW261916 LBS261571:LBS261916 LLO261571:LLO261916 LVK261571:LVK261916 MFG261571:MFG261916 MPC261571:MPC261916 MYY261571:MYY261916 NIU261571:NIU261916 NSQ261571:NSQ261916 OCM261571:OCM261916 OMI261571:OMI261916 OWE261571:OWE261916 PGA261571:PGA261916 PPW261571:PPW261916 PZS261571:PZS261916 QJO261571:QJO261916 QTK261571:QTK261916 RDG261571:RDG261916 RNC261571:RNC261916 RWY261571:RWY261916 SGU261571:SGU261916 SQQ261571:SQQ261916 TAM261571:TAM261916 TKI261571:TKI261916 TUE261571:TUE261916 UEA261571:UEA261916 UNW261571:UNW261916 UXS261571:UXS261916 VHO261571:VHO261916 VRK261571:VRK261916 WBG261571:WBG261916 WLC261571:WLC261916 WUY261571:WUY261916 B327107:B327452 IM327107:IM327452 SI327107:SI327452 ACE327107:ACE327452 AMA327107:AMA327452 AVW327107:AVW327452 BFS327107:BFS327452 BPO327107:BPO327452 BZK327107:BZK327452 CJG327107:CJG327452 CTC327107:CTC327452 DCY327107:DCY327452 DMU327107:DMU327452 DWQ327107:DWQ327452 EGM327107:EGM327452 EQI327107:EQI327452 FAE327107:FAE327452 FKA327107:FKA327452 FTW327107:FTW327452 GDS327107:GDS327452 GNO327107:GNO327452 GXK327107:GXK327452 HHG327107:HHG327452 HRC327107:HRC327452 IAY327107:IAY327452 IKU327107:IKU327452 IUQ327107:IUQ327452 JEM327107:JEM327452 JOI327107:JOI327452 JYE327107:JYE327452 KIA327107:KIA327452 KRW327107:KRW327452 LBS327107:LBS327452 LLO327107:LLO327452 LVK327107:LVK327452 MFG327107:MFG327452 MPC327107:MPC327452 MYY327107:MYY327452 NIU327107:NIU327452 NSQ327107:NSQ327452 OCM327107:OCM327452 OMI327107:OMI327452 OWE327107:OWE327452 PGA327107:PGA327452 PPW327107:PPW327452 PZS327107:PZS327452 QJO327107:QJO327452 QTK327107:QTK327452 RDG327107:RDG327452 RNC327107:RNC327452 RWY327107:RWY327452 SGU327107:SGU327452 SQQ327107:SQQ327452 TAM327107:TAM327452 TKI327107:TKI327452 TUE327107:TUE327452 UEA327107:UEA327452 UNW327107:UNW327452 UXS327107:UXS327452 VHO327107:VHO327452 VRK327107:VRK327452 WBG327107:WBG327452 WLC327107:WLC327452 WUY327107:WUY327452 B392643:B392988 IM392643:IM392988 SI392643:SI392988 ACE392643:ACE392988 AMA392643:AMA392988 AVW392643:AVW392988 BFS392643:BFS392988 BPO392643:BPO392988 BZK392643:BZK392988 CJG392643:CJG392988 CTC392643:CTC392988 DCY392643:DCY392988 DMU392643:DMU392988 DWQ392643:DWQ392988 EGM392643:EGM392988 EQI392643:EQI392988 FAE392643:FAE392988 FKA392643:FKA392988 FTW392643:FTW392988 GDS392643:GDS392988 GNO392643:GNO392988 GXK392643:GXK392988 HHG392643:HHG392988 HRC392643:HRC392988 IAY392643:IAY392988 IKU392643:IKU392988 IUQ392643:IUQ392988 JEM392643:JEM392988 JOI392643:JOI392988 JYE392643:JYE392988 KIA392643:KIA392988 KRW392643:KRW392988 LBS392643:LBS392988 LLO392643:LLO392988 LVK392643:LVK392988 MFG392643:MFG392988 MPC392643:MPC392988 MYY392643:MYY392988 NIU392643:NIU392988 NSQ392643:NSQ392988 OCM392643:OCM392988 OMI392643:OMI392988 OWE392643:OWE392988 PGA392643:PGA392988 PPW392643:PPW392988 PZS392643:PZS392988 QJO392643:QJO392988 QTK392643:QTK392988 RDG392643:RDG392988 RNC392643:RNC392988 RWY392643:RWY392988 SGU392643:SGU392988 SQQ392643:SQQ392988 TAM392643:TAM392988 TKI392643:TKI392988 TUE392643:TUE392988 UEA392643:UEA392988 UNW392643:UNW392988 UXS392643:UXS392988 VHO392643:VHO392988 VRK392643:VRK392988 WBG392643:WBG392988 WLC392643:WLC392988 WUY392643:WUY392988 B458179:B458524 IM458179:IM458524 SI458179:SI458524 ACE458179:ACE458524 AMA458179:AMA458524 AVW458179:AVW458524 BFS458179:BFS458524 BPO458179:BPO458524 BZK458179:BZK458524 CJG458179:CJG458524 CTC458179:CTC458524 DCY458179:DCY458524 DMU458179:DMU458524 DWQ458179:DWQ458524 EGM458179:EGM458524 EQI458179:EQI458524 FAE458179:FAE458524 FKA458179:FKA458524 FTW458179:FTW458524 GDS458179:GDS458524 GNO458179:GNO458524 GXK458179:GXK458524 HHG458179:HHG458524 HRC458179:HRC458524 IAY458179:IAY458524 IKU458179:IKU458524 IUQ458179:IUQ458524 JEM458179:JEM458524 JOI458179:JOI458524 JYE458179:JYE458524 KIA458179:KIA458524 KRW458179:KRW458524 LBS458179:LBS458524 LLO458179:LLO458524 LVK458179:LVK458524 MFG458179:MFG458524 MPC458179:MPC458524 MYY458179:MYY458524 NIU458179:NIU458524 NSQ458179:NSQ458524 OCM458179:OCM458524 OMI458179:OMI458524 OWE458179:OWE458524 PGA458179:PGA458524 PPW458179:PPW458524 PZS458179:PZS458524 QJO458179:QJO458524 QTK458179:QTK458524 RDG458179:RDG458524 RNC458179:RNC458524 RWY458179:RWY458524 SGU458179:SGU458524 SQQ458179:SQQ458524 TAM458179:TAM458524 TKI458179:TKI458524 TUE458179:TUE458524 UEA458179:UEA458524 UNW458179:UNW458524 UXS458179:UXS458524 VHO458179:VHO458524 VRK458179:VRK458524 WBG458179:WBG458524 WLC458179:WLC458524 WUY458179:WUY458524 B523715:B524060 IM523715:IM524060 SI523715:SI524060 ACE523715:ACE524060 AMA523715:AMA524060 AVW523715:AVW524060 BFS523715:BFS524060 BPO523715:BPO524060 BZK523715:BZK524060 CJG523715:CJG524060 CTC523715:CTC524060 DCY523715:DCY524060 DMU523715:DMU524060 DWQ523715:DWQ524060 EGM523715:EGM524060 EQI523715:EQI524060 FAE523715:FAE524060 FKA523715:FKA524060 FTW523715:FTW524060 GDS523715:GDS524060 GNO523715:GNO524060 GXK523715:GXK524060 HHG523715:HHG524060 HRC523715:HRC524060 IAY523715:IAY524060 IKU523715:IKU524060 IUQ523715:IUQ524060 JEM523715:JEM524060 JOI523715:JOI524060 JYE523715:JYE524060 KIA523715:KIA524060 KRW523715:KRW524060 LBS523715:LBS524060 LLO523715:LLO524060 LVK523715:LVK524060 MFG523715:MFG524060 MPC523715:MPC524060 MYY523715:MYY524060 NIU523715:NIU524060 NSQ523715:NSQ524060 OCM523715:OCM524060 OMI523715:OMI524060 OWE523715:OWE524060 PGA523715:PGA524060 PPW523715:PPW524060 PZS523715:PZS524060 QJO523715:QJO524060 QTK523715:QTK524060 RDG523715:RDG524060 RNC523715:RNC524060 RWY523715:RWY524060 SGU523715:SGU524060 SQQ523715:SQQ524060 TAM523715:TAM524060 TKI523715:TKI524060 TUE523715:TUE524060 UEA523715:UEA524060 UNW523715:UNW524060 UXS523715:UXS524060 VHO523715:VHO524060 VRK523715:VRK524060 WBG523715:WBG524060 WLC523715:WLC524060 WUY523715:WUY524060 B589251:B589596 IM589251:IM589596 SI589251:SI589596 ACE589251:ACE589596 AMA589251:AMA589596 AVW589251:AVW589596 BFS589251:BFS589596 BPO589251:BPO589596 BZK589251:BZK589596 CJG589251:CJG589596 CTC589251:CTC589596 DCY589251:DCY589596 DMU589251:DMU589596 DWQ589251:DWQ589596 EGM589251:EGM589596 EQI589251:EQI589596 FAE589251:FAE589596 FKA589251:FKA589596 FTW589251:FTW589596 GDS589251:GDS589596 GNO589251:GNO589596 GXK589251:GXK589596 HHG589251:HHG589596 HRC589251:HRC589596 IAY589251:IAY589596 IKU589251:IKU589596 IUQ589251:IUQ589596 JEM589251:JEM589596 JOI589251:JOI589596 JYE589251:JYE589596 KIA589251:KIA589596 KRW589251:KRW589596 LBS589251:LBS589596 LLO589251:LLO589596 LVK589251:LVK589596 MFG589251:MFG589596 MPC589251:MPC589596 MYY589251:MYY589596 NIU589251:NIU589596 NSQ589251:NSQ589596 OCM589251:OCM589596 OMI589251:OMI589596 OWE589251:OWE589596 PGA589251:PGA589596 PPW589251:PPW589596 PZS589251:PZS589596 QJO589251:QJO589596 QTK589251:QTK589596 RDG589251:RDG589596 RNC589251:RNC589596 RWY589251:RWY589596 SGU589251:SGU589596 SQQ589251:SQQ589596 TAM589251:TAM589596 TKI589251:TKI589596 TUE589251:TUE589596 UEA589251:UEA589596 UNW589251:UNW589596 UXS589251:UXS589596 VHO589251:VHO589596 VRK589251:VRK589596 WBG589251:WBG589596 WLC589251:WLC589596 WUY589251:WUY589596 B654787:B655132 IM654787:IM655132 SI654787:SI655132 ACE654787:ACE655132 AMA654787:AMA655132 AVW654787:AVW655132 BFS654787:BFS655132 BPO654787:BPO655132 BZK654787:BZK655132 CJG654787:CJG655132 CTC654787:CTC655132 DCY654787:DCY655132 DMU654787:DMU655132 DWQ654787:DWQ655132 EGM654787:EGM655132 EQI654787:EQI655132 FAE654787:FAE655132 FKA654787:FKA655132 FTW654787:FTW655132 GDS654787:GDS655132 GNO654787:GNO655132 GXK654787:GXK655132 HHG654787:HHG655132 HRC654787:HRC655132 IAY654787:IAY655132 IKU654787:IKU655132 IUQ654787:IUQ655132 JEM654787:JEM655132 JOI654787:JOI655132 JYE654787:JYE655132 KIA654787:KIA655132 KRW654787:KRW655132 LBS654787:LBS655132 LLO654787:LLO655132 LVK654787:LVK655132 MFG654787:MFG655132 MPC654787:MPC655132 MYY654787:MYY655132 NIU654787:NIU655132 NSQ654787:NSQ655132 OCM654787:OCM655132 OMI654787:OMI655132 OWE654787:OWE655132 PGA654787:PGA655132 PPW654787:PPW655132 PZS654787:PZS655132 QJO654787:QJO655132 QTK654787:QTK655132 RDG654787:RDG655132 RNC654787:RNC655132 RWY654787:RWY655132 SGU654787:SGU655132 SQQ654787:SQQ655132 TAM654787:TAM655132 TKI654787:TKI655132 TUE654787:TUE655132 UEA654787:UEA655132 UNW654787:UNW655132 UXS654787:UXS655132 VHO654787:VHO655132 VRK654787:VRK655132 WBG654787:WBG655132 WLC654787:WLC655132 WUY654787:WUY655132 B720323:B720668 IM720323:IM720668 SI720323:SI720668 ACE720323:ACE720668 AMA720323:AMA720668 AVW720323:AVW720668 BFS720323:BFS720668 BPO720323:BPO720668 BZK720323:BZK720668 CJG720323:CJG720668 CTC720323:CTC720668 DCY720323:DCY720668 DMU720323:DMU720668 DWQ720323:DWQ720668 EGM720323:EGM720668 EQI720323:EQI720668 FAE720323:FAE720668 FKA720323:FKA720668 FTW720323:FTW720668 GDS720323:GDS720668 GNO720323:GNO720668 GXK720323:GXK720668 HHG720323:HHG720668 HRC720323:HRC720668 IAY720323:IAY720668 IKU720323:IKU720668 IUQ720323:IUQ720668 JEM720323:JEM720668 JOI720323:JOI720668 JYE720323:JYE720668 KIA720323:KIA720668 KRW720323:KRW720668 LBS720323:LBS720668 LLO720323:LLO720668 LVK720323:LVK720668 MFG720323:MFG720668 MPC720323:MPC720668 MYY720323:MYY720668 NIU720323:NIU720668 NSQ720323:NSQ720668 OCM720323:OCM720668 OMI720323:OMI720668 OWE720323:OWE720668 PGA720323:PGA720668 PPW720323:PPW720668 PZS720323:PZS720668 QJO720323:QJO720668 QTK720323:QTK720668 RDG720323:RDG720668 RNC720323:RNC720668 RWY720323:RWY720668 SGU720323:SGU720668 SQQ720323:SQQ720668 TAM720323:TAM720668 TKI720323:TKI720668 TUE720323:TUE720668 UEA720323:UEA720668 UNW720323:UNW720668 UXS720323:UXS720668 VHO720323:VHO720668 VRK720323:VRK720668 WBG720323:WBG720668 WLC720323:WLC720668 WUY720323:WUY720668 B785859:B786204 IM785859:IM786204 SI785859:SI786204 ACE785859:ACE786204 AMA785859:AMA786204 AVW785859:AVW786204 BFS785859:BFS786204 BPO785859:BPO786204 BZK785859:BZK786204 CJG785859:CJG786204 CTC785859:CTC786204 DCY785859:DCY786204 DMU785859:DMU786204 DWQ785859:DWQ786204 EGM785859:EGM786204 EQI785859:EQI786204 FAE785859:FAE786204 FKA785859:FKA786204 FTW785859:FTW786204 GDS785859:GDS786204 GNO785859:GNO786204 GXK785859:GXK786204 HHG785859:HHG786204 HRC785859:HRC786204 IAY785859:IAY786204 IKU785859:IKU786204 IUQ785859:IUQ786204 JEM785859:JEM786204 JOI785859:JOI786204 JYE785859:JYE786204 KIA785859:KIA786204 KRW785859:KRW786204 LBS785859:LBS786204 LLO785859:LLO786204 LVK785859:LVK786204 MFG785859:MFG786204 MPC785859:MPC786204 MYY785859:MYY786204 NIU785859:NIU786204 NSQ785859:NSQ786204 OCM785859:OCM786204 OMI785859:OMI786204 OWE785859:OWE786204 PGA785859:PGA786204 PPW785859:PPW786204 PZS785859:PZS786204 QJO785859:QJO786204 QTK785859:QTK786204 RDG785859:RDG786204 RNC785859:RNC786204 RWY785859:RWY786204 SGU785859:SGU786204 SQQ785859:SQQ786204 TAM785859:TAM786204 TKI785859:TKI786204 TUE785859:TUE786204 UEA785859:UEA786204 UNW785859:UNW786204 UXS785859:UXS786204 VHO785859:VHO786204 VRK785859:VRK786204 WBG785859:WBG786204 WLC785859:WLC786204 WUY785859:WUY786204 B851395:B851740 IM851395:IM851740 SI851395:SI851740 ACE851395:ACE851740 AMA851395:AMA851740 AVW851395:AVW851740 BFS851395:BFS851740 BPO851395:BPO851740 BZK851395:BZK851740 CJG851395:CJG851740 CTC851395:CTC851740 DCY851395:DCY851740 DMU851395:DMU851740 DWQ851395:DWQ851740 EGM851395:EGM851740 EQI851395:EQI851740 FAE851395:FAE851740 FKA851395:FKA851740 FTW851395:FTW851740 GDS851395:GDS851740 GNO851395:GNO851740 GXK851395:GXK851740 HHG851395:HHG851740 HRC851395:HRC851740 IAY851395:IAY851740 IKU851395:IKU851740 IUQ851395:IUQ851740 JEM851395:JEM851740 JOI851395:JOI851740 JYE851395:JYE851740 KIA851395:KIA851740 KRW851395:KRW851740 LBS851395:LBS851740 LLO851395:LLO851740 LVK851395:LVK851740 MFG851395:MFG851740 MPC851395:MPC851740 MYY851395:MYY851740 NIU851395:NIU851740 NSQ851395:NSQ851740 OCM851395:OCM851740 OMI851395:OMI851740 OWE851395:OWE851740 PGA851395:PGA851740 PPW851395:PPW851740 PZS851395:PZS851740 QJO851395:QJO851740 QTK851395:QTK851740 RDG851395:RDG851740 RNC851395:RNC851740 RWY851395:RWY851740 SGU851395:SGU851740 SQQ851395:SQQ851740 TAM851395:TAM851740 TKI851395:TKI851740 TUE851395:TUE851740 UEA851395:UEA851740 UNW851395:UNW851740 UXS851395:UXS851740 VHO851395:VHO851740 VRK851395:VRK851740 WBG851395:WBG851740 WLC851395:WLC851740 WUY851395:WUY851740 B916931:B917276 IM916931:IM917276 SI916931:SI917276 ACE916931:ACE917276 AMA916931:AMA917276 AVW916931:AVW917276 BFS916931:BFS917276 BPO916931:BPO917276 BZK916931:BZK917276 CJG916931:CJG917276 CTC916931:CTC917276 DCY916931:DCY917276 DMU916931:DMU917276 DWQ916931:DWQ917276 EGM916931:EGM917276 EQI916931:EQI917276 FAE916931:FAE917276 FKA916931:FKA917276 FTW916931:FTW917276 GDS916931:GDS917276 GNO916931:GNO917276 GXK916931:GXK917276 HHG916931:HHG917276 HRC916931:HRC917276 IAY916931:IAY917276 IKU916931:IKU917276 IUQ916931:IUQ917276 JEM916931:JEM917276 JOI916931:JOI917276 JYE916931:JYE917276 KIA916931:KIA917276 KRW916931:KRW917276 LBS916931:LBS917276 LLO916931:LLO917276 LVK916931:LVK917276 MFG916931:MFG917276 MPC916931:MPC917276 MYY916931:MYY917276 NIU916931:NIU917276 NSQ916931:NSQ917276 OCM916931:OCM917276 OMI916931:OMI917276 OWE916931:OWE917276 PGA916931:PGA917276 PPW916931:PPW917276 PZS916931:PZS917276 QJO916931:QJO917276 QTK916931:QTK917276 RDG916931:RDG917276 RNC916931:RNC917276 RWY916931:RWY917276 SGU916931:SGU917276 SQQ916931:SQQ917276 TAM916931:TAM917276 TKI916931:TKI917276 TUE916931:TUE917276 UEA916931:UEA917276 UNW916931:UNW917276 UXS916931:UXS917276 VHO916931:VHO917276 VRK916931:VRK917276 WBG916931:WBG917276 WLC916931:WLC917276 WUY916931:WUY917276 B982467:B982812 IM982467:IM982812 SI982467:SI982812 ACE982467:ACE982812 AMA982467:AMA982812 AVW982467:AVW982812 BFS982467:BFS982812 BPO982467:BPO982812 BZK982467:BZK982812 CJG982467:CJG982812 CTC982467:CTC982812 DCY982467:DCY982812 DMU982467:DMU982812 DWQ982467:DWQ982812 EGM982467:EGM982812 EQI982467:EQI982812 FAE982467:FAE982812 FKA982467:FKA982812 FTW982467:FTW982812 GDS982467:GDS982812 GNO982467:GNO982812 GXK982467:GXK982812 HHG982467:HHG982812 HRC982467:HRC982812 IAY982467:IAY982812 IKU982467:IKU982812 IUQ982467:IUQ982812 JEM982467:JEM982812 JOI982467:JOI982812 JYE982467:JYE982812 KIA982467:KIA982812 KRW982467:KRW982812 LBS982467:LBS982812 LLO982467:LLO982812 LVK982467:LVK982812 MFG982467:MFG982812 MPC982467:MPC982812 MYY982467:MYY982812 NIU982467:NIU982812 NSQ982467:NSQ982812 OCM982467:OCM982812 OMI982467:OMI982812 OWE982467:OWE982812 PGA982467:PGA982812 PPW982467:PPW982812 PZS982467:PZS982812 QJO982467:QJO982812 QTK982467:QTK982812 RDG982467:RDG982812 RNC982467:RNC982812 RWY982467:RWY982812 SGU982467:SGU982812 SQQ982467:SQQ982812 TAM982467:TAM982812 TKI982467:TKI982812 TUE982467:TUE982812 UEA982467:UEA982812 UNW982467:UNW982812 UXS982467:UXS982812 VHO982467:VHO982812 VRK982467:VRK982812 WBG982467:WBG982812 WLC982467:WLC982812 WUY982467:WUY982812" xr:uid="{00000000-0002-0000-0C00-000003000000}">
      <formula1>Insured_List</formula1>
    </dataValidation>
    <dataValidation type="list" allowBlank="1" showInputMessage="1" showErrorMessage="1" sqref="K64963:K65308 IV64963:IV65308 SR64963:SR65308 ACN64963:ACN65308 AMJ64963:AMJ65308 AWF64963:AWF65308 BGB64963:BGB65308 BPX64963:BPX65308 BZT64963:BZT65308 CJP64963:CJP65308 CTL64963:CTL65308 DDH64963:DDH65308 DND64963:DND65308 DWZ64963:DWZ65308 EGV64963:EGV65308 EQR64963:EQR65308 FAN64963:FAN65308 FKJ64963:FKJ65308 FUF64963:FUF65308 GEB64963:GEB65308 GNX64963:GNX65308 GXT64963:GXT65308 HHP64963:HHP65308 HRL64963:HRL65308 IBH64963:IBH65308 ILD64963:ILD65308 IUZ64963:IUZ65308 JEV64963:JEV65308 JOR64963:JOR65308 JYN64963:JYN65308 KIJ64963:KIJ65308 KSF64963:KSF65308 LCB64963:LCB65308 LLX64963:LLX65308 LVT64963:LVT65308 MFP64963:MFP65308 MPL64963:MPL65308 MZH64963:MZH65308 NJD64963:NJD65308 NSZ64963:NSZ65308 OCV64963:OCV65308 OMR64963:OMR65308 OWN64963:OWN65308 PGJ64963:PGJ65308 PQF64963:PQF65308 QAB64963:QAB65308 QJX64963:QJX65308 QTT64963:QTT65308 RDP64963:RDP65308 RNL64963:RNL65308 RXH64963:RXH65308 SHD64963:SHD65308 SQZ64963:SQZ65308 TAV64963:TAV65308 TKR64963:TKR65308 TUN64963:TUN65308 UEJ64963:UEJ65308 UOF64963:UOF65308 UYB64963:UYB65308 VHX64963:VHX65308 VRT64963:VRT65308 WBP64963:WBP65308 WLL64963:WLL65308 WVH64963:WVH65308 K130499:K130844 IV130499:IV130844 SR130499:SR130844 ACN130499:ACN130844 AMJ130499:AMJ130844 AWF130499:AWF130844 BGB130499:BGB130844 BPX130499:BPX130844 BZT130499:BZT130844 CJP130499:CJP130844 CTL130499:CTL130844 DDH130499:DDH130844 DND130499:DND130844 DWZ130499:DWZ130844 EGV130499:EGV130844 EQR130499:EQR130844 FAN130499:FAN130844 FKJ130499:FKJ130844 FUF130499:FUF130844 GEB130499:GEB130844 GNX130499:GNX130844 GXT130499:GXT130844 HHP130499:HHP130844 HRL130499:HRL130844 IBH130499:IBH130844 ILD130499:ILD130844 IUZ130499:IUZ130844 JEV130499:JEV130844 JOR130499:JOR130844 JYN130499:JYN130844 KIJ130499:KIJ130844 KSF130499:KSF130844 LCB130499:LCB130844 LLX130499:LLX130844 LVT130499:LVT130844 MFP130499:MFP130844 MPL130499:MPL130844 MZH130499:MZH130844 NJD130499:NJD130844 NSZ130499:NSZ130844 OCV130499:OCV130844 OMR130499:OMR130844 OWN130499:OWN130844 PGJ130499:PGJ130844 PQF130499:PQF130844 QAB130499:QAB130844 QJX130499:QJX130844 QTT130499:QTT130844 RDP130499:RDP130844 RNL130499:RNL130844 RXH130499:RXH130844 SHD130499:SHD130844 SQZ130499:SQZ130844 TAV130499:TAV130844 TKR130499:TKR130844 TUN130499:TUN130844 UEJ130499:UEJ130844 UOF130499:UOF130844 UYB130499:UYB130844 VHX130499:VHX130844 VRT130499:VRT130844 WBP130499:WBP130844 WLL130499:WLL130844 WVH130499:WVH130844 K196035:K196380 IV196035:IV196380 SR196035:SR196380 ACN196035:ACN196380 AMJ196035:AMJ196380 AWF196035:AWF196380 BGB196035:BGB196380 BPX196035:BPX196380 BZT196035:BZT196380 CJP196035:CJP196380 CTL196035:CTL196380 DDH196035:DDH196380 DND196035:DND196380 DWZ196035:DWZ196380 EGV196035:EGV196380 EQR196035:EQR196380 FAN196035:FAN196380 FKJ196035:FKJ196380 FUF196035:FUF196380 GEB196035:GEB196380 GNX196035:GNX196380 GXT196035:GXT196380 HHP196035:HHP196380 HRL196035:HRL196380 IBH196035:IBH196380 ILD196035:ILD196380 IUZ196035:IUZ196380 JEV196035:JEV196380 JOR196035:JOR196380 JYN196035:JYN196380 KIJ196035:KIJ196380 KSF196035:KSF196380 LCB196035:LCB196380 LLX196035:LLX196380 LVT196035:LVT196380 MFP196035:MFP196380 MPL196035:MPL196380 MZH196035:MZH196380 NJD196035:NJD196380 NSZ196035:NSZ196380 OCV196035:OCV196380 OMR196035:OMR196380 OWN196035:OWN196380 PGJ196035:PGJ196380 PQF196035:PQF196380 QAB196035:QAB196380 QJX196035:QJX196380 QTT196035:QTT196380 RDP196035:RDP196380 RNL196035:RNL196380 RXH196035:RXH196380 SHD196035:SHD196380 SQZ196035:SQZ196380 TAV196035:TAV196380 TKR196035:TKR196380 TUN196035:TUN196380 UEJ196035:UEJ196380 UOF196035:UOF196380 UYB196035:UYB196380 VHX196035:VHX196380 VRT196035:VRT196380 WBP196035:WBP196380 WLL196035:WLL196380 WVH196035:WVH196380 K261571:K261916 IV261571:IV261916 SR261571:SR261916 ACN261571:ACN261916 AMJ261571:AMJ261916 AWF261571:AWF261916 BGB261571:BGB261916 BPX261571:BPX261916 BZT261571:BZT261916 CJP261571:CJP261916 CTL261571:CTL261916 DDH261571:DDH261916 DND261571:DND261916 DWZ261571:DWZ261916 EGV261571:EGV261916 EQR261571:EQR261916 FAN261571:FAN261916 FKJ261571:FKJ261916 FUF261571:FUF261916 GEB261571:GEB261916 GNX261571:GNX261916 GXT261571:GXT261916 HHP261571:HHP261916 HRL261571:HRL261916 IBH261571:IBH261916 ILD261571:ILD261916 IUZ261571:IUZ261916 JEV261571:JEV261916 JOR261571:JOR261916 JYN261571:JYN261916 KIJ261571:KIJ261916 KSF261571:KSF261916 LCB261571:LCB261916 LLX261571:LLX261916 LVT261571:LVT261916 MFP261571:MFP261916 MPL261571:MPL261916 MZH261571:MZH261916 NJD261571:NJD261916 NSZ261571:NSZ261916 OCV261571:OCV261916 OMR261571:OMR261916 OWN261571:OWN261916 PGJ261571:PGJ261916 PQF261571:PQF261916 QAB261571:QAB261916 QJX261571:QJX261916 QTT261571:QTT261916 RDP261571:RDP261916 RNL261571:RNL261916 RXH261571:RXH261916 SHD261571:SHD261916 SQZ261571:SQZ261916 TAV261571:TAV261916 TKR261571:TKR261916 TUN261571:TUN261916 UEJ261571:UEJ261916 UOF261571:UOF261916 UYB261571:UYB261916 VHX261571:VHX261916 VRT261571:VRT261916 WBP261571:WBP261916 WLL261571:WLL261916 WVH261571:WVH261916 K327107:K327452 IV327107:IV327452 SR327107:SR327452 ACN327107:ACN327452 AMJ327107:AMJ327452 AWF327107:AWF327452 BGB327107:BGB327452 BPX327107:BPX327452 BZT327107:BZT327452 CJP327107:CJP327452 CTL327107:CTL327452 DDH327107:DDH327452 DND327107:DND327452 DWZ327107:DWZ327452 EGV327107:EGV327452 EQR327107:EQR327452 FAN327107:FAN327452 FKJ327107:FKJ327452 FUF327107:FUF327452 GEB327107:GEB327452 GNX327107:GNX327452 GXT327107:GXT327452 HHP327107:HHP327452 HRL327107:HRL327452 IBH327107:IBH327452 ILD327107:ILD327452 IUZ327107:IUZ327452 JEV327107:JEV327452 JOR327107:JOR327452 JYN327107:JYN327452 KIJ327107:KIJ327452 KSF327107:KSF327452 LCB327107:LCB327452 LLX327107:LLX327452 LVT327107:LVT327452 MFP327107:MFP327452 MPL327107:MPL327452 MZH327107:MZH327452 NJD327107:NJD327452 NSZ327107:NSZ327452 OCV327107:OCV327452 OMR327107:OMR327452 OWN327107:OWN327452 PGJ327107:PGJ327452 PQF327107:PQF327452 QAB327107:QAB327452 QJX327107:QJX327452 QTT327107:QTT327452 RDP327107:RDP327452 RNL327107:RNL327452 RXH327107:RXH327452 SHD327107:SHD327452 SQZ327107:SQZ327452 TAV327107:TAV327452 TKR327107:TKR327452 TUN327107:TUN327452 UEJ327107:UEJ327452 UOF327107:UOF327452 UYB327107:UYB327452 VHX327107:VHX327452 VRT327107:VRT327452 WBP327107:WBP327452 WLL327107:WLL327452 WVH327107:WVH327452 K392643:K392988 IV392643:IV392988 SR392643:SR392988 ACN392643:ACN392988 AMJ392643:AMJ392988 AWF392643:AWF392988 BGB392643:BGB392988 BPX392643:BPX392988 BZT392643:BZT392988 CJP392643:CJP392988 CTL392643:CTL392988 DDH392643:DDH392988 DND392643:DND392988 DWZ392643:DWZ392988 EGV392643:EGV392988 EQR392643:EQR392988 FAN392643:FAN392988 FKJ392643:FKJ392988 FUF392643:FUF392988 GEB392643:GEB392988 GNX392643:GNX392988 GXT392643:GXT392988 HHP392643:HHP392988 HRL392643:HRL392988 IBH392643:IBH392988 ILD392643:ILD392988 IUZ392643:IUZ392988 JEV392643:JEV392988 JOR392643:JOR392988 JYN392643:JYN392988 KIJ392643:KIJ392988 KSF392643:KSF392988 LCB392643:LCB392988 LLX392643:LLX392988 LVT392643:LVT392988 MFP392643:MFP392988 MPL392643:MPL392988 MZH392643:MZH392988 NJD392643:NJD392988 NSZ392643:NSZ392988 OCV392643:OCV392988 OMR392643:OMR392988 OWN392643:OWN392988 PGJ392643:PGJ392988 PQF392643:PQF392988 QAB392643:QAB392988 QJX392643:QJX392988 QTT392643:QTT392988 RDP392643:RDP392988 RNL392643:RNL392988 RXH392643:RXH392988 SHD392643:SHD392988 SQZ392643:SQZ392988 TAV392643:TAV392988 TKR392643:TKR392988 TUN392643:TUN392988 UEJ392643:UEJ392988 UOF392643:UOF392988 UYB392643:UYB392988 VHX392643:VHX392988 VRT392643:VRT392988 WBP392643:WBP392988 WLL392643:WLL392988 WVH392643:WVH392988 K458179:K458524 IV458179:IV458524 SR458179:SR458524 ACN458179:ACN458524 AMJ458179:AMJ458524 AWF458179:AWF458524 BGB458179:BGB458524 BPX458179:BPX458524 BZT458179:BZT458524 CJP458179:CJP458524 CTL458179:CTL458524 DDH458179:DDH458524 DND458179:DND458524 DWZ458179:DWZ458524 EGV458179:EGV458524 EQR458179:EQR458524 FAN458179:FAN458524 FKJ458179:FKJ458524 FUF458179:FUF458524 GEB458179:GEB458524 GNX458179:GNX458524 GXT458179:GXT458524 HHP458179:HHP458524 HRL458179:HRL458524 IBH458179:IBH458524 ILD458179:ILD458524 IUZ458179:IUZ458524 JEV458179:JEV458524 JOR458179:JOR458524 JYN458179:JYN458524 KIJ458179:KIJ458524 KSF458179:KSF458524 LCB458179:LCB458524 LLX458179:LLX458524 LVT458179:LVT458524 MFP458179:MFP458524 MPL458179:MPL458524 MZH458179:MZH458524 NJD458179:NJD458524 NSZ458179:NSZ458524 OCV458179:OCV458524 OMR458179:OMR458524 OWN458179:OWN458524 PGJ458179:PGJ458524 PQF458179:PQF458524 QAB458179:QAB458524 QJX458179:QJX458524 QTT458179:QTT458524 RDP458179:RDP458524 RNL458179:RNL458524 RXH458179:RXH458524 SHD458179:SHD458524 SQZ458179:SQZ458524 TAV458179:TAV458524 TKR458179:TKR458524 TUN458179:TUN458524 UEJ458179:UEJ458524 UOF458179:UOF458524 UYB458179:UYB458524 VHX458179:VHX458524 VRT458179:VRT458524 WBP458179:WBP458524 WLL458179:WLL458524 WVH458179:WVH458524 K523715:K524060 IV523715:IV524060 SR523715:SR524060 ACN523715:ACN524060 AMJ523715:AMJ524060 AWF523715:AWF524060 BGB523715:BGB524060 BPX523715:BPX524060 BZT523715:BZT524060 CJP523715:CJP524060 CTL523715:CTL524060 DDH523715:DDH524060 DND523715:DND524060 DWZ523715:DWZ524060 EGV523715:EGV524060 EQR523715:EQR524060 FAN523715:FAN524060 FKJ523715:FKJ524060 FUF523715:FUF524060 GEB523715:GEB524060 GNX523715:GNX524060 GXT523715:GXT524060 HHP523715:HHP524060 HRL523715:HRL524060 IBH523715:IBH524060 ILD523715:ILD524060 IUZ523715:IUZ524060 JEV523715:JEV524060 JOR523715:JOR524060 JYN523715:JYN524060 KIJ523715:KIJ524060 KSF523715:KSF524060 LCB523715:LCB524060 LLX523715:LLX524060 LVT523715:LVT524060 MFP523715:MFP524060 MPL523715:MPL524060 MZH523715:MZH524060 NJD523715:NJD524060 NSZ523715:NSZ524060 OCV523715:OCV524060 OMR523715:OMR524060 OWN523715:OWN524060 PGJ523715:PGJ524060 PQF523715:PQF524060 QAB523715:QAB524060 QJX523715:QJX524060 QTT523715:QTT524060 RDP523715:RDP524060 RNL523715:RNL524060 RXH523715:RXH524060 SHD523715:SHD524060 SQZ523715:SQZ524060 TAV523715:TAV524060 TKR523715:TKR524060 TUN523715:TUN524060 UEJ523715:UEJ524060 UOF523715:UOF524060 UYB523715:UYB524060 VHX523715:VHX524060 VRT523715:VRT524060 WBP523715:WBP524060 WLL523715:WLL524060 WVH523715:WVH524060 K589251:K589596 IV589251:IV589596 SR589251:SR589596 ACN589251:ACN589596 AMJ589251:AMJ589596 AWF589251:AWF589596 BGB589251:BGB589596 BPX589251:BPX589596 BZT589251:BZT589596 CJP589251:CJP589596 CTL589251:CTL589596 DDH589251:DDH589596 DND589251:DND589596 DWZ589251:DWZ589596 EGV589251:EGV589596 EQR589251:EQR589596 FAN589251:FAN589596 FKJ589251:FKJ589596 FUF589251:FUF589596 GEB589251:GEB589596 GNX589251:GNX589596 GXT589251:GXT589596 HHP589251:HHP589596 HRL589251:HRL589596 IBH589251:IBH589596 ILD589251:ILD589596 IUZ589251:IUZ589596 JEV589251:JEV589596 JOR589251:JOR589596 JYN589251:JYN589596 KIJ589251:KIJ589596 KSF589251:KSF589596 LCB589251:LCB589596 LLX589251:LLX589596 LVT589251:LVT589596 MFP589251:MFP589596 MPL589251:MPL589596 MZH589251:MZH589596 NJD589251:NJD589596 NSZ589251:NSZ589596 OCV589251:OCV589596 OMR589251:OMR589596 OWN589251:OWN589596 PGJ589251:PGJ589596 PQF589251:PQF589596 QAB589251:QAB589596 QJX589251:QJX589596 QTT589251:QTT589596 RDP589251:RDP589596 RNL589251:RNL589596 RXH589251:RXH589596 SHD589251:SHD589596 SQZ589251:SQZ589596 TAV589251:TAV589596 TKR589251:TKR589596 TUN589251:TUN589596 UEJ589251:UEJ589596 UOF589251:UOF589596 UYB589251:UYB589596 VHX589251:VHX589596 VRT589251:VRT589596 WBP589251:WBP589596 WLL589251:WLL589596 WVH589251:WVH589596 K654787:K655132 IV654787:IV655132 SR654787:SR655132 ACN654787:ACN655132 AMJ654787:AMJ655132 AWF654787:AWF655132 BGB654787:BGB655132 BPX654787:BPX655132 BZT654787:BZT655132 CJP654787:CJP655132 CTL654787:CTL655132 DDH654787:DDH655132 DND654787:DND655132 DWZ654787:DWZ655132 EGV654787:EGV655132 EQR654787:EQR655132 FAN654787:FAN655132 FKJ654787:FKJ655132 FUF654787:FUF655132 GEB654787:GEB655132 GNX654787:GNX655132 GXT654787:GXT655132 HHP654787:HHP655132 HRL654787:HRL655132 IBH654787:IBH655132 ILD654787:ILD655132 IUZ654787:IUZ655132 JEV654787:JEV655132 JOR654787:JOR655132 JYN654787:JYN655132 KIJ654787:KIJ655132 KSF654787:KSF655132 LCB654787:LCB655132 LLX654787:LLX655132 LVT654787:LVT655132 MFP654787:MFP655132 MPL654787:MPL655132 MZH654787:MZH655132 NJD654787:NJD655132 NSZ654787:NSZ655132 OCV654787:OCV655132 OMR654787:OMR655132 OWN654787:OWN655132 PGJ654787:PGJ655132 PQF654787:PQF655132 QAB654787:QAB655132 QJX654787:QJX655132 QTT654787:QTT655132 RDP654787:RDP655132 RNL654787:RNL655132 RXH654787:RXH655132 SHD654787:SHD655132 SQZ654787:SQZ655132 TAV654787:TAV655132 TKR654787:TKR655132 TUN654787:TUN655132 UEJ654787:UEJ655132 UOF654787:UOF655132 UYB654787:UYB655132 VHX654787:VHX655132 VRT654787:VRT655132 WBP654787:WBP655132 WLL654787:WLL655132 WVH654787:WVH655132 K720323:K720668 IV720323:IV720668 SR720323:SR720668 ACN720323:ACN720668 AMJ720323:AMJ720668 AWF720323:AWF720668 BGB720323:BGB720668 BPX720323:BPX720668 BZT720323:BZT720668 CJP720323:CJP720668 CTL720323:CTL720668 DDH720323:DDH720668 DND720323:DND720668 DWZ720323:DWZ720668 EGV720323:EGV720668 EQR720323:EQR720668 FAN720323:FAN720668 FKJ720323:FKJ720668 FUF720323:FUF720668 GEB720323:GEB720668 GNX720323:GNX720668 GXT720323:GXT720668 HHP720323:HHP720668 HRL720323:HRL720668 IBH720323:IBH720668 ILD720323:ILD720668 IUZ720323:IUZ720668 JEV720323:JEV720668 JOR720323:JOR720668 JYN720323:JYN720668 KIJ720323:KIJ720668 KSF720323:KSF720668 LCB720323:LCB720668 LLX720323:LLX720668 LVT720323:LVT720668 MFP720323:MFP720668 MPL720323:MPL720668 MZH720323:MZH720668 NJD720323:NJD720668 NSZ720323:NSZ720668 OCV720323:OCV720668 OMR720323:OMR720668 OWN720323:OWN720668 PGJ720323:PGJ720668 PQF720323:PQF720668 QAB720323:QAB720668 QJX720323:QJX720668 QTT720323:QTT720668 RDP720323:RDP720668 RNL720323:RNL720668 RXH720323:RXH720668 SHD720323:SHD720668 SQZ720323:SQZ720668 TAV720323:TAV720668 TKR720323:TKR720668 TUN720323:TUN720668 UEJ720323:UEJ720668 UOF720323:UOF720668 UYB720323:UYB720668 VHX720323:VHX720668 VRT720323:VRT720668 WBP720323:WBP720668 WLL720323:WLL720668 WVH720323:WVH720668 K785859:K786204 IV785859:IV786204 SR785859:SR786204 ACN785859:ACN786204 AMJ785859:AMJ786204 AWF785859:AWF786204 BGB785859:BGB786204 BPX785859:BPX786204 BZT785859:BZT786204 CJP785859:CJP786204 CTL785859:CTL786204 DDH785859:DDH786204 DND785859:DND786204 DWZ785859:DWZ786204 EGV785859:EGV786204 EQR785859:EQR786204 FAN785859:FAN786204 FKJ785859:FKJ786204 FUF785859:FUF786204 GEB785859:GEB786204 GNX785859:GNX786204 GXT785859:GXT786204 HHP785859:HHP786204 HRL785859:HRL786204 IBH785859:IBH786204 ILD785859:ILD786204 IUZ785859:IUZ786204 JEV785859:JEV786204 JOR785859:JOR786204 JYN785859:JYN786204 KIJ785859:KIJ786204 KSF785859:KSF786204 LCB785859:LCB786204 LLX785859:LLX786204 LVT785859:LVT786204 MFP785859:MFP786204 MPL785859:MPL786204 MZH785859:MZH786204 NJD785859:NJD786204 NSZ785859:NSZ786204 OCV785859:OCV786204 OMR785859:OMR786204 OWN785859:OWN786204 PGJ785859:PGJ786204 PQF785859:PQF786204 QAB785859:QAB786204 QJX785859:QJX786204 QTT785859:QTT786204 RDP785859:RDP786204 RNL785859:RNL786204 RXH785859:RXH786204 SHD785859:SHD786204 SQZ785859:SQZ786204 TAV785859:TAV786204 TKR785859:TKR786204 TUN785859:TUN786204 UEJ785859:UEJ786204 UOF785859:UOF786204 UYB785859:UYB786204 VHX785859:VHX786204 VRT785859:VRT786204 WBP785859:WBP786204 WLL785859:WLL786204 WVH785859:WVH786204 K851395:K851740 IV851395:IV851740 SR851395:SR851740 ACN851395:ACN851740 AMJ851395:AMJ851740 AWF851395:AWF851740 BGB851395:BGB851740 BPX851395:BPX851740 BZT851395:BZT851740 CJP851395:CJP851740 CTL851395:CTL851740 DDH851395:DDH851740 DND851395:DND851740 DWZ851395:DWZ851740 EGV851395:EGV851740 EQR851395:EQR851740 FAN851395:FAN851740 FKJ851395:FKJ851740 FUF851395:FUF851740 GEB851395:GEB851740 GNX851395:GNX851740 GXT851395:GXT851740 HHP851395:HHP851740 HRL851395:HRL851740 IBH851395:IBH851740 ILD851395:ILD851740 IUZ851395:IUZ851740 JEV851395:JEV851740 JOR851395:JOR851740 JYN851395:JYN851740 KIJ851395:KIJ851740 KSF851395:KSF851740 LCB851395:LCB851740 LLX851395:LLX851740 LVT851395:LVT851740 MFP851395:MFP851740 MPL851395:MPL851740 MZH851395:MZH851740 NJD851395:NJD851740 NSZ851395:NSZ851740 OCV851395:OCV851740 OMR851395:OMR851740 OWN851395:OWN851740 PGJ851395:PGJ851740 PQF851395:PQF851740 QAB851395:QAB851740 QJX851395:QJX851740 QTT851395:QTT851740 RDP851395:RDP851740 RNL851395:RNL851740 RXH851395:RXH851740 SHD851395:SHD851740 SQZ851395:SQZ851740 TAV851395:TAV851740 TKR851395:TKR851740 TUN851395:TUN851740 UEJ851395:UEJ851740 UOF851395:UOF851740 UYB851395:UYB851740 VHX851395:VHX851740 VRT851395:VRT851740 WBP851395:WBP851740 WLL851395:WLL851740 WVH851395:WVH851740 K916931:K917276 IV916931:IV917276 SR916931:SR917276 ACN916931:ACN917276 AMJ916931:AMJ917276 AWF916931:AWF917276 BGB916931:BGB917276 BPX916931:BPX917276 BZT916931:BZT917276 CJP916931:CJP917276 CTL916931:CTL917276 DDH916931:DDH917276 DND916931:DND917276 DWZ916931:DWZ917276 EGV916931:EGV917276 EQR916931:EQR917276 FAN916931:FAN917276 FKJ916931:FKJ917276 FUF916931:FUF917276 GEB916931:GEB917276 GNX916931:GNX917276 GXT916931:GXT917276 HHP916931:HHP917276 HRL916931:HRL917276 IBH916931:IBH917276 ILD916931:ILD917276 IUZ916931:IUZ917276 JEV916931:JEV917276 JOR916931:JOR917276 JYN916931:JYN917276 KIJ916931:KIJ917276 KSF916931:KSF917276 LCB916931:LCB917276 LLX916931:LLX917276 LVT916931:LVT917276 MFP916931:MFP917276 MPL916931:MPL917276 MZH916931:MZH917276 NJD916931:NJD917276 NSZ916931:NSZ917276 OCV916931:OCV917276 OMR916931:OMR917276 OWN916931:OWN917276 PGJ916931:PGJ917276 PQF916931:PQF917276 QAB916931:QAB917276 QJX916931:QJX917276 QTT916931:QTT917276 RDP916931:RDP917276 RNL916931:RNL917276 RXH916931:RXH917276 SHD916931:SHD917276 SQZ916931:SQZ917276 TAV916931:TAV917276 TKR916931:TKR917276 TUN916931:TUN917276 UEJ916931:UEJ917276 UOF916931:UOF917276 UYB916931:UYB917276 VHX916931:VHX917276 VRT916931:VRT917276 WBP916931:WBP917276 WLL916931:WLL917276 WVH916931:WVH917276 K982467:K982812 IV982467:IV982812 SR982467:SR982812 ACN982467:ACN982812 AMJ982467:AMJ982812 AWF982467:AWF982812 BGB982467:BGB982812 BPX982467:BPX982812 BZT982467:BZT982812 CJP982467:CJP982812 CTL982467:CTL982812 DDH982467:DDH982812 DND982467:DND982812 DWZ982467:DWZ982812 EGV982467:EGV982812 EQR982467:EQR982812 FAN982467:FAN982812 FKJ982467:FKJ982812 FUF982467:FUF982812 GEB982467:GEB982812 GNX982467:GNX982812 GXT982467:GXT982812 HHP982467:HHP982812 HRL982467:HRL982812 IBH982467:IBH982812 ILD982467:ILD982812 IUZ982467:IUZ982812 JEV982467:JEV982812 JOR982467:JOR982812 JYN982467:JYN982812 KIJ982467:KIJ982812 KSF982467:KSF982812 LCB982467:LCB982812 LLX982467:LLX982812 LVT982467:LVT982812 MFP982467:MFP982812 MPL982467:MPL982812 MZH982467:MZH982812 NJD982467:NJD982812 NSZ982467:NSZ982812 OCV982467:OCV982812 OMR982467:OMR982812 OWN982467:OWN982812 PGJ982467:PGJ982812 PQF982467:PQF982812 QAB982467:QAB982812 QJX982467:QJX982812 QTT982467:QTT982812 RDP982467:RDP982812 RNL982467:RNL982812 RXH982467:RXH982812 SHD982467:SHD982812 SQZ982467:SQZ982812 TAV982467:TAV982812 TKR982467:TKR982812 TUN982467:TUN982812 UEJ982467:UEJ982812 UOF982467:UOF982812 UYB982467:UYB982812 VHX982467:VHX982812 VRT982467:VRT982812 WBP982467:WBP982812 WLL982467:WLL982812 WVH982467:WVH982812 F64963:F65308 IQ64963:IQ65308 SM64963:SM65308 ACI64963:ACI65308 AME64963:AME65308 AWA64963:AWA65308 BFW64963:BFW65308 BPS64963:BPS65308 BZO64963:BZO65308 CJK64963:CJK65308 CTG64963:CTG65308 DDC64963:DDC65308 DMY64963:DMY65308 DWU64963:DWU65308 EGQ64963:EGQ65308 EQM64963:EQM65308 FAI64963:FAI65308 FKE64963:FKE65308 FUA64963:FUA65308 GDW64963:GDW65308 GNS64963:GNS65308 GXO64963:GXO65308 HHK64963:HHK65308 HRG64963:HRG65308 IBC64963:IBC65308 IKY64963:IKY65308 IUU64963:IUU65308 JEQ64963:JEQ65308 JOM64963:JOM65308 JYI64963:JYI65308 KIE64963:KIE65308 KSA64963:KSA65308 LBW64963:LBW65308 LLS64963:LLS65308 LVO64963:LVO65308 MFK64963:MFK65308 MPG64963:MPG65308 MZC64963:MZC65308 NIY64963:NIY65308 NSU64963:NSU65308 OCQ64963:OCQ65308 OMM64963:OMM65308 OWI64963:OWI65308 PGE64963:PGE65308 PQA64963:PQA65308 PZW64963:PZW65308 QJS64963:QJS65308 QTO64963:QTO65308 RDK64963:RDK65308 RNG64963:RNG65308 RXC64963:RXC65308 SGY64963:SGY65308 SQU64963:SQU65308 TAQ64963:TAQ65308 TKM64963:TKM65308 TUI64963:TUI65308 UEE64963:UEE65308 UOA64963:UOA65308 UXW64963:UXW65308 VHS64963:VHS65308 VRO64963:VRO65308 WBK64963:WBK65308 WLG64963:WLG65308 WVC64963:WVC65308 F130499:F130844 IQ130499:IQ130844 SM130499:SM130844 ACI130499:ACI130844 AME130499:AME130844 AWA130499:AWA130844 BFW130499:BFW130844 BPS130499:BPS130844 BZO130499:BZO130844 CJK130499:CJK130844 CTG130499:CTG130844 DDC130499:DDC130844 DMY130499:DMY130844 DWU130499:DWU130844 EGQ130499:EGQ130844 EQM130499:EQM130844 FAI130499:FAI130844 FKE130499:FKE130844 FUA130499:FUA130844 GDW130499:GDW130844 GNS130499:GNS130844 GXO130499:GXO130844 HHK130499:HHK130844 HRG130499:HRG130844 IBC130499:IBC130844 IKY130499:IKY130844 IUU130499:IUU130844 JEQ130499:JEQ130844 JOM130499:JOM130844 JYI130499:JYI130844 KIE130499:KIE130844 KSA130499:KSA130844 LBW130499:LBW130844 LLS130499:LLS130844 LVO130499:LVO130844 MFK130499:MFK130844 MPG130499:MPG130844 MZC130499:MZC130844 NIY130499:NIY130844 NSU130499:NSU130844 OCQ130499:OCQ130844 OMM130499:OMM130844 OWI130499:OWI130844 PGE130499:PGE130844 PQA130499:PQA130844 PZW130499:PZW130844 QJS130499:QJS130844 QTO130499:QTO130844 RDK130499:RDK130844 RNG130499:RNG130844 RXC130499:RXC130844 SGY130499:SGY130844 SQU130499:SQU130844 TAQ130499:TAQ130844 TKM130499:TKM130844 TUI130499:TUI130844 UEE130499:UEE130844 UOA130499:UOA130844 UXW130499:UXW130844 VHS130499:VHS130844 VRO130499:VRO130844 WBK130499:WBK130844 WLG130499:WLG130844 WVC130499:WVC130844 F196035:F196380 IQ196035:IQ196380 SM196035:SM196380 ACI196035:ACI196380 AME196035:AME196380 AWA196035:AWA196380 BFW196035:BFW196380 BPS196035:BPS196380 BZO196035:BZO196380 CJK196035:CJK196380 CTG196035:CTG196380 DDC196035:DDC196380 DMY196035:DMY196380 DWU196035:DWU196380 EGQ196035:EGQ196380 EQM196035:EQM196380 FAI196035:FAI196380 FKE196035:FKE196380 FUA196035:FUA196380 GDW196035:GDW196380 GNS196035:GNS196380 GXO196035:GXO196380 HHK196035:HHK196380 HRG196035:HRG196380 IBC196035:IBC196380 IKY196035:IKY196380 IUU196035:IUU196380 JEQ196035:JEQ196380 JOM196035:JOM196380 JYI196035:JYI196380 KIE196035:KIE196380 KSA196035:KSA196380 LBW196035:LBW196380 LLS196035:LLS196380 LVO196035:LVO196380 MFK196035:MFK196380 MPG196035:MPG196380 MZC196035:MZC196380 NIY196035:NIY196380 NSU196035:NSU196380 OCQ196035:OCQ196380 OMM196035:OMM196380 OWI196035:OWI196380 PGE196035:PGE196380 PQA196035:PQA196380 PZW196035:PZW196380 QJS196035:QJS196380 QTO196035:QTO196380 RDK196035:RDK196380 RNG196035:RNG196380 RXC196035:RXC196380 SGY196035:SGY196380 SQU196035:SQU196380 TAQ196035:TAQ196380 TKM196035:TKM196380 TUI196035:TUI196380 UEE196035:UEE196380 UOA196035:UOA196380 UXW196035:UXW196380 VHS196035:VHS196380 VRO196035:VRO196380 WBK196035:WBK196380 WLG196035:WLG196380 WVC196035:WVC196380 F261571:F261916 IQ261571:IQ261916 SM261571:SM261916 ACI261571:ACI261916 AME261571:AME261916 AWA261571:AWA261916 BFW261571:BFW261916 BPS261571:BPS261916 BZO261571:BZO261916 CJK261571:CJK261916 CTG261571:CTG261916 DDC261571:DDC261916 DMY261571:DMY261916 DWU261571:DWU261916 EGQ261571:EGQ261916 EQM261571:EQM261916 FAI261571:FAI261916 FKE261571:FKE261916 FUA261571:FUA261916 GDW261571:GDW261916 GNS261571:GNS261916 GXO261571:GXO261916 HHK261571:HHK261916 HRG261571:HRG261916 IBC261571:IBC261916 IKY261571:IKY261916 IUU261571:IUU261916 JEQ261571:JEQ261916 JOM261571:JOM261916 JYI261571:JYI261916 KIE261571:KIE261916 KSA261571:KSA261916 LBW261571:LBW261916 LLS261571:LLS261916 LVO261571:LVO261916 MFK261571:MFK261916 MPG261571:MPG261916 MZC261571:MZC261916 NIY261571:NIY261916 NSU261571:NSU261916 OCQ261571:OCQ261916 OMM261571:OMM261916 OWI261571:OWI261916 PGE261571:PGE261916 PQA261571:PQA261916 PZW261571:PZW261916 QJS261571:QJS261916 QTO261571:QTO261916 RDK261571:RDK261916 RNG261571:RNG261916 RXC261571:RXC261916 SGY261571:SGY261916 SQU261571:SQU261916 TAQ261571:TAQ261916 TKM261571:TKM261916 TUI261571:TUI261916 UEE261571:UEE261916 UOA261571:UOA261916 UXW261571:UXW261916 VHS261571:VHS261916 VRO261571:VRO261916 WBK261571:WBK261916 WLG261571:WLG261916 WVC261571:WVC261916 F327107:F327452 IQ327107:IQ327452 SM327107:SM327452 ACI327107:ACI327452 AME327107:AME327452 AWA327107:AWA327452 BFW327107:BFW327452 BPS327107:BPS327452 BZO327107:BZO327452 CJK327107:CJK327452 CTG327107:CTG327452 DDC327107:DDC327452 DMY327107:DMY327452 DWU327107:DWU327452 EGQ327107:EGQ327452 EQM327107:EQM327452 FAI327107:FAI327452 FKE327107:FKE327452 FUA327107:FUA327452 GDW327107:GDW327452 GNS327107:GNS327452 GXO327107:GXO327452 HHK327107:HHK327452 HRG327107:HRG327452 IBC327107:IBC327452 IKY327107:IKY327452 IUU327107:IUU327452 JEQ327107:JEQ327452 JOM327107:JOM327452 JYI327107:JYI327452 KIE327107:KIE327452 KSA327107:KSA327452 LBW327107:LBW327452 LLS327107:LLS327452 LVO327107:LVO327452 MFK327107:MFK327452 MPG327107:MPG327452 MZC327107:MZC327452 NIY327107:NIY327452 NSU327107:NSU327452 OCQ327107:OCQ327452 OMM327107:OMM327452 OWI327107:OWI327452 PGE327107:PGE327452 PQA327107:PQA327452 PZW327107:PZW327452 QJS327107:QJS327452 QTO327107:QTO327452 RDK327107:RDK327452 RNG327107:RNG327452 RXC327107:RXC327452 SGY327107:SGY327452 SQU327107:SQU327452 TAQ327107:TAQ327452 TKM327107:TKM327452 TUI327107:TUI327452 UEE327107:UEE327452 UOA327107:UOA327452 UXW327107:UXW327452 VHS327107:VHS327452 VRO327107:VRO327452 WBK327107:WBK327452 WLG327107:WLG327452 WVC327107:WVC327452 F392643:F392988 IQ392643:IQ392988 SM392643:SM392988 ACI392643:ACI392988 AME392643:AME392988 AWA392643:AWA392988 BFW392643:BFW392988 BPS392643:BPS392988 BZO392643:BZO392988 CJK392643:CJK392988 CTG392643:CTG392988 DDC392643:DDC392988 DMY392643:DMY392988 DWU392643:DWU392988 EGQ392643:EGQ392988 EQM392643:EQM392988 FAI392643:FAI392988 FKE392643:FKE392988 FUA392643:FUA392988 GDW392643:GDW392988 GNS392643:GNS392988 GXO392643:GXO392988 HHK392643:HHK392988 HRG392643:HRG392988 IBC392643:IBC392988 IKY392643:IKY392988 IUU392643:IUU392988 JEQ392643:JEQ392988 JOM392643:JOM392988 JYI392643:JYI392988 KIE392643:KIE392988 KSA392643:KSA392988 LBW392643:LBW392988 LLS392643:LLS392988 LVO392643:LVO392988 MFK392643:MFK392988 MPG392643:MPG392988 MZC392643:MZC392988 NIY392643:NIY392988 NSU392643:NSU392988 OCQ392643:OCQ392988 OMM392643:OMM392988 OWI392643:OWI392988 PGE392643:PGE392988 PQA392643:PQA392988 PZW392643:PZW392988 QJS392643:QJS392988 QTO392643:QTO392988 RDK392643:RDK392988 RNG392643:RNG392988 RXC392643:RXC392988 SGY392643:SGY392988 SQU392643:SQU392988 TAQ392643:TAQ392988 TKM392643:TKM392988 TUI392643:TUI392988 UEE392643:UEE392988 UOA392643:UOA392988 UXW392643:UXW392988 VHS392643:VHS392988 VRO392643:VRO392988 WBK392643:WBK392988 WLG392643:WLG392988 WVC392643:WVC392988 F458179:F458524 IQ458179:IQ458524 SM458179:SM458524 ACI458179:ACI458524 AME458179:AME458524 AWA458179:AWA458524 BFW458179:BFW458524 BPS458179:BPS458524 BZO458179:BZO458524 CJK458179:CJK458524 CTG458179:CTG458524 DDC458179:DDC458524 DMY458179:DMY458524 DWU458179:DWU458524 EGQ458179:EGQ458524 EQM458179:EQM458524 FAI458179:FAI458524 FKE458179:FKE458524 FUA458179:FUA458524 GDW458179:GDW458524 GNS458179:GNS458524 GXO458179:GXO458524 HHK458179:HHK458524 HRG458179:HRG458524 IBC458179:IBC458524 IKY458179:IKY458524 IUU458179:IUU458524 JEQ458179:JEQ458524 JOM458179:JOM458524 JYI458179:JYI458524 KIE458179:KIE458524 KSA458179:KSA458524 LBW458179:LBW458524 LLS458179:LLS458524 LVO458179:LVO458524 MFK458179:MFK458524 MPG458179:MPG458524 MZC458179:MZC458524 NIY458179:NIY458524 NSU458179:NSU458524 OCQ458179:OCQ458524 OMM458179:OMM458524 OWI458179:OWI458524 PGE458179:PGE458524 PQA458179:PQA458524 PZW458179:PZW458524 QJS458179:QJS458524 QTO458179:QTO458524 RDK458179:RDK458524 RNG458179:RNG458524 RXC458179:RXC458524 SGY458179:SGY458524 SQU458179:SQU458524 TAQ458179:TAQ458524 TKM458179:TKM458524 TUI458179:TUI458524 UEE458179:UEE458524 UOA458179:UOA458524 UXW458179:UXW458524 VHS458179:VHS458524 VRO458179:VRO458524 WBK458179:WBK458524 WLG458179:WLG458524 WVC458179:WVC458524 F523715:F524060 IQ523715:IQ524060 SM523715:SM524060 ACI523715:ACI524060 AME523715:AME524060 AWA523715:AWA524060 BFW523715:BFW524060 BPS523715:BPS524060 BZO523715:BZO524060 CJK523715:CJK524060 CTG523715:CTG524060 DDC523715:DDC524060 DMY523715:DMY524060 DWU523715:DWU524060 EGQ523715:EGQ524060 EQM523715:EQM524060 FAI523715:FAI524060 FKE523715:FKE524060 FUA523715:FUA524060 GDW523715:GDW524060 GNS523715:GNS524060 GXO523715:GXO524060 HHK523715:HHK524060 HRG523715:HRG524060 IBC523715:IBC524060 IKY523715:IKY524060 IUU523715:IUU524060 JEQ523715:JEQ524060 JOM523715:JOM524060 JYI523715:JYI524060 KIE523715:KIE524060 KSA523715:KSA524060 LBW523715:LBW524060 LLS523715:LLS524060 LVO523715:LVO524060 MFK523715:MFK524060 MPG523715:MPG524060 MZC523715:MZC524060 NIY523715:NIY524060 NSU523715:NSU524060 OCQ523715:OCQ524060 OMM523715:OMM524060 OWI523715:OWI524060 PGE523715:PGE524060 PQA523715:PQA524060 PZW523715:PZW524060 QJS523715:QJS524060 QTO523715:QTO524060 RDK523715:RDK524060 RNG523715:RNG524060 RXC523715:RXC524060 SGY523715:SGY524060 SQU523715:SQU524060 TAQ523715:TAQ524060 TKM523715:TKM524060 TUI523715:TUI524060 UEE523715:UEE524060 UOA523715:UOA524060 UXW523715:UXW524060 VHS523715:VHS524060 VRO523715:VRO524060 WBK523715:WBK524060 WLG523715:WLG524060 WVC523715:WVC524060 F589251:F589596 IQ589251:IQ589596 SM589251:SM589596 ACI589251:ACI589596 AME589251:AME589596 AWA589251:AWA589596 BFW589251:BFW589596 BPS589251:BPS589596 BZO589251:BZO589596 CJK589251:CJK589596 CTG589251:CTG589596 DDC589251:DDC589596 DMY589251:DMY589596 DWU589251:DWU589596 EGQ589251:EGQ589596 EQM589251:EQM589596 FAI589251:FAI589596 FKE589251:FKE589596 FUA589251:FUA589596 GDW589251:GDW589596 GNS589251:GNS589596 GXO589251:GXO589596 HHK589251:HHK589596 HRG589251:HRG589596 IBC589251:IBC589596 IKY589251:IKY589596 IUU589251:IUU589596 JEQ589251:JEQ589596 JOM589251:JOM589596 JYI589251:JYI589596 KIE589251:KIE589596 KSA589251:KSA589596 LBW589251:LBW589596 LLS589251:LLS589596 LVO589251:LVO589596 MFK589251:MFK589596 MPG589251:MPG589596 MZC589251:MZC589596 NIY589251:NIY589596 NSU589251:NSU589596 OCQ589251:OCQ589596 OMM589251:OMM589596 OWI589251:OWI589596 PGE589251:PGE589596 PQA589251:PQA589596 PZW589251:PZW589596 QJS589251:QJS589596 QTO589251:QTO589596 RDK589251:RDK589596 RNG589251:RNG589596 RXC589251:RXC589596 SGY589251:SGY589596 SQU589251:SQU589596 TAQ589251:TAQ589596 TKM589251:TKM589596 TUI589251:TUI589596 UEE589251:UEE589596 UOA589251:UOA589596 UXW589251:UXW589596 VHS589251:VHS589596 VRO589251:VRO589596 WBK589251:WBK589596 WLG589251:WLG589596 WVC589251:WVC589596 F654787:F655132 IQ654787:IQ655132 SM654787:SM655132 ACI654787:ACI655132 AME654787:AME655132 AWA654787:AWA655132 BFW654787:BFW655132 BPS654787:BPS655132 BZO654787:BZO655132 CJK654787:CJK655132 CTG654787:CTG655132 DDC654787:DDC655132 DMY654787:DMY655132 DWU654787:DWU655132 EGQ654787:EGQ655132 EQM654787:EQM655132 FAI654787:FAI655132 FKE654787:FKE655132 FUA654787:FUA655132 GDW654787:GDW655132 GNS654787:GNS655132 GXO654787:GXO655132 HHK654787:HHK655132 HRG654787:HRG655132 IBC654787:IBC655132 IKY654787:IKY655132 IUU654787:IUU655132 JEQ654787:JEQ655132 JOM654787:JOM655132 JYI654787:JYI655132 KIE654787:KIE655132 KSA654787:KSA655132 LBW654787:LBW655132 LLS654787:LLS655132 LVO654787:LVO655132 MFK654787:MFK655132 MPG654787:MPG655132 MZC654787:MZC655132 NIY654787:NIY655132 NSU654787:NSU655132 OCQ654787:OCQ655132 OMM654787:OMM655132 OWI654787:OWI655132 PGE654787:PGE655132 PQA654787:PQA655132 PZW654787:PZW655132 QJS654787:QJS655132 QTO654787:QTO655132 RDK654787:RDK655132 RNG654787:RNG655132 RXC654787:RXC655132 SGY654787:SGY655132 SQU654787:SQU655132 TAQ654787:TAQ655132 TKM654787:TKM655132 TUI654787:TUI655132 UEE654787:UEE655132 UOA654787:UOA655132 UXW654787:UXW655132 VHS654787:VHS655132 VRO654787:VRO655132 WBK654787:WBK655132 WLG654787:WLG655132 WVC654787:WVC655132 F720323:F720668 IQ720323:IQ720668 SM720323:SM720668 ACI720323:ACI720668 AME720323:AME720668 AWA720323:AWA720668 BFW720323:BFW720668 BPS720323:BPS720668 BZO720323:BZO720668 CJK720323:CJK720668 CTG720323:CTG720668 DDC720323:DDC720668 DMY720323:DMY720668 DWU720323:DWU720668 EGQ720323:EGQ720668 EQM720323:EQM720668 FAI720323:FAI720668 FKE720323:FKE720668 FUA720323:FUA720668 GDW720323:GDW720668 GNS720323:GNS720668 GXO720323:GXO720668 HHK720323:HHK720668 HRG720323:HRG720668 IBC720323:IBC720668 IKY720323:IKY720668 IUU720323:IUU720668 JEQ720323:JEQ720668 JOM720323:JOM720668 JYI720323:JYI720668 KIE720323:KIE720668 KSA720323:KSA720668 LBW720323:LBW720668 LLS720323:LLS720668 LVO720323:LVO720668 MFK720323:MFK720668 MPG720323:MPG720668 MZC720323:MZC720668 NIY720323:NIY720668 NSU720323:NSU720668 OCQ720323:OCQ720668 OMM720323:OMM720668 OWI720323:OWI720668 PGE720323:PGE720668 PQA720323:PQA720668 PZW720323:PZW720668 QJS720323:QJS720668 QTO720323:QTO720668 RDK720323:RDK720668 RNG720323:RNG720668 RXC720323:RXC720668 SGY720323:SGY720668 SQU720323:SQU720668 TAQ720323:TAQ720668 TKM720323:TKM720668 TUI720323:TUI720668 UEE720323:UEE720668 UOA720323:UOA720668 UXW720323:UXW720668 VHS720323:VHS720668 VRO720323:VRO720668 WBK720323:WBK720668 WLG720323:WLG720668 WVC720323:WVC720668 F785859:F786204 IQ785859:IQ786204 SM785859:SM786204 ACI785859:ACI786204 AME785859:AME786204 AWA785859:AWA786204 BFW785859:BFW786204 BPS785859:BPS786204 BZO785859:BZO786204 CJK785859:CJK786204 CTG785859:CTG786204 DDC785859:DDC786204 DMY785859:DMY786204 DWU785859:DWU786204 EGQ785859:EGQ786204 EQM785859:EQM786204 FAI785859:FAI786204 FKE785859:FKE786204 FUA785859:FUA786204 GDW785859:GDW786204 GNS785859:GNS786204 GXO785859:GXO786204 HHK785859:HHK786204 HRG785859:HRG786204 IBC785859:IBC786204 IKY785859:IKY786204 IUU785859:IUU786204 JEQ785859:JEQ786204 JOM785859:JOM786204 JYI785859:JYI786204 KIE785859:KIE786204 KSA785859:KSA786204 LBW785859:LBW786204 LLS785859:LLS786204 LVO785859:LVO786204 MFK785859:MFK786204 MPG785859:MPG786204 MZC785859:MZC786204 NIY785859:NIY786204 NSU785859:NSU786204 OCQ785859:OCQ786204 OMM785859:OMM786204 OWI785859:OWI786204 PGE785859:PGE786204 PQA785859:PQA786204 PZW785859:PZW786204 QJS785859:QJS786204 QTO785859:QTO786204 RDK785859:RDK786204 RNG785859:RNG786204 RXC785859:RXC786204 SGY785859:SGY786204 SQU785859:SQU786204 TAQ785859:TAQ786204 TKM785859:TKM786204 TUI785859:TUI786204 UEE785859:UEE786204 UOA785859:UOA786204 UXW785859:UXW786204 VHS785859:VHS786204 VRO785859:VRO786204 WBK785859:WBK786204 WLG785859:WLG786204 WVC785859:WVC786204 F851395:F851740 IQ851395:IQ851740 SM851395:SM851740 ACI851395:ACI851740 AME851395:AME851740 AWA851395:AWA851740 BFW851395:BFW851740 BPS851395:BPS851740 BZO851395:BZO851740 CJK851395:CJK851740 CTG851395:CTG851740 DDC851395:DDC851740 DMY851395:DMY851740 DWU851395:DWU851740 EGQ851395:EGQ851740 EQM851395:EQM851740 FAI851395:FAI851740 FKE851395:FKE851740 FUA851395:FUA851740 GDW851395:GDW851740 GNS851395:GNS851740 GXO851395:GXO851740 HHK851395:HHK851740 HRG851395:HRG851740 IBC851395:IBC851740 IKY851395:IKY851740 IUU851395:IUU851740 JEQ851395:JEQ851740 JOM851395:JOM851740 JYI851395:JYI851740 KIE851395:KIE851740 KSA851395:KSA851740 LBW851395:LBW851740 LLS851395:LLS851740 LVO851395:LVO851740 MFK851395:MFK851740 MPG851395:MPG851740 MZC851395:MZC851740 NIY851395:NIY851740 NSU851395:NSU851740 OCQ851395:OCQ851740 OMM851395:OMM851740 OWI851395:OWI851740 PGE851395:PGE851740 PQA851395:PQA851740 PZW851395:PZW851740 QJS851395:QJS851740 QTO851395:QTO851740 RDK851395:RDK851740 RNG851395:RNG851740 RXC851395:RXC851740 SGY851395:SGY851740 SQU851395:SQU851740 TAQ851395:TAQ851740 TKM851395:TKM851740 TUI851395:TUI851740 UEE851395:UEE851740 UOA851395:UOA851740 UXW851395:UXW851740 VHS851395:VHS851740 VRO851395:VRO851740 WBK851395:WBK851740 WLG851395:WLG851740 WVC851395:WVC851740 F916931:F917276 IQ916931:IQ917276 SM916931:SM917276 ACI916931:ACI917276 AME916931:AME917276 AWA916931:AWA917276 BFW916931:BFW917276 BPS916931:BPS917276 BZO916931:BZO917276 CJK916931:CJK917276 CTG916931:CTG917276 DDC916931:DDC917276 DMY916931:DMY917276 DWU916931:DWU917276 EGQ916931:EGQ917276 EQM916931:EQM917276 FAI916931:FAI917276 FKE916931:FKE917276 FUA916931:FUA917276 GDW916931:GDW917276 GNS916931:GNS917276 GXO916931:GXO917276 HHK916931:HHK917276 HRG916931:HRG917276 IBC916931:IBC917276 IKY916931:IKY917276 IUU916931:IUU917276 JEQ916931:JEQ917276 JOM916931:JOM917276 JYI916931:JYI917276 KIE916931:KIE917276 KSA916931:KSA917276 LBW916931:LBW917276 LLS916931:LLS917276 LVO916931:LVO917276 MFK916931:MFK917276 MPG916931:MPG917276 MZC916931:MZC917276 NIY916931:NIY917276 NSU916931:NSU917276 OCQ916931:OCQ917276 OMM916931:OMM917276 OWI916931:OWI917276 PGE916931:PGE917276 PQA916931:PQA917276 PZW916931:PZW917276 QJS916931:QJS917276 QTO916931:QTO917276 RDK916931:RDK917276 RNG916931:RNG917276 RXC916931:RXC917276 SGY916931:SGY917276 SQU916931:SQU917276 TAQ916931:TAQ917276 TKM916931:TKM917276 TUI916931:TUI917276 UEE916931:UEE917276 UOA916931:UOA917276 UXW916931:UXW917276 VHS916931:VHS917276 VRO916931:VRO917276 WBK916931:WBK917276 WLG916931:WLG917276 WVC916931:WVC917276 F982467:F982812 IQ982467:IQ982812 SM982467:SM982812 ACI982467:ACI982812 AME982467:AME982812 AWA982467:AWA982812 BFW982467:BFW982812 BPS982467:BPS982812 BZO982467:BZO982812 CJK982467:CJK982812 CTG982467:CTG982812 DDC982467:DDC982812 DMY982467:DMY982812 DWU982467:DWU982812 EGQ982467:EGQ982812 EQM982467:EQM982812 FAI982467:FAI982812 FKE982467:FKE982812 FUA982467:FUA982812 GDW982467:GDW982812 GNS982467:GNS982812 GXO982467:GXO982812 HHK982467:HHK982812 HRG982467:HRG982812 IBC982467:IBC982812 IKY982467:IKY982812 IUU982467:IUU982812 JEQ982467:JEQ982812 JOM982467:JOM982812 JYI982467:JYI982812 KIE982467:KIE982812 KSA982467:KSA982812 LBW982467:LBW982812 LLS982467:LLS982812 LVO982467:LVO982812 MFK982467:MFK982812 MPG982467:MPG982812 MZC982467:MZC982812 NIY982467:NIY982812 NSU982467:NSU982812 OCQ982467:OCQ982812 OMM982467:OMM982812 OWI982467:OWI982812 PGE982467:PGE982812 PQA982467:PQA982812 PZW982467:PZW982812 QJS982467:QJS982812 QTO982467:QTO982812 RDK982467:RDK982812 RNG982467:RNG982812 RXC982467:RXC982812 SGY982467:SGY982812 SQU982467:SQU982812 TAQ982467:TAQ982812 TKM982467:TKM982812 TUI982467:TUI982812 UEE982467:UEE982812 UOA982467:UOA982812 UXW982467:UXW982812 VHS982467:VHS982812 VRO982467:VRO982812 WBK982467:WBK982812 WLG982467:WLG982812 WVC982467:WVC982812" xr:uid="{00000000-0002-0000-0C00-000004000000}">
      <formula1>Currency_List</formula1>
    </dataValidation>
    <dataValidation type="list" allowBlank="1" showInputMessage="1" showErrorMessage="1" sqref="J64963:J65308 IU64963:IU65308 SQ64963:SQ65308 ACM64963:ACM65308 AMI64963:AMI65308 AWE64963:AWE65308 BGA64963:BGA65308 BPW64963:BPW65308 BZS64963:BZS65308 CJO64963:CJO65308 CTK64963:CTK65308 DDG64963:DDG65308 DNC64963:DNC65308 DWY64963:DWY65308 EGU64963:EGU65308 EQQ64963:EQQ65308 FAM64963:FAM65308 FKI64963:FKI65308 FUE64963:FUE65308 GEA64963:GEA65308 GNW64963:GNW65308 GXS64963:GXS65308 HHO64963:HHO65308 HRK64963:HRK65308 IBG64963:IBG65308 ILC64963:ILC65308 IUY64963:IUY65308 JEU64963:JEU65308 JOQ64963:JOQ65308 JYM64963:JYM65308 KII64963:KII65308 KSE64963:KSE65308 LCA64963:LCA65308 LLW64963:LLW65308 LVS64963:LVS65308 MFO64963:MFO65308 MPK64963:MPK65308 MZG64963:MZG65308 NJC64963:NJC65308 NSY64963:NSY65308 OCU64963:OCU65308 OMQ64963:OMQ65308 OWM64963:OWM65308 PGI64963:PGI65308 PQE64963:PQE65308 QAA64963:QAA65308 QJW64963:QJW65308 QTS64963:QTS65308 RDO64963:RDO65308 RNK64963:RNK65308 RXG64963:RXG65308 SHC64963:SHC65308 SQY64963:SQY65308 TAU64963:TAU65308 TKQ64963:TKQ65308 TUM64963:TUM65308 UEI64963:UEI65308 UOE64963:UOE65308 UYA64963:UYA65308 VHW64963:VHW65308 VRS64963:VRS65308 WBO64963:WBO65308 WLK64963:WLK65308 WVG64963:WVG65308 J130499:J130844 IU130499:IU130844 SQ130499:SQ130844 ACM130499:ACM130844 AMI130499:AMI130844 AWE130499:AWE130844 BGA130499:BGA130844 BPW130499:BPW130844 BZS130499:BZS130844 CJO130499:CJO130844 CTK130499:CTK130844 DDG130499:DDG130844 DNC130499:DNC130844 DWY130499:DWY130844 EGU130499:EGU130844 EQQ130499:EQQ130844 FAM130499:FAM130844 FKI130499:FKI130844 FUE130499:FUE130844 GEA130499:GEA130844 GNW130499:GNW130844 GXS130499:GXS130844 HHO130499:HHO130844 HRK130499:HRK130844 IBG130499:IBG130844 ILC130499:ILC130844 IUY130499:IUY130844 JEU130499:JEU130844 JOQ130499:JOQ130844 JYM130499:JYM130844 KII130499:KII130844 KSE130499:KSE130844 LCA130499:LCA130844 LLW130499:LLW130844 LVS130499:LVS130844 MFO130499:MFO130844 MPK130499:MPK130844 MZG130499:MZG130844 NJC130499:NJC130844 NSY130499:NSY130844 OCU130499:OCU130844 OMQ130499:OMQ130844 OWM130499:OWM130844 PGI130499:PGI130844 PQE130499:PQE130844 QAA130499:QAA130844 QJW130499:QJW130844 QTS130499:QTS130844 RDO130499:RDO130844 RNK130499:RNK130844 RXG130499:RXG130844 SHC130499:SHC130844 SQY130499:SQY130844 TAU130499:TAU130844 TKQ130499:TKQ130844 TUM130499:TUM130844 UEI130499:UEI130844 UOE130499:UOE130844 UYA130499:UYA130844 VHW130499:VHW130844 VRS130499:VRS130844 WBO130499:WBO130844 WLK130499:WLK130844 WVG130499:WVG130844 J196035:J196380 IU196035:IU196380 SQ196035:SQ196380 ACM196035:ACM196380 AMI196035:AMI196380 AWE196035:AWE196380 BGA196035:BGA196380 BPW196035:BPW196380 BZS196035:BZS196380 CJO196035:CJO196380 CTK196035:CTK196380 DDG196035:DDG196380 DNC196035:DNC196380 DWY196035:DWY196380 EGU196035:EGU196380 EQQ196035:EQQ196380 FAM196035:FAM196380 FKI196035:FKI196380 FUE196035:FUE196380 GEA196035:GEA196380 GNW196035:GNW196380 GXS196035:GXS196380 HHO196035:HHO196380 HRK196035:HRK196380 IBG196035:IBG196380 ILC196035:ILC196380 IUY196035:IUY196380 JEU196035:JEU196380 JOQ196035:JOQ196380 JYM196035:JYM196380 KII196035:KII196380 KSE196035:KSE196380 LCA196035:LCA196380 LLW196035:LLW196380 LVS196035:LVS196380 MFO196035:MFO196380 MPK196035:MPK196380 MZG196035:MZG196380 NJC196035:NJC196380 NSY196035:NSY196380 OCU196035:OCU196380 OMQ196035:OMQ196380 OWM196035:OWM196380 PGI196035:PGI196380 PQE196035:PQE196380 QAA196035:QAA196380 QJW196035:QJW196380 QTS196035:QTS196380 RDO196035:RDO196380 RNK196035:RNK196380 RXG196035:RXG196380 SHC196035:SHC196380 SQY196035:SQY196380 TAU196035:TAU196380 TKQ196035:TKQ196380 TUM196035:TUM196380 UEI196035:UEI196380 UOE196035:UOE196380 UYA196035:UYA196380 VHW196035:VHW196380 VRS196035:VRS196380 WBO196035:WBO196380 WLK196035:WLK196380 WVG196035:WVG196380 J261571:J261916 IU261571:IU261916 SQ261571:SQ261916 ACM261571:ACM261916 AMI261571:AMI261916 AWE261571:AWE261916 BGA261571:BGA261916 BPW261571:BPW261916 BZS261571:BZS261916 CJO261571:CJO261916 CTK261571:CTK261916 DDG261571:DDG261916 DNC261571:DNC261916 DWY261571:DWY261916 EGU261571:EGU261916 EQQ261571:EQQ261916 FAM261571:FAM261916 FKI261571:FKI261916 FUE261571:FUE261916 GEA261571:GEA261916 GNW261571:GNW261916 GXS261571:GXS261916 HHO261571:HHO261916 HRK261571:HRK261916 IBG261571:IBG261916 ILC261571:ILC261916 IUY261571:IUY261916 JEU261571:JEU261916 JOQ261571:JOQ261916 JYM261571:JYM261916 KII261571:KII261916 KSE261571:KSE261916 LCA261571:LCA261916 LLW261571:LLW261916 LVS261571:LVS261916 MFO261571:MFO261916 MPK261571:MPK261916 MZG261571:MZG261916 NJC261571:NJC261916 NSY261571:NSY261916 OCU261571:OCU261916 OMQ261571:OMQ261916 OWM261571:OWM261916 PGI261571:PGI261916 PQE261571:PQE261916 QAA261571:QAA261916 QJW261571:QJW261916 QTS261571:QTS261916 RDO261571:RDO261916 RNK261571:RNK261916 RXG261571:RXG261916 SHC261571:SHC261916 SQY261571:SQY261916 TAU261571:TAU261916 TKQ261571:TKQ261916 TUM261571:TUM261916 UEI261571:UEI261916 UOE261571:UOE261916 UYA261571:UYA261916 VHW261571:VHW261916 VRS261571:VRS261916 WBO261571:WBO261916 WLK261571:WLK261916 WVG261571:WVG261916 J327107:J327452 IU327107:IU327452 SQ327107:SQ327452 ACM327107:ACM327452 AMI327107:AMI327452 AWE327107:AWE327452 BGA327107:BGA327452 BPW327107:BPW327452 BZS327107:BZS327452 CJO327107:CJO327452 CTK327107:CTK327452 DDG327107:DDG327452 DNC327107:DNC327452 DWY327107:DWY327452 EGU327107:EGU327452 EQQ327107:EQQ327452 FAM327107:FAM327452 FKI327107:FKI327452 FUE327107:FUE327452 GEA327107:GEA327452 GNW327107:GNW327452 GXS327107:GXS327452 HHO327107:HHO327452 HRK327107:HRK327452 IBG327107:IBG327452 ILC327107:ILC327452 IUY327107:IUY327452 JEU327107:JEU327452 JOQ327107:JOQ327452 JYM327107:JYM327452 KII327107:KII327452 KSE327107:KSE327452 LCA327107:LCA327452 LLW327107:LLW327452 LVS327107:LVS327452 MFO327107:MFO327452 MPK327107:MPK327452 MZG327107:MZG327452 NJC327107:NJC327452 NSY327107:NSY327452 OCU327107:OCU327452 OMQ327107:OMQ327452 OWM327107:OWM327452 PGI327107:PGI327452 PQE327107:PQE327452 QAA327107:QAA327452 QJW327107:QJW327452 QTS327107:QTS327452 RDO327107:RDO327452 RNK327107:RNK327452 RXG327107:RXG327452 SHC327107:SHC327452 SQY327107:SQY327452 TAU327107:TAU327452 TKQ327107:TKQ327452 TUM327107:TUM327452 UEI327107:UEI327452 UOE327107:UOE327452 UYA327107:UYA327452 VHW327107:VHW327452 VRS327107:VRS327452 WBO327107:WBO327452 WLK327107:WLK327452 WVG327107:WVG327452 J392643:J392988 IU392643:IU392988 SQ392643:SQ392988 ACM392643:ACM392988 AMI392643:AMI392988 AWE392643:AWE392988 BGA392643:BGA392988 BPW392643:BPW392988 BZS392643:BZS392988 CJO392643:CJO392988 CTK392643:CTK392988 DDG392643:DDG392988 DNC392643:DNC392988 DWY392643:DWY392988 EGU392643:EGU392988 EQQ392643:EQQ392988 FAM392643:FAM392988 FKI392643:FKI392988 FUE392643:FUE392988 GEA392643:GEA392988 GNW392643:GNW392988 GXS392643:GXS392988 HHO392643:HHO392988 HRK392643:HRK392988 IBG392643:IBG392988 ILC392643:ILC392988 IUY392643:IUY392988 JEU392643:JEU392988 JOQ392643:JOQ392988 JYM392643:JYM392988 KII392643:KII392988 KSE392643:KSE392988 LCA392643:LCA392988 LLW392643:LLW392988 LVS392643:LVS392988 MFO392643:MFO392988 MPK392643:MPK392988 MZG392643:MZG392988 NJC392643:NJC392988 NSY392643:NSY392988 OCU392643:OCU392988 OMQ392643:OMQ392988 OWM392643:OWM392988 PGI392643:PGI392988 PQE392643:PQE392988 QAA392643:QAA392988 QJW392643:QJW392988 QTS392643:QTS392988 RDO392643:RDO392988 RNK392643:RNK392988 RXG392643:RXG392988 SHC392643:SHC392988 SQY392643:SQY392988 TAU392643:TAU392988 TKQ392643:TKQ392988 TUM392643:TUM392988 UEI392643:UEI392988 UOE392643:UOE392988 UYA392643:UYA392988 VHW392643:VHW392988 VRS392643:VRS392988 WBO392643:WBO392988 WLK392643:WLK392988 WVG392643:WVG392988 J458179:J458524 IU458179:IU458524 SQ458179:SQ458524 ACM458179:ACM458524 AMI458179:AMI458524 AWE458179:AWE458524 BGA458179:BGA458524 BPW458179:BPW458524 BZS458179:BZS458524 CJO458179:CJO458524 CTK458179:CTK458524 DDG458179:DDG458524 DNC458179:DNC458524 DWY458179:DWY458524 EGU458179:EGU458524 EQQ458179:EQQ458524 FAM458179:FAM458524 FKI458179:FKI458524 FUE458179:FUE458524 GEA458179:GEA458524 GNW458179:GNW458524 GXS458179:GXS458524 HHO458179:HHO458524 HRK458179:HRK458524 IBG458179:IBG458524 ILC458179:ILC458524 IUY458179:IUY458524 JEU458179:JEU458524 JOQ458179:JOQ458524 JYM458179:JYM458524 KII458179:KII458524 KSE458179:KSE458524 LCA458179:LCA458524 LLW458179:LLW458524 LVS458179:LVS458524 MFO458179:MFO458524 MPK458179:MPK458524 MZG458179:MZG458524 NJC458179:NJC458524 NSY458179:NSY458524 OCU458179:OCU458524 OMQ458179:OMQ458524 OWM458179:OWM458524 PGI458179:PGI458524 PQE458179:PQE458524 QAA458179:QAA458524 QJW458179:QJW458524 QTS458179:QTS458524 RDO458179:RDO458524 RNK458179:RNK458524 RXG458179:RXG458524 SHC458179:SHC458524 SQY458179:SQY458524 TAU458179:TAU458524 TKQ458179:TKQ458524 TUM458179:TUM458524 UEI458179:UEI458524 UOE458179:UOE458524 UYA458179:UYA458524 VHW458179:VHW458524 VRS458179:VRS458524 WBO458179:WBO458524 WLK458179:WLK458524 WVG458179:WVG458524 J523715:J524060 IU523715:IU524060 SQ523715:SQ524060 ACM523715:ACM524060 AMI523715:AMI524060 AWE523715:AWE524060 BGA523715:BGA524060 BPW523715:BPW524060 BZS523715:BZS524060 CJO523715:CJO524060 CTK523715:CTK524060 DDG523715:DDG524060 DNC523715:DNC524060 DWY523715:DWY524060 EGU523715:EGU524060 EQQ523715:EQQ524060 FAM523715:FAM524060 FKI523715:FKI524060 FUE523715:FUE524060 GEA523715:GEA524060 GNW523715:GNW524060 GXS523715:GXS524060 HHO523715:HHO524060 HRK523715:HRK524060 IBG523715:IBG524060 ILC523715:ILC524060 IUY523715:IUY524060 JEU523715:JEU524060 JOQ523715:JOQ524060 JYM523715:JYM524060 KII523715:KII524060 KSE523715:KSE524060 LCA523715:LCA524060 LLW523715:LLW524060 LVS523715:LVS524060 MFO523715:MFO524060 MPK523715:MPK524060 MZG523715:MZG524060 NJC523715:NJC524060 NSY523715:NSY524060 OCU523715:OCU524060 OMQ523715:OMQ524060 OWM523715:OWM524060 PGI523715:PGI524060 PQE523715:PQE524060 QAA523715:QAA524060 QJW523715:QJW524060 QTS523715:QTS524060 RDO523715:RDO524060 RNK523715:RNK524060 RXG523715:RXG524060 SHC523715:SHC524060 SQY523715:SQY524060 TAU523715:TAU524060 TKQ523715:TKQ524060 TUM523715:TUM524060 UEI523715:UEI524060 UOE523715:UOE524060 UYA523715:UYA524060 VHW523715:VHW524060 VRS523715:VRS524060 WBO523715:WBO524060 WLK523715:WLK524060 WVG523715:WVG524060 J589251:J589596 IU589251:IU589596 SQ589251:SQ589596 ACM589251:ACM589596 AMI589251:AMI589596 AWE589251:AWE589596 BGA589251:BGA589596 BPW589251:BPW589596 BZS589251:BZS589596 CJO589251:CJO589596 CTK589251:CTK589596 DDG589251:DDG589596 DNC589251:DNC589596 DWY589251:DWY589596 EGU589251:EGU589596 EQQ589251:EQQ589596 FAM589251:FAM589596 FKI589251:FKI589596 FUE589251:FUE589596 GEA589251:GEA589596 GNW589251:GNW589596 GXS589251:GXS589596 HHO589251:HHO589596 HRK589251:HRK589596 IBG589251:IBG589596 ILC589251:ILC589596 IUY589251:IUY589596 JEU589251:JEU589596 JOQ589251:JOQ589596 JYM589251:JYM589596 KII589251:KII589596 KSE589251:KSE589596 LCA589251:LCA589596 LLW589251:LLW589596 LVS589251:LVS589596 MFO589251:MFO589596 MPK589251:MPK589596 MZG589251:MZG589596 NJC589251:NJC589596 NSY589251:NSY589596 OCU589251:OCU589596 OMQ589251:OMQ589596 OWM589251:OWM589596 PGI589251:PGI589596 PQE589251:PQE589596 QAA589251:QAA589596 QJW589251:QJW589596 QTS589251:QTS589596 RDO589251:RDO589596 RNK589251:RNK589596 RXG589251:RXG589596 SHC589251:SHC589596 SQY589251:SQY589596 TAU589251:TAU589596 TKQ589251:TKQ589596 TUM589251:TUM589596 UEI589251:UEI589596 UOE589251:UOE589596 UYA589251:UYA589596 VHW589251:VHW589596 VRS589251:VRS589596 WBO589251:WBO589596 WLK589251:WLK589596 WVG589251:WVG589596 J654787:J655132 IU654787:IU655132 SQ654787:SQ655132 ACM654787:ACM655132 AMI654787:AMI655132 AWE654787:AWE655132 BGA654787:BGA655132 BPW654787:BPW655132 BZS654787:BZS655132 CJO654787:CJO655132 CTK654787:CTK655132 DDG654787:DDG655132 DNC654787:DNC655132 DWY654787:DWY655132 EGU654787:EGU655132 EQQ654787:EQQ655132 FAM654787:FAM655132 FKI654787:FKI655132 FUE654787:FUE655132 GEA654787:GEA655132 GNW654787:GNW655132 GXS654787:GXS655132 HHO654787:HHO655132 HRK654787:HRK655132 IBG654787:IBG655132 ILC654787:ILC655132 IUY654787:IUY655132 JEU654787:JEU655132 JOQ654787:JOQ655132 JYM654787:JYM655132 KII654787:KII655132 KSE654787:KSE655132 LCA654787:LCA655132 LLW654787:LLW655132 LVS654787:LVS655132 MFO654787:MFO655132 MPK654787:MPK655132 MZG654787:MZG655132 NJC654787:NJC655132 NSY654787:NSY655132 OCU654787:OCU655132 OMQ654787:OMQ655132 OWM654787:OWM655132 PGI654787:PGI655132 PQE654787:PQE655132 QAA654787:QAA655132 QJW654787:QJW655132 QTS654787:QTS655132 RDO654787:RDO655132 RNK654787:RNK655132 RXG654787:RXG655132 SHC654787:SHC655132 SQY654787:SQY655132 TAU654787:TAU655132 TKQ654787:TKQ655132 TUM654787:TUM655132 UEI654787:UEI655132 UOE654787:UOE655132 UYA654787:UYA655132 VHW654787:VHW655132 VRS654787:VRS655132 WBO654787:WBO655132 WLK654787:WLK655132 WVG654787:WVG655132 J720323:J720668 IU720323:IU720668 SQ720323:SQ720668 ACM720323:ACM720668 AMI720323:AMI720668 AWE720323:AWE720668 BGA720323:BGA720668 BPW720323:BPW720668 BZS720323:BZS720668 CJO720323:CJO720668 CTK720323:CTK720668 DDG720323:DDG720668 DNC720323:DNC720668 DWY720323:DWY720668 EGU720323:EGU720668 EQQ720323:EQQ720668 FAM720323:FAM720668 FKI720323:FKI720668 FUE720323:FUE720668 GEA720323:GEA720668 GNW720323:GNW720668 GXS720323:GXS720668 HHO720323:HHO720668 HRK720323:HRK720668 IBG720323:IBG720668 ILC720323:ILC720668 IUY720323:IUY720668 JEU720323:JEU720668 JOQ720323:JOQ720668 JYM720323:JYM720668 KII720323:KII720668 KSE720323:KSE720668 LCA720323:LCA720668 LLW720323:LLW720668 LVS720323:LVS720668 MFO720323:MFO720668 MPK720323:MPK720668 MZG720323:MZG720668 NJC720323:NJC720668 NSY720323:NSY720668 OCU720323:OCU720668 OMQ720323:OMQ720668 OWM720323:OWM720668 PGI720323:PGI720668 PQE720323:PQE720668 QAA720323:QAA720668 QJW720323:QJW720668 QTS720323:QTS720668 RDO720323:RDO720668 RNK720323:RNK720668 RXG720323:RXG720668 SHC720323:SHC720668 SQY720323:SQY720668 TAU720323:TAU720668 TKQ720323:TKQ720668 TUM720323:TUM720668 UEI720323:UEI720668 UOE720323:UOE720668 UYA720323:UYA720668 VHW720323:VHW720668 VRS720323:VRS720668 WBO720323:WBO720668 WLK720323:WLK720668 WVG720323:WVG720668 J785859:J786204 IU785859:IU786204 SQ785859:SQ786204 ACM785859:ACM786204 AMI785859:AMI786204 AWE785859:AWE786204 BGA785859:BGA786204 BPW785859:BPW786204 BZS785859:BZS786204 CJO785859:CJO786204 CTK785859:CTK786204 DDG785859:DDG786204 DNC785859:DNC786204 DWY785859:DWY786204 EGU785859:EGU786204 EQQ785859:EQQ786204 FAM785859:FAM786204 FKI785859:FKI786204 FUE785859:FUE786204 GEA785859:GEA786204 GNW785859:GNW786204 GXS785859:GXS786204 HHO785859:HHO786204 HRK785859:HRK786204 IBG785859:IBG786204 ILC785859:ILC786204 IUY785859:IUY786204 JEU785859:JEU786204 JOQ785859:JOQ786204 JYM785859:JYM786204 KII785859:KII786204 KSE785859:KSE786204 LCA785859:LCA786204 LLW785859:LLW786204 LVS785859:LVS786204 MFO785859:MFO786204 MPK785859:MPK786204 MZG785859:MZG786204 NJC785859:NJC786204 NSY785859:NSY786204 OCU785859:OCU786204 OMQ785859:OMQ786204 OWM785859:OWM786204 PGI785859:PGI786204 PQE785859:PQE786204 QAA785859:QAA786204 QJW785859:QJW786204 QTS785859:QTS786204 RDO785859:RDO786204 RNK785859:RNK786204 RXG785859:RXG786204 SHC785859:SHC786204 SQY785859:SQY786204 TAU785859:TAU786204 TKQ785859:TKQ786204 TUM785859:TUM786204 UEI785859:UEI786204 UOE785859:UOE786204 UYA785859:UYA786204 VHW785859:VHW786204 VRS785859:VRS786204 WBO785859:WBO786204 WLK785859:WLK786204 WVG785859:WVG786204 J851395:J851740 IU851395:IU851740 SQ851395:SQ851740 ACM851395:ACM851740 AMI851395:AMI851740 AWE851395:AWE851740 BGA851395:BGA851740 BPW851395:BPW851740 BZS851395:BZS851740 CJO851395:CJO851740 CTK851395:CTK851740 DDG851395:DDG851740 DNC851395:DNC851740 DWY851395:DWY851740 EGU851395:EGU851740 EQQ851395:EQQ851740 FAM851395:FAM851740 FKI851395:FKI851740 FUE851395:FUE851740 GEA851395:GEA851740 GNW851395:GNW851740 GXS851395:GXS851740 HHO851395:HHO851740 HRK851395:HRK851740 IBG851395:IBG851740 ILC851395:ILC851740 IUY851395:IUY851740 JEU851395:JEU851740 JOQ851395:JOQ851740 JYM851395:JYM851740 KII851395:KII851740 KSE851395:KSE851740 LCA851395:LCA851740 LLW851395:LLW851740 LVS851395:LVS851740 MFO851395:MFO851740 MPK851395:MPK851740 MZG851395:MZG851740 NJC851395:NJC851740 NSY851395:NSY851740 OCU851395:OCU851740 OMQ851395:OMQ851740 OWM851395:OWM851740 PGI851395:PGI851740 PQE851395:PQE851740 QAA851395:QAA851740 QJW851395:QJW851740 QTS851395:QTS851740 RDO851395:RDO851740 RNK851395:RNK851740 RXG851395:RXG851740 SHC851395:SHC851740 SQY851395:SQY851740 TAU851395:TAU851740 TKQ851395:TKQ851740 TUM851395:TUM851740 UEI851395:UEI851740 UOE851395:UOE851740 UYA851395:UYA851740 VHW851395:VHW851740 VRS851395:VRS851740 WBO851395:WBO851740 WLK851395:WLK851740 WVG851395:WVG851740 J916931:J917276 IU916931:IU917276 SQ916931:SQ917276 ACM916931:ACM917276 AMI916931:AMI917276 AWE916931:AWE917276 BGA916931:BGA917276 BPW916931:BPW917276 BZS916931:BZS917276 CJO916931:CJO917276 CTK916931:CTK917276 DDG916931:DDG917276 DNC916931:DNC917276 DWY916931:DWY917276 EGU916931:EGU917276 EQQ916931:EQQ917276 FAM916931:FAM917276 FKI916931:FKI917276 FUE916931:FUE917276 GEA916931:GEA917276 GNW916931:GNW917276 GXS916931:GXS917276 HHO916931:HHO917276 HRK916931:HRK917276 IBG916931:IBG917276 ILC916931:ILC917276 IUY916931:IUY917276 JEU916931:JEU917276 JOQ916931:JOQ917276 JYM916931:JYM917276 KII916931:KII917276 KSE916931:KSE917276 LCA916931:LCA917276 LLW916931:LLW917276 LVS916931:LVS917276 MFO916931:MFO917276 MPK916931:MPK917276 MZG916931:MZG917276 NJC916931:NJC917276 NSY916931:NSY917276 OCU916931:OCU917276 OMQ916931:OMQ917276 OWM916931:OWM917276 PGI916931:PGI917276 PQE916931:PQE917276 QAA916931:QAA917276 QJW916931:QJW917276 QTS916931:QTS917276 RDO916931:RDO917276 RNK916931:RNK917276 RXG916931:RXG917276 SHC916931:SHC917276 SQY916931:SQY917276 TAU916931:TAU917276 TKQ916931:TKQ917276 TUM916931:TUM917276 UEI916931:UEI917276 UOE916931:UOE917276 UYA916931:UYA917276 VHW916931:VHW917276 VRS916931:VRS917276 WBO916931:WBO917276 WLK916931:WLK917276 WVG916931:WVG917276 J982467:J982812 IU982467:IU982812 SQ982467:SQ982812 ACM982467:ACM982812 AMI982467:AMI982812 AWE982467:AWE982812 BGA982467:BGA982812 BPW982467:BPW982812 BZS982467:BZS982812 CJO982467:CJO982812 CTK982467:CTK982812 DDG982467:DDG982812 DNC982467:DNC982812 DWY982467:DWY982812 EGU982467:EGU982812 EQQ982467:EQQ982812 FAM982467:FAM982812 FKI982467:FKI982812 FUE982467:FUE982812 GEA982467:GEA982812 GNW982467:GNW982812 GXS982467:GXS982812 HHO982467:HHO982812 HRK982467:HRK982812 IBG982467:IBG982812 ILC982467:ILC982812 IUY982467:IUY982812 JEU982467:JEU982812 JOQ982467:JOQ982812 JYM982467:JYM982812 KII982467:KII982812 KSE982467:KSE982812 LCA982467:LCA982812 LLW982467:LLW982812 LVS982467:LVS982812 MFO982467:MFO982812 MPK982467:MPK982812 MZG982467:MZG982812 NJC982467:NJC982812 NSY982467:NSY982812 OCU982467:OCU982812 OMQ982467:OMQ982812 OWM982467:OWM982812 PGI982467:PGI982812 PQE982467:PQE982812 QAA982467:QAA982812 QJW982467:QJW982812 QTS982467:QTS982812 RDO982467:RDO982812 RNK982467:RNK982812 RXG982467:RXG982812 SHC982467:SHC982812 SQY982467:SQY982812 TAU982467:TAU982812 TKQ982467:TKQ982812 TUM982467:TUM982812 UEI982467:UEI982812 UOE982467:UOE982812 UYA982467:UYA982812 VHW982467:VHW982812 VRS982467:VRS982812 WBO982467:WBO982812 WLK982467:WLK982812 WVG982467:WVG982812 O64963:O65308 IZ64963:IZ65308 SV64963:SV65308 ACR64963:ACR65308 AMN64963:AMN65308 AWJ64963:AWJ65308 BGF64963:BGF65308 BQB64963:BQB65308 BZX64963:BZX65308 CJT64963:CJT65308 CTP64963:CTP65308 DDL64963:DDL65308 DNH64963:DNH65308 DXD64963:DXD65308 EGZ64963:EGZ65308 EQV64963:EQV65308 FAR64963:FAR65308 FKN64963:FKN65308 FUJ64963:FUJ65308 GEF64963:GEF65308 GOB64963:GOB65308 GXX64963:GXX65308 HHT64963:HHT65308 HRP64963:HRP65308 IBL64963:IBL65308 ILH64963:ILH65308 IVD64963:IVD65308 JEZ64963:JEZ65308 JOV64963:JOV65308 JYR64963:JYR65308 KIN64963:KIN65308 KSJ64963:KSJ65308 LCF64963:LCF65308 LMB64963:LMB65308 LVX64963:LVX65308 MFT64963:MFT65308 MPP64963:MPP65308 MZL64963:MZL65308 NJH64963:NJH65308 NTD64963:NTD65308 OCZ64963:OCZ65308 OMV64963:OMV65308 OWR64963:OWR65308 PGN64963:PGN65308 PQJ64963:PQJ65308 QAF64963:QAF65308 QKB64963:QKB65308 QTX64963:QTX65308 RDT64963:RDT65308 RNP64963:RNP65308 RXL64963:RXL65308 SHH64963:SHH65308 SRD64963:SRD65308 TAZ64963:TAZ65308 TKV64963:TKV65308 TUR64963:TUR65308 UEN64963:UEN65308 UOJ64963:UOJ65308 UYF64963:UYF65308 VIB64963:VIB65308 VRX64963:VRX65308 WBT64963:WBT65308 WLP64963:WLP65308 WVL64963:WVL65308 O130499:O130844 IZ130499:IZ130844 SV130499:SV130844 ACR130499:ACR130844 AMN130499:AMN130844 AWJ130499:AWJ130844 BGF130499:BGF130844 BQB130499:BQB130844 BZX130499:BZX130844 CJT130499:CJT130844 CTP130499:CTP130844 DDL130499:DDL130844 DNH130499:DNH130844 DXD130499:DXD130844 EGZ130499:EGZ130844 EQV130499:EQV130844 FAR130499:FAR130844 FKN130499:FKN130844 FUJ130499:FUJ130844 GEF130499:GEF130844 GOB130499:GOB130844 GXX130499:GXX130844 HHT130499:HHT130844 HRP130499:HRP130844 IBL130499:IBL130844 ILH130499:ILH130844 IVD130499:IVD130844 JEZ130499:JEZ130844 JOV130499:JOV130844 JYR130499:JYR130844 KIN130499:KIN130844 KSJ130499:KSJ130844 LCF130499:LCF130844 LMB130499:LMB130844 LVX130499:LVX130844 MFT130499:MFT130844 MPP130499:MPP130844 MZL130499:MZL130844 NJH130499:NJH130844 NTD130499:NTD130844 OCZ130499:OCZ130844 OMV130499:OMV130844 OWR130499:OWR130844 PGN130499:PGN130844 PQJ130499:PQJ130844 QAF130499:QAF130844 QKB130499:QKB130844 QTX130499:QTX130844 RDT130499:RDT130844 RNP130499:RNP130844 RXL130499:RXL130844 SHH130499:SHH130844 SRD130499:SRD130844 TAZ130499:TAZ130844 TKV130499:TKV130844 TUR130499:TUR130844 UEN130499:UEN130844 UOJ130499:UOJ130844 UYF130499:UYF130844 VIB130499:VIB130844 VRX130499:VRX130844 WBT130499:WBT130844 WLP130499:WLP130844 WVL130499:WVL130844 O196035:O196380 IZ196035:IZ196380 SV196035:SV196380 ACR196035:ACR196380 AMN196035:AMN196380 AWJ196035:AWJ196380 BGF196035:BGF196380 BQB196035:BQB196380 BZX196035:BZX196380 CJT196035:CJT196380 CTP196035:CTP196380 DDL196035:DDL196380 DNH196035:DNH196380 DXD196035:DXD196380 EGZ196035:EGZ196380 EQV196035:EQV196380 FAR196035:FAR196380 FKN196035:FKN196380 FUJ196035:FUJ196380 GEF196035:GEF196380 GOB196035:GOB196380 GXX196035:GXX196380 HHT196035:HHT196380 HRP196035:HRP196380 IBL196035:IBL196380 ILH196035:ILH196380 IVD196035:IVD196380 JEZ196035:JEZ196380 JOV196035:JOV196380 JYR196035:JYR196380 KIN196035:KIN196380 KSJ196035:KSJ196380 LCF196035:LCF196380 LMB196035:LMB196380 LVX196035:LVX196380 MFT196035:MFT196380 MPP196035:MPP196380 MZL196035:MZL196380 NJH196035:NJH196380 NTD196035:NTD196380 OCZ196035:OCZ196380 OMV196035:OMV196380 OWR196035:OWR196380 PGN196035:PGN196380 PQJ196035:PQJ196380 QAF196035:QAF196380 QKB196035:QKB196380 QTX196035:QTX196380 RDT196035:RDT196380 RNP196035:RNP196380 RXL196035:RXL196380 SHH196035:SHH196380 SRD196035:SRD196380 TAZ196035:TAZ196380 TKV196035:TKV196380 TUR196035:TUR196380 UEN196035:UEN196380 UOJ196035:UOJ196380 UYF196035:UYF196380 VIB196035:VIB196380 VRX196035:VRX196380 WBT196035:WBT196380 WLP196035:WLP196380 WVL196035:WVL196380 O261571:O261916 IZ261571:IZ261916 SV261571:SV261916 ACR261571:ACR261916 AMN261571:AMN261916 AWJ261571:AWJ261916 BGF261571:BGF261916 BQB261571:BQB261916 BZX261571:BZX261916 CJT261571:CJT261916 CTP261571:CTP261916 DDL261571:DDL261916 DNH261571:DNH261916 DXD261571:DXD261916 EGZ261571:EGZ261916 EQV261571:EQV261916 FAR261571:FAR261916 FKN261571:FKN261916 FUJ261571:FUJ261916 GEF261571:GEF261916 GOB261571:GOB261916 GXX261571:GXX261916 HHT261571:HHT261916 HRP261571:HRP261916 IBL261571:IBL261916 ILH261571:ILH261916 IVD261571:IVD261916 JEZ261571:JEZ261916 JOV261571:JOV261916 JYR261571:JYR261916 KIN261571:KIN261916 KSJ261571:KSJ261916 LCF261571:LCF261916 LMB261571:LMB261916 LVX261571:LVX261916 MFT261571:MFT261916 MPP261571:MPP261916 MZL261571:MZL261916 NJH261571:NJH261916 NTD261571:NTD261916 OCZ261571:OCZ261916 OMV261571:OMV261916 OWR261571:OWR261916 PGN261571:PGN261916 PQJ261571:PQJ261916 QAF261571:QAF261916 QKB261571:QKB261916 QTX261571:QTX261916 RDT261571:RDT261916 RNP261571:RNP261916 RXL261571:RXL261916 SHH261571:SHH261916 SRD261571:SRD261916 TAZ261571:TAZ261916 TKV261571:TKV261916 TUR261571:TUR261916 UEN261571:UEN261916 UOJ261571:UOJ261916 UYF261571:UYF261916 VIB261571:VIB261916 VRX261571:VRX261916 WBT261571:WBT261916 WLP261571:WLP261916 WVL261571:WVL261916 O327107:O327452 IZ327107:IZ327452 SV327107:SV327452 ACR327107:ACR327452 AMN327107:AMN327452 AWJ327107:AWJ327452 BGF327107:BGF327452 BQB327107:BQB327452 BZX327107:BZX327452 CJT327107:CJT327452 CTP327107:CTP327452 DDL327107:DDL327452 DNH327107:DNH327452 DXD327107:DXD327452 EGZ327107:EGZ327452 EQV327107:EQV327452 FAR327107:FAR327452 FKN327107:FKN327452 FUJ327107:FUJ327452 GEF327107:GEF327452 GOB327107:GOB327452 GXX327107:GXX327452 HHT327107:HHT327452 HRP327107:HRP327452 IBL327107:IBL327452 ILH327107:ILH327452 IVD327107:IVD327452 JEZ327107:JEZ327452 JOV327107:JOV327452 JYR327107:JYR327452 KIN327107:KIN327452 KSJ327107:KSJ327452 LCF327107:LCF327452 LMB327107:LMB327452 LVX327107:LVX327452 MFT327107:MFT327452 MPP327107:MPP327452 MZL327107:MZL327452 NJH327107:NJH327452 NTD327107:NTD327452 OCZ327107:OCZ327452 OMV327107:OMV327452 OWR327107:OWR327452 PGN327107:PGN327452 PQJ327107:PQJ327452 QAF327107:QAF327452 QKB327107:QKB327452 QTX327107:QTX327452 RDT327107:RDT327452 RNP327107:RNP327452 RXL327107:RXL327452 SHH327107:SHH327452 SRD327107:SRD327452 TAZ327107:TAZ327452 TKV327107:TKV327452 TUR327107:TUR327452 UEN327107:UEN327452 UOJ327107:UOJ327452 UYF327107:UYF327452 VIB327107:VIB327452 VRX327107:VRX327452 WBT327107:WBT327452 WLP327107:WLP327452 WVL327107:WVL327452 O392643:O392988 IZ392643:IZ392988 SV392643:SV392988 ACR392643:ACR392988 AMN392643:AMN392988 AWJ392643:AWJ392988 BGF392643:BGF392988 BQB392643:BQB392988 BZX392643:BZX392988 CJT392643:CJT392988 CTP392643:CTP392988 DDL392643:DDL392988 DNH392643:DNH392988 DXD392643:DXD392988 EGZ392643:EGZ392988 EQV392643:EQV392988 FAR392643:FAR392988 FKN392643:FKN392988 FUJ392643:FUJ392988 GEF392643:GEF392988 GOB392643:GOB392988 GXX392643:GXX392988 HHT392643:HHT392988 HRP392643:HRP392988 IBL392643:IBL392988 ILH392643:ILH392988 IVD392643:IVD392988 JEZ392643:JEZ392988 JOV392643:JOV392988 JYR392643:JYR392988 KIN392643:KIN392988 KSJ392643:KSJ392988 LCF392643:LCF392988 LMB392643:LMB392988 LVX392643:LVX392988 MFT392643:MFT392988 MPP392643:MPP392988 MZL392643:MZL392988 NJH392643:NJH392988 NTD392643:NTD392988 OCZ392643:OCZ392988 OMV392643:OMV392988 OWR392643:OWR392988 PGN392643:PGN392988 PQJ392643:PQJ392988 QAF392643:QAF392988 QKB392643:QKB392988 QTX392643:QTX392988 RDT392643:RDT392988 RNP392643:RNP392988 RXL392643:RXL392988 SHH392643:SHH392988 SRD392643:SRD392988 TAZ392643:TAZ392988 TKV392643:TKV392988 TUR392643:TUR392988 UEN392643:UEN392988 UOJ392643:UOJ392988 UYF392643:UYF392988 VIB392643:VIB392988 VRX392643:VRX392988 WBT392643:WBT392988 WLP392643:WLP392988 WVL392643:WVL392988 O458179:O458524 IZ458179:IZ458524 SV458179:SV458524 ACR458179:ACR458524 AMN458179:AMN458524 AWJ458179:AWJ458524 BGF458179:BGF458524 BQB458179:BQB458524 BZX458179:BZX458524 CJT458179:CJT458524 CTP458179:CTP458524 DDL458179:DDL458524 DNH458179:DNH458524 DXD458179:DXD458524 EGZ458179:EGZ458524 EQV458179:EQV458524 FAR458179:FAR458524 FKN458179:FKN458524 FUJ458179:FUJ458524 GEF458179:GEF458524 GOB458179:GOB458524 GXX458179:GXX458524 HHT458179:HHT458524 HRP458179:HRP458524 IBL458179:IBL458524 ILH458179:ILH458524 IVD458179:IVD458524 JEZ458179:JEZ458524 JOV458179:JOV458524 JYR458179:JYR458524 KIN458179:KIN458524 KSJ458179:KSJ458524 LCF458179:LCF458524 LMB458179:LMB458524 LVX458179:LVX458524 MFT458179:MFT458524 MPP458179:MPP458524 MZL458179:MZL458524 NJH458179:NJH458524 NTD458179:NTD458524 OCZ458179:OCZ458524 OMV458179:OMV458524 OWR458179:OWR458524 PGN458179:PGN458524 PQJ458179:PQJ458524 QAF458179:QAF458524 QKB458179:QKB458524 QTX458179:QTX458524 RDT458179:RDT458524 RNP458179:RNP458524 RXL458179:RXL458524 SHH458179:SHH458524 SRD458179:SRD458524 TAZ458179:TAZ458524 TKV458179:TKV458524 TUR458179:TUR458524 UEN458179:UEN458524 UOJ458179:UOJ458524 UYF458179:UYF458524 VIB458179:VIB458524 VRX458179:VRX458524 WBT458179:WBT458524 WLP458179:WLP458524 WVL458179:WVL458524 O523715:O524060 IZ523715:IZ524060 SV523715:SV524060 ACR523715:ACR524060 AMN523715:AMN524060 AWJ523715:AWJ524060 BGF523715:BGF524060 BQB523715:BQB524060 BZX523715:BZX524060 CJT523715:CJT524060 CTP523715:CTP524060 DDL523715:DDL524060 DNH523715:DNH524060 DXD523715:DXD524060 EGZ523715:EGZ524060 EQV523715:EQV524060 FAR523715:FAR524060 FKN523715:FKN524060 FUJ523715:FUJ524060 GEF523715:GEF524060 GOB523715:GOB524060 GXX523715:GXX524060 HHT523715:HHT524060 HRP523715:HRP524060 IBL523715:IBL524060 ILH523715:ILH524060 IVD523715:IVD524060 JEZ523715:JEZ524060 JOV523715:JOV524060 JYR523715:JYR524060 KIN523715:KIN524060 KSJ523715:KSJ524060 LCF523715:LCF524060 LMB523715:LMB524060 LVX523715:LVX524060 MFT523715:MFT524060 MPP523715:MPP524060 MZL523715:MZL524060 NJH523715:NJH524060 NTD523715:NTD524060 OCZ523715:OCZ524060 OMV523715:OMV524060 OWR523715:OWR524060 PGN523715:PGN524060 PQJ523715:PQJ524060 QAF523715:QAF524060 QKB523715:QKB524060 QTX523715:QTX524060 RDT523715:RDT524060 RNP523715:RNP524060 RXL523715:RXL524060 SHH523715:SHH524060 SRD523715:SRD524060 TAZ523715:TAZ524060 TKV523715:TKV524060 TUR523715:TUR524060 UEN523715:UEN524060 UOJ523715:UOJ524060 UYF523715:UYF524060 VIB523715:VIB524060 VRX523715:VRX524060 WBT523715:WBT524060 WLP523715:WLP524060 WVL523715:WVL524060 O589251:O589596 IZ589251:IZ589596 SV589251:SV589596 ACR589251:ACR589596 AMN589251:AMN589596 AWJ589251:AWJ589596 BGF589251:BGF589596 BQB589251:BQB589596 BZX589251:BZX589596 CJT589251:CJT589596 CTP589251:CTP589596 DDL589251:DDL589596 DNH589251:DNH589596 DXD589251:DXD589596 EGZ589251:EGZ589596 EQV589251:EQV589596 FAR589251:FAR589596 FKN589251:FKN589596 FUJ589251:FUJ589596 GEF589251:GEF589596 GOB589251:GOB589596 GXX589251:GXX589596 HHT589251:HHT589596 HRP589251:HRP589596 IBL589251:IBL589596 ILH589251:ILH589596 IVD589251:IVD589596 JEZ589251:JEZ589596 JOV589251:JOV589596 JYR589251:JYR589596 KIN589251:KIN589596 KSJ589251:KSJ589596 LCF589251:LCF589596 LMB589251:LMB589596 LVX589251:LVX589596 MFT589251:MFT589596 MPP589251:MPP589596 MZL589251:MZL589596 NJH589251:NJH589596 NTD589251:NTD589596 OCZ589251:OCZ589596 OMV589251:OMV589596 OWR589251:OWR589596 PGN589251:PGN589596 PQJ589251:PQJ589596 QAF589251:QAF589596 QKB589251:QKB589596 QTX589251:QTX589596 RDT589251:RDT589596 RNP589251:RNP589596 RXL589251:RXL589596 SHH589251:SHH589596 SRD589251:SRD589596 TAZ589251:TAZ589596 TKV589251:TKV589596 TUR589251:TUR589596 UEN589251:UEN589596 UOJ589251:UOJ589596 UYF589251:UYF589596 VIB589251:VIB589596 VRX589251:VRX589596 WBT589251:WBT589596 WLP589251:WLP589596 WVL589251:WVL589596 O654787:O655132 IZ654787:IZ655132 SV654787:SV655132 ACR654787:ACR655132 AMN654787:AMN655132 AWJ654787:AWJ655132 BGF654787:BGF655132 BQB654787:BQB655132 BZX654787:BZX655132 CJT654787:CJT655132 CTP654787:CTP655132 DDL654787:DDL655132 DNH654787:DNH655132 DXD654787:DXD655132 EGZ654787:EGZ655132 EQV654787:EQV655132 FAR654787:FAR655132 FKN654787:FKN655132 FUJ654787:FUJ655132 GEF654787:GEF655132 GOB654787:GOB655132 GXX654787:GXX655132 HHT654787:HHT655132 HRP654787:HRP655132 IBL654787:IBL655132 ILH654787:ILH655132 IVD654787:IVD655132 JEZ654787:JEZ655132 JOV654787:JOV655132 JYR654787:JYR655132 KIN654787:KIN655132 KSJ654787:KSJ655132 LCF654787:LCF655132 LMB654787:LMB655132 LVX654787:LVX655132 MFT654787:MFT655132 MPP654787:MPP655132 MZL654787:MZL655132 NJH654787:NJH655132 NTD654787:NTD655132 OCZ654787:OCZ655132 OMV654787:OMV655132 OWR654787:OWR655132 PGN654787:PGN655132 PQJ654787:PQJ655132 QAF654787:QAF655132 QKB654787:QKB655132 QTX654787:QTX655132 RDT654787:RDT655132 RNP654787:RNP655132 RXL654787:RXL655132 SHH654787:SHH655132 SRD654787:SRD655132 TAZ654787:TAZ655132 TKV654787:TKV655132 TUR654787:TUR655132 UEN654787:UEN655132 UOJ654787:UOJ655132 UYF654787:UYF655132 VIB654787:VIB655132 VRX654787:VRX655132 WBT654787:WBT655132 WLP654787:WLP655132 WVL654787:WVL655132 O720323:O720668 IZ720323:IZ720668 SV720323:SV720668 ACR720323:ACR720668 AMN720323:AMN720668 AWJ720323:AWJ720668 BGF720323:BGF720668 BQB720323:BQB720668 BZX720323:BZX720668 CJT720323:CJT720668 CTP720323:CTP720668 DDL720323:DDL720668 DNH720323:DNH720668 DXD720323:DXD720668 EGZ720323:EGZ720668 EQV720323:EQV720668 FAR720323:FAR720668 FKN720323:FKN720668 FUJ720323:FUJ720668 GEF720323:GEF720668 GOB720323:GOB720668 GXX720323:GXX720668 HHT720323:HHT720668 HRP720323:HRP720668 IBL720323:IBL720668 ILH720323:ILH720668 IVD720323:IVD720668 JEZ720323:JEZ720668 JOV720323:JOV720668 JYR720323:JYR720668 KIN720323:KIN720668 KSJ720323:KSJ720668 LCF720323:LCF720668 LMB720323:LMB720668 LVX720323:LVX720668 MFT720323:MFT720668 MPP720323:MPP720668 MZL720323:MZL720668 NJH720323:NJH720668 NTD720323:NTD720668 OCZ720323:OCZ720668 OMV720323:OMV720668 OWR720323:OWR720668 PGN720323:PGN720668 PQJ720323:PQJ720668 QAF720323:QAF720668 QKB720323:QKB720668 QTX720323:QTX720668 RDT720323:RDT720668 RNP720323:RNP720668 RXL720323:RXL720668 SHH720323:SHH720668 SRD720323:SRD720668 TAZ720323:TAZ720668 TKV720323:TKV720668 TUR720323:TUR720668 UEN720323:UEN720668 UOJ720323:UOJ720668 UYF720323:UYF720668 VIB720323:VIB720668 VRX720323:VRX720668 WBT720323:WBT720668 WLP720323:WLP720668 WVL720323:WVL720668 O785859:O786204 IZ785859:IZ786204 SV785859:SV786204 ACR785859:ACR786204 AMN785859:AMN786204 AWJ785859:AWJ786204 BGF785859:BGF786204 BQB785859:BQB786204 BZX785859:BZX786204 CJT785859:CJT786204 CTP785859:CTP786204 DDL785859:DDL786204 DNH785859:DNH786204 DXD785859:DXD786204 EGZ785859:EGZ786204 EQV785859:EQV786204 FAR785859:FAR786204 FKN785859:FKN786204 FUJ785859:FUJ786204 GEF785859:GEF786204 GOB785859:GOB786204 GXX785859:GXX786204 HHT785859:HHT786204 HRP785859:HRP786204 IBL785859:IBL786204 ILH785859:ILH786204 IVD785859:IVD786204 JEZ785859:JEZ786204 JOV785859:JOV786204 JYR785859:JYR786204 KIN785859:KIN786204 KSJ785859:KSJ786204 LCF785859:LCF786204 LMB785859:LMB786204 LVX785859:LVX786204 MFT785859:MFT786204 MPP785859:MPP786204 MZL785859:MZL786204 NJH785859:NJH786204 NTD785859:NTD786204 OCZ785859:OCZ786204 OMV785859:OMV786204 OWR785859:OWR786204 PGN785859:PGN786204 PQJ785859:PQJ786204 QAF785859:QAF786204 QKB785859:QKB786204 QTX785859:QTX786204 RDT785859:RDT786204 RNP785859:RNP786204 RXL785859:RXL786204 SHH785859:SHH786204 SRD785859:SRD786204 TAZ785859:TAZ786204 TKV785859:TKV786204 TUR785859:TUR786204 UEN785859:UEN786204 UOJ785859:UOJ786204 UYF785859:UYF786204 VIB785859:VIB786204 VRX785859:VRX786204 WBT785859:WBT786204 WLP785859:WLP786204 WVL785859:WVL786204 O851395:O851740 IZ851395:IZ851740 SV851395:SV851740 ACR851395:ACR851740 AMN851395:AMN851740 AWJ851395:AWJ851740 BGF851395:BGF851740 BQB851395:BQB851740 BZX851395:BZX851740 CJT851395:CJT851740 CTP851395:CTP851740 DDL851395:DDL851740 DNH851395:DNH851740 DXD851395:DXD851740 EGZ851395:EGZ851740 EQV851395:EQV851740 FAR851395:FAR851740 FKN851395:FKN851740 FUJ851395:FUJ851740 GEF851395:GEF851740 GOB851395:GOB851740 GXX851395:GXX851740 HHT851395:HHT851740 HRP851395:HRP851740 IBL851395:IBL851740 ILH851395:ILH851740 IVD851395:IVD851740 JEZ851395:JEZ851740 JOV851395:JOV851740 JYR851395:JYR851740 KIN851395:KIN851740 KSJ851395:KSJ851740 LCF851395:LCF851740 LMB851395:LMB851740 LVX851395:LVX851740 MFT851395:MFT851740 MPP851395:MPP851740 MZL851395:MZL851740 NJH851395:NJH851740 NTD851395:NTD851740 OCZ851395:OCZ851740 OMV851395:OMV851740 OWR851395:OWR851740 PGN851395:PGN851740 PQJ851395:PQJ851740 QAF851395:QAF851740 QKB851395:QKB851740 QTX851395:QTX851740 RDT851395:RDT851740 RNP851395:RNP851740 RXL851395:RXL851740 SHH851395:SHH851740 SRD851395:SRD851740 TAZ851395:TAZ851740 TKV851395:TKV851740 TUR851395:TUR851740 UEN851395:UEN851740 UOJ851395:UOJ851740 UYF851395:UYF851740 VIB851395:VIB851740 VRX851395:VRX851740 WBT851395:WBT851740 WLP851395:WLP851740 WVL851395:WVL851740 O916931:O917276 IZ916931:IZ917276 SV916931:SV917276 ACR916931:ACR917276 AMN916931:AMN917276 AWJ916931:AWJ917276 BGF916931:BGF917276 BQB916931:BQB917276 BZX916931:BZX917276 CJT916931:CJT917276 CTP916931:CTP917276 DDL916931:DDL917276 DNH916931:DNH917276 DXD916931:DXD917276 EGZ916931:EGZ917276 EQV916931:EQV917276 FAR916931:FAR917276 FKN916931:FKN917276 FUJ916931:FUJ917276 GEF916931:GEF917276 GOB916931:GOB917276 GXX916931:GXX917276 HHT916931:HHT917276 HRP916931:HRP917276 IBL916931:IBL917276 ILH916931:ILH917276 IVD916931:IVD917276 JEZ916931:JEZ917276 JOV916931:JOV917276 JYR916931:JYR917276 KIN916931:KIN917276 KSJ916931:KSJ917276 LCF916931:LCF917276 LMB916931:LMB917276 LVX916931:LVX917276 MFT916931:MFT917276 MPP916931:MPP917276 MZL916931:MZL917276 NJH916931:NJH917276 NTD916931:NTD917276 OCZ916931:OCZ917276 OMV916931:OMV917276 OWR916931:OWR917276 PGN916931:PGN917276 PQJ916931:PQJ917276 QAF916931:QAF917276 QKB916931:QKB917276 QTX916931:QTX917276 RDT916931:RDT917276 RNP916931:RNP917276 RXL916931:RXL917276 SHH916931:SHH917276 SRD916931:SRD917276 TAZ916931:TAZ917276 TKV916931:TKV917276 TUR916931:TUR917276 UEN916931:UEN917276 UOJ916931:UOJ917276 UYF916931:UYF917276 VIB916931:VIB917276 VRX916931:VRX917276 WBT916931:WBT917276 WLP916931:WLP917276 WVL916931:WVL917276 O982467:O982812 IZ982467:IZ982812 SV982467:SV982812 ACR982467:ACR982812 AMN982467:AMN982812 AWJ982467:AWJ982812 BGF982467:BGF982812 BQB982467:BQB982812 BZX982467:BZX982812 CJT982467:CJT982812 CTP982467:CTP982812 DDL982467:DDL982812 DNH982467:DNH982812 DXD982467:DXD982812 EGZ982467:EGZ982812 EQV982467:EQV982812 FAR982467:FAR982812 FKN982467:FKN982812 FUJ982467:FUJ982812 GEF982467:GEF982812 GOB982467:GOB982812 GXX982467:GXX982812 HHT982467:HHT982812 HRP982467:HRP982812 IBL982467:IBL982812 ILH982467:ILH982812 IVD982467:IVD982812 JEZ982467:JEZ982812 JOV982467:JOV982812 JYR982467:JYR982812 KIN982467:KIN982812 KSJ982467:KSJ982812 LCF982467:LCF982812 LMB982467:LMB982812 LVX982467:LVX982812 MFT982467:MFT982812 MPP982467:MPP982812 MZL982467:MZL982812 NJH982467:NJH982812 NTD982467:NTD982812 OCZ982467:OCZ982812 OMV982467:OMV982812 OWR982467:OWR982812 PGN982467:PGN982812 PQJ982467:PQJ982812 QAF982467:QAF982812 QKB982467:QKB982812 QTX982467:QTX982812 RDT982467:RDT982812 RNP982467:RNP982812 RXL982467:RXL982812 SHH982467:SHH982812 SRD982467:SRD982812 TAZ982467:TAZ982812 TKV982467:TKV982812 TUR982467:TUR982812 UEN982467:UEN982812 UOJ982467:UOJ982812 UYF982467:UYF982812 VIB982467:VIB982812 VRX982467:VRX982812 WBT982467:WBT982812 WLP982467:WLP982812 WVL982467:WVL982812" xr:uid="{00000000-0002-0000-0C00-000005000000}">
      <formula1>Status_List</formula1>
    </dataValidation>
    <dataValidation type="date" operator="greaterThan" allowBlank="1" showInputMessage="1" showErrorMessage="1" errorTitle="Date prior to inception" error="Expiry date must be after inception date." sqref="D64963:D65308 IO64963:IO65308 SK64963:SK65308 ACG64963:ACG65308 AMC64963:AMC65308 AVY64963:AVY65308 BFU64963:BFU65308 BPQ64963:BPQ65308 BZM64963:BZM65308 CJI64963:CJI65308 CTE64963:CTE65308 DDA64963:DDA65308 DMW64963:DMW65308 DWS64963:DWS65308 EGO64963:EGO65308 EQK64963:EQK65308 FAG64963:FAG65308 FKC64963:FKC65308 FTY64963:FTY65308 GDU64963:GDU65308 GNQ64963:GNQ65308 GXM64963:GXM65308 HHI64963:HHI65308 HRE64963:HRE65308 IBA64963:IBA65308 IKW64963:IKW65308 IUS64963:IUS65308 JEO64963:JEO65308 JOK64963:JOK65308 JYG64963:JYG65308 KIC64963:KIC65308 KRY64963:KRY65308 LBU64963:LBU65308 LLQ64963:LLQ65308 LVM64963:LVM65308 MFI64963:MFI65308 MPE64963:MPE65308 MZA64963:MZA65308 NIW64963:NIW65308 NSS64963:NSS65308 OCO64963:OCO65308 OMK64963:OMK65308 OWG64963:OWG65308 PGC64963:PGC65308 PPY64963:PPY65308 PZU64963:PZU65308 QJQ64963:QJQ65308 QTM64963:QTM65308 RDI64963:RDI65308 RNE64963:RNE65308 RXA64963:RXA65308 SGW64963:SGW65308 SQS64963:SQS65308 TAO64963:TAO65308 TKK64963:TKK65308 TUG64963:TUG65308 UEC64963:UEC65308 UNY64963:UNY65308 UXU64963:UXU65308 VHQ64963:VHQ65308 VRM64963:VRM65308 WBI64963:WBI65308 WLE64963:WLE65308 WVA64963:WVA65308 D130499:D130844 IO130499:IO130844 SK130499:SK130844 ACG130499:ACG130844 AMC130499:AMC130844 AVY130499:AVY130844 BFU130499:BFU130844 BPQ130499:BPQ130844 BZM130499:BZM130844 CJI130499:CJI130844 CTE130499:CTE130844 DDA130499:DDA130844 DMW130499:DMW130844 DWS130499:DWS130844 EGO130499:EGO130844 EQK130499:EQK130844 FAG130499:FAG130844 FKC130499:FKC130844 FTY130499:FTY130844 GDU130499:GDU130844 GNQ130499:GNQ130844 GXM130499:GXM130844 HHI130499:HHI130844 HRE130499:HRE130844 IBA130499:IBA130844 IKW130499:IKW130844 IUS130499:IUS130844 JEO130499:JEO130844 JOK130499:JOK130844 JYG130499:JYG130844 KIC130499:KIC130844 KRY130499:KRY130844 LBU130499:LBU130844 LLQ130499:LLQ130844 LVM130499:LVM130844 MFI130499:MFI130844 MPE130499:MPE130844 MZA130499:MZA130844 NIW130499:NIW130844 NSS130499:NSS130844 OCO130499:OCO130844 OMK130499:OMK130844 OWG130499:OWG130844 PGC130499:PGC130844 PPY130499:PPY130844 PZU130499:PZU130844 QJQ130499:QJQ130844 QTM130499:QTM130844 RDI130499:RDI130844 RNE130499:RNE130844 RXA130499:RXA130844 SGW130499:SGW130844 SQS130499:SQS130844 TAO130499:TAO130844 TKK130499:TKK130844 TUG130499:TUG130844 UEC130499:UEC130844 UNY130499:UNY130844 UXU130499:UXU130844 VHQ130499:VHQ130844 VRM130499:VRM130844 WBI130499:WBI130844 WLE130499:WLE130844 WVA130499:WVA130844 D196035:D196380 IO196035:IO196380 SK196035:SK196380 ACG196035:ACG196380 AMC196035:AMC196380 AVY196035:AVY196380 BFU196035:BFU196380 BPQ196035:BPQ196380 BZM196035:BZM196380 CJI196035:CJI196380 CTE196035:CTE196380 DDA196035:DDA196380 DMW196035:DMW196380 DWS196035:DWS196380 EGO196035:EGO196380 EQK196035:EQK196380 FAG196035:FAG196380 FKC196035:FKC196380 FTY196035:FTY196380 GDU196035:GDU196380 GNQ196035:GNQ196380 GXM196035:GXM196380 HHI196035:HHI196380 HRE196035:HRE196380 IBA196035:IBA196380 IKW196035:IKW196380 IUS196035:IUS196380 JEO196035:JEO196380 JOK196035:JOK196380 JYG196035:JYG196380 KIC196035:KIC196380 KRY196035:KRY196380 LBU196035:LBU196380 LLQ196035:LLQ196380 LVM196035:LVM196380 MFI196035:MFI196380 MPE196035:MPE196380 MZA196035:MZA196380 NIW196035:NIW196380 NSS196035:NSS196380 OCO196035:OCO196380 OMK196035:OMK196380 OWG196035:OWG196380 PGC196035:PGC196380 PPY196035:PPY196380 PZU196035:PZU196380 QJQ196035:QJQ196380 QTM196035:QTM196380 RDI196035:RDI196380 RNE196035:RNE196380 RXA196035:RXA196380 SGW196035:SGW196380 SQS196035:SQS196380 TAO196035:TAO196380 TKK196035:TKK196380 TUG196035:TUG196380 UEC196035:UEC196380 UNY196035:UNY196380 UXU196035:UXU196380 VHQ196035:VHQ196380 VRM196035:VRM196380 WBI196035:WBI196380 WLE196035:WLE196380 WVA196035:WVA196380 D261571:D261916 IO261571:IO261916 SK261571:SK261916 ACG261571:ACG261916 AMC261571:AMC261916 AVY261571:AVY261916 BFU261571:BFU261916 BPQ261571:BPQ261916 BZM261571:BZM261916 CJI261571:CJI261916 CTE261571:CTE261916 DDA261571:DDA261916 DMW261571:DMW261916 DWS261571:DWS261916 EGO261571:EGO261916 EQK261571:EQK261916 FAG261571:FAG261916 FKC261571:FKC261916 FTY261571:FTY261916 GDU261571:GDU261916 GNQ261571:GNQ261916 GXM261571:GXM261916 HHI261571:HHI261916 HRE261571:HRE261916 IBA261571:IBA261916 IKW261571:IKW261916 IUS261571:IUS261916 JEO261571:JEO261916 JOK261571:JOK261916 JYG261571:JYG261916 KIC261571:KIC261916 KRY261571:KRY261916 LBU261571:LBU261916 LLQ261571:LLQ261916 LVM261571:LVM261916 MFI261571:MFI261916 MPE261571:MPE261916 MZA261571:MZA261916 NIW261571:NIW261916 NSS261571:NSS261916 OCO261571:OCO261916 OMK261571:OMK261916 OWG261571:OWG261916 PGC261571:PGC261916 PPY261571:PPY261916 PZU261571:PZU261916 QJQ261571:QJQ261916 QTM261571:QTM261916 RDI261571:RDI261916 RNE261571:RNE261916 RXA261571:RXA261916 SGW261571:SGW261916 SQS261571:SQS261916 TAO261571:TAO261916 TKK261571:TKK261916 TUG261571:TUG261916 UEC261571:UEC261916 UNY261571:UNY261916 UXU261571:UXU261916 VHQ261571:VHQ261916 VRM261571:VRM261916 WBI261571:WBI261916 WLE261571:WLE261916 WVA261571:WVA261916 D327107:D327452 IO327107:IO327452 SK327107:SK327452 ACG327107:ACG327452 AMC327107:AMC327452 AVY327107:AVY327452 BFU327107:BFU327452 BPQ327107:BPQ327452 BZM327107:BZM327452 CJI327107:CJI327452 CTE327107:CTE327452 DDA327107:DDA327452 DMW327107:DMW327452 DWS327107:DWS327452 EGO327107:EGO327452 EQK327107:EQK327452 FAG327107:FAG327452 FKC327107:FKC327452 FTY327107:FTY327452 GDU327107:GDU327452 GNQ327107:GNQ327452 GXM327107:GXM327452 HHI327107:HHI327452 HRE327107:HRE327452 IBA327107:IBA327452 IKW327107:IKW327452 IUS327107:IUS327452 JEO327107:JEO327452 JOK327107:JOK327452 JYG327107:JYG327452 KIC327107:KIC327452 KRY327107:KRY327452 LBU327107:LBU327452 LLQ327107:LLQ327452 LVM327107:LVM327452 MFI327107:MFI327452 MPE327107:MPE327452 MZA327107:MZA327452 NIW327107:NIW327452 NSS327107:NSS327452 OCO327107:OCO327452 OMK327107:OMK327452 OWG327107:OWG327452 PGC327107:PGC327452 PPY327107:PPY327452 PZU327107:PZU327452 QJQ327107:QJQ327452 QTM327107:QTM327452 RDI327107:RDI327452 RNE327107:RNE327452 RXA327107:RXA327452 SGW327107:SGW327452 SQS327107:SQS327452 TAO327107:TAO327452 TKK327107:TKK327452 TUG327107:TUG327452 UEC327107:UEC327452 UNY327107:UNY327452 UXU327107:UXU327452 VHQ327107:VHQ327452 VRM327107:VRM327452 WBI327107:WBI327452 WLE327107:WLE327452 WVA327107:WVA327452 D392643:D392988 IO392643:IO392988 SK392643:SK392988 ACG392643:ACG392988 AMC392643:AMC392988 AVY392643:AVY392988 BFU392643:BFU392988 BPQ392643:BPQ392988 BZM392643:BZM392988 CJI392643:CJI392988 CTE392643:CTE392988 DDA392643:DDA392988 DMW392643:DMW392988 DWS392643:DWS392988 EGO392643:EGO392988 EQK392643:EQK392988 FAG392643:FAG392988 FKC392643:FKC392988 FTY392643:FTY392988 GDU392643:GDU392988 GNQ392643:GNQ392988 GXM392643:GXM392988 HHI392643:HHI392988 HRE392643:HRE392988 IBA392643:IBA392988 IKW392643:IKW392988 IUS392643:IUS392988 JEO392643:JEO392988 JOK392643:JOK392988 JYG392643:JYG392988 KIC392643:KIC392988 KRY392643:KRY392988 LBU392643:LBU392988 LLQ392643:LLQ392988 LVM392643:LVM392988 MFI392643:MFI392988 MPE392643:MPE392988 MZA392643:MZA392988 NIW392643:NIW392988 NSS392643:NSS392988 OCO392643:OCO392988 OMK392643:OMK392988 OWG392643:OWG392988 PGC392643:PGC392988 PPY392643:PPY392988 PZU392643:PZU392988 QJQ392643:QJQ392988 QTM392643:QTM392988 RDI392643:RDI392988 RNE392643:RNE392988 RXA392643:RXA392988 SGW392643:SGW392988 SQS392643:SQS392988 TAO392643:TAO392988 TKK392643:TKK392988 TUG392643:TUG392988 UEC392643:UEC392988 UNY392643:UNY392988 UXU392643:UXU392988 VHQ392643:VHQ392988 VRM392643:VRM392988 WBI392643:WBI392988 WLE392643:WLE392988 WVA392643:WVA392988 D458179:D458524 IO458179:IO458524 SK458179:SK458524 ACG458179:ACG458524 AMC458179:AMC458524 AVY458179:AVY458524 BFU458179:BFU458524 BPQ458179:BPQ458524 BZM458179:BZM458524 CJI458179:CJI458524 CTE458179:CTE458524 DDA458179:DDA458524 DMW458179:DMW458524 DWS458179:DWS458524 EGO458179:EGO458524 EQK458179:EQK458524 FAG458179:FAG458524 FKC458179:FKC458524 FTY458179:FTY458524 GDU458179:GDU458524 GNQ458179:GNQ458524 GXM458179:GXM458524 HHI458179:HHI458524 HRE458179:HRE458524 IBA458179:IBA458524 IKW458179:IKW458524 IUS458179:IUS458524 JEO458179:JEO458524 JOK458179:JOK458524 JYG458179:JYG458524 KIC458179:KIC458524 KRY458179:KRY458524 LBU458179:LBU458524 LLQ458179:LLQ458524 LVM458179:LVM458524 MFI458179:MFI458524 MPE458179:MPE458524 MZA458179:MZA458524 NIW458179:NIW458524 NSS458179:NSS458524 OCO458179:OCO458524 OMK458179:OMK458524 OWG458179:OWG458524 PGC458179:PGC458524 PPY458179:PPY458524 PZU458179:PZU458524 QJQ458179:QJQ458524 QTM458179:QTM458524 RDI458179:RDI458524 RNE458179:RNE458524 RXA458179:RXA458524 SGW458179:SGW458524 SQS458179:SQS458524 TAO458179:TAO458524 TKK458179:TKK458524 TUG458179:TUG458524 UEC458179:UEC458524 UNY458179:UNY458524 UXU458179:UXU458524 VHQ458179:VHQ458524 VRM458179:VRM458524 WBI458179:WBI458524 WLE458179:WLE458524 WVA458179:WVA458524 D523715:D524060 IO523715:IO524060 SK523715:SK524060 ACG523715:ACG524060 AMC523715:AMC524060 AVY523715:AVY524060 BFU523715:BFU524060 BPQ523715:BPQ524060 BZM523715:BZM524060 CJI523715:CJI524060 CTE523715:CTE524060 DDA523715:DDA524060 DMW523715:DMW524060 DWS523715:DWS524060 EGO523715:EGO524060 EQK523715:EQK524060 FAG523715:FAG524060 FKC523715:FKC524060 FTY523715:FTY524060 GDU523715:GDU524060 GNQ523715:GNQ524060 GXM523715:GXM524060 HHI523715:HHI524060 HRE523715:HRE524060 IBA523715:IBA524060 IKW523715:IKW524060 IUS523715:IUS524060 JEO523715:JEO524060 JOK523715:JOK524060 JYG523715:JYG524060 KIC523715:KIC524060 KRY523715:KRY524060 LBU523715:LBU524060 LLQ523715:LLQ524060 LVM523715:LVM524060 MFI523715:MFI524060 MPE523715:MPE524060 MZA523715:MZA524060 NIW523715:NIW524060 NSS523715:NSS524060 OCO523715:OCO524060 OMK523715:OMK524060 OWG523715:OWG524060 PGC523715:PGC524060 PPY523715:PPY524060 PZU523715:PZU524060 QJQ523715:QJQ524060 QTM523715:QTM524060 RDI523715:RDI524060 RNE523715:RNE524060 RXA523715:RXA524060 SGW523715:SGW524060 SQS523715:SQS524060 TAO523715:TAO524060 TKK523715:TKK524060 TUG523715:TUG524060 UEC523715:UEC524060 UNY523715:UNY524060 UXU523715:UXU524060 VHQ523715:VHQ524060 VRM523715:VRM524060 WBI523715:WBI524060 WLE523715:WLE524060 WVA523715:WVA524060 D589251:D589596 IO589251:IO589596 SK589251:SK589596 ACG589251:ACG589596 AMC589251:AMC589596 AVY589251:AVY589596 BFU589251:BFU589596 BPQ589251:BPQ589596 BZM589251:BZM589596 CJI589251:CJI589596 CTE589251:CTE589596 DDA589251:DDA589596 DMW589251:DMW589596 DWS589251:DWS589596 EGO589251:EGO589596 EQK589251:EQK589596 FAG589251:FAG589596 FKC589251:FKC589596 FTY589251:FTY589596 GDU589251:GDU589596 GNQ589251:GNQ589596 GXM589251:GXM589596 HHI589251:HHI589596 HRE589251:HRE589596 IBA589251:IBA589596 IKW589251:IKW589596 IUS589251:IUS589596 JEO589251:JEO589596 JOK589251:JOK589596 JYG589251:JYG589596 KIC589251:KIC589596 KRY589251:KRY589596 LBU589251:LBU589596 LLQ589251:LLQ589596 LVM589251:LVM589596 MFI589251:MFI589596 MPE589251:MPE589596 MZA589251:MZA589596 NIW589251:NIW589596 NSS589251:NSS589596 OCO589251:OCO589596 OMK589251:OMK589596 OWG589251:OWG589596 PGC589251:PGC589596 PPY589251:PPY589596 PZU589251:PZU589596 QJQ589251:QJQ589596 QTM589251:QTM589596 RDI589251:RDI589596 RNE589251:RNE589596 RXA589251:RXA589596 SGW589251:SGW589596 SQS589251:SQS589596 TAO589251:TAO589596 TKK589251:TKK589596 TUG589251:TUG589596 UEC589251:UEC589596 UNY589251:UNY589596 UXU589251:UXU589596 VHQ589251:VHQ589596 VRM589251:VRM589596 WBI589251:WBI589596 WLE589251:WLE589596 WVA589251:WVA589596 D654787:D655132 IO654787:IO655132 SK654787:SK655132 ACG654787:ACG655132 AMC654787:AMC655132 AVY654787:AVY655132 BFU654787:BFU655132 BPQ654787:BPQ655132 BZM654787:BZM655132 CJI654787:CJI655132 CTE654787:CTE655132 DDA654787:DDA655132 DMW654787:DMW655132 DWS654787:DWS655132 EGO654787:EGO655132 EQK654787:EQK655132 FAG654787:FAG655132 FKC654787:FKC655132 FTY654787:FTY655132 GDU654787:GDU655132 GNQ654787:GNQ655132 GXM654787:GXM655132 HHI654787:HHI655132 HRE654787:HRE655132 IBA654787:IBA655132 IKW654787:IKW655132 IUS654787:IUS655132 JEO654787:JEO655132 JOK654787:JOK655132 JYG654787:JYG655132 KIC654787:KIC655132 KRY654787:KRY655132 LBU654787:LBU655132 LLQ654787:LLQ655132 LVM654787:LVM655132 MFI654787:MFI655132 MPE654787:MPE655132 MZA654787:MZA655132 NIW654787:NIW655132 NSS654787:NSS655132 OCO654787:OCO655132 OMK654787:OMK655132 OWG654787:OWG655132 PGC654787:PGC655132 PPY654787:PPY655132 PZU654787:PZU655132 QJQ654787:QJQ655132 QTM654787:QTM655132 RDI654787:RDI655132 RNE654787:RNE655132 RXA654787:RXA655132 SGW654787:SGW655132 SQS654787:SQS655132 TAO654787:TAO655132 TKK654787:TKK655132 TUG654787:TUG655132 UEC654787:UEC655132 UNY654787:UNY655132 UXU654787:UXU655132 VHQ654787:VHQ655132 VRM654787:VRM655132 WBI654787:WBI655132 WLE654787:WLE655132 WVA654787:WVA655132 D720323:D720668 IO720323:IO720668 SK720323:SK720668 ACG720323:ACG720668 AMC720323:AMC720668 AVY720323:AVY720668 BFU720323:BFU720668 BPQ720323:BPQ720668 BZM720323:BZM720668 CJI720323:CJI720668 CTE720323:CTE720668 DDA720323:DDA720668 DMW720323:DMW720668 DWS720323:DWS720668 EGO720323:EGO720668 EQK720323:EQK720668 FAG720323:FAG720668 FKC720323:FKC720668 FTY720323:FTY720668 GDU720323:GDU720668 GNQ720323:GNQ720668 GXM720323:GXM720668 HHI720323:HHI720668 HRE720323:HRE720668 IBA720323:IBA720668 IKW720323:IKW720668 IUS720323:IUS720668 JEO720323:JEO720668 JOK720323:JOK720668 JYG720323:JYG720668 KIC720323:KIC720668 KRY720323:KRY720668 LBU720323:LBU720668 LLQ720323:LLQ720668 LVM720323:LVM720668 MFI720323:MFI720668 MPE720323:MPE720668 MZA720323:MZA720668 NIW720323:NIW720668 NSS720323:NSS720668 OCO720323:OCO720668 OMK720323:OMK720668 OWG720323:OWG720668 PGC720323:PGC720668 PPY720323:PPY720668 PZU720323:PZU720668 QJQ720323:QJQ720668 QTM720323:QTM720668 RDI720323:RDI720668 RNE720323:RNE720668 RXA720323:RXA720668 SGW720323:SGW720668 SQS720323:SQS720668 TAO720323:TAO720668 TKK720323:TKK720668 TUG720323:TUG720668 UEC720323:UEC720668 UNY720323:UNY720668 UXU720323:UXU720668 VHQ720323:VHQ720668 VRM720323:VRM720668 WBI720323:WBI720668 WLE720323:WLE720668 WVA720323:WVA720668 D785859:D786204 IO785859:IO786204 SK785859:SK786204 ACG785859:ACG786204 AMC785859:AMC786204 AVY785859:AVY786204 BFU785859:BFU786204 BPQ785859:BPQ786204 BZM785859:BZM786204 CJI785859:CJI786204 CTE785859:CTE786204 DDA785859:DDA786204 DMW785859:DMW786204 DWS785859:DWS786204 EGO785859:EGO786204 EQK785859:EQK786204 FAG785859:FAG786204 FKC785859:FKC786204 FTY785859:FTY786204 GDU785859:GDU786204 GNQ785859:GNQ786204 GXM785859:GXM786204 HHI785859:HHI786204 HRE785859:HRE786204 IBA785859:IBA786204 IKW785859:IKW786204 IUS785859:IUS786204 JEO785859:JEO786204 JOK785859:JOK786204 JYG785859:JYG786204 KIC785859:KIC786204 KRY785859:KRY786204 LBU785859:LBU786204 LLQ785859:LLQ786204 LVM785859:LVM786204 MFI785859:MFI786204 MPE785859:MPE786204 MZA785859:MZA786204 NIW785859:NIW786204 NSS785859:NSS786204 OCO785859:OCO786204 OMK785859:OMK786204 OWG785859:OWG786204 PGC785859:PGC786204 PPY785859:PPY786204 PZU785859:PZU786204 QJQ785859:QJQ786204 QTM785859:QTM786204 RDI785859:RDI786204 RNE785859:RNE786204 RXA785859:RXA786204 SGW785859:SGW786204 SQS785859:SQS786204 TAO785859:TAO786204 TKK785859:TKK786204 TUG785859:TUG786204 UEC785859:UEC786204 UNY785859:UNY786204 UXU785859:UXU786204 VHQ785859:VHQ786204 VRM785859:VRM786204 WBI785859:WBI786204 WLE785859:WLE786204 WVA785859:WVA786204 D851395:D851740 IO851395:IO851740 SK851395:SK851740 ACG851395:ACG851740 AMC851395:AMC851740 AVY851395:AVY851740 BFU851395:BFU851740 BPQ851395:BPQ851740 BZM851395:BZM851740 CJI851395:CJI851740 CTE851395:CTE851740 DDA851395:DDA851740 DMW851395:DMW851740 DWS851395:DWS851740 EGO851395:EGO851740 EQK851395:EQK851740 FAG851395:FAG851740 FKC851395:FKC851740 FTY851395:FTY851740 GDU851395:GDU851740 GNQ851395:GNQ851740 GXM851395:GXM851740 HHI851395:HHI851740 HRE851395:HRE851740 IBA851395:IBA851740 IKW851395:IKW851740 IUS851395:IUS851740 JEO851395:JEO851740 JOK851395:JOK851740 JYG851395:JYG851740 KIC851395:KIC851740 KRY851395:KRY851740 LBU851395:LBU851740 LLQ851395:LLQ851740 LVM851395:LVM851740 MFI851395:MFI851740 MPE851395:MPE851740 MZA851395:MZA851740 NIW851395:NIW851740 NSS851395:NSS851740 OCO851395:OCO851740 OMK851395:OMK851740 OWG851395:OWG851740 PGC851395:PGC851740 PPY851395:PPY851740 PZU851395:PZU851740 QJQ851395:QJQ851740 QTM851395:QTM851740 RDI851395:RDI851740 RNE851395:RNE851740 RXA851395:RXA851740 SGW851395:SGW851740 SQS851395:SQS851740 TAO851395:TAO851740 TKK851395:TKK851740 TUG851395:TUG851740 UEC851395:UEC851740 UNY851395:UNY851740 UXU851395:UXU851740 VHQ851395:VHQ851740 VRM851395:VRM851740 WBI851395:WBI851740 WLE851395:WLE851740 WVA851395:WVA851740 D916931:D917276 IO916931:IO917276 SK916931:SK917276 ACG916931:ACG917276 AMC916931:AMC917276 AVY916931:AVY917276 BFU916931:BFU917276 BPQ916931:BPQ917276 BZM916931:BZM917276 CJI916931:CJI917276 CTE916931:CTE917276 DDA916931:DDA917276 DMW916931:DMW917276 DWS916931:DWS917276 EGO916931:EGO917276 EQK916931:EQK917276 FAG916931:FAG917276 FKC916931:FKC917276 FTY916931:FTY917276 GDU916931:GDU917276 GNQ916931:GNQ917276 GXM916931:GXM917276 HHI916931:HHI917276 HRE916931:HRE917276 IBA916931:IBA917276 IKW916931:IKW917276 IUS916931:IUS917276 JEO916931:JEO917276 JOK916931:JOK917276 JYG916931:JYG917276 KIC916931:KIC917276 KRY916931:KRY917276 LBU916931:LBU917276 LLQ916931:LLQ917276 LVM916931:LVM917276 MFI916931:MFI917276 MPE916931:MPE917276 MZA916931:MZA917276 NIW916931:NIW917276 NSS916931:NSS917276 OCO916931:OCO917276 OMK916931:OMK917276 OWG916931:OWG917276 PGC916931:PGC917276 PPY916931:PPY917276 PZU916931:PZU917276 QJQ916931:QJQ917276 QTM916931:QTM917276 RDI916931:RDI917276 RNE916931:RNE917276 RXA916931:RXA917276 SGW916931:SGW917276 SQS916931:SQS917276 TAO916931:TAO917276 TKK916931:TKK917276 TUG916931:TUG917276 UEC916931:UEC917276 UNY916931:UNY917276 UXU916931:UXU917276 VHQ916931:VHQ917276 VRM916931:VRM917276 WBI916931:WBI917276 WLE916931:WLE917276 WVA916931:WVA917276 D982467:D982812 IO982467:IO982812 SK982467:SK982812 ACG982467:ACG982812 AMC982467:AMC982812 AVY982467:AVY982812 BFU982467:BFU982812 BPQ982467:BPQ982812 BZM982467:BZM982812 CJI982467:CJI982812 CTE982467:CTE982812 DDA982467:DDA982812 DMW982467:DMW982812 DWS982467:DWS982812 EGO982467:EGO982812 EQK982467:EQK982812 FAG982467:FAG982812 FKC982467:FKC982812 FTY982467:FTY982812 GDU982467:GDU982812 GNQ982467:GNQ982812 GXM982467:GXM982812 HHI982467:HHI982812 HRE982467:HRE982812 IBA982467:IBA982812 IKW982467:IKW982812 IUS982467:IUS982812 JEO982467:JEO982812 JOK982467:JOK982812 JYG982467:JYG982812 KIC982467:KIC982812 KRY982467:KRY982812 LBU982467:LBU982812 LLQ982467:LLQ982812 LVM982467:LVM982812 MFI982467:MFI982812 MPE982467:MPE982812 MZA982467:MZA982812 NIW982467:NIW982812 NSS982467:NSS982812 OCO982467:OCO982812 OMK982467:OMK982812 OWG982467:OWG982812 PGC982467:PGC982812 PPY982467:PPY982812 PZU982467:PZU982812 QJQ982467:QJQ982812 QTM982467:QTM982812 RDI982467:RDI982812 RNE982467:RNE982812 RXA982467:RXA982812 SGW982467:SGW982812 SQS982467:SQS982812 TAO982467:TAO982812 TKK982467:TKK982812 TUG982467:TUG982812 UEC982467:UEC982812 UNY982467:UNY982812 UXU982467:UXU982812 VHQ982467:VHQ982812 VRM982467:VRM982812 WBI982467:WBI982812 WLE982467:WLE982812 WVA982467:WVA982812" xr:uid="{00000000-0002-0000-0C00-000006000000}">
      <formula1>C64963</formula1>
    </dataValidation>
  </dataValidations>
  <printOptions horizontalCentered="1"/>
  <pageMargins left="0.35433070866141736" right="0.35433070866141736" top="0.39370078740157483" bottom="0.43307086614173229" header="0.19685039370078741" footer="0.15748031496062992"/>
  <pageSetup paperSize="9" scale="74" fitToHeight="0" orientation="landscape" r:id="rId1"/>
  <headerFooter alignWithMargins="0">
    <oddFooter>&amp;C&amp;11Page &amp;P of &amp;N&amp;R&amp;G</oddFooter>
  </headerFooter>
  <rowBreaks count="4" manualBreakCount="4">
    <brk id="62" max="17" man="1"/>
    <brk id="106" max="17" man="1"/>
    <brk id="154" max="17" man="1"/>
    <brk id="205" max="17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C00-000007000000}">
          <x14:formula1>
            <xm:f>'Secondary Schedule Audit No'!$G$58:$G$61</xm:f>
          </x14:formula1>
          <xm:sqref>A19:A146</xm:sqref>
        </x14:dataValidation>
        <x14:dataValidation type="list" allowBlank="1" showInputMessage="1" showErrorMessage="1" xr:uid="{00000000-0002-0000-0C00-000008000000}">
          <x14:formula1>
            <xm:f>'Secondary Schedule Audit No'!$P$59:$P$61</xm:f>
          </x14:formula1>
          <xm:sqref>P19:P147</xm:sqref>
        </x14:dataValidation>
        <x14:dataValidation type="list" allowBlank="1" showInputMessage="1" showErrorMessage="1" xr:uid="{00000000-0002-0000-0C00-000009000000}">
          <x14:formula1>
            <xm:f>'R:\AVN\reinsur\CLIENT\AXA XL\2021\3 - Presentations\b - Renewal\[AXA XL Schedule ABC Jan 2021.xlsx]Secondary Schedule Audit Notes'!#REF!</xm:f>
          </x14:formula1>
          <xm:sqref>F92:F93 J92:K93</xm:sqref>
        </x14:dataValidation>
        <x14:dataValidation type="list" allowBlank="1" showInputMessage="1" showErrorMessage="1" xr:uid="{00000000-0002-0000-0C00-00000A000000}">
          <x14:formula1>
            <xm:f>'Secondary Schedule Audit No'!$E$58:$E$63</xm:f>
          </x14:formula1>
          <xm:sqref>F149:F150 K149:K150 F19:F91 K19:K91 K94:K147 F94:F147</xm:sqref>
        </x14:dataValidation>
        <x14:dataValidation type="list" allowBlank="1" showInputMessage="1" showErrorMessage="1" xr:uid="{00000000-0002-0000-0C00-00000B000000}">
          <x14:formula1>
            <xm:f>'Secondary Schedule Audit No'!$O$58:$O$59</xm:f>
          </x14:formula1>
          <xm:sqref>J149:J150 J19:J91 J94:J147 O19:O147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Q128"/>
  <sheetViews>
    <sheetView showGridLines="0" zoomScale="89" zoomScaleNormal="85" workbookViewId="0">
      <selection sqref="A1:XFD1048576"/>
    </sheetView>
  </sheetViews>
  <sheetFormatPr defaultRowHeight="13.2"/>
  <cols>
    <col min="1" max="1" width="6.640625E-2" style="45" customWidth="1"/>
    <col min="2" max="2" width="2" style="54" customWidth="1"/>
    <col min="3" max="3" width="22.3984375" style="55" bestFit="1" customWidth="1"/>
    <col min="4" max="4" width="47.06640625" style="58" customWidth="1"/>
    <col min="5" max="5" width="6.59765625" style="58" bestFit="1" customWidth="1"/>
    <col min="6" max="6" width="3.46484375" style="53" bestFit="1" customWidth="1"/>
    <col min="7" max="8" width="8.06640625" style="53" customWidth="1"/>
    <col min="9" max="9" width="5.46484375" style="53" customWidth="1"/>
    <col min="10" max="10" width="3.33203125" style="53" customWidth="1"/>
    <col min="11" max="11" width="3" style="53" bestFit="1" customWidth="1"/>
    <col min="12" max="13" width="8.06640625" style="53" customWidth="1"/>
    <col min="14" max="14" width="5.46484375" style="53" customWidth="1"/>
    <col min="15" max="15" width="3.33203125" style="53" customWidth="1"/>
    <col min="16" max="16" width="5.796875" style="45" customWidth="1"/>
    <col min="17" max="17" width="6.06640625" style="45" customWidth="1"/>
    <col min="18" max="18" width="5.73046875" style="45" bestFit="1" customWidth="1"/>
    <col min="19" max="19" width="8.6640625" style="45"/>
    <col min="20" max="20" width="7.796875" style="45" bestFit="1" customWidth="1"/>
    <col min="21" max="21" width="6.9296875" style="45" customWidth="1"/>
    <col min="22" max="23" width="8.6640625" style="45"/>
    <col min="24" max="24" width="7.796875" style="45" bestFit="1" customWidth="1"/>
    <col min="25" max="25" width="10.3984375" style="45" customWidth="1"/>
    <col min="26" max="256" width="8.6640625" style="45"/>
    <col min="257" max="257" width="6.640625E-2" style="45" customWidth="1"/>
    <col min="258" max="258" width="2" style="45" customWidth="1"/>
    <col min="259" max="259" width="20.46484375" style="45" customWidth="1"/>
    <col min="260" max="260" width="6.33203125" style="45" bestFit="1" customWidth="1"/>
    <col min="261" max="261" width="6.59765625" style="45" bestFit="1" customWidth="1"/>
    <col min="262" max="262" width="3.46484375" style="45" bestFit="1" customWidth="1"/>
    <col min="263" max="264" width="8.06640625" style="45" customWidth="1"/>
    <col min="265" max="265" width="5.46484375" style="45" customWidth="1"/>
    <col min="266" max="266" width="3.33203125" style="45" customWidth="1"/>
    <col min="267" max="267" width="3" style="45" bestFit="1" customWidth="1"/>
    <col min="268" max="269" width="8.06640625" style="45" customWidth="1"/>
    <col min="270" max="270" width="5.46484375" style="45" customWidth="1"/>
    <col min="271" max="271" width="3.33203125" style="45" customWidth="1"/>
    <col min="272" max="272" width="5.796875" style="45" customWidth="1"/>
    <col min="273" max="273" width="6.06640625" style="45" customWidth="1"/>
    <col min="274" max="274" width="5.73046875" style="45" bestFit="1" customWidth="1"/>
    <col min="275" max="275" width="8.6640625" style="45"/>
    <col min="276" max="276" width="7.796875" style="45" bestFit="1" customWidth="1"/>
    <col min="277" max="277" width="6.9296875" style="45" customWidth="1"/>
    <col min="278" max="279" width="8.6640625" style="45"/>
    <col min="280" max="280" width="7.796875" style="45" bestFit="1" customWidth="1"/>
    <col min="281" max="281" width="10.3984375" style="45" customWidth="1"/>
    <col min="282" max="512" width="8.6640625" style="45"/>
    <col min="513" max="513" width="6.640625E-2" style="45" customWidth="1"/>
    <col min="514" max="514" width="2" style="45" customWidth="1"/>
    <col min="515" max="515" width="20.46484375" style="45" customWidth="1"/>
    <col min="516" max="516" width="6.33203125" style="45" bestFit="1" customWidth="1"/>
    <col min="517" max="517" width="6.59765625" style="45" bestFit="1" customWidth="1"/>
    <col min="518" max="518" width="3.46484375" style="45" bestFit="1" customWidth="1"/>
    <col min="519" max="520" width="8.06640625" style="45" customWidth="1"/>
    <col min="521" max="521" width="5.46484375" style="45" customWidth="1"/>
    <col min="522" max="522" width="3.33203125" style="45" customWidth="1"/>
    <col min="523" max="523" width="3" style="45" bestFit="1" customWidth="1"/>
    <col min="524" max="525" width="8.06640625" style="45" customWidth="1"/>
    <col min="526" max="526" width="5.46484375" style="45" customWidth="1"/>
    <col min="527" max="527" width="3.33203125" style="45" customWidth="1"/>
    <col min="528" max="528" width="5.796875" style="45" customWidth="1"/>
    <col min="529" max="529" width="6.06640625" style="45" customWidth="1"/>
    <col min="530" max="530" width="5.73046875" style="45" bestFit="1" customWidth="1"/>
    <col min="531" max="531" width="8.6640625" style="45"/>
    <col min="532" max="532" width="7.796875" style="45" bestFit="1" customWidth="1"/>
    <col min="533" max="533" width="6.9296875" style="45" customWidth="1"/>
    <col min="534" max="535" width="8.6640625" style="45"/>
    <col min="536" max="536" width="7.796875" style="45" bestFit="1" customWidth="1"/>
    <col min="537" max="537" width="10.3984375" style="45" customWidth="1"/>
    <col min="538" max="768" width="8.6640625" style="45"/>
    <col min="769" max="769" width="6.640625E-2" style="45" customWidth="1"/>
    <col min="770" max="770" width="2" style="45" customWidth="1"/>
    <col min="771" max="771" width="20.46484375" style="45" customWidth="1"/>
    <col min="772" max="772" width="6.33203125" style="45" bestFit="1" customWidth="1"/>
    <col min="773" max="773" width="6.59765625" style="45" bestFit="1" customWidth="1"/>
    <col min="774" max="774" width="3.46484375" style="45" bestFit="1" customWidth="1"/>
    <col min="775" max="776" width="8.06640625" style="45" customWidth="1"/>
    <col min="777" max="777" width="5.46484375" style="45" customWidth="1"/>
    <col min="778" max="778" width="3.33203125" style="45" customWidth="1"/>
    <col min="779" max="779" width="3" style="45" bestFit="1" customWidth="1"/>
    <col min="780" max="781" width="8.06640625" style="45" customWidth="1"/>
    <col min="782" max="782" width="5.46484375" style="45" customWidth="1"/>
    <col min="783" max="783" width="3.33203125" style="45" customWidth="1"/>
    <col min="784" max="784" width="5.796875" style="45" customWidth="1"/>
    <col min="785" max="785" width="6.06640625" style="45" customWidth="1"/>
    <col min="786" max="786" width="5.73046875" style="45" bestFit="1" customWidth="1"/>
    <col min="787" max="787" width="8.6640625" style="45"/>
    <col min="788" max="788" width="7.796875" style="45" bestFit="1" customWidth="1"/>
    <col min="789" max="789" width="6.9296875" style="45" customWidth="1"/>
    <col min="790" max="791" width="8.6640625" style="45"/>
    <col min="792" max="792" width="7.796875" style="45" bestFit="1" customWidth="1"/>
    <col min="793" max="793" width="10.3984375" style="45" customWidth="1"/>
    <col min="794" max="1024" width="8.6640625" style="45"/>
    <col min="1025" max="1025" width="6.640625E-2" style="45" customWidth="1"/>
    <col min="1026" max="1026" width="2" style="45" customWidth="1"/>
    <col min="1027" max="1027" width="20.46484375" style="45" customWidth="1"/>
    <col min="1028" max="1028" width="6.33203125" style="45" bestFit="1" customWidth="1"/>
    <col min="1029" max="1029" width="6.59765625" style="45" bestFit="1" customWidth="1"/>
    <col min="1030" max="1030" width="3.46484375" style="45" bestFit="1" customWidth="1"/>
    <col min="1031" max="1032" width="8.06640625" style="45" customWidth="1"/>
    <col min="1033" max="1033" width="5.46484375" style="45" customWidth="1"/>
    <col min="1034" max="1034" width="3.33203125" style="45" customWidth="1"/>
    <col min="1035" max="1035" width="3" style="45" bestFit="1" customWidth="1"/>
    <col min="1036" max="1037" width="8.06640625" style="45" customWidth="1"/>
    <col min="1038" max="1038" width="5.46484375" style="45" customWidth="1"/>
    <col min="1039" max="1039" width="3.33203125" style="45" customWidth="1"/>
    <col min="1040" max="1040" width="5.796875" style="45" customWidth="1"/>
    <col min="1041" max="1041" width="6.06640625" style="45" customWidth="1"/>
    <col min="1042" max="1042" width="5.73046875" style="45" bestFit="1" customWidth="1"/>
    <col min="1043" max="1043" width="8.6640625" style="45"/>
    <col min="1044" max="1044" width="7.796875" style="45" bestFit="1" customWidth="1"/>
    <col min="1045" max="1045" width="6.9296875" style="45" customWidth="1"/>
    <col min="1046" max="1047" width="8.6640625" style="45"/>
    <col min="1048" max="1048" width="7.796875" style="45" bestFit="1" customWidth="1"/>
    <col min="1049" max="1049" width="10.3984375" style="45" customWidth="1"/>
    <col min="1050" max="1280" width="8.6640625" style="45"/>
    <col min="1281" max="1281" width="6.640625E-2" style="45" customWidth="1"/>
    <col min="1282" max="1282" width="2" style="45" customWidth="1"/>
    <col min="1283" max="1283" width="20.46484375" style="45" customWidth="1"/>
    <col min="1284" max="1284" width="6.33203125" style="45" bestFit="1" customWidth="1"/>
    <col min="1285" max="1285" width="6.59765625" style="45" bestFit="1" customWidth="1"/>
    <col min="1286" max="1286" width="3.46484375" style="45" bestFit="1" customWidth="1"/>
    <col min="1287" max="1288" width="8.06640625" style="45" customWidth="1"/>
    <col min="1289" max="1289" width="5.46484375" style="45" customWidth="1"/>
    <col min="1290" max="1290" width="3.33203125" style="45" customWidth="1"/>
    <col min="1291" max="1291" width="3" style="45" bestFit="1" customWidth="1"/>
    <col min="1292" max="1293" width="8.06640625" style="45" customWidth="1"/>
    <col min="1294" max="1294" width="5.46484375" style="45" customWidth="1"/>
    <col min="1295" max="1295" width="3.33203125" style="45" customWidth="1"/>
    <col min="1296" max="1296" width="5.796875" style="45" customWidth="1"/>
    <col min="1297" max="1297" width="6.06640625" style="45" customWidth="1"/>
    <col min="1298" max="1298" width="5.73046875" style="45" bestFit="1" customWidth="1"/>
    <col min="1299" max="1299" width="8.6640625" style="45"/>
    <col min="1300" max="1300" width="7.796875" style="45" bestFit="1" customWidth="1"/>
    <col min="1301" max="1301" width="6.9296875" style="45" customWidth="1"/>
    <col min="1302" max="1303" width="8.6640625" style="45"/>
    <col min="1304" max="1304" width="7.796875" style="45" bestFit="1" customWidth="1"/>
    <col min="1305" max="1305" width="10.3984375" style="45" customWidth="1"/>
    <col min="1306" max="1536" width="8.6640625" style="45"/>
    <col min="1537" max="1537" width="6.640625E-2" style="45" customWidth="1"/>
    <col min="1538" max="1538" width="2" style="45" customWidth="1"/>
    <col min="1539" max="1539" width="20.46484375" style="45" customWidth="1"/>
    <col min="1540" max="1540" width="6.33203125" style="45" bestFit="1" customWidth="1"/>
    <col min="1541" max="1541" width="6.59765625" style="45" bestFit="1" customWidth="1"/>
    <col min="1542" max="1542" width="3.46484375" style="45" bestFit="1" customWidth="1"/>
    <col min="1543" max="1544" width="8.06640625" style="45" customWidth="1"/>
    <col min="1545" max="1545" width="5.46484375" style="45" customWidth="1"/>
    <col min="1546" max="1546" width="3.33203125" style="45" customWidth="1"/>
    <col min="1547" max="1547" width="3" style="45" bestFit="1" customWidth="1"/>
    <col min="1548" max="1549" width="8.06640625" style="45" customWidth="1"/>
    <col min="1550" max="1550" width="5.46484375" style="45" customWidth="1"/>
    <col min="1551" max="1551" width="3.33203125" style="45" customWidth="1"/>
    <col min="1552" max="1552" width="5.796875" style="45" customWidth="1"/>
    <col min="1553" max="1553" width="6.06640625" style="45" customWidth="1"/>
    <col min="1554" max="1554" width="5.73046875" style="45" bestFit="1" customWidth="1"/>
    <col min="1555" max="1555" width="8.6640625" style="45"/>
    <col min="1556" max="1556" width="7.796875" style="45" bestFit="1" customWidth="1"/>
    <col min="1557" max="1557" width="6.9296875" style="45" customWidth="1"/>
    <col min="1558" max="1559" width="8.6640625" style="45"/>
    <col min="1560" max="1560" width="7.796875" style="45" bestFit="1" customWidth="1"/>
    <col min="1561" max="1561" width="10.3984375" style="45" customWidth="1"/>
    <col min="1562" max="1792" width="8.6640625" style="45"/>
    <col min="1793" max="1793" width="6.640625E-2" style="45" customWidth="1"/>
    <col min="1794" max="1794" width="2" style="45" customWidth="1"/>
    <col min="1795" max="1795" width="20.46484375" style="45" customWidth="1"/>
    <col min="1796" max="1796" width="6.33203125" style="45" bestFit="1" customWidth="1"/>
    <col min="1797" max="1797" width="6.59765625" style="45" bestFit="1" customWidth="1"/>
    <col min="1798" max="1798" width="3.46484375" style="45" bestFit="1" customWidth="1"/>
    <col min="1799" max="1800" width="8.06640625" style="45" customWidth="1"/>
    <col min="1801" max="1801" width="5.46484375" style="45" customWidth="1"/>
    <col min="1802" max="1802" width="3.33203125" style="45" customWidth="1"/>
    <col min="1803" max="1803" width="3" style="45" bestFit="1" customWidth="1"/>
    <col min="1804" max="1805" width="8.06640625" style="45" customWidth="1"/>
    <col min="1806" max="1806" width="5.46484375" style="45" customWidth="1"/>
    <col min="1807" max="1807" width="3.33203125" style="45" customWidth="1"/>
    <col min="1808" max="1808" width="5.796875" style="45" customWidth="1"/>
    <col min="1809" max="1809" width="6.06640625" style="45" customWidth="1"/>
    <col min="1810" max="1810" width="5.73046875" style="45" bestFit="1" customWidth="1"/>
    <col min="1811" max="1811" width="8.6640625" style="45"/>
    <col min="1812" max="1812" width="7.796875" style="45" bestFit="1" customWidth="1"/>
    <col min="1813" max="1813" width="6.9296875" style="45" customWidth="1"/>
    <col min="1814" max="1815" width="8.6640625" style="45"/>
    <col min="1816" max="1816" width="7.796875" style="45" bestFit="1" customWidth="1"/>
    <col min="1817" max="1817" width="10.3984375" style="45" customWidth="1"/>
    <col min="1818" max="2048" width="8.6640625" style="45"/>
    <col min="2049" max="2049" width="6.640625E-2" style="45" customWidth="1"/>
    <col min="2050" max="2050" width="2" style="45" customWidth="1"/>
    <col min="2051" max="2051" width="20.46484375" style="45" customWidth="1"/>
    <col min="2052" max="2052" width="6.33203125" style="45" bestFit="1" customWidth="1"/>
    <col min="2053" max="2053" width="6.59765625" style="45" bestFit="1" customWidth="1"/>
    <col min="2054" max="2054" width="3.46484375" style="45" bestFit="1" customWidth="1"/>
    <col min="2055" max="2056" width="8.06640625" style="45" customWidth="1"/>
    <col min="2057" max="2057" width="5.46484375" style="45" customWidth="1"/>
    <col min="2058" max="2058" width="3.33203125" style="45" customWidth="1"/>
    <col min="2059" max="2059" width="3" style="45" bestFit="1" customWidth="1"/>
    <col min="2060" max="2061" width="8.06640625" style="45" customWidth="1"/>
    <col min="2062" max="2062" width="5.46484375" style="45" customWidth="1"/>
    <col min="2063" max="2063" width="3.33203125" style="45" customWidth="1"/>
    <col min="2064" max="2064" width="5.796875" style="45" customWidth="1"/>
    <col min="2065" max="2065" width="6.06640625" style="45" customWidth="1"/>
    <col min="2066" max="2066" width="5.73046875" style="45" bestFit="1" customWidth="1"/>
    <col min="2067" max="2067" width="8.6640625" style="45"/>
    <col min="2068" max="2068" width="7.796875" style="45" bestFit="1" customWidth="1"/>
    <col min="2069" max="2069" width="6.9296875" style="45" customWidth="1"/>
    <col min="2070" max="2071" width="8.6640625" style="45"/>
    <col min="2072" max="2072" width="7.796875" style="45" bestFit="1" customWidth="1"/>
    <col min="2073" max="2073" width="10.3984375" style="45" customWidth="1"/>
    <col min="2074" max="2304" width="8.6640625" style="45"/>
    <col min="2305" max="2305" width="6.640625E-2" style="45" customWidth="1"/>
    <col min="2306" max="2306" width="2" style="45" customWidth="1"/>
    <col min="2307" max="2307" width="20.46484375" style="45" customWidth="1"/>
    <col min="2308" max="2308" width="6.33203125" style="45" bestFit="1" customWidth="1"/>
    <col min="2309" max="2309" width="6.59765625" style="45" bestFit="1" customWidth="1"/>
    <col min="2310" max="2310" width="3.46484375" style="45" bestFit="1" customWidth="1"/>
    <col min="2311" max="2312" width="8.06640625" style="45" customWidth="1"/>
    <col min="2313" max="2313" width="5.46484375" style="45" customWidth="1"/>
    <col min="2314" max="2314" width="3.33203125" style="45" customWidth="1"/>
    <col min="2315" max="2315" width="3" style="45" bestFit="1" customWidth="1"/>
    <col min="2316" max="2317" width="8.06640625" style="45" customWidth="1"/>
    <col min="2318" max="2318" width="5.46484375" style="45" customWidth="1"/>
    <col min="2319" max="2319" width="3.33203125" style="45" customWidth="1"/>
    <col min="2320" max="2320" width="5.796875" style="45" customWidth="1"/>
    <col min="2321" max="2321" width="6.06640625" style="45" customWidth="1"/>
    <col min="2322" max="2322" width="5.73046875" style="45" bestFit="1" customWidth="1"/>
    <col min="2323" max="2323" width="8.6640625" style="45"/>
    <col min="2324" max="2324" width="7.796875" style="45" bestFit="1" customWidth="1"/>
    <col min="2325" max="2325" width="6.9296875" style="45" customWidth="1"/>
    <col min="2326" max="2327" width="8.6640625" style="45"/>
    <col min="2328" max="2328" width="7.796875" style="45" bestFit="1" customWidth="1"/>
    <col min="2329" max="2329" width="10.3984375" style="45" customWidth="1"/>
    <col min="2330" max="2560" width="8.6640625" style="45"/>
    <col min="2561" max="2561" width="6.640625E-2" style="45" customWidth="1"/>
    <col min="2562" max="2562" width="2" style="45" customWidth="1"/>
    <col min="2563" max="2563" width="20.46484375" style="45" customWidth="1"/>
    <col min="2564" max="2564" width="6.33203125" style="45" bestFit="1" customWidth="1"/>
    <col min="2565" max="2565" width="6.59765625" style="45" bestFit="1" customWidth="1"/>
    <col min="2566" max="2566" width="3.46484375" style="45" bestFit="1" customWidth="1"/>
    <col min="2567" max="2568" width="8.06640625" style="45" customWidth="1"/>
    <col min="2569" max="2569" width="5.46484375" style="45" customWidth="1"/>
    <col min="2570" max="2570" width="3.33203125" style="45" customWidth="1"/>
    <col min="2571" max="2571" width="3" style="45" bestFit="1" customWidth="1"/>
    <col min="2572" max="2573" width="8.06640625" style="45" customWidth="1"/>
    <col min="2574" max="2574" width="5.46484375" style="45" customWidth="1"/>
    <col min="2575" max="2575" width="3.33203125" style="45" customWidth="1"/>
    <col min="2576" max="2576" width="5.796875" style="45" customWidth="1"/>
    <col min="2577" max="2577" width="6.06640625" style="45" customWidth="1"/>
    <col min="2578" max="2578" width="5.73046875" style="45" bestFit="1" customWidth="1"/>
    <col min="2579" max="2579" width="8.6640625" style="45"/>
    <col min="2580" max="2580" width="7.796875" style="45" bestFit="1" customWidth="1"/>
    <col min="2581" max="2581" width="6.9296875" style="45" customWidth="1"/>
    <col min="2582" max="2583" width="8.6640625" style="45"/>
    <col min="2584" max="2584" width="7.796875" style="45" bestFit="1" customWidth="1"/>
    <col min="2585" max="2585" width="10.3984375" style="45" customWidth="1"/>
    <col min="2586" max="2816" width="8.6640625" style="45"/>
    <col min="2817" max="2817" width="6.640625E-2" style="45" customWidth="1"/>
    <col min="2818" max="2818" width="2" style="45" customWidth="1"/>
    <col min="2819" max="2819" width="20.46484375" style="45" customWidth="1"/>
    <col min="2820" max="2820" width="6.33203125" style="45" bestFit="1" customWidth="1"/>
    <col min="2821" max="2821" width="6.59765625" style="45" bestFit="1" customWidth="1"/>
    <col min="2822" max="2822" width="3.46484375" style="45" bestFit="1" customWidth="1"/>
    <col min="2823" max="2824" width="8.06640625" style="45" customWidth="1"/>
    <col min="2825" max="2825" width="5.46484375" style="45" customWidth="1"/>
    <col min="2826" max="2826" width="3.33203125" style="45" customWidth="1"/>
    <col min="2827" max="2827" width="3" style="45" bestFit="1" customWidth="1"/>
    <col min="2828" max="2829" width="8.06640625" style="45" customWidth="1"/>
    <col min="2830" max="2830" width="5.46484375" style="45" customWidth="1"/>
    <col min="2831" max="2831" width="3.33203125" style="45" customWidth="1"/>
    <col min="2832" max="2832" width="5.796875" style="45" customWidth="1"/>
    <col min="2833" max="2833" width="6.06640625" style="45" customWidth="1"/>
    <col min="2834" max="2834" width="5.73046875" style="45" bestFit="1" customWidth="1"/>
    <col min="2835" max="2835" width="8.6640625" style="45"/>
    <col min="2836" max="2836" width="7.796875" style="45" bestFit="1" customWidth="1"/>
    <col min="2837" max="2837" width="6.9296875" style="45" customWidth="1"/>
    <col min="2838" max="2839" width="8.6640625" style="45"/>
    <col min="2840" max="2840" width="7.796875" style="45" bestFit="1" customWidth="1"/>
    <col min="2841" max="2841" width="10.3984375" style="45" customWidth="1"/>
    <col min="2842" max="3072" width="8.6640625" style="45"/>
    <col min="3073" max="3073" width="6.640625E-2" style="45" customWidth="1"/>
    <col min="3074" max="3074" width="2" style="45" customWidth="1"/>
    <col min="3075" max="3075" width="20.46484375" style="45" customWidth="1"/>
    <col min="3076" max="3076" width="6.33203125" style="45" bestFit="1" customWidth="1"/>
    <col min="3077" max="3077" width="6.59765625" style="45" bestFit="1" customWidth="1"/>
    <col min="3078" max="3078" width="3.46484375" style="45" bestFit="1" customWidth="1"/>
    <col min="3079" max="3080" width="8.06640625" style="45" customWidth="1"/>
    <col min="3081" max="3081" width="5.46484375" style="45" customWidth="1"/>
    <col min="3082" max="3082" width="3.33203125" style="45" customWidth="1"/>
    <col min="3083" max="3083" width="3" style="45" bestFit="1" customWidth="1"/>
    <col min="3084" max="3085" width="8.06640625" style="45" customWidth="1"/>
    <col min="3086" max="3086" width="5.46484375" style="45" customWidth="1"/>
    <col min="3087" max="3087" width="3.33203125" style="45" customWidth="1"/>
    <col min="3088" max="3088" width="5.796875" style="45" customWidth="1"/>
    <col min="3089" max="3089" width="6.06640625" style="45" customWidth="1"/>
    <col min="3090" max="3090" width="5.73046875" style="45" bestFit="1" customWidth="1"/>
    <col min="3091" max="3091" width="8.6640625" style="45"/>
    <col min="3092" max="3092" width="7.796875" style="45" bestFit="1" customWidth="1"/>
    <col min="3093" max="3093" width="6.9296875" style="45" customWidth="1"/>
    <col min="3094" max="3095" width="8.6640625" style="45"/>
    <col min="3096" max="3096" width="7.796875" style="45" bestFit="1" customWidth="1"/>
    <col min="3097" max="3097" width="10.3984375" style="45" customWidth="1"/>
    <col min="3098" max="3328" width="8.6640625" style="45"/>
    <col min="3329" max="3329" width="6.640625E-2" style="45" customWidth="1"/>
    <col min="3330" max="3330" width="2" style="45" customWidth="1"/>
    <col min="3331" max="3331" width="20.46484375" style="45" customWidth="1"/>
    <col min="3332" max="3332" width="6.33203125" style="45" bestFit="1" customWidth="1"/>
    <col min="3333" max="3333" width="6.59765625" style="45" bestFit="1" customWidth="1"/>
    <col min="3334" max="3334" width="3.46484375" style="45" bestFit="1" customWidth="1"/>
    <col min="3335" max="3336" width="8.06640625" style="45" customWidth="1"/>
    <col min="3337" max="3337" width="5.46484375" style="45" customWidth="1"/>
    <col min="3338" max="3338" width="3.33203125" style="45" customWidth="1"/>
    <col min="3339" max="3339" width="3" style="45" bestFit="1" customWidth="1"/>
    <col min="3340" max="3341" width="8.06640625" style="45" customWidth="1"/>
    <col min="3342" max="3342" width="5.46484375" style="45" customWidth="1"/>
    <col min="3343" max="3343" width="3.33203125" style="45" customWidth="1"/>
    <col min="3344" max="3344" width="5.796875" style="45" customWidth="1"/>
    <col min="3345" max="3345" width="6.06640625" style="45" customWidth="1"/>
    <col min="3346" max="3346" width="5.73046875" style="45" bestFit="1" customWidth="1"/>
    <col min="3347" max="3347" width="8.6640625" style="45"/>
    <col min="3348" max="3348" width="7.796875" style="45" bestFit="1" customWidth="1"/>
    <col min="3349" max="3349" width="6.9296875" style="45" customWidth="1"/>
    <col min="3350" max="3351" width="8.6640625" style="45"/>
    <col min="3352" max="3352" width="7.796875" style="45" bestFit="1" customWidth="1"/>
    <col min="3353" max="3353" width="10.3984375" style="45" customWidth="1"/>
    <col min="3354" max="3584" width="8.6640625" style="45"/>
    <col min="3585" max="3585" width="6.640625E-2" style="45" customWidth="1"/>
    <col min="3586" max="3586" width="2" style="45" customWidth="1"/>
    <col min="3587" max="3587" width="20.46484375" style="45" customWidth="1"/>
    <col min="3588" max="3588" width="6.33203125" style="45" bestFit="1" customWidth="1"/>
    <col min="3589" max="3589" width="6.59765625" style="45" bestFit="1" customWidth="1"/>
    <col min="3590" max="3590" width="3.46484375" style="45" bestFit="1" customWidth="1"/>
    <col min="3591" max="3592" width="8.06640625" style="45" customWidth="1"/>
    <col min="3593" max="3593" width="5.46484375" style="45" customWidth="1"/>
    <col min="3594" max="3594" width="3.33203125" style="45" customWidth="1"/>
    <col min="3595" max="3595" width="3" style="45" bestFit="1" customWidth="1"/>
    <col min="3596" max="3597" width="8.06640625" style="45" customWidth="1"/>
    <col min="3598" max="3598" width="5.46484375" style="45" customWidth="1"/>
    <col min="3599" max="3599" width="3.33203125" style="45" customWidth="1"/>
    <col min="3600" max="3600" width="5.796875" style="45" customWidth="1"/>
    <col min="3601" max="3601" width="6.06640625" style="45" customWidth="1"/>
    <col min="3602" max="3602" width="5.73046875" style="45" bestFit="1" customWidth="1"/>
    <col min="3603" max="3603" width="8.6640625" style="45"/>
    <col min="3604" max="3604" width="7.796875" style="45" bestFit="1" customWidth="1"/>
    <col min="3605" max="3605" width="6.9296875" style="45" customWidth="1"/>
    <col min="3606" max="3607" width="8.6640625" style="45"/>
    <col min="3608" max="3608" width="7.796875" style="45" bestFit="1" customWidth="1"/>
    <col min="3609" max="3609" width="10.3984375" style="45" customWidth="1"/>
    <col min="3610" max="3840" width="8.6640625" style="45"/>
    <col min="3841" max="3841" width="6.640625E-2" style="45" customWidth="1"/>
    <col min="3842" max="3842" width="2" style="45" customWidth="1"/>
    <col min="3843" max="3843" width="20.46484375" style="45" customWidth="1"/>
    <col min="3844" max="3844" width="6.33203125" style="45" bestFit="1" customWidth="1"/>
    <col min="3845" max="3845" width="6.59765625" style="45" bestFit="1" customWidth="1"/>
    <col min="3846" max="3846" width="3.46484375" style="45" bestFit="1" customWidth="1"/>
    <col min="3847" max="3848" width="8.06640625" style="45" customWidth="1"/>
    <col min="3849" max="3849" width="5.46484375" style="45" customWidth="1"/>
    <col min="3850" max="3850" width="3.33203125" style="45" customWidth="1"/>
    <col min="3851" max="3851" width="3" style="45" bestFit="1" customWidth="1"/>
    <col min="3852" max="3853" width="8.06640625" style="45" customWidth="1"/>
    <col min="3854" max="3854" width="5.46484375" style="45" customWidth="1"/>
    <col min="3855" max="3855" width="3.33203125" style="45" customWidth="1"/>
    <col min="3856" max="3856" width="5.796875" style="45" customWidth="1"/>
    <col min="3857" max="3857" width="6.06640625" style="45" customWidth="1"/>
    <col min="3858" max="3858" width="5.73046875" style="45" bestFit="1" customWidth="1"/>
    <col min="3859" max="3859" width="8.6640625" style="45"/>
    <col min="3860" max="3860" width="7.796875" style="45" bestFit="1" customWidth="1"/>
    <col min="3861" max="3861" width="6.9296875" style="45" customWidth="1"/>
    <col min="3862" max="3863" width="8.6640625" style="45"/>
    <col min="3864" max="3864" width="7.796875" style="45" bestFit="1" customWidth="1"/>
    <col min="3865" max="3865" width="10.3984375" style="45" customWidth="1"/>
    <col min="3866" max="4096" width="8.6640625" style="45"/>
    <col min="4097" max="4097" width="6.640625E-2" style="45" customWidth="1"/>
    <col min="4098" max="4098" width="2" style="45" customWidth="1"/>
    <col min="4099" max="4099" width="20.46484375" style="45" customWidth="1"/>
    <col min="4100" max="4100" width="6.33203125" style="45" bestFit="1" customWidth="1"/>
    <col min="4101" max="4101" width="6.59765625" style="45" bestFit="1" customWidth="1"/>
    <col min="4102" max="4102" width="3.46484375" style="45" bestFit="1" customWidth="1"/>
    <col min="4103" max="4104" width="8.06640625" style="45" customWidth="1"/>
    <col min="4105" max="4105" width="5.46484375" style="45" customWidth="1"/>
    <col min="4106" max="4106" width="3.33203125" style="45" customWidth="1"/>
    <col min="4107" max="4107" width="3" style="45" bestFit="1" customWidth="1"/>
    <col min="4108" max="4109" width="8.06640625" style="45" customWidth="1"/>
    <col min="4110" max="4110" width="5.46484375" style="45" customWidth="1"/>
    <col min="4111" max="4111" width="3.33203125" style="45" customWidth="1"/>
    <col min="4112" max="4112" width="5.796875" style="45" customWidth="1"/>
    <col min="4113" max="4113" width="6.06640625" style="45" customWidth="1"/>
    <col min="4114" max="4114" width="5.73046875" style="45" bestFit="1" customWidth="1"/>
    <col min="4115" max="4115" width="8.6640625" style="45"/>
    <col min="4116" max="4116" width="7.796875" style="45" bestFit="1" customWidth="1"/>
    <col min="4117" max="4117" width="6.9296875" style="45" customWidth="1"/>
    <col min="4118" max="4119" width="8.6640625" style="45"/>
    <col min="4120" max="4120" width="7.796875" style="45" bestFit="1" customWidth="1"/>
    <col min="4121" max="4121" width="10.3984375" style="45" customWidth="1"/>
    <col min="4122" max="4352" width="8.6640625" style="45"/>
    <col min="4353" max="4353" width="6.640625E-2" style="45" customWidth="1"/>
    <col min="4354" max="4354" width="2" style="45" customWidth="1"/>
    <col min="4355" max="4355" width="20.46484375" style="45" customWidth="1"/>
    <col min="4356" max="4356" width="6.33203125" style="45" bestFit="1" customWidth="1"/>
    <col min="4357" max="4357" width="6.59765625" style="45" bestFit="1" customWidth="1"/>
    <col min="4358" max="4358" width="3.46484375" style="45" bestFit="1" customWidth="1"/>
    <col min="4359" max="4360" width="8.06640625" style="45" customWidth="1"/>
    <col min="4361" max="4361" width="5.46484375" style="45" customWidth="1"/>
    <col min="4362" max="4362" width="3.33203125" style="45" customWidth="1"/>
    <col min="4363" max="4363" width="3" style="45" bestFit="1" customWidth="1"/>
    <col min="4364" max="4365" width="8.06640625" style="45" customWidth="1"/>
    <col min="4366" max="4366" width="5.46484375" style="45" customWidth="1"/>
    <col min="4367" max="4367" width="3.33203125" style="45" customWidth="1"/>
    <col min="4368" max="4368" width="5.796875" style="45" customWidth="1"/>
    <col min="4369" max="4369" width="6.06640625" style="45" customWidth="1"/>
    <col min="4370" max="4370" width="5.73046875" style="45" bestFit="1" customWidth="1"/>
    <col min="4371" max="4371" width="8.6640625" style="45"/>
    <col min="4372" max="4372" width="7.796875" style="45" bestFit="1" customWidth="1"/>
    <col min="4373" max="4373" width="6.9296875" style="45" customWidth="1"/>
    <col min="4374" max="4375" width="8.6640625" style="45"/>
    <col min="4376" max="4376" width="7.796875" style="45" bestFit="1" customWidth="1"/>
    <col min="4377" max="4377" width="10.3984375" style="45" customWidth="1"/>
    <col min="4378" max="4608" width="8.6640625" style="45"/>
    <col min="4609" max="4609" width="6.640625E-2" style="45" customWidth="1"/>
    <col min="4610" max="4610" width="2" style="45" customWidth="1"/>
    <col min="4611" max="4611" width="20.46484375" style="45" customWidth="1"/>
    <col min="4612" max="4612" width="6.33203125" style="45" bestFit="1" customWidth="1"/>
    <col min="4613" max="4613" width="6.59765625" style="45" bestFit="1" customWidth="1"/>
    <col min="4614" max="4614" width="3.46484375" style="45" bestFit="1" customWidth="1"/>
    <col min="4615" max="4616" width="8.06640625" style="45" customWidth="1"/>
    <col min="4617" max="4617" width="5.46484375" style="45" customWidth="1"/>
    <col min="4618" max="4618" width="3.33203125" style="45" customWidth="1"/>
    <col min="4619" max="4619" width="3" style="45" bestFit="1" customWidth="1"/>
    <col min="4620" max="4621" width="8.06640625" style="45" customWidth="1"/>
    <col min="4622" max="4622" width="5.46484375" style="45" customWidth="1"/>
    <col min="4623" max="4623" width="3.33203125" style="45" customWidth="1"/>
    <col min="4624" max="4624" width="5.796875" style="45" customWidth="1"/>
    <col min="4625" max="4625" width="6.06640625" style="45" customWidth="1"/>
    <col min="4626" max="4626" width="5.73046875" style="45" bestFit="1" customWidth="1"/>
    <col min="4627" max="4627" width="8.6640625" style="45"/>
    <col min="4628" max="4628" width="7.796875" style="45" bestFit="1" customWidth="1"/>
    <col min="4629" max="4629" width="6.9296875" style="45" customWidth="1"/>
    <col min="4630" max="4631" width="8.6640625" style="45"/>
    <col min="4632" max="4632" width="7.796875" style="45" bestFit="1" customWidth="1"/>
    <col min="4633" max="4633" width="10.3984375" style="45" customWidth="1"/>
    <col min="4634" max="4864" width="8.6640625" style="45"/>
    <col min="4865" max="4865" width="6.640625E-2" style="45" customWidth="1"/>
    <col min="4866" max="4866" width="2" style="45" customWidth="1"/>
    <col min="4867" max="4867" width="20.46484375" style="45" customWidth="1"/>
    <col min="4868" max="4868" width="6.33203125" style="45" bestFit="1" customWidth="1"/>
    <col min="4869" max="4869" width="6.59765625" style="45" bestFit="1" customWidth="1"/>
    <col min="4870" max="4870" width="3.46484375" style="45" bestFit="1" customWidth="1"/>
    <col min="4871" max="4872" width="8.06640625" style="45" customWidth="1"/>
    <col min="4873" max="4873" width="5.46484375" style="45" customWidth="1"/>
    <col min="4874" max="4874" width="3.33203125" style="45" customWidth="1"/>
    <col min="4875" max="4875" width="3" style="45" bestFit="1" customWidth="1"/>
    <col min="4876" max="4877" width="8.06640625" style="45" customWidth="1"/>
    <col min="4878" max="4878" width="5.46484375" style="45" customWidth="1"/>
    <col min="4879" max="4879" width="3.33203125" style="45" customWidth="1"/>
    <col min="4880" max="4880" width="5.796875" style="45" customWidth="1"/>
    <col min="4881" max="4881" width="6.06640625" style="45" customWidth="1"/>
    <col min="4882" max="4882" width="5.73046875" style="45" bestFit="1" customWidth="1"/>
    <col min="4883" max="4883" width="8.6640625" style="45"/>
    <col min="4884" max="4884" width="7.796875" style="45" bestFit="1" customWidth="1"/>
    <col min="4885" max="4885" width="6.9296875" style="45" customWidth="1"/>
    <col min="4886" max="4887" width="8.6640625" style="45"/>
    <col min="4888" max="4888" width="7.796875" style="45" bestFit="1" customWidth="1"/>
    <col min="4889" max="4889" width="10.3984375" style="45" customWidth="1"/>
    <col min="4890" max="5120" width="8.6640625" style="45"/>
    <col min="5121" max="5121" width="6.640625E-2" style="45" customWidth="1"/>
    <col min="5122" max="5122" width="2" style="45" customWidth="1"/>
    <col min="5123" max="5123" width="20.46484375" style="45" customWidth="1"/>
    <col min="5124" max="5124" width="6.33203125" style="45" bestFit="1" customWidth="1"/>
    <col min="5125" max="5125" width="6.59765625" style="45" bestFit="1" customWidth="1"/>
    <col min="5126" max="5126" width="3.46484375" style="45" bestFit="1" customWidth="1"/>
    <col min="5127" max="5128" width="8.06640625" style="45" customWidth="1"/>
    <col min="5129" max="5129" width="5.46484375" style="45" customWidth="1"/>
    <col min="5130" max="5130" width="3.33203125" style="45" customWidth="1"/>
    <col min="5131" max="5131" width="3" style="45" bestFit="1" customWidth="1"/>
    <col min="5132" max="5133" width="8.06640625" style="45" customWidth="1"/>
    <col min="5134" max="5134" width="5.46484375" style="45" customWidth="1"/>
    <col min="5135" max="5135" width="3.33203125" style="45" customWidth="1"/>
    <col min="5136" max="5136" width="5.796875" style="45" customWidth="1"/>
    <col min="5137" max="5137" width="6.06640625" style="45" customWidth="1"/>
    <col min="5138" max="5138" width="5.73046875" style="45" bestFit="1" customWidth="1"/>
    <col min="5139" max="5139" width="8.6640625" style="45"/>
    <col min="5140" max="5140" width="7.796875" style="45" bestFit="1" customWidth="1"/>
    <col min="5141" max="5141" width="6.9296875" style="45" customWidth="1"/>
    <col min="5142" max="5143" width="8.6640625" style="45"/>
    <col min="5144" max="5144" width="7.796875" style="45" bestFit="1" customWidth="1"/>
    <col min="5145" max="5145" width="10.3984375" style="45" customWidth="1"/>
    <col min="5146" max="5376" width="8.6640625" style="45"/>
    <col min="5377" max="5377" width="6.640625E-2" style="45" customWidth="1"/>
    <col min="5378" max="5378" width="2" style="45" customWidth="1"/>
    <col min="5379" max="5379" width="20.46484375" style="45" customWidth="1"/>
    <col min="5380" max="5380" width="6.33203125" style="45" bestFit="1" customWidth="1"/>
    <col min="5381" max="5381" width="6.59765625" style="45" bestFit="1" customWidth="1"/>
    <col min="5382" max="5382" width="3.46484375" style="45" bestFit="1" customWidth="1"/>
    <col min="5383" max="5384" width="8.06640625" style="45" customWidth="1"/>
    <col min="5385" max="5385" width="5.46484375" style="45" customWidth="1"/>
    <col min="5386" max="5386" width="3.33203125" style="45" customWidth="1"/>
    <col min="5387" max="5387" width="3" style="45" bestFit="1" customWidth="1"/>
    <col min="5388" max="5389" width="8.06640625" style="45" customWidth="1"/>
    <col min="5390" max="5390" width="5.46484375" style="45" customWidth="1"/>
    <col min="5391" max="5391" width="3.33203125" style="45" customWidth="1"/>
    <col min="5392" max="5392" width="5.796875" style="45" customWidth="1"/>
    <col min="5393" max="5393" width="6.06640625" style="45" customWidth="1"/>
    <col min="5394" max="5394" width="5.73046875" style="45" bestFit="1" customWidth="1"/>
    <col min="5395" max="5395" width="8.6640625" style="45"/>
    <col min="5396" max="5396" width="7.796875" style="45" bestFit="1" customWidth="1"/>
    <col min="5397" max="5397" width="6.9296875" style="45" customWidth="1"/>
    <col min="5398" max="5399" width="8.6640625" style="45"/>
    <col min="5400" max="5400" width="7.796875" style="45" bestFit="1" customWidth="1"/>
    <col min="5401" max="5401" width="10.3984375" style="45" customWidth="1"/>
    <col min="5402" max="5632" width="8.6640625" style="45"/>
    <col min="5633" max="5633" width="6.640625E-2" style="45" customWidth="1"/>
    <col min="5634" max="5634" width="2" style="45" customWidth="1"/>
    <col min="5635" max="5635" width="20.46484375" style="45" customWidth="1"/>
    <col min="5636" max="5636" width="6.33203125" style="45" bestFit="1" customWidth="1"/>
    <col min="5637" max="5637" width="6.59765625" style="45" bestFit="1" customWidth="1"/>
    <col min="5638" max="5638" width="3.46484375" style="45" bestFit="1" customWidth="1"/>
    <col min="5639" max="5640" width="8.06640625" style="45" customWidth="1"/>
    <col min="5641" max="5641" width="5.46484375" style="45" customWidth="1"/>
    <col min="5642" max="5642" width="3.33203125" style="45" customWidth="1"/>
    <col min="5643" max="5643" width="3" style="45" bestFit="1" customWidth="1"/>
    <col min="5644" max="5645" width="8.06640625" style="45" customWidth="1"/>
    <col min="5646" max="5646" width="5.46484375" style="45" customWidth="1"/>
    <col min="5647" max="5647" width="3.33203125" style="45" customWidth="1"/>
    <col min="5648" max="5648" width="5.796875" style="45" customWidth="1"/>
    <col min="5649" max="5649" width="6.06640625" style="45" customWidth="1"/>
    <col min="5650" max="5650" width="5.73046875" style="45" bestFit="1" customWidth="1"/>
    <col min="5651" max="5651" width="8.6640625" style="45"/>
    <col min="5652" max="5652" width="7.796875" style="45" bestFit="1" customWidth="1"/>
    <col min="5653" max="5653" width="6.9296875" style="45" customWidth="1"/>
    <col min="5654" max="5655" width="8.6640625" style="45"/>
    <col min="5656" max="5656" width="7.796875" style="45" bestFit="1" customWidth="1"/>
    <col min="5657" max="5657" width="10.3984375" style="45" customWidth="1"/>
    <col min="5658" max="5888" width="8.6640625" style="45"/>
    <col min="5889" max="5889" width="6.640625E-2" style="45" customWidth="1"/>
    <col min="5890" max="5890" width="2" style="45" customWidth="1"/>
    <col min="5891" max="5891" width="20.46484375" style="45" customWidth="1"/>
    <col min="5892" max="5892" width="6.33203125" style="45" bestFit="1" customWidth="1"/>
    <col min="5893" max="5893" width="6.59765625" style="45" bestFit="1" customWidth="1"/>
    <col min="5894" max="5894" width="3.46484375" style="45" bestFit="1" customWidth="1"/>
    <col min="5895" max="5896" width="8.06640625" style="45" customWidth="1"/>
    <col min="5897" max="5897" width="5.46484375" style="45" customWidth="1"/>
    <col min="5898" max="5898" width="3.33203125" style="45" customWidth="1"/>
    <col min="5899" max="5899" width="3" style="45" bestFit="1" customWidth="1"/>
    <col min="5900" max="5901" width="8.06640625" style="45" customWidth="1"/>
    <col min="5902" max="5902" width="5.46484375" style="45" customWidth="1"/>
    <col min="5903" max="5903" width="3.33203125" style="45" customWidth="1"/>
    <col min="5904" max="5904" width="5.796875" style="45" customWidth="1"/>
    <col min="5905" max="5905" width="6.06640625" style="45" customWidth="1"/>
    <col min="5906" max="5906" width="5.73046875" style="45" bestFit="1" customWidth="1"/>
    <col min="5907" max="5907" width="8.6640625" style="45"/>
    <col min="5908" max="5908" width="7.796875" style="45" bestFit="1" customWidth="1"/>
    <col min="5909" max="5909" width="6.9296875" style="45" customWidth="1"/>
    <col min="5910" max="5911" width="8.6640625" style="45"/>
    <col min="5912" max="5912" width="7.796875" style="45" bestFit="1" customWidth="1"/>
    <col min="5913" max="5913" width="10.3984375" style="45" customWidth="1"/>
    <col min="5914" max="6144" width="8.6640625" style="45"/>
    <col min="6145" max="6145" width="6.640625E-2" style="45" customWidth="1"/>
    <col min="6146" max="6146" width="2" style="45" customWidth="1"/>
    <col min="6147" max="6147" width="20.46484375" style="45" customWidth="1"/>
    <col min="6148" max="6148" width="6.33203125" style="45" bestFit="1" customWidth="1"/>
    <col min="6149" max="6149" width="6.59765625" style="45" bestFit="1" customWidth="1"/>
    <col min="6150" max="6150" width="3.46484375" style="45" bestFit="1" customWidth="1"/>
    <col min="6151" max="6152" width="8.06640625" style="45" customWidth="1"/>
    <col min="6153" max="6153" width="5.46484375" style="45" customWidth="1"/>
    <col min="6154" max="6154" width="3.33203125" style="45" customWidth="1"/>
    <col min="6155" max="6155" width="3" style="45" bestFit="1" customWidth="1"/>
    <col min="6156" max="6157" width="8.06640625" style="45" customWidth="1"/>
    <col min="6158" max="6158" width="5.46484375" style="45" customWidth="1"/>
    <col min="6159" max="6159" width="3.33203125" style="45" customWidth="1"/>
    <col min="6160" max="6160" width="5.796875" style="45" customWidth="1"/>
    <col min="6161" max="6161" width="6.06640625" style="45" customWidth="1"/>
    <col min="6162" max="6162" width="5.73046875" style="45" bestFit="1" customWidth="1"/>
    <col min="6163" max="6163" width="8.6640625" style="45"/>
    <col min="6164" max="6164" width="7.796875" style="45" bestFit="1" customWidth="1"/>
    <col min="6165" max="6165" width="6.9296875" style="45" customWidth="1"/>
    <col min="6166" max="6167" width="8.6640625" style="45"/>
    <col min="6168" max="6168" width="7.796875" style="45" bestFit="1" customWidth="1"/>
    <col min="6169" max="6169" width="10.3984375" style="45" customWidth="1"/>
    <col min="6170" max="6400" width="8.6640625" style="45"/>
    <col min="6401" max="6401" width="6.640625E-2" style="45" customWidth="1"/>
    <col min="6402" max="6402" width="2" style="45" customWidth="1"/>
    <col min="6403" max="6403" width="20.46484375" style="45" customWidth="1"/>
    <col min="6404" max="6404" width="6.33203125" style="45" bestFit="1" customWidth="1"/>
    <col min="6405" max="6405" width="6.59765625" style="45" bestFit="1" customWidth="1"/>
    <col min="6406" max="6406" width="3.46484375" style="45" bestFit="1" customWidth="1"/>
    <col min="6407" max="6408" width="8.06640625" style="45" customWidth="1"/>
    <col min="6409" max="6409" width="5.46484375" style="45" customWidth="1"/>
    <col min="6410" max="6410" width="3.33203125" style="45" customWidth="1"/>
    <col min="6411" max="6411" width="3" style="45" bestFit="1" customWidth="1"/>
    <col min="6412" max="6413" width="8.06640625" style="45" customWidth="1"/>
    <col min="6414" max="6414" width="5.46484375" style="45" customWidth="1"/>
    <col min="6415" max="6415" width="3.33203125" style="45" customWidth="1"/>
    <col min="6416" max="6416" width="5.796875" style="45" customWidth="1"/>
    <col min="6417" max="6417" width="6.06640625" style="45" customWidth="1"/>
    <col min="6418" max="6418" width="5.73046875" style="45" bestFit="1" customWidth="1"/>
    <col min="6419" max="6419" width="8.6640625" style="45"/>
    <col min="6420" max="6420" width="7.796875" style="45" bestFit="1" customWidth="1"/>
    <col min="6421" max="6421" width="6.9296875" style="45" customWidth="1"/>
    <col min="6422" max="6423" width="8.6640625" style="45"/>
    <col min="6424" max="6424" width="7.796875" style="45" bestFit="1" customWidth="1"/>
    <col min="6425" max="6425" width="10.3984375" style="45" customWidth="1"/>
    <col min="6426" max="6656" width="8.6640625" style="45"/>
    <col min="6657" max="6657" width="6.640625E-2" style="45" customWidth="1"/>
    <col min="6658" max="6658" width="2" style="45" customWidth="1"/>
    <col min="6659" max="6659" width="20.46484375" style="45" customWidth="1"/>
    <col min="6660" max="6660" width="6.33203125" style="45" bestFit="1" customWidth="1"/>
    <col min="6661" max="6661" width="6.59765625" style="45" bestFit="1" customWidth="1"/>
    <col min="6662" max="6662" width="3.46484375" style="45" bestFit="1" customWidth="1"/>
    <col min="6663" max="6664" width="8.06640625" style="45" customWidth="1"/>
    <col min="6665" max="6665" width="5.46484375" style="45" customWidth="1"/>
    <col min="6666" max="6666" width="3.33203125" style="45" customWidth="1"/>
    <col min="6667" max="6667" width="3" style="45" bestFit="1" customWidth="1"/>
    <col min="6668" max="6669" width="8.06640625" style="45" customWidth="1"/>
    <col min="6670" max="6670" width="5.46484375" style="45" customWidth="1"/>
    <col min="6671" max="6671" width="3.33203125" style="45" customWidth="1"/>
    <col min="6672" max="6672" width="5.796875" style="45" customWidth="1"/>
    <col min="6673" max="6673" width="6.06640625" style="45" customWidth="1"/>
    <col min="6674" max="6674" width="5.73046875" style="45" bestFit="1" customWidth="1"/>
    <col min="6675" max="6675" width="8.6640625" style="45"/>
    <col min="6676" max="6676" width="7.796875" style="45" bestFit="1" customWidth="1"/>
    <col min="6677" max="6677" width="6.9296875" style="45" customWidth="1"/>
    <col min="6678" max="6679" width="8.6640625" style="45"/>
    <col min="6680" max="6680" width="7.796875" style="45" bestFit="1" customWidth="1"/>
    <col min="6681" max="6681" width="10.3984375" style="45" customWidth="1"/>
    <col min="6682" max="6912" width="8.6640625" style="45"/>
    <col min="6913" max="6913" width="6.640625E-2" style="45" customWidth="1"/>
    <col min="6914" max="6914" width="2" style="45" customWidth="1"/>
    <col min="6915" max="6915" width="20.46484375" style="45" customWidth="1"/>
    <col min="6916" max="6916" width="6.33203125" style="45" bestFit="1" customWidth="1"/>
    <col min="6917" max="6917" width="6.59765625" style="45" bestFit="1" customWidth="1"/>
    <col min="6918" max="6918" width="3.46484375" style="45" bestFit="1" customWidth="1"/>
    <col min="6919" max="6920" width="8.06640625" style="45" customWidth="1"/>
    <col min="6921" max="6921" width="5.46484375" style="45" customWidth="1"/>
    <col min="6922" max="6922" width="3.33203125" style="45" customWidth="1"/>
    <col min="6923" max="6923" width="3" style="45" bestFit="1" customWidth="1"/>
    <col min="6924" max="6925" width="8.06640625" style="45" customWidth="1"/>
    <col min="6926" max="6926" width="5.46484375" style="45" customWidth="1"/>
    <col min="6927" max="6927" width="3.33203125" style="45" customWidth="1"/>
    <col min="6928" max="6928" width="5.796875" style="45" customWidth="1"/>
    <col min="6929" max="6929" width="6.06640625" style="45" customWidth="1"/>
    <col min="6930" max="6930" width="5.73046875" style="45" bestFit="1" customWidth="1"/>
    <col min="6931" max="6931" width="8.6640625" style="45"/>
    <col min="6932" max="6932" width="7.796875" style="45" bestFit="1" customWidth="1"/>
    <col min="6933" max="6933" width="6.9296875" style="45" customWidth="1"/>
    <col min="6934" max="6935" width="8.6640625" style="45"/>
    <col min="6936" max="6936" width="7.796875" style="45" bestFit="1" customWidth="1"/>
    <col min="6937" max="6937" width="10.3984375" style="45" customWidth="1"/>
    <col min="6938" max="7168" width="8.6640625" style="45"/>
    <col min="7169" max="7169" width="6.640625E-2" style="45" customWidth="1"/>
    <col min="7170" max="7170" width="2" style="45" customWidth="1"/>
    <col min="7171" max="7171" width="20.46484375" style="45" customWidth="1"/>
    <col min="7172" max="7172" width="6.33203125" style="45" bestFit="1" customWidth="1"/>
    <col min="7173" max="7173" width="6.59765625" style="45" bestFit="1" customWidth="1"/>
    <col min="7174" max="7174" width="3.46484375" style="45" bestFit="1" customWidth="1"/>
    <col min="7175" max="7176" width="8.06640625" style="45" customWidth="1"/>
    <col min="7177" max="7177" width="5.46484375" style="45" customWidth="1"/>
    <col min="7178" max="7178" width="3.33203125" style="45" customWidth="1"/>
    <col min="7179" max="7179" width="3" style="45" bestFit="1" customWidth="1"/>
    <col min="7180" max="7181" width="8.06640625" style="45" customWidth="1"/>
    <col min="7182" max="7182" width="5.46484375" style="45" customWidth="1"/>
    <col min="7183" max="7183" width="3.33203125" style="45" customWidth="1"/>
    <col min="7184" max="7184" width="5.796875" style="45" customWidth="1"/>
    <col min="7185" max="7185" width="6.06640625" style="45" customWidth="1"/>
    <col min="7186" max="7186" width="5.73046875" style="45" bestFit="1" customWidth="1"/>
    <col min="7187" max="7187" width="8.6640625" style="45"/>
    <col min="7188" max="7188" width="7.796875" style="45" bestFit="1" customWidth="1"/>
    <col min="7189" max="7189" width="6.9296875" style="45" customWidth="1"/>
    <col min="7190" max="7191" width="8.6640625" style="45"/>
    <col min="7192" max="7192" width="7.796875" style="45" bestFit="1" customWidth="1"/>
    <col min="7193" max="7193" width="10.3984375" style="45" customWidth="1"/>
    <col min="7194" max="7424" width="8.6640625" style="45"/>
    <col min="7425" max="7425" width="6.640625E-2" style="45" customWidth="1"/>
    <col min="7426" max="7426" width="2" style="45" customWidth="1"/>
    <col min="7427" max="7427" width="20.46484375" style="45" customWidth="1"/>
    <col min="7428" max="7428" width="6.33203125" style="45" bestFit="1" customWidth="1"/>
    <col min="7429" max="7429" width="6.59765625" style="45" bestFit="1" customWidth="1"/>
    <col min="7430" max="7430" width="3.46484375" style="45" bestFit="1" customWidth="1"/>
    <col min="7431" max="7432" width="8.06640625" style="45" customWidth="1"/>
    <col min="7433" max="7433" width="5.46484375" style="45" customWidth="1"/>
    <col min="7434" max="7434" width="3.33203125" style="45" customWidth="1"/>
    <col min="7435" max="7435" width="3" style="45" bestFit="1" customWidth="1"/>
    <col min="7436" max="7437" width="8.06640625" style="45" customWidth="1"/>
    <col min="7438" max="7438" width="5.46484375" style="45" customWidth="1"/>
    <col min="7439" max="7439" width="3.33203125" style="45" customWidth="1"/>
    <col min="7440" max="7440" width="5.796875" style="45" customWidth="1"/>
    <col min="7441" max="7441" width="6.06640625" style="45" customWidth="1"/>
    <col min="7442" max="7442" width="5.73046875" style="45" bestFit="1" customWidth="1"/>
    <col min="7443" max="7443" width="8.6640625" style="45"/>
    <col min="7444" max="7444" width="7.796875" style="45" bestFit="1" customWidth="1"/>
    <col min="7445" max="7445" width="6.9296875" style="45" customWidth="1"/>
    <col min="7446" max="7447" width="8.6640625" style="45"/>
    <col min="7448" max="7448" width="7.796875" style="45" bestFit="1" customWidth="1"/>
    <col min="7449" max="7449" width="10.3984375" style="45" customWidth="1"/>
    <col min="7450" max="7680" width="8.6640625" style="45"/>
    <col min="7681" max="7681" width="6.640625E-2" style="45" customWidth="1"/>
    <col min="7682" max="7682" width="2" style="45" customWidth="1"/>
    <col min="7683" max="7683" width="20.46484375" style="45" customWidth="1"/>
    <col min="7684" max="7684" width="6.33203125" style="45" bestFit="1" customWidth="1"/>
    <col min="7685" max="7685" width="6.59765625" style="45" bestFit="1" customWidth="1"/>
    <col min="7686" max="7686" width="3.46484375" style="45" bestFit="1" customWidth="1"/>
    <col min="7687" max="7688" width="8.06640625" style="45" customWidth="1"/>
    <col min="7689" max="7689" width="5.46484375" style="45" customWidth="1"/>
    <col min="7690" max="7690" width="3.33203125" style="45" customWidth="1"/>
    <col min="7691" max="7691" width="3" style="45" bestFit="1" customWidth="1"/>
    <col min="7692" max="7693" width="8.06640625" style="45" customWidth="1"/>
    <col min="7694" max="7694" width="5.46484375" style="45" customWidth="1"/>
    <col min="7695" max="7695" width="3.33203125" style="45" customWidth="1"/>
    <col min="7696" max="7696" width="5.796875" style="45" customWidth="1"/>
    <col min="7697" max="7697" width="6.06640625" style="45" customWidth="1"/>
    <col min="7698" max="7698" width="5.73046875" style="45" bestFit="1" customWidth="1"/>
    <col min="7699" max="7699" width="8.6640625" style="45"/>
    <col min="7700" max="7700" width="7.796875" style="45" bestFit="1" customWidth="1"/>
    <col min="7701" max="7701" width="6.9296875" style="45" customWidth="1"/>
    <col min="7702" max="7703" width="8.6640625" style="45"/>
    <col min="7704" max="7704" width="7.796875" style="45" bestFit="1" customWidth="1"/>
    <col min="7705" max="7705" width="10.3984375" style="45" customWidth="1"/>
    <col min="7706" max="7936" width="8.6640625" style="45"/>
    <col min="7937" max="7937" width="6.640625E-2" style="45" customWidth="1"/>
    <col min="7938" max="7938" width="2" style="45" customWidth="1"/>
    <col min="7939" max="7939" width="20.46484375" style="45" customWidth="1"/>
    <col min="7940" max="7940" width="6.33203125" style="45" bestFit="1" customWidth="1"/>
    <col min="7941" max="7941" width="6.59765625" style="45" bestFit="1" customWidth="1"/>
    <col min="7942" max="7942" width="3.46484375" style="45" bestFit="1" customWidth="1"/>
    <col min="7943" max="7944" width="8.06640625" style="45" customWidth="1"/>
    <col min="7945" max="7945" width="5.46484375" style="45" customWidth="1"/>
    <col min="7946" max="7946" width="3.33203125" style="45" customWidth="1"/>
    <col min="7947" max="7947" width="3" style="45" bestFit="1" customWidth="1"/>
    <col min="7948" max="7949" width="8.06640625" style="45" customWidth="1"/>
    <col min="7950" max="7950" width="5.46484375" style="45" customWidth="1"/>
    <col min="7951" max="7951" width="3.33203125" style="45" customWidth="1"/>
    <col min="7952" max="7952" width="5.796875" style="45" customWidth="1"/>
    <col min="7953" max="7953" width="6.06640625" style="45" customWidth="1"/>
    <col min="7954" max="7954" width="5.73046875" style="45" bestFit="1" customWidth="1"/>
    <col min="7955" max="7955" width="8.6640625" style="45"/>
    <col min="7956" max="7956" width="7.796875" style="45" bestFit="1" customWidth="1"/>
    <col min="7957" max="7957" width="6.9296875" style="45" customWidth="1"/>
    <col min="7958" max="7959" width="8.6640625" style="45"/>
    <col min="7960" max="7960" width="7.796875" style="45" bestFit="1" customWidth="1"/>
    <col min="7961" max="7961" width="10.3984375" style="45" customWidth="1"/>
    <col min="7962" max="8192" width="8.6640625" style="45"/>
    <col min="8193" max="8193" width="6.640625E-2" style="45" customWidth="1"/>
    <col min="8194" max="8194" width="2" style="45" customWidth="1"/>
    <col min="8195" max="8195" width="20.46484375" style="45" customWidth="1"/>
    <col min="8196" max="8196" width="6.33203125" style="45" bestFit="1" customWidth="1"/>
    <col min="8197" max="8197" width="6.59765625" style="45" bestFit="1" customWidth="1"/>
    <col min="8198" max="8198" width="3.46484375" style="45" bestFit="1" customWidth="1"/>
    <col min="8199" max="8200" width="8.06640625" style="45" customWidth="1"/>
    <col min="8201" max="8201" width="5.46484375" style="45" customWidth="1"/>
    <col min="8202" max="8202" width="3.33203125" style="45" customWidth="1"/>
    <col min="8203" max="8203" width="3" style="45" bestFit="1" customWidth="1"/>
    <col min="8204" max="8205" width="8.06640625" style="45" customWidth="1"/>
    <col min="8206" max="8206" width="5.46484375" style="45" customWidth="1"/>
    <col min="8207" max="8207" width="3.33203125" style="45" customWidth="1"/>
    <col min="8208" max="8208" width="5.796875" style="45" customWidth="1"/>
    <col min="8209" max="8209" width="6.06640625" style="45" customWidth="1"/>
    <col min="8210" max="8210" width="5.73046875" style="45" bestFit="1" customWidth="1"/>
    <col min="8211" max="8211" width="8.6640625" style="45"/>
    <col min="8212" max="8212" width="7.796875" style="45" bestFit="1" customWidth="1"/>
    <col min="8213" max="8213" width="6.9296875" style="45" customWidth="1"/>
    <col min="8214" max="8215" width="8.6640625" style="45"/>
    <col min="8216" max="8216" width="7.796875" style="45" bestFit="1" customWidth="1"/>
    <col min="8217" max="8217" width="10.3984375" style="45" customWidth="1"/>
    <col min="8218" max="8448" width="8.6640625" style="45"/>
    <col min="8449" max="8449" width="6.640625E-2" style="45" customWidth="1"/>
    <col min="8450" max="8450" width="2" style="45" customWidth="1"/>
    <col min="8451" max="8451" width="20.46484375" style="45" customWidth="1"/>
    <col min="8452" max="8452" width="6.33203125" style="45" bestFit="1" customWidth="1"/>
    <col min="8453" max="8453" width="6.59765625" style="45" bestFit="1" customWidth="1"/>
    <col min="8454" max="8454" width="3.46484375" style="45" bestFit="1" customWidth="1"/>
    <col min="8455" max="8456" width="8.06640625" style="45" customWidth="1"/>
    <col min="8457" max="8457" width="5.46484375" style="45" customWidth="1"/>
    <col min="8458" max="8458" width="3.33203125" style="45" customWidth="1"/>
    <col min="8459" max="8459" width="3" style="45" bestFit="1" customWidth="1"/>
    <col min="8460" max="8461" width="8.06640625" style="45" customWidth="1"/>
    <col min="8462" max="8462" width="5.46484375" style="45" customWidth="1"/>
    <col min="8463" max="8463" width="3.33203125" style="45" customWidth="1"/>
    <col min="8464" max="8464" width="5.796875" style="45" customWidth="1"/>
    <col min="8465" max="8465" width="6.06640625" style="45" customWidth="1"/>
    <col min="8466" max="8466" width="5.73046875" style="45" bestFit="1" customWidth="1"/>
    <col min="8467" max="8467" width="8.6640625" style="45"/>
    <col min="8468" max="8468" width="7.796875" style="45" bestFit="1" customWidth="1"/>
    <col min="8469" max="8469" width="6.9296875" style="45" customWidth="1"/>
    <col min="8470" max="8471" width="8.6640625" style="45"/>
    <col min="8472" max="8472" width="7.796875" style="45" bestFit="1" customWidth="1"/>
    <col min="8473" max="8473" width="10.3984375" style="45" customWidth="1"/>
    <col min="8474" max="8704" width="8.6640625" style="45"/>
    <col min="8705" max="8705" width="6.640625E-2" style="45" customWidth="1"/>
    <col min="8706" max="8706" width="2" style="45" customWidth="1"/>
    <col min="8707" max="8707" width="20.46484375" style="45" customWidth="1"/>
    <col min="8708" max="8708" width="6.33203125" style="45" bestFit="1" customWidth="1"/>
    <col min="8709" max="8709" width="6.59765625" style="45" bestFit="1" customWidth="1"/>
    <col min="8710" max="8710" width="3.46484375" style="45" bestFit="1" customWidth="1"/>
    <col min="8711" max="8712" width="8.06640625" style="45" customWidth="1"/>
    <col min="8713" max="8713" width="5.46484375" style="45" customWidth="1"/>
    <col min="8714" max="8714" width="3.33203125" style="45" customWidth="1"/>
    <col min="8715" max="8715" width="3" style="45" bestFit="1" customWidth="1"/>
    <col min="8716" max="8717" width="8.06640625" style="45" customWidth="1"/>
    <col min="8718" max="8718" width="5.46484375" style="45" customWidth="1"/>
    <col min="8719" max="8719" width="3.33203125" style="45" customWidth="1"/>
    <col min="8720" max="8720" width="5.796875" style="45" customWidth="1"/>
    <col min="8721" max="8721" width="6.06640625" style="45" customWidth="1"/>
    <col min="8722" max="8722" width="5.73046875" style="45" bestFit="1" customWidth="1"/>
    <col min="8723" max="8723" width="8.6640625" style="45"/>
    <col min="8724" max="8724" width="7.796875" style="45" bestFit="1" customWidth="1"/>
    <col min="8725" max="8725" width="6.9296875" style="45" customWidth="1"/>
    <col min="8726" max="8727" width="8.6640625" style="45"/>
    <col min="8728" max="8728" width="7.796875" style="45" bestFit="1" customWidth="1"/>
    <col min="8729" max="8729" width="10.3984375" style="45" customWidth="1"/>
    <col min="8730" max="8960" width="8.6640625" style="45"/>
    <col min="8961" max="8961" width="6.640625E-2" style="45" customWidth="1"/>
    <col min="8962" max="8962" width="2" style="45" customWidth="1"/>
    <col min="8963" max="8963" width="20.46484375" style="45" customWidth="1"/>
    <col min="8964" max="8964" width="6.33203125" style="45" bestFit="1" customWidth="1"/>
    <col min="8965" max="8965" width="6.59765625" style="45" bestFit="1" customWidth="1"/>
    <col min="8966" max="8966" width="3.46484375" style="45" bestFit="1" customWidth="1"/>
    <col min="8967" max="8968" width="8.06640625" style="45" customWidth="1"/>
    <col min="8969" max="8969" width="5.46484375" style="45" customWidth="1"/>
    <col min="8970" max="8970" width="3.33203125" style="45" customWidth="1"/>
    <col min="8971" max="8971" width="3" style="45" bestFit="1" customWidth="1"/>
    <col min="8972" max="8973" width="8.06640625" style="45" customWidth="1"/>
    <col min="8974" max="8974" width="5.46484375" style="45" customWidth="1"/>
    <col min="8975" max="8975" width="3.33203125" style="45" customWidth="1"/>
    <col min="8976" max="8976" width="5.796875" style="45" customWidth="1"/>
    <col min="8977" max="8977" width="6.06640625" style="45" customWidth="1"/>
    <col min="8978" max="8978" width="5.73046875" style="45" bestFit="1" customWidth="1"/>
    <col min="8979" max="8979" width="8.6640625" style="45"/>
    <col min="8980" max="8980" width="7.796875" style="45" bestFit="1" customWidth="1"/>
    <col min="8981" max="8981" width="6.9296875" style="45" customWidth="1"/>
    <col min="8982" max="8983" width="8.6640625" style="45"/>
    <col min="8984" max="8984" width="7.796875" style="45" bestFit="1" customWidth="1"/>
    <col min="8985" max="8985" width="10.3984375" style="45" customWidth="1"/>
    <col min="8986" max="9216" width="8.6640625" style="45"/>
    <col min="9217" max="9217" width="6.640625E-2" style="45" customWidth="1"/>
    <col min="9218" max="9218" width="2" style="45" customWidth="1"/>
    <col min="9219" max="9219" width="20.46484375" style="45" customWidth="1"/>
    <col min="9220" max="9220" width="6.33203125" style="45" bestFit="1" customWidth="1"/>
    <col min="9221" max="9221" width="6.59765625" style="45" bestFit="1" customWidth="1"/>
    <col min="9222" max="9222" width="3.46484375" style="45" bestFit="1" customWidth="1"/>
    <col min="9223" max="9224" width="8.06640625" style="45" customWidth="1"/>
    <col min="9225" max="9225" width="5.46484375" style="45" customWidth="1"/>
    <col min="9226" max="9226" width="3.33203125" style="45" customWidth="1"/>
    <col min="9227" max="9227" width="3" style="45" bestFit="1" customWidth="1"/>
    <col min="9228" max="9229" width="8.06640625" style="45" customWidth="1"/>
    <col min="9230" max="9230" width="5.46484375" style="45" customWidth="1"/>
    <col min="9231" max="9231" width="3.33203125" style="45" customWidth="1"/>
    <col min="9232" max="9232" width="5.796875" style="45" customWidth="1"/>
    <col min="9233" max="9233" width="6.06640625" style="45" customWidth="1"/>
    <col min="9234" max="9234" width="5.73046875" style="45" bestFit="1" customWidth="1"/>
    <col min="9235" max="9235" width="8.6640625" style="45"/>
    <col min="9236" max="9236" width="7.796875" style="45" bestFit="1" customWidth="1"/>
    <col min="9237" max="9237" width="6.9296875" style="45" customWidth="1"/>
    <col min="9238" max="9239" width="8.6640625" style="45"/>
    <col min="9240" max="9240" width="7.796875" style="45" bestFit="1" customWidth="1"/>
    <col min="9241" max="9241" width="10.3984375" style="45" customWidth="1"/>
    <col min="9242" max="9472" width="8.6640625" style="45"/>
    <col min="9473" max="9473" width="6.640625E-2" style="45" customWidth="1"/>
    <col min="9474" max="9474" width="2" style="45" customWidth="1"/>
    <col min="9475" max="9475" width="20.46484375" style="45" customWidth="1"/>
    <col min="9476" max="9476" width="6.33203125" style="45" bestFit="1" customWidth="1"/>
    <col min="9477" max="9477" width="6.59765625" style="45" bestFit="1" customWidth="1"/>
    <col min="9478" max="9478" width="3.46484375" style="45" bestFit="1" customWidth="1"/>
    <col min="9479" max="9480" width="8.06640625" style="45" customWidth="1"/>
    <col min="9481" max="9481" width="5.46484375" style="45" customWidth="1"/>
    <col min="9482" max="9482" width="3.33203125" style="45" customWidth="1"/>
    <col min="9483" max="9483" width="3" style="45" bestFit="1" customWidth="1"/>
    <col min="9484" max="9485" width="8.06640625" style="45" customWidth="1"/>
    <col min="9486" max="9486" width="5.46484375" style="45" customWidth="1"/>
    <col min="9487" max="9487" width="3.33203125" style="45" customWidth="1"/>
    <col min="9488" max="9488" width="5.796875" style="45" customWidth="1"/>
    <col min="9489" max="9489" width="6.06640625" style="45" customWidth="1"/>
    <col min="9490" max="9490" width="5.73046875" style="45" bestFit="1" customWidth="1"/>
    <col min="9491" max="9491" width="8.6640625" style="45"/>
    <col min="9492" max="9492" width="7.796875" style="45" bestFit="1" customWidth="1"/>
    <col min="9493" max="9493" width="6.9296875" style="45" customWidth="1"/>
    <col min="9494" max="9495" width="8.6640625" style="45"/>
    <col min="9496" max="9496" width="7.796875" style="45" bestFit="1" customWidth="1"/>
    <col min="9497" max="9497" width="10.3984375" style="45" customWidth="1"/>
    <col min="9498" max="9728" width="8.6640625" style="45"/>
    <col min="9729" max="9729" width="6.640625E-2" style="45" customWidth="1"/>
    <col min="9730" max="9730" width="2" style="45" customWidth="1"/>
    <col min="9731" max="9731" width="20.46484375" style="45" customWidth="1"/>
    <col min="9732" max="9732" width="6.33203125" style="45" bestFit="1" customWidth="1"/>
    <col min="9733" max="9733" width="6.59765625" style="45" bestFit="1" customWidth="1"/>
    <col min="9734" max="9734" width="3.46484375" style="45" bestFit="1" customWidth="1"/>
    <col min="9735" max="9736" width="8.06640625" style="45" customWidth="1"/>
    <col min="9737" max="9737" width="5.46484375" style="45" customWidth="1"/>
    <col min="9738" max="9738" width="3.33203125" style="45" customWidth="1"/>
    <col min="9739" max="9739" width="3" style="45" bestFit="1" customWidth="1"/>
    <col min="9740" max="9741" width="8.06640625" style="45" customWidth="1"/>
    <col min="9742" max="9742" width="5.46484375" style="45" customWidth="1"/>
    <col min="9743" max="9743" width="3.33203125" style="45" customWidth="1"/>
    <col min="9744" max="9744" width="5.796875" style="45" customWidth="1"/>
    <col min="9745" max="9745" width="6.06640625" style="45" customWidth="1"/>
    <col min="9746" max="9746" width="5.73046875" style="45" bestFit="1" customWidth="1"/>
    <col min="9747" max="9747" width="8.6640625" style="45"/>
    <col min="9748" max="9748" width="7.796875" style="45" bestFit="1" customWidth="1"/>
    <col min="9749" max="9749" width="6.9296875" style="45" customWidth="1"/>
    <col min="9750" max="9751" width="8.6640625" style="45"/>
    <col min="9752" max="9752" width="7.796875" style="45" bestFit="1" customWidth="1"/>
    <col min="9753" max="9753" width="10.3984375" style="45" customWidth="1"/>
    <col min="9754" max="9984" width="8.6640625" style="45"/>
    <col min="9985" max="9985" width="6.640625E-2" style="45" customWidth="1"/>
    <col min="9986" max="9986" width="2" style="45" customWidth="1"/>
    <col min="9987" max="9987" width="20.46484375" style="45" customWidth="1"/>
    <col min="9988" max="9988" width="6.33203125" style="45" bestFit="1" customWidth="1"/>
    <col min="9989" max="9989" width="6.59765625" style="45" bestFit="1" customWidth="1"/>
    <col min="9990" max="9990" width="3.46484375" style="45" bestFit="1" customWidth="1"/>
    <col min="9991" max="9992" width="8.06640625" style="45" customWidth="1"/>
    <col min="9993" max="9993" width="5.46484375" style="45" customWidth="1"/>
    <col min="9994" max="9994" width="3.33203125" style="45" customWidth="1"/>
    <col min="9995" max="9995" width="3" style="45" bestFit="1" customWidth="1"/>
    <col min="9996" max="9997" width="8.06640625" style="45" customWidth="1"/>
    <col min="9998" max="9998" width="5.46484375" style="45" customWidth="1"/>
    <col min="9999" max="9999" width="3.33203125" style="45" customWidth="1"/>
    <col min="10000" max="10000" width="5.796875" style="45" customWidth="1"/>
    <col min="10001" max="10001" width="6.06640625" style="45" customWidth="1"/>
    <col min="10002" max="10002" width="5.73046875" style="45" bestFit="1" customWidth="1"/>
    <col min="10003" max="10003" width="8.6640625" style="45"/>
    <col min="10004" max="10004" width="7.796875" style="45" bestFit="1" customWidth="1"/>
    <col min="10005" max="10005" width="6.9296875" style="45" customWidth="1"/>
    <col min="10006" max="10007" width="8.6640625" style="45"/>
    <col min="10008" max="10008" width="7.796875" style="45" bestFit="1" customWidth="1"/>
    <col min="10009" max="10009" width="10.3984375" style="45" customWidth="1"/>
    <col min="10010" max="10240" width="8.6640625" style="45"/>
    <col min="10241" max="10241" width="6.640625E-2" style="45" customWidth="1"/>
    <col min="10242" max="10242" width="2" style="45" customWidth="1"/>
    <col min="10243" max="10243" width="20.46484375" style="45" customWidth="1"/>
    <col min="10244" max="10244" width="6.33203125" style="45" bestFit="1" customWidth="1"/>
    <col min="10245" max="10245" width="6.59765625" style="45" bestFit="1" customWidth="1"/>
    <col min="10246" max="10246" width="3.46484375" style="45" bestFit="1" customWidth="1"/>
    <col min="10247" max="10248" width="8.06640625" style="45" customWidth="1"/>
    <col min="10249" max="10249" width="5.46484375" style="45" customWidth="1"/>
    <col min="10250" max="10250" width="3.33203125" style="45" customWidth="1"/>
    <col min="10251" max="10251" width="3" style="45" bestFit="1" customWidth="1"/>
    <col min="10252" max="10253" width="8.06640625" style="45" customWidth="1"/>
    <col min="10254" max="10254" width="5.46484375" style="45" customWidth="1"/>
    <col min="10255" max="10255" width="3.33203125" style="45" customWidth="1"/>
    <col min="10256" max="10256" width="5.796875" style="45" customWidth="1"/>
    <col min="10257" max="10257" width="6.06640625" style="45" customWidth="1"/>
    <col min="10258" max="10258" width="5.73046875" style="45" bestFit="1" customWidth="1"/>
    <col min="10259" max="10259" width="8.6640625" style="45"/>
    <col min="10260" max="10260" width="7.796875" style="45" bestFit="1" customWidth="1"/>
    <col min="10261" max="10261" width="6.9296875" style="45" customWidth="1"/>
    <col min="10262" max="10263" width="8.6640625" style="45"/>
    <col min="10264" max="10264" width="7.796875" style="45" bestFit="1" customWidth="1"/>
    <col min="10265" max="10265" width="10.3984375" style="45" customWidth="1"/>
    <col min="10266" max="10496" width="8.6640625" style="45"/>
    <col min="10497" max="10497" width="6.640625E-2" style="45" customWidth="1"/>
    <col min="10498" max="10498" width="2" style="45" customWidth="1"/>
    <col min="10499" max="10499" width="20.46484375" style="45" customWidth="1"/>
    <col min="10500" max="10500" width="6.33203125" style="45" bestFit="1" customWidth="1"/>
    <col min="10501" max="10501" width="6.59765625" style="45" bestFit="1" customWidth="1"/>
    <col min="10502" max="10502" width="3.46484375" style="45" bestFit="1" customWidth="1"/>
    <col min="10503" max="10504" width="8.06640625" style="45" customWidth="1"/>
    <col min="10505" max="10505" width="5.46484375" style="45" customWidth="1"/>
    <col min="10506" max="10506" width="3.33203125" style="45" customWidth="1"/>
    <col min="10507" max="10507" width="3" style="45" bestFit="1" customWidth="1"/>
    <col min="10508" max="10509" width="8.06640625" style="45" customWidth="1"/>
    <col min="10510" max="10510" width="5.46484375" style="45" customWidth="1"/>
    <col min="10511" max="10511" width="3.33203125" style="45" customWidth="1"/>
    <col min="10512" max="10512" width="5.796875" style="45" customWidth="1"/>
    <col min="10513" max="10513" width="6.06640625" style="45" customWidth="1"/>
    <col min="10514" max="10514" width="5.73046875" style="45" bestFit="1" customWidth="1"/>
    <col min="10515" max="10515" width="8.6640625" style="45"/>
    <col min="10516" max="10516" width="7.796875" style="45" bestFit="1" customWidth="1"/>
    <col min="10517" max="10517" width="6.9296875" style="45" customWidth="1"/>
    <col min="10518" max="10519" width="8.6640625" style="45"/>
    <col min="10520" max="10520" width="7.796875" style="45" bestFit="1" customWidth="1"/>
    <col min="10521" max="10521" width="10.3984375" style="45" customWidth="1"/>
    <col min="10522" max="10752" width="8.6640625" style="45"/>
    <col min="10753" max="10753" width="6.640625E-2" style="45" customWidth="1"/>
    <col min="10754" max="10754" width="2" style="45" customWidth="1"/>
    <col min="10755" max="10755" width="20.46484375" style="45" customWidth="1"/>
    <col min="10756" max="10756" width="6.33203125" style="45" bestFit="1" customWidth="1"/>
    <col min="10757" max="10757" width="6.59765625" style="45" bestFit="1" customWidth="1"/>
    <col min="10758" max="10758" width="3.46484375" style="45" bestFit="1" customWidth="1"/>
    <col min="10759" max="10760" width="8.06640625" style="45" customWidth="1"/>
    <col min="10761" max="10761" width="5.46484375" style="45" customWidth="1"/>
    <col min="10762" max="10762" width="3.33203125" style="45" customWidth="1"/>
    <col min="10763" max="10763" width="3" style="45" bestFit="1" customWidth="1"/>
    <col min="10764" max="10765" width="8.06640625" style="45" customWidth="1"/>
    <col min="10766" max="10766" width="5.46484375" style="45" customWidth="1"/>
    <col min="10767" max="10767" width="3.33203125" style="45" customWidth="1"/>
    <col min="10768" max="10768" width="5.796875" style="45" customWidth="1"/>
    <col min="10769" max="10769" width="6.06640625" style="45" customWidth="1"/>
    <col min="10770" max="10770" width="5.73046875" style="45" bestFit="1" customWidth="1"/>
    <col min="10771" max="10771" width="8.6640625" style="45"/>
    <col min="10772" max="10772" width="7.796875" style="45" bestFit="1" customWidth="1"/>
    <col min="10773" max="10773" width="6.9296875" style="45" customWidth="1"/>
    <col min="10774" max="10775" width="8.6640625" style="45"/>
    <col min="10776" max="10776" width="7.796875" style="45" bestFit="1" customWidth="1"/>
    <col min="10777" max="10777" width="10.3984375" style="45" customWidth="1"/>
    <col min="10778" max="11008" width="8.6640625" style="45"/>
    <col min="11009" max="11009" width="6.640625E-2" style="45" customWidth="1"/>
    <col min="11010" max="11010" width="2" style="45" customWidth="1"/>
    <col min="11011" max="11011" width="20.46484375" style="45" customWidth="1"/>
    <col min="11012" max="11012" width="6.33203125" style="45" bestFit="1" customWidth="1"/>
    <col min="11013" max="11013" width="6.59765625" style="45" bestFit="1" customWidth="1"/>
    <col min="11014" max="11014" width="3.46484375" style="45" bestFit="1" customWidth="1"/>
    <col min="11015" max="11016" width="8.06640625" style="45" customWidth="1"/>
    <col min="11017" max="11017" width="5.46484375" style="45" customWidth="1"/>
    <col min="11018" max="11018" width="3.33203125" style="45" customWidth="1"/>
    <col min="11019" max="11019" width="3" style="45" bestFit="1" customWidth="1"/>
    <col min="11020" max="11021" width="8.06640625" style="45" customWidth="1"/>
    <col min="11022" max="11022" width="5.46484375" style="45" customWidth="1"/>
    <col min="11023" max="11023" width="3.33203125" style="45" customWidth="1"/>
    <col min="11024" max="11024" width="5.796875" style="45" customWidth="1"/>
    <col min="11025" max="11025" width="6.06640625" style="45" customWidth="1"/>
    <col min="11026" max="11026" width="5.73046875" style="45" bestFit="1" customWidth="1"/>
    <col min="11027" max="11027" width="8.6640625" style="45"/>
    <col min="11028" max="11028" width="7.796875" style="45" bestFit="1" customWidth="1"/>
    <col min="11029" max="11029" width="6.9296875" style="45" customWidth="1"/>
    <col min="11030" max="11031" width="8.6640625" style="45"/>
    <col min="11032" max="11032" width="7.796875" style="45" bestFit="1" customWidth="1"/>
    <col min="11033" max="11033" width="10.3984375" style="45" customWidth="1"/>
    <col min="11034" max="11264" width="8.6640625" style="45"/>
    <col min="11265" max="11265" width="6.640625E-2" style="45" customWidth="1"/>
    <col min="11266" max="11266" width="2" style="45" customWidth="1"/>
    <col min="11267" max="11267" width="20.46484375" style="45" customWidth="1"/>
    <col min="11268" max="11268" width="6.33203125" style="45" bestFit="1" customWidth="1"/>
    <col min="11269" max="11269" width="6.59765625" style="45" bestFit="1" customWidth="1"/>
    <col min="11270" max="11270" width="3.46484375" style="45" bestFit="1" customWidth="1"/>
    <col min="11271" max="11272" width="8.06640625" style="45" customWidth="1"/>
    <col min="11273" max="11273" width="5.46484375" style="45" customWidth="1"/>
    <col min="11274" max="11274" width="3.33203125" style="45" customWidth="1"/>
    <col min="11275" max="11275" width="3" style="45" bestFit="1" customWidth="1"/>
    <col min="11276" max="11277" width="8.06640625" style="45" customWidth="1"/>
    <col min="11278" max="11278" width="5.46484375" style="45" customWidth="1"/>
    <col min="11279" max="11279" width="3.33203125" style="45" customWidth="1"/>
    <col min="11280" max="11280" width="5.796875" style="45" customWidth="1"/>
    <col min="11281" max="11281" width="6.06640625" style="45" customWidth="1"/>
    <col min="11282" max="11282" width="5.73046875" style="45" bestFit="1" customWidth="1"/>
    <col min="11283" max="11283" width="8.6640625" style="45"/>
    <col min="11284" max="11284" width="7.796875" style="45" bestFit="1" customWidth="1"/>
    <col min="11285" max="11285" width="6.9296875" style="45" customWidth="1"/>
    <col min="11286" max="11287" width="8.6640625" style="45"/>
    <col min="11288" max="11288" width="7.796875" style="45" bestFit="1" customWidth="1"/>
    <col min="11289" max="11289" width="10.3984375" style="45" customWidth="1"/>
    <col min="11290" max="11520" width="8.6640625" style="45"/>
    <col min="11521" max="11521" width="6.640625E-2" style="45" customWidth="1"/>
    <col min="11522" max="11522" width="2" style="45" customWidth="1"/>
    <col min="11523" max="11523" width="20.46484375" style="45" customWidth="1"/>
    <col min="11524" max="11524" width="6.33203125" style="45" bestFit="1" customWidth="1"/>
    <col min="11525" max="11525" width="6.59765625" style="45" bestFit="1" customWidth="1"/>
    <col min="11526" max="11526" width="3.46484375" style="45" bestFit="1" customWidth="1"/>
    <col min="11527" max="11528" width="8.06640625" style="45" customWidth="1"/>
    <col min="11529" max="11529" width="5.46484375" style="45" customWidth="1"/>
    <col min="11530" max="11530" width="3.33203125" style="45" customWidth="1"/>
    <col min="11531" max="11531" width="3" style="45" bestFit="1" customWidth="1"/>
    <col min="11532" max="11533" width="8.06640625" style="45" customWidth="1"/>
    <col min="11534" max="11534" width="5.46484375" style="45" customWidth="1"/>
    <col min="11535" max="11535" width="3.33203125" style="45" customWidth="1"/>
    <col min="11536" max="11536" width="5.796875" style="45" customWidth="1"/>
    <col min="11537" max="11537" width="6.06640625" style="45" customWidth="1"/>
    <col min="11538" max="11538" width="5.73046875" style="45" bestFit="1" customWidth="1"/>
    <col min="11539" max="11539" width="8.6640625" style="45"/>
    <col min="11540" max="11540" width="7.796875" style="45" bestFit="1" customWidth="1"/>
    <col min="11541" max="11541" width="6.9296875" style="45" customWidth="1"/>
    <col min="11542" max="11543" width="8.6640625" style="45"/>
    <col min="11544" max="11544" width="7.796875" style="45" bestFit="1" customWidth="1"/>
    <col min="11545" max="11545" width="10.3984375" style="45" customWidth="1"/>
    <col min="11546" max="11776" width="8.6640625" style="45"/>
    <col min="11777" max="11777" width="6.640625E-2" style="45" customWidth="1"/>
    <col min="11778" max="11778" width="2" style="45" customWidth="1"/>
    <col min="11779" max="11779" width="20.46484375" style="45" customWidth="1"/>
    <col min="11780" max="11780" width="6.33203125" style="45" bestFit="1" customWidth="1"/>
    <col min="11781" max="11781" width="6.59765625" style="45" bestFit="1" customWidth="1"/>
    <col min="11782" max="11782" width="3.46484375" style="45" bestFit="1" customWidth="1"/>
    <col min="11783" max="11784" width="8.06640625" style="45" customWidth="1"/>
    <col min="11785" max="11785" width="5.46484375" style="45" customWidth="1"/>
    <col min="11786" max="11786" width="3.33203125" style="45" customWidth="1"/>
    <col min="11787" max="11787" width="3" style="45" bestFit="1" customWidth="1"/>
    <col min="11788" max="11789" width="8.06640625" style="45" customWidth="1"/>
    <col min="11790" max="11790" width="5.46484375" style="45" customWidth="1"/>
    <col min="11791" max="11791" width="3.33203125" style="45" customWidth="1"/>
    <col min="11792" max="11792" width="5.796875" style="45" customWidth="1"/>
    <col min="11793" max="11793" width="6.06640625" style="45" customWidth="1"/>
    <col min="11794" max="11794" width="5.73046875" style="45" bestFit="1" customWidth="1"/>
    <col min="11795" max="11795" width="8.6640625" style="45"/>
    <col min="11796" max="11796" width="7.796875" style="45" bestFit="1" customWidth="1"/>
    <col min="11797" max="11797" width="6.9296875" style="45" customWidth="1"/>
    <col min="11798" max="11799" width="8.6640625" style="45"/>
    <col min="11800" max="11800" width="7.796875" style="45" bestFit="1" customWidth="1"/>
    <col min="11801" max="11801" width="10.3984375" style="45" customWidth="1"/>
    <col min="11802" max="12032" width="8.6640625" style="45"/>
    <col min="12033" max="12033" width="6.640625E-2" style="45" customWidth="1"/>
    <col min="12034" max="12034" width="2" style="45" customWidth="1"/>
    <col min="12035" max="12035" width="20.46484375" style="45" customWidth="1"/>
    <col min="12036" max="12036" width="6.33203125" style="45" bestFit="1" customWidth="1"/>
    <col min="12037" max="12037" width="6.59765625" style="45" bestFit="1" customWidth="1"/>
    <col min="12038" max="12038" width="3.46484375" style="45" bestFit="1" customWidth="1"/>
    <col min="12039" max="12040" width="8.06640625" style="45" customWidth="1"/>
    <col min="12041" max="12041" width="5.46484375" style="45" customWidth="1"/>
    <col min="12042" max="12042" width="3.33203125" style="45" customWidth="1"/>
    <col min="12043" max="12043" width="3" style="45" bestFit="1" customWidth="1"/>
    <col min="12044" max="12045" width="8.06640625" style="45" customWidth="1"/>
    <col min="12046" max="12046" width="5.46484375" style="45" customWidth="1"/>
    <col min="12047" max="12047" width="3.33203125" style="45" customWidth="1"/>
    <col min="12048" max="12048" width="5.796875" style="45" customWidth="1"/>
    <col min="12049" max="12049" width="6.06640625" style="45" customWidth="1"/>
    <col min="12050" max="12050" width="5.73046875" style="45" bestFit="1" customWidth="1"/>
    <col min="12051" max="12051" width="8.6640625" style="45"/>
    <col min="12052" max="12052" width="7.796875" style="45" bestFit="1" customWidth="1"/>
    <col min="12053" max="12053" width="6.9296875" style="45" customWidth="1"/>
    <col min="12054" max="12055" width="8.6640625" style="45"/>
    <col min="12056" max="12056" width="7.796875" style="45" bestFit="1" customWidth="1"/>
    <col min="12057" max="12057" width="10.3984375" style="45" customWidth="1"/>
    <col min="12058" max="12288" width="8.6640625" style="45"/>
    <col min="12289" max="12289" width="6.640625E-2" style="45" customWidth="1"/>
    <col min="12290" max="12290" width="2" style="45" customWidth="1"/>
    <col min="12291" max="12291" width="20.46484375" style="45" customWidth="1"/>
    <col min="12292" max="12292" width="6.33203125" style="45" bestFit="1" customWidth="1"/>
    <col min="12293" max="12293" width="6.59765625" style="45" bestFit="1" customWidth="1"/>
    <col min="12294" max="12294" width="3.46484375" style="45" bestFit="1" customWidth="1"/>
    <col min="12295" max="12296" width="8.06640625" style="45" customWidth="1"/>
    <col min="12297" max="12297" width="5.46484375" style="45" customWidth="1"/>
    <col min="12298" max="12298" width="3.33203125" style="45" customWidth="1"/>
    <col min="12299" max="12299" width="3" style="45" bestFit="1" customWidth="1"/>
    <col min="12300" max="12301" width="8.06640625" style="45" customWidth="1"/>
    <col min="12302" max="12302" width="5.46484375" style="45" customWidth="1"/>
    <col min="12303" max="12303" width="3.33203125" style="45" customWidth="1"/>
    <col min="12304" max="12304" width="5.796875" style="45" customWidth="1"/>
    <col min="12305" max="12305" width="6.06640625" style="45" customWidth="1"/>
    <col min="12306" max="12306" width="5.73046875" style="45" bestFit="1" customWidth="1"/>
    <col min="12307" max="12307" width="8.6640625" style="45"/>
    <col min="12308" max="12308" width="7.796875" style="45" bestFit="1" customWidth="1"/>
    <col min="12309" max="12309" width="6.9296875" style="45" customWidth="1"/>
    <col min="12310" max="12311" width="8.6640625" style="45"/>
    <col min="12312" max="12312" width="7.796875" style="45" bestFit="1" customWidth="1"/>
    <col min="12313" max="12313" width="10.3984375" style="45" customWidth="1"/>
    <col min="12314" max="12544" width="8.6640625" style="45"/>
    <col min="12545" max="12545" width="6.640625E-2" style="45" customWidth="1"/>
    <col min="12546" max="12546" width="2" style="45" customWidth="1"/>
    <col min="12547" max="12547" width="20.46484375" style="45" customWidth="1"/>
    <col min="12548" max="12548" width="6.33203125" style="45" bestFit="1" customWidth="1"/>
    <col min="12549" max="12549" width="6.59765625" style="45" bestFit="1" customWidth="1"/>
    <col min="12550" max="12550" width="3.46484375" style="45" bestFit="1" customWidth="1"/>
    <col min="12551" max="12552" width="8.06640625" style="45" customWidth="1"/>
    <col min="12553" max="12553" width="5.46484375" style="45" customWidth="1"/>
    <col min="12554" max="12554" width="3.33203125" style="45" customWidth="1"/>
    <col min="12555" max="12555" width="3" style="45" bestFit="1" customWidth="1"/>
    <col min="12556" max="12557" width="8.06640625" style="45" customWidth="1"/>
    <col min="12558" max="12558" width="5.46484375" style="45" customWidth="1"/>
    <col min="12559" max="12559" width="3.33203125" style="45" customWidth="1"/>
    <col min="12560" max="12560" width="5.796875" style="45" customWidth="1"/>
    <col min="12561" max="12561" width="6.06640625" style="45" customWidth="1"/>
    <col min="12562" max="12562" width="5.73046875" style="45" bestFit="1" customWidth="1"/>
    <col min="12563" max="12563" width="8.6640625" style="45"/>
    <col min="12564" max="12564" width="7.796875" style="45" bestFit="1" customWidth="1"/>
    <col min="12565" max="12565" width="6.9296875" style="45" customWidth="1"/>
    <col min="12566" max="12567" width="8.6640625" style="45"/>
    <col min="12568" max="12568" width="7.796875" style="45" bestFit="1" customWidth="1"/>
    <col min="12569" max="12569" width="10.3984375" style="45" customWidth="1"/>
    <col min="12570" max="12800" width="8.6640625" style="45"/>
    <col min="12801" max="12801" width="6.640625E-2" style="45" customWidth="1"/>
    <col min="12802" max="12802" width="2" style="45" customWidth="1"/>
    <col min="12803" max="12803" width="20.46484375" style="45" customWidth="1"/>
    <col min="12804" max="12804" width="6.33203125" style="45" bestFit="1" customWidth="1"/>
    <col min="12805" max="12805" width="6.59765625" style="45" bestFit="1" customWidth="1"/>
    <col min="12806" max="12806" width="3.46484375" style="45" bestFit="1" customWidth="1"/>
    <col min="12807" max="12808" width="8.06640625" style="45" customWidth="1"/>
    <col min="12809" max="12809" width="5.46484375" style="45" customWidth="1"/>
    <col min="12810" max="12810" width="3.33203125" style="45" customWidth="1"/>
    <col min="12811" max="12811" width="3" style="45" bestFit="1" customWidth="1"/>
    <col min="12812" max="12813" width="8.06640625" style="45" customWidth="1"/>
    <col min="12814" max="12814" width="5.46484375" style="45" customWidth="1"/>
    <col min="12815" max="12815" width="3.33203125" style="45" customWidth="1"/>
    <col min="12816" max="12816" width="5.796875" style="45" customWidth="1"/>
    <col min="12817" max="12817" width="6.06640625" style="45" customWidth="1"/>
    <col min="12818" max="12818" width="5.73046875" style="45" bestFit="1" customWidth="1"/>
    <col min="12819" max="12819" width="8.6640625" style="45"/>
    <col min="12820" max="12820" width="7.796875" style="45" bestFit="1" customWidth="1"/>
    <col min="12821" max="12821" width="6.9296875" style="45" customWidth="1"/>
    <col min="12822" max="12823" width="8.6640625" style="45"/>
    <col min="12824" max="12824" width="7.796875" style="45" bestFit="1" customWidth="1"/>
    <col min="12825" max="12825" width="10.3984375" style="45" customWidth="1"/>
    <col min="12826" max="13056" width="8.6640625" style="45"/>
    <col min="13057" max="13057" width="6.640625E-2" style="45" customWidth="1"/>
    <col min="13058" max="13058" width="2" style="45" customWidth="1"/>
    <col min="13059" max="13059" width="20.46484375" style="45" customWidth="1"/>
    <col min="13060" max="13060" width="6.33203125" style="45" bestFit="1" customWidth="1"/>
    <col min="13061" max="13061" width="6.59765625" style="45" bestFit="1" customWidth="1"/>
    <col min="13062" max="13062" width="3.46484375" style="45" bestFit="1" customWidth="1"/>
    <col min="13063" max="13064" width="8.06640625" style="45" customWidth="1"/>
    <col min="13065" max="13065" width="5.46484375" style="45" customWidth="1"/>
    <col min="13066" max="13066" width="3.33203125" style="45" customWidth="1"/>
    <col min="13067" max="13067" width="3" style="45" bestFit="1" customWidth="1"/>
    <col min="13068" max="13069" width="8.06640625" style="45" customWidth="1"/>
    <col min="13070" max="13070" width="5.46484375" style="45" customWidth="1"/>
    <col min="13071" max="13071" width="3.33203125" style="45" customWidth="1"/>
    <col min="13072" max="13072" width="5.796875" style="45" customWidth="1"/>
    <col min="13073" max="13073" width="6.06640625" style="45" customWidth="1"/>
    <col min="13074" max="13074" width="5.73046875" style="45" bestFit="1" customWidth="1"/>
    <col min="13075" max="13075" width="8.6640625" style="45"/>
    <col min="13076" max="13076" width="7.796875" style="45" bestFit="1" customWidth="1"/>
    <col min="13077" max="13077" width="6.9296875" style="45" customWidth="1"/>
    <col min="13078" max="13079" width="8.6640625" style="45"/>
    <col min="13080" max="13080" width="7.796875" style="45" bestFit="1" customWidth="1"/>
    <col min="13081" max="13081" width="10.3984375" style="45" customWidth="1"/>
    <col min="13082" max="13312" width="8.6640625" style="45"/>
    <col min="13313" max="13313" width="6.640625E-2" style="45" customWidth="1"/>
    <col min="13314" max="13314" width="2" style="45" customWidth="1"/>
    <col min="13315" max="13315" width="20.46484375" style="45" customWidth="1"/>
    <col min="13316" max="13316" width="6.33203125" style="45" bestFit="1" customWidth="1"/>
    <col min="13317" max="13317" width="6.59765625" style="45" bestFit="1" customWidth="1"/>
    <col min="13318" max="13318" width="3.46484375" style="45" bestFit="1" customWidth="1"/>
    <col min="13319" max="13320" width="8.06640625" style="45" customWidth="1"/>
    <col min="13321" max="13321" width="5.46484375" style="45" customWidth="1"/>
    <col min="13322" max="13322" width="3.33203125" style="45" customWidth="1"/>
    <col min="13323" max="13323" width="3" style="45" bestFit="1" customWidth="1"/>
    <col min="13324" max="13325" width="8.06640625" style="45" customWidth="1"/>
    <col min="13326" max="13326" width="5.46484375" style="45" customWidth="1"/>
    <col min="13327" max="13327" width="3.33203125" style="45" customWidth="1"/>
    <col min="13328" max="13328" width="5.796875" style="45" customWidth="1"/>
    <col min="13329" max="13329" width="6.06640625" style="45" customWidth="1"/>
    <col min="13330" max="13330" width="5.73046875" style="45" bestFit="1" customWidth="1"/>
    <col min="13331" max="13331" width="8.6640625" style="45"/>
    <col min="13332" max="13332" width="7.796875" style="45" bestFit="1" customWidth="1"/>
    <col min="13333" max="13333" width="6.9296875" style="45" customWidth="1"/>
    <col min="13334" max="13335" width="8.6640625" style="45"/>
    <col min="13336" max="13336" width="7.796875" style="45" bestFit="1" customWidth="1"/>
    <col min="13337" max="13337" width="10.3984375" style="45" customWidth="1"/>
    <col min="13338" max="13568" width="8.6640625" style="45"/>
    <col min="13569" max="13569" width="6.640625E-2" style="45" customWidth="1"/>
    <col min="13570" max="13570" width="2" style="45" customWidth="1"/>
    <col min="13571" max="13571" width="20.46484375" style="45" customWidth="1"/>
    <col min="13572" max="13572" width="6.33203125" style="45" bestFit="1" customWidth="1"/>
    <col min="13573" max="13573" width="6.59765625" style="45" bestFit="1" customWidth="1"/>
    <col min="13574" max="13574" width="3.46484375" style="45" bestFit="1" customWidth="1"/>
    <col min="13575" max="13576" width="8.06640625" style="45" customWidth="1"/>
    <col min="13577" max="13577" width="5.46484375" style="45" customWidth="1"/>
    <col min="13578" max="13578" width="3.33203125" style="45" customWidth="1"/>
    <col min="13579" max="13579" width="3" style="45" bestFit="1" customWidth="1"/>
    <col min="13580" max="13581" width="8.06640625" style="45" customWidth="1"/>
    <col min="13582" max="13582" width="5.46484375" style="45" customWidth="1"/>
    <col min="13583" max="13583" width="3.33203125" style="45" customWidth="1"/>
    <col min="13584" max="13584" width="5.796875" style="45" customWidth="1"/>
    <col min="13585" max="13585" width="6.06640625" style="45" customWidth="1"/>
    <col min="13586" max="13586" width="5.73046875" style="45" bestFit="1" customWidth="1"/>
    <col min="13587" max="13587" width="8.6640625" style="45"/>
    <col min="13588" max="13588" width="7.796875" style="45" bestFit="1" customWidth="1"/>
    <col min="13589" max="13589" width="6.9296875" style="45" customWidth="1"/>
    <col min="13590" max="13591" width="8.6640625" style="45"/>
    <col min="13592" max="13592" width="7.796875" style="45" bestFit="1" customWidth="1"/>
    <col min="13593" max="13593" width="10.3984375" style="45" customWidth="1"/>
    <col min="13594" max="13824" width="8.6640625" style="45"/>
    <col min="13825" max="13825" width="6.640625E-2" style="45" customWidth="1"/>
    <col min="13826" max="13826" width="2" style="45" customWidth="1"/>
    <col min="13827" max="13827" width="20.46484375" style="45" customWidth="1"/>
    <col min="13828" max="13828" width="6.33203125" style="45" bestFit="1" customWidth="1"/>
    <col min="13829" max="13829" width="6.59765625" style="45" bestFit="1" customWidth="1"/>
    <col min="13830" max="13830" width="3.46484375" style="45" bestFit="1" customWidth="1"/>
    <col min="13831" max="13832" width="8.06640625" style="45" customWidth="1"/>
    <col min="13833" max="13833" width="5.46484375" style="45" customWidth="1"/>
    <col min="13834" max="13834" width="3.33203125" style="45" customWidth="1"/>
    <col min="13835" max="13835" width="3" style="45" bestFit="1" customWidth="1"/>
    <col min="13836" max="13837" width="8.06640625" style="45" customWidth="1"/>
    <col min="13838" max="13838" width="5.46484375" style="45" customWidth="1"/>
    <col min="13839" max="13839" width="3.33203125" style="45" customWidth="1"/>
    <col min="13840" max="13840" width="5.796875" style="45" customWidth="1"/>
    <col min="13841" max="13841" width="6.06640625" style="45" customWidth="1"/>
    <col min="13842" max="13842" width="5.73046875" style="45" bestFit="1" customWidth="1"/>
    <col min="13843" max="13843" width="8.6640625" style="45"/>
    <col min="13844" max="13844" width="7.796875" style="45" bestFit="1" customWidth="1"/>
    <col min="13845" max="13845" width="6.9296875" style="45" customWidth="1"/>
    <col min="13846" max="13847" width="8.6640625" style="45"/>
    <col min="13848" max="13848" width="7.796875" style="45" bestFit="1" customWidth="1"/>
    <col min="13849" max="13849" width="10.3984375" style="45" customWidth="1"/>
    <col min="13850" max="14080" width="8.6640625" style="45"/>
    <col min="14081" max="14081" width="6.640625E-2" style="45" customWidth="1"/>
    <col min="14082" max="14082" width="2" style="45" customWidth="1"/>
    <col min="14083" max="14083" width="20.46484375" style="45" customWidth="1"/>
    <col min="14084" max="14084" width="6.33203125" style="45" bestFit="1" customWidth="1"/>
    <col min="14085" max="14085" width="6.59765625" style="45" bestFit="1" customWidth="1"/>
    <col min="14086" max="14086" width="3.46484375" style="45" bestFit="1" customWidth="1"/>
    <col min="14087" max="14088" width="8.06640625" style="45" customWidth="1"/>
    <col min="14089" max="14089" width="5.46484375" style="45" customWidth="1"/>
    <col min="14090" max="14090" width="3.33203125" style="45" customWidth="1"/>
    <col min="14091" max="14091" width="3" style="45" bestFit="1" customWidth="1"/>
    <col min="14092" max="14093" width="8.06640625" style="45" customWidth="1"/>
    <col min="14094" max="14094" width="5.46484375" style="45" customWidth="1"/>
    <col min="14095" max="14095" width="3.33203125" style="45" customWidth="1"/>
    <col min="14096" max="14096" width="5.796875" style="45" customWidth="1"/>
    <col min="14097" max="14097" width="6.06640625" style="45" customWidth="1"/>
    <col min="14098" max="14098" width="5.73046875" style="45" bestFit="1" customWidth="1"/>
    <col min="14099" max="14099" width="8.6640625" style="45"/>
    <col min="14100" max="14100" width="7.796875" style="45" bestFit="1" customWidth="1"/>
    <col min="14101" max="14101" width="6.9296875" style="45" customWidth="1"/>
    <col min="14102" max="14103" width="8.6640625" style="45"/>
    <col min="14104" max="14104" width="7.796875" style="45" bestFit="1" customWidth="1"/>
    <col min="14105" max="14105" width="10.3984375" style="45" customWidth="1"/>
    <col min="14106" max="14336" width="8.6640625" style="45"/>
    <col min="14337" max="14337" width="6.640625E-2" style="45" customWidth="1"/>
    <col min="14338" max="14338" width="2" style="45" customWidth="1"/>
    <col min="14339" max="14339" width="20.46484375" style="45" customWidth="1"/>
    <col min="14340" max="14340" width="6.33203125" style="45" bestFit="1" customWidth="1"/>
    <col min="14341" max="14341" width="6.59765625" style="45" bestFit="1" customWidth="1"/>
    <col min="14342" max="14342" width="3.46484375" style="45" bestFit="1" customWidth="1"/>
    <col min="14343" max="14344" width="8.06640625" style="45" customWidth="1"/>
    <col min="14345" max="14345" width="5.46484375" style="45" customWidth="1"/>
    <col min="14346" max="14346" width="3.33203125" style="45" customWidth="1"/>
    <col min="14347" max="14347" width="3" style="45" bestFit="1" customWidth="1"/>
    <col min="14348" max="14349" width="8.06640625" style="45" customWidth="1"/>
    <col min="14350" max="14350" width="5.46484375" style="45" customWidth="1"/>
    <col min="14351" max="14351" width="3.33203125" style="45" customWidth="1"/>
    <col min="14352" max="14352" width="5.796875" style="45" customWidth="1"/>
    <col min="14353" max="14353" width="6.06640625" style="45" customWidth="1"/>
    <col min="14354" max="14354" width="5.73046875" style="45" bestFit="1" customWidth="1"/>
    <col min="14355" max="14355" width="8.6640625" style="45"/>
    <col min="14356" max="14356" width="7.796875" style="45" bestFit="1" customWidth="1"/>
    <col min="14357" max="14357" width="6.9296875" style="45" customWidth="1"/>
    <col min="14358" max="14359" width="8.6640625" style="45"/>
    <col min="14360" max="14360" width="7.796875" style="45" bestFit="1" customWidth="1"/>
    <col min="14361" max="14361" width="10.3984375" style="45" customWidth="1"/>
    <col min="14362" max="14592" width="8.6640625" style="45"/>
    <col min="14593" max="14593" width="6.640625E-2" style="45" customWidth="1"/>
    <col min="14594" max="14594" width="2" style="45" customWidth="1"/>
    <col min="14595" max="14595" width="20.46484375" style="45" customWidth="1"/>
    <col min="14596" max="14596" width="6.33203125" style="45" bestFit="1" customWidth="1"/>
    <col min="14597" max="14597" width="6.59765625" style="45" bestFit="1" customWidth="1"/>
    <col min="14598" max="14598" width="3.46484375" style="45" bestFit="1" customWidth="1"/>
    <col min="14599" max="14600" width="8.06640625" style="45" customWidth="1"/>
    <col min="14601" max="14601" width="5.46484375" style="45" customWidth="1"/>
    <col min="14602" max="14602" width="3.33203125" style="45" customWidth="1"/>
    <col min="14603" max="14603" width="3" style="45" bestFit="1" customWidth="1"/>
    <col min="14604" max="14605" width="8.06640625" style="45" customWidth="1"/>
    <col min="14606" max="14606" width="5.46484375" style="45" customWidth="1"/>
    <col min="14607" max="14607" width="3.33203125" style="45" customWidth="1"/>
    <col min="14608" max="14608" width="5.796875" style="45" customWidth="1"/>
    <col min="14609" max="14609" width="6.06640625" style="45" customWidth="1"/>
    <col min="14610" max="14610" width="5.73046875" style="45" bestFit="1" customWidth="1"/>
    <col min="14611" max="14611" width="8.6640625" style="45"/>
    <col min="14612" max="14612" width="7.796875" style="45" bestFit="1" customWidth="1"/>
    <col min="14613" max="14613" width="6.9296875" style="45" customWidth="1"/>
    <col min="14614" max="14615" width="8.6640625" style="45"/>
    <col min="14616" max="14616" width="7.796875" style="45" bestFit="1" customWidth="1"/>
    <col min="14617" max="14617" width="10.3984375" style="45" customWidth="1"/>
    <col min="14618" max="14848" width="8.6640625" style="45"/>
    <col min="14849" max="14849" width="6.640625E-2" style="45" customWidth="1"/>
    <col min="14850" max="14850" width="2" style="45" customWidth="1"/>
    <col min="14851" max="14851" width="20.46484375" style="45" customWidth="1"/>
    <col min="14852" max="14852" width="6.33203125" style="45" bestFit="1" customWidth="1"/>
    <col min="14853" max="14853" width="6.59765625" style="45" bestFit="1" customWidth="1"/>
    <col min="14854" max="14854" width="3.46484375" style="45" bestFit="1" customWidth="1"/>
    <col min="14855" max="14856" width="8.06640625" style="45" customWidth="1"/>
    <col min="14857" max="14857" width="5.46484375" style="45" customWidth="1"/>
    <col min="14858" max="14858" width="3.33203125" style="45" customWidth="1"/>
    <col min="14859" max="14859" width="3" style="45" bestFit="1" customWidth="1"/>
    <col min="14860" max="14861" width="8.06640625" style="45" customWidth="1"/>
    <col min="14862" max="14862" width="5.46484375" style="45" customWidth="1"/>
    <col min="14863" max="14863" width="3.33203125" style="45" customWidth="1"/>
    <col min="14864" max="14864" width="5.796875" style="45" customWidth="1"/>
    <col min="14865" max="14865" width="6.06640625" style="45" customWidth="1"/>
    <col min="14866" max="14866" width="5.73046875" style="45" bestFit="1" customWidth="1"/>
    <col min="14867" max="14867" width="8.6640625" style="45"/>
    <col min="14868" max="14868" width="7.796875" style="45" bestFit="1" customWidth="1"/>
    <col min="14869" max="14869" width="6.9296875" style="45" customWidth="1"/>
    <col min="14870" max="14871" width="8.6640625" style="45"/>
    <col min="14872" max="14872" width="7.796875" style="45" bestFit="1" customWidth="1"/>
    <col min="14873" max="14873" width="10.3984375" style="45" customWidth="1"/>
    <col min="14874" max="15104" width="8.6640625" style="45"/>
    <col min="15105" max="15105" width="6.640625E-2" style="45" customWidth="1"/>
    <col min="15106" max="15106" width="2" style="45" customWidth="1"/>
    <col min="15107" max="15107" width="20.46484375" style="45" customWidth="1"/>
    <col min="15108" max="15108" width="6.33203125" style="45" bestFit="1" customWidth="1"/>
    <col min="15109" max="15109" width="6.59765625" style="45" bestFit="1" customWidth="1"/>
    <col min="15110" max="15110" width="3.46484375" style="45" bestFit="1" customWidth="1"/>
    <col min="15111" max="15112" width="8.06640625" style="45" customWidth="1"/>
    <col min="15113" max="15113" width="5.46484375" style="45" customWidth="1"/>
    <col min="15114" max="15114" width="3.33203125" style="45" customWidth="1"/>
    <col min="15115" max="15115" width="3" style="45" bestFit="1" customWidth="1"/>
    <col min="15116" max="15117" width="8.06640625" style="45" customWidth="1"/>
    <col min="15118" max="15118" width="5.46484375" style="45" customWidth="1"/>
    <col min="15119" max="15119" width="3.33203125" style="45" customWidth="1"/>
    <col min="15120" max="15120" width="5.796875" style="45" customWidth="1"/>
    <col min="15121" max="15121" width="6.06640625" style="45" customWidth="1"/>
    <col min="15122" max="15122" width="5.73046875" style="45" bestFit="1" customWidth="1"/>
    <col min="15123" max="15123" width="8.6640625" style="45"/>
    <col min="15124" max="15124" width="7.796875" style="45" bestFit="1" customWidth="1"/>
    <col min="15125" max="15125" width="6.9296875" style="45" customWidth="1"/>
    <col min="15126" max="15127" width="8.6640625" style="45"/>
    <col min="15128" max="15128" width="7.796875" style="45" bestFit="1" customWidth="1"/>
    <col min="15129" max="15129" width="10.3984375" style="45" customWidth="1"/>
    <col min="15130" max="15360" width="8.6640625" style="45"/>
    <col min="15361" max="15361" width="6.640625E-2" style="45" customWidth="1"/>
    <col min="15362" max="15362" width="2" style="45" customWidth="1"/>
    <col min="15363" max="15363" width="20.46484375" style="45" customWidth="1"/>
    <col min="15364" max="15364" width="6.33203125" style="45" bestFit="1" customWidth="1"/>
    <col min="15365" max="15365" width="6.59765625" style="45" bestFit="1" customWidth="1"/>
    <col min="15366" max="15366" width="3.46484375" style="45" bestFit="1" customWidth="1"/>
    <col min="15367" max="15368" width="8.06640625" style="45" customWidth="1"/>
    <col min="15369" max="15369" width="5.46484375" style="45" customWidth="1"/>
    <col min="15370" max="15370" width="3.33203125" style="45" customWidth="1"/>
    <col min="15371" max="15371" width="3" style="45" bestFit="1" customWidth="1"/>
    <col min="15372" max="15373" width="8.06640625" style="45" customWidth="1"/>
    <col min="15374" max="15374" width="5.46484375" style="45" customWidth="1"/>
    <col min="15375" max="15375" width="3.33203125" style="45" customWidth="1"/>
    <col min="15376" max="15376" width="5.796875" style="45" customWidth="1"/>
    <col min="15377" max="15377" width="6.06640625" style="45" customWidth="1"/>
    <col min="15378" max="15378" width="5.73046875" style="45" bestFit="1" customWidth="1"/>
    <col min="15379" max="15379" width="8.6640625" style="45"/>
    <col min="15380" max="15380" width="7.796875" style="45" bestFit="1" customWidth="1"/>
    <col min="15381" max="15381" width="6.9296875" style="45" customWidth="1"/>
    <col min="15382" max="15383" width="8.6640625" style="45"/>
    <col min="15384" max="15384" width="7.796875" style="45" bestFit="1" customWidth="1"/>
    <col min="15385" max="15385" width="10.3984375" style="45" customWidth="1"/>
    <col min="15386" max="15616" width="8.6640625" style="45"/>
    <col min="15617" max="15617" width="6.640625E-2" style="45" customWidth="1"/>
    <col min="15618" max="15618" width="2" style="45" customWidth="1"/>
    <col min="15619" max="15619" width="20.46484375" style="45" customWidth="1"/>
    <col min="15620" max="15620" width="6.33203125" style="45" bestFit="1" customWidth="1"/>
    <col min="15621" max="15621" width="6.59765625" style="45" bestFit="1" customWidth="1"/>
    <col min="15622" max="15622" width="3.46484375" style="45" bestFit="1" customWidth="1"/>
    <col min="15623" max="15624" width="8.06640625" style="45" customWidth="1"/>
    <col min="15625" max="15625" width="5.46484375" style="45" customWidth="1"/>
    <col min="15626" max="15626" width="3.33203125" style="45" customWidth="1"/>
    <col min="15627" max="15627" width="3" style="45" bestFit="1" customWidth="1"/>
    <col min="15628" max="15629" width="8.06640625" style="45" customWidth="1"/>
    <col min="15630" max="15630" width="5.46484375" style="45" customWidth="1"/>
    <col min="15631" max="15631" width="3.33203125" style="45" customWidth="1"/>
    <col min="15632" max="15632" width="5.796875" style="45" customWidth="1"/>
    <col min="15633" max="15633" width="6.06640625" style="45" customWidth="1"/>
    <col min="15634" max="15634" width="5.73046875" style="45" bestFit="1" customWidth="1"/>
    <col min="15635" max="15635" width="8.6640625" style="45"/>
    <col min="15636" max="15636" width="7.796875" style="45" bestFit="1" customWidth="1"/>
    <col min="15637" max="15637" width="6.9296875" style="45" customWidth="1"/>
    <col min="15638" max="15639" width="8.6640625" style="45"/>
    <col min="15640" max="15640" width="7.796875" style="45" bestFit="1" customWidth="1"/>
    <col min="15641" max="15641" width="10.3984375" style="45" customWidth="1"/>
    <col min="15642" max="15872" width="8.6640625" style="45"/>
    <col min="15873" max="15873" width="6.640625E-2" style="45" customWidth="1"/>
    <col min="15874" max="15874" width="2" style="45" customWidth="1"/>
    <col min="15875" max="15875" width="20.46484375" style="45" customWidth="1"/>
    <col min="15876" max="15876" width="6.33203125" style="45" bestFit="1" customWidth="1"/>
    <col min="15877" max="15877" width="6.59765625" style="45" bestFit="1" customWidth="1"/>
    <col min="15878" max="15878" width="3.46484375" style="45" bestFit="1" customWidth="1"/>
    <col min="15879" max="15880" width="8.06640625" style="45" customWidth="1"/>
    <col min="15881" max="15881" width="5.46484375" style="45" customWidth="1"/>
    <col min="15882" max="15882" width="3.33203125" style="45" customWidth="1"/>
    <col min="15883" max="15883" width="3" style="45" bestFit="1" customWidth="1"/>
    <col min="15884" max="15885" width="8.06640625" style="45" customWidth="1"/>
    <col min="15886" max="15886" width="5.46484375" style="45" customWidth="1"/>
    <col min="15887" max="15887" width="3.33203125" style="45" customWidth="1"/>
    <col min="15888" max="15888" width="5.796875" style="45" customWidth="1"/>
    <col min="15889" max="15889" width="6.06640625" style="45" customWidth="1"/>
    <col min="15890" max="15890" width="5.73046875" style="45" bestFit="1" customWidth="1"/>
    <col min="15891" max="15891" width="8.6640625" style="45"/>
    <col min="15892" max="15892" width="7.796875" style="45" bestFit="1" customWidth="1"/>
    <col min="15893" max="15893" width="6.9296875" style="45" customWidth="1"/>
    <col min="15894" max="15895" width="8.6640625" style="45"/>
    <col min="15896" max="15896" width="7.796875" style="45" bestFit="1" customWidth="1"/>
    <col min="15897" max="15897" width="10.3984375" style="45" customWidth="1"/>
    <col min="15898" max="16128" width="8.6640625" style="45"/>
    <col min="16129" max="16129" width="6.640625E-2" style="45" customWidth="1"/>
    <col min="16130" max="16130" width="2" style="45" customWidth="1"/>
    <col min="16131" max="16131" width="20.46484375" style="45" customWidth="1"/>
    <col min="16132" max="16132" width="6.33203125" style="45" bestFit="1" customWidth="1"/>
    <col min="16133" max="16133" width="6.59765625" style="45" bestFit="1" customWidth="1"/>
    <col min="16134" max="16134" width="3.46484375" style="45" bestFit="1" customWidth="1"/>
    <col min="16135" max="16136" width="8.06640625" style="45" customWidth="1"/>
    <col min="16137" max="16137" width="5.46484375" style="45" customWidth="1"/>
    <col min="16138" max="16138" width="3.33203125" style="45" customWidth="1"/>
    <col min="16139" max="16139" width="3" style="45" bestFit="1" customWidth="1"/>
    <col min="16140" max="16141" width="8.06640625" style="45" customWidth="1"/>
    <col min="16142" max="16142" width="5.46484375" style="45" customWidth="1"/>
    <col min="16143" max="16143" width="3.33203125" style="45" customWidth="1"/>
    <col min="16144" max="16144" width="5.796875" style="45" customWidth="1"/>
    <col min="16145" max="16145" width="6.06640625" style="45" customWidth="1"/>
    <col min="16146" max="16146" width="5.73046875" style="45" bestFit="1" customWidth="1"/>
    <col min="16147" max="16147" width="8.6640625" style="45"/>
    <col min="16148" max="16148" width="7.796875" style="45" bestFit="1" customWidth="1"/>
    <col min="16149" max="16149" width="6.9296875" style="45" customWidth="1"/>
    <col min="16150" max="16151" width="8.6640625" style="45"/>
    <col min="16152" max="16152" width="7.796875" style="45" bestFit="1" customWidth="1"/>
    <col min="16153" max="16153" width="10.3984375" style="45" customWidth="1"/>
    <col min="16154" max="16384" width="8.6640625" style="45"/>
  </cols>
  <sheetData>
    <row r="2" spans="2:16" ht="17.399999999999999">
      <c r="B2" s="204" t="s">
        <v>299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4" spans="2:16" s="115" customFormat="1" ht="15.6">
      <c r="B4" s="205" t="s">
        <v>129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2:16" s="115" customFormat="1" ht="15.6">
      <c r="B5" s="205" t="s">
        <v>198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2:16" ht="12.6"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spans="2:16">
      <c r="B7" s="47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</row>
    <row r="8" spans="2:16">
      <c r="B8" s="61" t="s">
        <v>131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3"/>
    </row>
    <row r="9" spans="2:16">
      <c r="B9" s="130"/>
      <c r="C9" s="70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</row>
    <row r="10" spans="2:16">
      <c r="B10" s="189">
        <v>1</v>
      </c>
      <c r="C10" s="190" t="s">
        <v>221</v>
      </c>
      <c r="D10" s="191" t="s">
        <v>338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3"/>
    </row>
    <row r="11" spans="2:16">
      <c r="B11" s="189">
        <v>2</v>
      </c>
      <c r="C11" s="190" t="s">
        <v>222</v>
      </c>
      <c r="D11" s="191" t="s">
        <v>339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3"/>
    </row>
    <row r="12" spans="2:16">
      <c r="B12" s="130">
        <v>3</v>
      </c>
      <c r="C12" s="190" t="s">
        <v>226</v>
      </c>
      <c r="D12" s="191" t="s">
        <v>303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3"/>
    </row>
    <row r="13" spans="2:16">
      <c r="B13" s="130">
        <v>4</v>
      </c>
      <c r="C13" s="190" t="s">
        <v>75</v>
      </c>
      <c r="D13" s="192" t="s">
        <v>304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3"/>
    </row>
    <row r="14" spans="2:16">
      <c r="B14" s="189">
        <v>5</v>
      </c>
      <c r="C14" s="190" t="s">
        <v>249</v>
      </c>
      <c r="D14" s="191" t="s">
        <v>340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3"/>
    </row>
    <row r="15" spans="2:16">
      <c r="B15" s="189">
        <v>6</v>
      </c>
      <c r="C15" s="190" t="s">
        <v>251</v>
      </c>
      <c r="D15" s="193" t="s">
        <v>305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3"/>
    </row>
    <row r="16" spans="2:16">
      <c r="B16" s="130">
        <v>7</v>
      </c>
      <c r="C16" s="190" t="s">
        <v>308</v>
      </c>
      <c r="D16" s="191" t="s">
        <v>306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3"/>
    </row>
    <row r="17" spans="2:16">
      <c r="B17" s="130">
        <v>8</v>
      </c>
      <c r="C17" s="190" t="s">
        <v>266</v>
      </c>
      <c r="D17" s="191" t="s">
        <v>341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3"/>
    </row>
    <row r="18" spans="2:16">
      <c r="B18" s="189">
        <v>9</v>
      </c>
      <c r="C18" s="190" t="s">
        <v>236</v>
      </c>
      <c r="D18" s="191" t="s">
        <v>342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3"/>
    </row>
    <row r="19" spans="2:16">
      <c r="B19" s="189">
        <v>10</v>
      </c>
      <c r="C19" s="190" t="s">
        <v>257</v>
      </c>
      <c r="D19" s="191" t="s">
        <v>307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</row>
    <row r="20" spans="2:16">
      <c r="B20" s="130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2:16">
      <c r="B21" s="130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2:16">
      <c r="B22" s="130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3"/>
    </row>
    <row r="23" spans="2:16">
      <c r="B23" s="130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3"/>
    </row>
    <row r="24" spans="2:16">
      <c r="B24" s="154"/>
      <c r="C24" s="200"/>
      <c r="D24" s="197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55"/>
    </row>
    <row r="25" spans="2:16">
      <c r="B25" s="64"/>
      <c r="C25" s="73"/>
      <c r="D25" s="6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</row>
    <row r="26" spans="2:16">
      <c r="B26" s="64"/>
      <c r="C26" s="73"/>
      <c r="D26" s="6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</row>
    <row r="27" spans="2:16">
      <c r="B27" s="64"/>
      <c r="C27" s="73"/>
      <c r="D27" s="45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</row>
    <row r="28" spans="2:16">
      <c r="B28" s="64"/>
      <c r="C28" s="73"/>
      <c r="D28" s="69"/>
      <c r="E28" s="45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2:16">
      <c r="B29" s="64"/>
      <c r="C29" s="73"/>
      <c r="D29" s="45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</row>
    <row r="30" spans="2:16">
      <c r="B30" s="64"/>
      <c r="C30" s="73"/>
      <c r="D30" s="45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</row>
    <row r="31" spans="2:16">
      <c r="B31" s="64"/>
      <c r="C31" s="73"/>
      <c r="D31" s="69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</row>
    <row r="32" spans="2:16">
      <c r="B32" s="64"/>
      <c r="C32" s="73"/>
      <c r="D32" s="69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</row>
    <row r="33" spans="2:16">
      <c r="B33" s="64"/>
      <c r="C33" s="73"/>
      <c r="D33" s="69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</row>
    <row r="34" spans="2:16">
      <c r="B34" s="64"/>
      <c r="C34" s="73"/>
      <c r="D34" s="69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</row>
    <row r="35" spans="2:16">
      <c r="B35" s="64"/>
      <c r="C35" s="73"/>
      <c r="D35" s="69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</row>
    <row r="36" spans="2:16">
      <c r="B36" s="64"/>
      <c r="C36" s="73"/>
      <c r="D36" s="69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spans="2:16">
      <c r="B37" s="64"/>
      <c r="C37" s="73"/>
      <c r="D37" s="69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</row>
    <row r="38" spans="2:16">
      <c r="B38" s="64"/>
      <c r="C38" s="73"/>
      <c r="D38" s="69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</row>
    <row r="39" spans="2:16">
      <c r="B39" s="64"/>
      <c r="C39" s="73"/>
      <c r="D39" s="69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</row>
    <row r="40" spans="2:16">
      <c r="B40" s="64"/>
      <c r="C40" s="73"/>
      <c r="D40" s="69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2:16">
      <c r="B41" s="64"/>
      <c r="C41" s="73"/>
      <c r="D41" s="69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</row>
    <row r="42" spans="2:16">
      <c r="B42" s="64"/>
      <c r="C42" s="73"/>
      <c r="D42" s="69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</row>
    <row r="43" spans="2:16">
      <c r="B43" s="64"/>
      <c r="C43" s="73"/>
      <c r="D43" s="69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</row>
    <row r="44" spans="2:16">
      <c r="B44" s="64"/>
      <c r="C44" s="73"/>
      <c r="D44" s="69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2:16">
      <c r="B45" s="64"/>
      <c r="C45" s="73"/>
      <c r="D45" s="69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2:16">
      <c r="B46" s="64"/>
      <c r="C46" s="73"/>
      <c r="D46" s="69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2:16">
      <c r="B47" s="64"/>
      <c r="C47" s="73"/>
      <c r="D47" s="69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2:16">
      <c r="B48" s="64"/>
      <c r="C48" s="73"/>
      <c r="D48" s="69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2:17">
      <c r="B49" s="64"/>
      <c r="C49" s="73"/>
      <c r="D49" s="69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</row>
    <row r="50" spans="2:17">
      <c r="B50" s="64"/>
      <c r="C50" s="73"/>
      <c r="D50" s="69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</row>
    <row r="51" spans="2:17">
      <c r="B51" s="64"/>
      <c r="C51" s="73"/>
      <c r="D51" s="69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2:17" ht="17.399999999999999">
      <c r="B52" s="206" t="s">
        <v>132</v>
      </c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8"/>
      <c r="Q52" s="48"/>
    </row>
    <row r="53" spans="2:17">
      <c r="B53" s="130"/>
      <c r="C53" s="73"/>
      <c r="D53" s="69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3"/>
      <c r="Q53" s="48"/>
    </row>
    <row r="54" spans="2:17">
      <c r="B54" s="49"/>
      <c r="C54" s="73"/>
      <c r="D54" s="69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3"/>
      <c r="Q54" s="48"/>
    </row>
    <row r="55" spans="2:17" ht="12.6">
      <c r="B55" s="50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2"/>
      <c r="Q55" s="48"/>
    </row>
    <row r="56" spans="2:17">
      <c r="B56" s="209" t="s">
        <v>62</v>
      </c>
      <c r="C56" s="74" t="s">
        <v>133</v>
      </c>
      <c r="D56" s="75"/>
      <c r="E56" s="76" t="s">
        <v>134</v>
      </c>
      <c r="F56" s="75"/>
      <c r="G56" s="76" t="s">
        <v>135</v>
      </c>
      <c r="J56" s="75"/>
      <c r="M56" s="51"/>
      <c r="O56" s="76" t="s">
        <v>136</v>
      </c>
      <c r="P56" s="76" t="s">
        <v>137</v>
      </c>
      <c r="Q56" s="48"/>
    </row>
    <row r="57" spans="2:17">
      <c r="B57" s="210"/>
      <c r="C57" s="156"/>
      <c r="D57" s="75"/>
      <c r="E57" s="157"/>
      <c r="F57" s="75"/>
      <c r="G57" s="157"/>
      <c r="J57" s="75"/>
      <c r="M57" s="51"/>
      <c r="O57" s="158" t="s">
        <v>138</v>
      </c>
      <c r="P57" s="158" t="s">
        <v>139</v>
      </c>
      <c r="Q57" s="48"/>
    </row>
    <row r="58" spans="2:17">
      <c r="B58" s="65" t="s">
        <v>267</v>
      </c>
      <c r="C58" s="66" t="s">
        <v>218</v>
      </c>
      <c r="D58" s="51"/>
      <c r="E58" s="77" t="s">
        <v>65</v>
      </c>
      <c r="F58" s="75"/>
      <c r="G58" s="77" t="s">
        <v>269</v>
      </c>
      <c r="J58" s="75"/>
      <c r="M58" s="51"/>
      <c r="O58" s="77" t="s">
        <v>140</v>
      </c>
      <c r="P58" s="67"/>
      <c r="Q58" s="48"/>
    </row>
    <row r="59" spans="2:17">
      <c r="B59" s="65" t="s">
        <v>267</v>
      </c>
      <c r="C59" s="66" t="s">
        <v>219</v>
      </c>
      <c r="D59" s="51"/>
      <c r="E59" s="77" t="s">
        <v>1</v>
      </c>
      <c r="F59" s="75"/>
      <c r="G59" s="77" t="s">
        <v>267</v>
      </c>
      <c r="J59" s="75"/>
      <c r="M59" s="51"/>
      <c r="O59" s="77" t="s">
        <v>141</v>
      </c>
      <c r="P59" s="67" t="s">
        <v>142</v>
      </c>
      <c r="Q59" s="48"/>
    </row>
    <row r="60" spans="2:17">
      <c r="B60" s="68" t="s">
        <v>267</v>
      </c>
      <c r="C60" s="66" t="s">
        <v>220</v>
      </c>
      <c r="D60" s="51"/>
      <c r="E60" s="77" t="s">
        <v>4</v>
      </c>
      <c r="F60" s="75"/>
      <c r="G60" s="77" t="s">
        <v>268</v>
      </c>
      <c r="J60" s="75"/>
      <c r="M60" s="51"/>
      <c r="O60" s="51"/>
      <c r="P60" s="67" t="s">
        <v>143</v>
      </c>
      <c r="Q60" s="48"/>
    </row>
    <row r="61" spans="2:17">
      <c r="B61" s="68" t="s">
        <v>267</v>
      </c>
      <c r="C61" s="66" t="s">
        <v>221</v>
      </c>
      <c r="D61" s="51"/>
      <c r="E61" s="77" t="s">
        <v>6</v>
      </c>
      <c r="F61" s="75"/>
      <c r="G61" s="77" t="s">
        <v>273</v>
      </c>
      <c r="J61" s="75"/>
      <c r="K61" s="75"/>
      <c r="M61" s="51"/>
      <c r="N61" s="51"/>
      <c r="O61" s="51"/>
      <c r="P61" s="67" t="s">
        <v>144</v>
      </c>
      <c r="Q61" s="48"/>
    </row>
    <row r="62" spans="2:17">
      <c r="B62" s="68" t="s">
        <v>267</v>
      </c>
      <c r="C62" s="66" t="s">
        <v>222</v>
      </c>
      <c r="D62" s="51"/>
      <c r="E62" s="77" t="s">
        <v>145</v>
      </c>
      <c r="F62" s="75"/>
      <c r="G62" s="75"/>
      <c r="H62" s="75"/>
      <c r="I62" s="75"/>
      <c r="J62" s="75"/>
      <c r="K62" s="75"/>
      <c r="L62" s="51"/>
      <c r="M62" s="51"/>
      <c r="N62" s="51"/>
      <c r="O62" s="51"/>
      <c r="P62" s="52"/>
      <c r="Q62" s="48"/>
    </row>
    <row r="63" spans="2:17">
      <c r="B63" s="68" t="s">
        <v>267</v>
      </c>
      <c r="C63" s="66" t="s">
        <v>223</v>
      </c>
      <c r="D63" s="51"/>
      <c r="E63" s="77" t="s">
        <v>72</v>
      </c>
      <c r="F63" s="75"/>
      <c r="G63" s="75"/>
      <c r="H63" s="75"/>
      <c r="I63" s="75"/>
      <c r="J63" s="75"/>
      <c r="K63" s="75"/>
      <c r="L63" s="51"/>
      <c r="M63" s="51"/>
      <c r="N63" s="51"/>
      <c r="O63" s="51"/>
      <c r="P63" s="52"/>
      <c r="Q63" s="48"/>
    </row>
    <row r="64" spans="2:17">
      <c r="B64" s="68" t="s">
        <v>267</v>
      </c>
      <c r="C64" s="66" t="s">
        <v>211</v>
      </c>
      <c r="D64" s="51"/>
      <c r="E64" s="78"/>
      <c r="F64" s="75"/>
      <c r="G64" s="75"/>
      <c r="H64" s="75"/>
      <c r="I64" s="75"/>
      <c r="J64" s="75"/>
      <c r="K64" s="75"/>
      <c r="L64" s="51"/>
      <c r="M64" s="51"/>
      <c r="N64" s="51"/>
      <c r="O64" s="51"/>
      <c r="P64" s="52"/>
      <c r="Q64" s="48"/>
    </row>
    <row r="65" spans="2:17">
      <c r="B65" s="68" t="s">
        <v>267</v>
      </c>
      <c r="C65" s="66" t="s">
        <v>224</v>
      </c>
      <c r="D65" s="51"/>
      <c r="E65" s="75"/>
      <c r="F65" s="75"/>
      <c r="G65" s="75"/>
      <c r="H65" s="75"/>
      <c r="I65" s="75"/>
      <c r="J65" s="75"/>
      <c r="K65" s="75"/>
      <c r="L65" s="51"/>
      <c r="M65" s="51"/>
      <c r="N65" s="51"/>
      <c r="O65" s="51"/>
      <c r="P65" s="52"/>
      <c r="Q65" s="48"/>
    </row>
    <row r="66" spans="2:17">
      <c r="B66" s="68" t="s">
        <v>267</v>
      </c>
      <c r="C66" s="66" t="s">
        <v>225</v>
      </c>
      <c r="D66" s="51"/>
      <c r="E66" s="75"/>
      <c r="F66" s="75"/>
      <c r="G66" s="75"/>
      <c r="H66" s="75"/>
      <c r="I66" s="75"/>
      <c r="J66" s="75"/>
      <c r="K66" s="75"/>
      <c r="L66" s="51"/>
      <c r="M66" s="51"/>
      <c r="N66" s="51"/>
      <c r="O66" s="51"/>
      <c r="P66" s="52"/>
      <c r="Q66" s="48"/>
    </row>
    <row r="67" spans="2:17">
      <c r="B67" s="68" t="s">
        <v>267</v>
      </c>
      <c r="C67" s="66" t="s">
        <v>226</v>
      </c>
      <c r="D67" s="51"/>
      <c r="E67" s="75"/>
      <c r="F67" s="75"/>
      <c r="G67" s="75"/>
      <c r="H67" s="75"/>
      <c r="I67" s="75"/>
      <c r="J67" s="75"/>
      <c r="K67" s="75"/>
      <c r="L67" s="51"/>
      <c r="M67" s="51"/>
      <c r="N67" s="51"/>
      <c r="O67" s="51"/>
      <c r="P67" s="52"/>
      <c r="Q67" s="48"/>
    </row>
    <row r="68" spans="2:17">
      <c r="B68" s="68" t="s">
        <v>267</v>
      </c>
      <c r="C68" s="66" t="s">
        <v>227</v>
      </c>
      <c r="D68" s="51"/>
      <c r="E68" s="75"/>
      <c r="F68" s="75"/>
      <c r="G68" s="75"/>
      <c r="H68" s="75"/>
      <c r="I68" s="75"/>
      <c r="J68" s="75"/>
      <c r="K68" s="75"/>
      <c r="L68" s="51"/>
      <c r="M68" s="51"/>
      <c r="N68" s="51"/>
      <c r="O68" s="51"/>
      <c r="P68" s="52"/>
      <c r="Q68" s="48"/>
    </row>
    <row r="69" spans="2:17">
      <c r="B69" s="68" t="s">
        <v>267</v>
      </c>
      <c r="C69" s="66" t="s">
        <v>228</v>
      </c>
      <c r="D69" s="51"/>
      <c r="E69" s="75"/>
      <c r="F69" s="75"/>
      <c r="G69" s="75"/>
      <c r="H69" s="75"/>
      <c r="I69" s="75"/>
      <c r="J69" s="75"/>
      <c r="K69" s="75"/>
      <c r="L69" s="51"/>
      <c r="M69" s="51"/>
      <c r="N69" s="51"/>
      <c r="O69" s="51"/>
      <c r="P69" s="52"/>
      <c r="Q69" s="48"/>
    </row>
    <row r="70" spans="2:17">
      <c r="B70" s="68" t="s">
        <v>267</v>
      </c>
      <c r="C70" s="66" t="s">
        <v>75</v>
      </c>
      <c r="D70" s="51"/>
      <c r="E70" s="75"/>
      <c r="F70" s="75"/>
      <c r="G70" s="75"/>
      <c r="H70" s="75"/>
      <c r="I70" s="75"/>
      <c r="J70" s="75"/>
      <c r="K70" s="75"/>
      <c r="L70" s="51"/>
      <c r="M70" s="51"/>
      <c r="N70" s="51"/>
      <c r="O70" s="51"/>
      <c r="P70" s="52"/>
      <c r="Q70" s="48"/>
    </row>
    <row r="71" spans="2:17">
      <c r="B71" s="68" t="s">
        <v>267</v>
      </c>
      <c r="C71" s="66" t="s">
        <v>229</v>
      </c>
      <c r="D71" s="51"/>
      <c r="E71" s="75"/>
      <c r="F71" s="75"/>
      <c r="G71" s="75"/>
      <c r="H71" s="75"/>
      <c r="I71" s="75"/>
      <c r="J71" s="75"/>
      <c r="K71" s="75"/>
      <c r="L71" s="51"/>
      <c r="M71" s="51"/>
      <c r="N71" s="51"/>
      <c r="O71" s="51"/>
      <c r="P71" s="52"/>
      <c r="Q71" s="48"/>
    </row>
    <row r="72" spans="2:17">
      <c r="B72" s="68" t="s">
        <v>267</v>
      </c>
      <c r="C72" s="66" t="s">
        <v>230</v>
      </c>
      <c r="D72" s="51"/>
      <c r="E72" s="75"/>
      <c r="F72" s="75"/>
      <c r="G72" s="75"/>
      <c r="H72" s="75"/>
      <c r="I72" s="75"/>
      <c r="J72" s="75"/>
      <c r="K72" s="75"/>
      <c r="L72" s="51"/>
      <c r="M72" s="51"/>
      <c r="N72" s="51"/>
      <c r="O72" s="51"/>
      <c r="P72" s="52"/>
      <c r="Q72" s="48"/>
    </row>
    <row r="73" spans="2:17">
      <c r="B73" s="68" t="s">
        <v>267</v>
      </c>
      <c r="C73" s="66" t="s">
        <v>199</v>
      </c>
      <c r="D73" s="51"/>
      <c r="E73" s="75"/>
      <c r="F73" s="75"/>
      <c r="G73" s="75"/>
      <c r="H73" s="75"/>
      <c r="I73" s="75"/>
      <c r="J73" s="75"/>
      <c r="K73" s="75"/>
      <c r="L73" s="51"/>
      <c r="M73" s="51"/>
      <c r="N73" s="51"/>
      <c r="O73" s="51"/>
      <c r="P73" s="52"/>
      <c r="Q73" s="48"/>
    </row>
    <row r="74" spans="2:17">
      <c r="B74" s="68" t="s">
        <v>267</v>
      </c>
      <c r="C74" s="66" t="s">
        <v>200</v>
      </c>
      <c r="D74" s="51"/>
      <c r="E74" s="75"/>
      <c r="F74" s="75"/>
      <c r="G74" s="75"/>
      <c r="H74" s="75"/>
      <c r="I74" s="75"/>
      <c r="J74" s="75"/>
      <c r="K74" s="75"/>
      <c r="L74" s="51"/>
      <c r="M74" s="51"/>
      <c r="N74" s="51"/>
      <c r="O74" s="51"/>
      <c r="P74" s="52"/>
      <c r="Q74" s="48"/>
    </row>
    <row r="75" spans="2:17">
      <c r="B75" s="68" t="s">
        <v>267</v>
      </c>
      <c r="C75" s="66" t="s">
        <v>201</v>
      </c>
      <c r="D75" s="51"/>
      <c r="E75" s="75"/>
      <c r="F75" s="75"/>
      <c r="G75" s="75"/>
      <c r="H75" s="75"/>
      <c r="I75" s="75"/>
      <c r="J75" s="75"/>
      <c r="K75" s="75"/>
      <c r="L75" s="51"/>
      <c r="M75" s="51"/>
      <c r="N75" s="51"/>
      <c r="O75" s="51"/>
      <c r="P75" s="52"/>
      <c r="Q75" s="48"/>
    </row>
    <row r="76" spans="2:17">
      <c r="B76" s="68" t="s">
        <v>267</v>
      </c>
      <c r="C76" s="66" t="s">
        <v>231</v>
      </c>
      <c r="D76" s="51"/>
      <c r="E76" s="75"/>
      <c r="F76" s="75"/>
      <c r="G76" s="75"/>
      <c r="H76" s="75"/>
      <c r="I76" s="75"/>
      <c r="J76" s="75"/>
      <c r="K76" s="75"/>
      <c r="L76" s="51"/>
      <c r="M76" s="51"/>
      <c r="N76" s="51"/>
      <c r="O76" s="51"/>
      <c r="P76" s="52"/>
      <c r="Q76" s="48"/>
    </row>
    <row r="77" spans="2:17">
      <c r="B77" s="68" t="s">
        <v>267</v>
      </c>
      <c r="C77" s="66" t="s">
        <v>232</v>
      </c>
      <c r="D77" s="51"/>
      <c r="E77" s="75"/>
      <c r="F77" s="75"/>
      <c r="G77" s="75"/>
      <c r="H77" s="75"/>
      <c r="I77" s="75"/>
      <c r="J77" s="75"/>
      <c r="K77" s="75"/>
      <c r="L77" s="51"/>
      <c r="M77" s="51"/>
      <c r="N77" s="51"/>
      <c r="O77" s="51"/>
      <c r="P77" s="52"/>
      <c r="Q77" s="48"/>
    </row>
    <row r="78" spans="2:17">
      <c r="B78" s="68" t="s">
        <v>267</v>
      </c>
      <c r="C78" s="66" t="s">
        <v>202</v>
      </c>
      <c r="D78" s="51"/>
      <c r="E78" s="75"/>
      <c r="F78" s="75"/>
      <c r="G78" s="75"/>
      <c r="H78" s="75"/>
      <c r="I78" s="75"/>
      <c r="J78" s="75"/>
      <c r="K78" s="75"/>
      <c r="L78" s="51"/>
      <c r="M78" s="51"/>
      <c r="N78" s="51"/>
      <c r="O78" s="51"/>
      <c r="P78" s="52"/>
      <c r="Q78" s="48"/>
    </row>
    <row r="79" spans="2:17">
      <c r="B79" s="68" t="s">
        <v>267</v>
      </c>
      <c r="C79" s="66" t="s">
        <v>212</v>
      </c>
      <c r="D79" s="51"/>
      <c r="E79" s="75"/>
      <c r="F79" s="75"/>
      <c r="G79" s="75"/>
      <c r="H79" s="75"/>
      <c r="I79" s="75"/>
      <c r="J79" s="75"/>
      <c r="K79" s="75"/>
      <c r="L79" s="51"/>
      <c r="M79" s="51"/>
      <c r="N79" s="51"/>
      <c r="O79" s="51"/>
      <c r="P79" s="52"/>
      <c r="Q79" s="48"/>
    </row>
    <row r="80" spans="2:17">
      <c r="B80" s="68" t="s">
        <v>267</v>
      </c>
      <c r="C80" s="66" t="s">
        <v>203</v>
      </c>
      <c r="D80" s="51"/>
      <c r="E80" s="75"/>
      <c r="F80" s="75"/>
      <c r="G80" s="75"/>
      <c r="H80" s="75"/>
      <c r="I80" s="75"/>
      <c r="J80" s="75"/>
      <c r="K80" s="75"/>
      <c r="L80" s="51"/>
      <c r="M80" s="51"/>
      <c r="N80" s="51"/>
      <c r="O80" s="51"/>
      <c r="P80" s="52"/>
      <c r="Q80" s="48"/>
    </row>
    <row r="81" spans="2:17">
      <c r="B81" s="68" t="s">
        <v>267</v>
      </c>
      <c r="C81" s="66" t="s">
        <v>233</v>
      </c>
      <c r="D81" s="51"/>
      <c r="E81" s="75"/>
      <c r="F81" s="75"/>
      <c r="G81" s="75"/>
      <c r="H81" s="75"/>
      <c r="I81" s="75"/>
      <c r="J81" s="75"/>
      <c r="K81" s="75"/>
      <c r="L81" s="51"/>
      <c r="M81" s="51"/>
      <c r="N81" s="51"/>
      <c r="O81" s="51"/>
      <c r="P81" s="52"/>
      <c r="Q81" s="48"/>
    </row>
    <row r="82" spans="2:17">
      <c r="B82" s="68" t="s">
        <v>267</v>
      </c>
      <c r="C82" s="66" t="s">
        <v>213</v>
      </c>
      <c r="D82" s="51"/>
      <c r="E82" s="75"/>
      <c r="F82" s="75"/>
      <c r="G82" s="75"/>
      <c r="H82" s="75"/>
      <c r="I82" s="75"/>
      <c r="J82" s="75"/>
      <c r="K82" s="75"/>
      <c r="L82" s="51"/>
      <c r="M82" s="51"/>
      <c r="N82" s="51"/>
      <c r="O82" s="51"/>
      <c r="P82" s="52"/>
      <c r="Q82" s="48"/>
    </row>
    <row r="83" spans="2:17">
      <c r="B83" s="68" t="s">
        <v>267</v>
      </c>
      <c r="C83" s="66" t="s">
        <v>234</v>
      </c>
      <c r="D83" s="51"/>
      <c r="E83" s="75"/>
      <c r="F83" s="75"/>
      <c r="G83" s="75"/>
      <c r="H83" s="75"/>
      <c r="I83" s="75"/>
      <c r="J83" s="75"/>
      <c r="K83" s="75"/>
      <c r="L83" s="51"/>
      <c r="M83" s="51"/>
      <c r="N83" s="51"/>
      <c r="O83" s="51"/>
      <c r="P83" s="52"/>
      <c r="Q83" s="48"/>
    </row>
    <row r="84" spans="2:17">
      <c r="B84" s="68" t="s">
        <v>268</v>
      </c>
      <c r="C84" s="66" t="s">
        <v>235</v>
      </c>
      <c r="D84" s="51"/>
      <c r="E84" s="75"/>
      <c r="F84" s="75"/>
      <c r="G84" s="75"/>
      <c r="H84" s="75"/>
      <c r="I84" s="75"/>
      <c r="J84" s="75"/>
      <c r="K84" s="75"/>
      <c r="L84" s="51"/>
      <c r="M84" s="51"/>
      <c r="N84" s="51"/>
      <c r="O84" s="51"/>
      <c r="P84" s="52"/>
      <c r="Q84" s="48"/>
    </row>
    <row r="85" spans="2:17">
      <c r="B85" s="68" t="s">
        <v>268</v>
      </c>
      <c r="C85" s="66" t="s">
        <v>236</v>
      </c>
      <c r="D85" s="51"/>
      <c r="E85" s="75"/>
      <c r="F85" s="75"/>
      <c r="G85" s="75"/>
      <c r="H85" s="75"/>
      <c r="I85" s="75"/>
      <c r="J85" s="75"/>
      <c r="K85" s="75"/>
      <c r="L85" s="51"/>
      <c r="M85" s="51"/>
      <c r="N85" s="51"/>
      <c r="O85" s="51"/>
      <c r="P85" s="52"/>
      <c r="Q85" s="48"/>
    </row>
    <row r="86" spans="2:17">
      <c r="B86" s="68" t="s">
        <v>268</v>
      </c>
      <c r="C86" s="66" t="s">
        <v>237</v>
      </c>
      <c r="D86" s="51"/>
      <c r="E86" s="75"/>
      <c r="F86" s="75"/>
      <c r="G86" s="75"/>
      <c r="H86" s="75"/>
      <c r="I86" s="75"/>
      <c r="J86" s="75"/>
      <c r="K86" s="75"/>
      <c r="L86" s="51"/>
      <c r="M86" s="51"/>
      <c r="N86" s="51"/>
      <c r="O86" s="51"/>
      <c r="P86" s="52"/>
      <c r="Q86" s="48"/>
    </row>
    <row r="87" spans="2:17">
      <c r="B87" s="68" t="s">
        <v>268</v>
      </c>
      <c r="C87" s="66" t="s">
        <v>204</v>
      </c>
      <c r="D87" s="51"/>
      <c r="E87" s="75"/>
      <c r="F87" s="75"/>
      <c r="G87" s="75"/>
      <c r="H87" s="75"/>
      <c r="I87" s="75"/>
      <c r="J87" s="75"/>
      <c r="K87" s="75"/>
      <c r="L87" s="51"/>
      <c r="M87" s="51"/>
      <c r="N87" s="51"/>
      <c r="O87" s="51"/>
      <c r="P87" s="52"/>
      <c r="Q87" s="48"/>
    </row>
    <row r="88" spans="2:17">
      <c r="B88" s="68" t="s">
        <v>268</v>
      </c>
      <c r="C88" s="66" t="s">
        <v>205</v>
      </c>
      <c r="D88" s="51"/>
      <c r="E88" s="75"/>
      <c r="F88" s="75"/>
      <c r="G88" s="75"/>
      <c r="H88" s="75"/>
      <c r="I88" s="75"/>
      <c r="J88" s="75"/>
      <c r="K88" s="75"/>
      <c r="L88" s="51"/>
      <c r="M88" s="51"/>
      <c r="N88" s="51"/>
      <c r="O88" s="51"/>
      <c r="P88" s="52"/>
      <c r="Q88" s="48"/>
    </row>
    <row r="89" spans="2:17">
      <c r="B89" s="68" t="s">
        <v>268</v>
      </c>
      <c r="C89" s="66" t="s">
        <v>238</v>
      </c>
      <c r="D89" s="51"/>
      <c r="E89" s="75"/>
      <c r="F89" s="75"/>
      <c r="G89" s="75"/>
      <c r="H89" s="75"/>
      <c r="I89" s="75"/>
      <c r="J89" s="75"/>
      <c r="K89" s="75"/>
      <c r="L89" s="51"/>
      <c r="M89" s="51"/>
      <c r="N89" s="51"/>
      <c r="O89" s="51"/>
      <c r="P89" s="52"/>
      <c r="Q89" s="48"/>
    </row>
    <row r="90" spans="2:17">
      <c r="B90" s="68" t="s">
        <v>268</v>
      </c>
      <c r="C90" s="66" t="s">
        <v>239</v>
      </c>
      <c r="D90" s="51"/>
      <c r="E90" s="75"/>
      <c r="F90" s="75"/>
      <c r="G90" s="75"/>
      <c r="H90" s="75"/>
      <c r="I90" s="75"/>
      <c r="J90" s="75"/>
      <c r="K90" s="75"/>
      <c r="L90" s="51"/>
      <c r="M90" s="51"/>
      <c r="N90" s="51"/>
      <c r="O90" s="51"/>
      <c r="P90" s="52"/>
      <c r="Q90" s="48"/>
    </row>
    <row r="91" spans="2:17">
      <c r="B91" s="68" t="s">
        <v>268</v>
      </c>
      <c r="C91" s="66" t="s">
        <v>206</v>
      </c>
      <c r="D91" s="51"/>
      <c r="E91" s="75"/>
      <c r="F91" s="75"/>
      <c r="G91" s="75"/>
      <c r="H91" s="75"/>
      <c r="I91" s="75"/>
      <c r="J91" s="75"/>
      <c r="K91" s="75"/>
      <c r="L91" s="51"/>
      <c r="M91" s="51"/>
      <c r="N91" s="51"/>
      <c r="O91" s="51"/>
      <c r="P91" s="52"/>
      <c r="Q91" s="48"/>
    </row>
    <row r="92" spans="2:17">
      <c r="B92" s="68" t="s">
        <v>268</v>
      </c>
      <c r="C92" s="66" t="s">
        <v>207</v>
      </c>
      <c r="D92" s="51"/>
      <c r="E92" s="75"/>
      <c r="F92" s="75"/>
      <c r="G92" s="75"/>
      <c r="H92" s="75"/>
      <c r="I92" s="75"/>
      <c r="J92" s="75"/>
      <c r="K92" s="75"/>
      <c r="L92" s="51"/>
      <c r="M92" s="51"/>
      <c r="N92" s="51"/>
      <c r="O92" s="51"/>
      <c r="P92" s="52"/>
      <c r="Q92" s="48"/>
    </row>
    <row r="93" spans="2:17">
      <c r="B93" s="68" t="s">
        <v>268</v>
      </c>
      <c r="C93" s="66" t="s">
        <v>240</v>
      </c>
      <c r="D93" s="51"/>
      <c r="E93" s="75"/>
      <c r="F93" s="75"/>
      <c r="G93" s="75"/>
      <c r="H93" s="75"/>
      <c r="I93" s="75"/>
      <c r="J93" s="75"/>
      <c r="K93" s="75"/>
      <c r="L93" s="51"/>
      <c r="M93" s="51"/>
      <c r="N93" s="51"/>
      <c r="O93" s="51"/>
      <c r="P93" s="52"/>
      <c r="Q93" s="48"/>
    </row>
    <row r="94" spans="2:17">
      <c r="B94" s="68" t="s">
        <v>268</v>
      </c>
      <c r="C94" s="66" t="s">
        <v>50</v>
      </c>
      <c r="D94" s="51"/>
      <c r="E94" s="75"/>
      <c r="F94" s="75"/>
      <c r="G94" s="75"/>
      <c r="H94" s="75"/>
      <c r="I94" s="75"/>
      <c r="J94" s="75"/>
      <c r="K94" s="75"/>
      <c r="L94" s="51"/>
      <c r="M94" s="51"/>
      <c r="N94" s="51"/>
      <c r="O94" s="51"/>
      <c r="P94" s="52"/>
      <c r="Q94" s="48"/>
    </row>
    <row r="95" spans="2:17">
      <c r="B95" s="68" t="s">
        <v>268</v>
      </c>
      <c r="C95" s="66" t="s">
        <v>241</v>
      </c>
      <c r="D95" s="51"/>
      <c r="E95" s="75"/>
      <c r="F95" s="75"/>
      <c r="G95" s="75"/>
      <c r="H95" s="75"/>
      <c r="I95" s="75"/>
      <c r="J95" s="75"/>
      <c r="K95" s="75"/>
      <c r="L95" s="51"/>
      <c r="M95" s="51"/>
      <c r="N95" s="51"/>
      <c r="O95" s="51"/>
      <c r="P95" s="52"/>
      <c r="Q95" s="48"/>
    </row>
    <row r="96" spans="2:17">
      <c r="B96" s="68" t="s">
        <v>268</v>
      </c>
      <c r="C96" s="66" t="s">
        <v>242</v>
      </c>
      <c r="D96" s="51"/>
      <c r="E96" s="75"/>
      <c r="F96" s="75"/>
      <c r="G96" s="75"/>
      <c r="H96" s="75"/>
      <c r="I96" s="75"/>
      <c r="J96" s="75"/>
      <c r="K96" s="75"/>
      <c r="L96" s="51"/>
      <c r="M96" s="51"/>
      <c r="N96" s="51"/>
      <c r="O96" s="51"/>
      <c r="P96" s="52"/>
      <c r="Q96" s="48"/>
    </row>
    <row r="97" spans="2:17">
      <c r="B97" s="68" t="s">
        <v>268</v>
      </c>
      <c r="C97" s="66" t="s">
        <v>243</v>
      </c>
      <c r="D97" s="51"/>
      <c r="E97" s="75"/>
      <c r="F97" s="75"/>
      <c r="G97" s="75"/>
      <c r="H97" s="75"/>
      <c r="I97" s="75"/>
      <c r="J97" s="75"/>
      <c r="K97" s="75"/>
      <c r="L97" s="51"/>
      <c r="M97" s="51"/>
      <c r="N97" s="51"/>
      <c r="O97" s="51"/>
      <c r="P97" s="52"/>
      <c r="Q97" s="48"/>
    </row>
    <row r="98" spans="2:17">
      <c r="B98" s="68" t="s">
        <v>269</v>
      </c>
      <c r="C98" s="66" t="s">
        <v>244</v>
      </c>
      <c r="D98" s="51"/>
      <c r="E98" s="75"/>
      <c r="F98" s="75"/>
      <c r="G98" s="75"/>
      <c r="H98" s="75"/>
      <c r="I98" s="75"/>
      <c r="J98" s="75"/>
      <c r="K98" s="75"/>
      <c r="L98" s="51"/>
      <c r="M98" s="51"/>
      <c r="N98" s="51"/>
      <c r="O98" s="51"/>
      <c r="P98" s="52"/>
      <c r="Q98" s="48"/>
    </row>
    <row r="99" spans="2:17">
      <c r="B99" s="68" t="s">
        <v>269</v>
      </c>
      <c r="C99" s="66" t="s">
        <v>245</v>
      </c>
      <c r="D99" s="51"/>
      <c r="E99" s="75"/>
      <c r="F99" s="75"/>
      <c r="G99" s="75"/>
      <c r="H99" s="75"/>
      <c r="I99" s="75"/>
      <c r="J99" s="75"/>
      <c r="K99" s="75"/>
      <c r="L99" s="51"/>
      <c r="M99" s="51"/>
      <c r="N99" s="51"/>
      <c r="O99" s="51"/>
      <c r="P99" s="52"/>
      <c r="Q99" s="48"/>
    </row>
    <row r="100" spans="2:17">
      <c r="B100" s="68" t="s">
        <v>269</v>
      </c>
      <c r="C100" s="66" t="s">
        <v>214</v>
      </c>
      <c r="D100" s="51"/>
      <c r="E100" s="75"/>
      <c r="F100" s="75"/>
      <c r="G100" s="75"/>
      <c r="H100" s="75"/>
      <c r="I100" s="75"/>
      <c r="J100" s="75"/>
      <c r="K100" s="75"/>
      <c r="L100" s="51"/>
      <c r="M100" s="51"/>
      <c r="N100" s="51"/>
      <c r="O100" s="51"/>
      <c r="P100" s="52"/>
      <c r="Q100" s="48"/>
    </row>
    <row r="101" spans="2:17">
      <c r="B101" s="68" t="s">
        <v>269</v>
      </c>
      <c r="C101" s="66" t="s">
        <v>215</v>
      </c>
      <c r="D101" s="51"/>
      <c r="E101" s="75"/>
      <c r="F101" s="75"/>
      <c r="G101" s="75"/>
      <c r="H101" s="75"/>
      <c r="I101" s="75"/>
      <c r="J101" s="75"/>
      <c r="K101" s="75"/>
      <c r="L101" s="51"/>
      <c r="M101" s="51"/>
      <c r="N101" s="51"/>
      <c r="O101" s="51"/>
      <c r="P101" s="52"/>
      <c r="Q101" s="48"/>
    </row>
    <row r="102" spans="2:17">
      <c r="B102" s="68" t="s">
        <v>269</v>
      </c>
      <c r="C102" s="66" t="s">
        <v>216</v>
      </c>
      <c r="D102" s="51"/>
      <c r="E102" s="75"/>
      <c r="F102" s="75"/>
      <c r="G102" s="75"/>
      <c r="H102" s="75"/>
      <c r="I102" s="75"/>
      <c r="J102" s="75"/>
      <c r="K102" s="75"/>
      <c r="L102" s="51"/>
      <c r="M102" s="51"/>
      <c r="N102" s="51"/>
      <c r="O102" s="51"/>
      <c r="P102" s="52"/>
      <c r="Q102" s="48"/>
    </row>
    <row r="103" spans="2:17">
      <c r="B103" s="68" t="s">
        <v>269</v>
      </c>
      <c r="C103" s="66" t="s">
        <v>246</v>
      </c>
      <c r="D103" s="51"/>
      <c r="E103" s="75"/>
      <c r="F103" s="75"/>
      <c r="G103" s="75"/>
      <c r="H103" s="75"/>
      <c r="I103" s="75"/>
      <c r="J103" s="75"/>
      <c r="K103" s="75"/>
      <c r="L103" s="51"/>
      <c r="M103" s="51"/>
      <c r="N103" s="51"/>
      <c r="O103" s="51"/>
      <c r="P103" s="52"/>
      <c r="Q103" s="48"/>
    </row>
    <row r="104" spans="2:17">
      <c r="B104" s="68" t="s">
        <v>269</v>
      </c>
      <c r="C104" s="66" t="s">
        <v>247</v>
      </c>
      <c r="D104" s="51"/>
      <c r="E104" s="75"/>
      <c r="F104" s="75"/>
      <c r="G104" s="75"/>
      <c r="H104" s="75"/>
      <c r="I104" s="75"/>
      <c r="J104" s="75"/>
      <c r="K104" s="75"/>
      <c r="L104" s="51"/>
      <c r="M104" s="51"/>
      <c r="N104" s="51"/>
      <c r="O104" s="51"/>
      <c r="P104" s="52"/>
      <c r="Q104" s="48"/>
    </row>
    <row r="105" spans="2:17">
      <c r="B105" s="68" t="s">
        <v>269</v>
      </c>
      <c r="C105" s="66" t="s">
        <v>248</v>
      </c>
      <c r="D105" s="51"/>
      <c r="E105" s="75"/>
      <c r="F105" s="75"/>
      <c r="G105" s="75"/>
      <c r="H105" s="75"/>
      <c r="I105" s="75"/>
      <c r="J105" s="75"/>
      <c r="K105" s="75"/>
      <c r="L105" s="51"/>
      <c r="M105" s="51"/>
      <c r="N105" s="51"/>
      <c r="O105" s="51"/>
      <c r="P105" s="52"/>
      <c r="Q105" s="48"/>
    </row>
    <row r="106" spans="2:17">
      <c r="B106" s="68" t="s">
        <v>269</v>
      </c>
      <c r="C106" s="66" t="s">
        <v>122</v>
      </c>
      <c r="D106" s="51"/>
      <c r="E106" s="75"/>
      <c r="F106" s="75"/>
      <c r="G106" s="75"/>
      <c r="H106" s="75"/>
      <c r="I106" s="75"/>
      <c r="J106" s="75"/>
      <c r="K106" s="75"/>
      <c r="L106" s="51"/>
      <c r="M106" s="51"/>
      <c r="N106" s="51"/>
      <c r="O106" s="51"/>
      <c r="P106" s="52"/>
      <c r="Q106" s="48"/>
    </row>
    <row r="107" spans="2:17">
      <c r="B107" s="68" t="s">
        <v>269</v>
      </c>
      <c r="C107" s="66" t="s">
        <v>208</v>
      </c>
      <c r="D107" s="51"/>
      <c r="E107" s="75"/>
      <c r="F107" s="75"/>
      <c r="G107" s="75"/>
      <c r="H107" s="75"/>
      <c r="I107" s="75"/>
      <c r="J107" s="75"/>
      <c r="K107" s="75"/>
      <c r="L107" s="51"/>
      <c r="M107" s="51"/>
      <c r="N107" s="51"/>
      <c r="O107" s="51"/>
      <c r="P107" s="52"/>
      <c r="Q107" s="48"/>
    </row>
    <row r="108" spans="2:17">
      <c r="B108" s="68" t="s">
        <v>269</v>
      </c>
      <c r="C108" s="66" t="s">
        <v>249</v>
      </c>
      <c r="D108" s="51"/>
      <c r="E108" s="75"/>
      <c r="F108" s="75"/>
      <c r="G108" s="75"/>
      <c r="H108" s="75"/>
      <c r="I108" s="75"/>
      <c r="J108" s="75"/>
      <c r="K108" s="75"/>
      <c r="L108" s="51"/>
      <c r="M108" s="51"/>
      <c r="N108" s="51"/>
      <c r="O108" s="51"/>
      <c r="P108" s="52"/>
      <c r="Q108" s="48"/>
    </row>
    <row r="109" spans="2:17">
      <c r="B109" s="68" t="s">
        <v>269</v>
      </c>
      <c r="C109" s="66" t="s">
        <v>250</v>
      </c>
      <c r="D109" s="51"/>
      <c r="E109" s="75"/>
      <c r="F109" s="75"/>
      <c r="G109" s="75"/>
      <c r="H109" s="75"/>
      <c r="I109" s="75"/>
      <c r="J109" s="75"/>
      <c r="K109" s="75"/>
      <c r="L109" s="51"/>
      <c r="M109" s="51"/>
      <c r="N109" s="51"/>
      <c r="O109" s="51"/>
      <c r="P109" s="52"/>
      <c r="Q109" s="48"/>
    </row>
    <row r="110" spans="2:17">
      <c r="B110" s="68" t="s">
        <v>269</v>
      </c>
      <c r="C110" s="66" t="s">
        <v>251</v>
      </c>
      <c r="D110" s="51"/>
      <c r="E110" s="75"/>
      <c r="F110" s="75"/>
      <c r="G110" s="75"/>
      <c r="H110" s="75"/>
      <c r="I110" s="75"/>
      <c r="J110" s="75"/>
      <c r="K110" s="75"/>
      <c r="L110" s="51"/>
      <c r="M110" s="51"/>
      <c r="N110" s="51"/>
      <c r="O110" s="51"/>
      <c r="P110" s="52"/>
      <c r="Q110" s="48"/>
    </row>
    <row r="111" spans="2:17">
      <c r="B111" s="68" t="s">
        <v>269</v>
      </c>
      <c r="C111" s="66" t="s">
        <v>217</v>
      </c>
      <c r="D111" s="51"/>
      <c r="E111" s="75"/>
      <c r="F111" s="75"/>
      <c r="G111" s="75"/>
      <c r="H111" s="75"/>
      <c r="I111" s="75"/>
      <c r="J111" s="75"/>
      <c r="K111" s="75"/>
      <c r="L111" s="51"/>
      <c r="M111" s="51"/>
      <c r="N111" s="51"/>
      <c r="O111" s="51"/>
      <c r="P111" s="52"/>
      <c r="Q111" s="48"/>
    </row>
    <row r="112" spans="2:17">
      <c r="B112" s="68" t="s">
        <v>269</v>
      </c>
      <c r="C112" s="66" t="s">
        <v>252</v>
      </c>
      <c r="D112" s="51"/>
      <c r="E112" s="75"/>
      <c r="F112" s="75"/>
      <c r="G112" s="75"/>
      <c r="H112" s="75"/>
      <c r="I112" s="75"/>
      <c r="J112" s="75"/>
      <c r="K112" s="75"/>
      <c r="L112" s="51"/>
      <c r="M112" s="51"/>
      <c r="N112" s="51"/>
      <c r="O112" s="51"/>
      <c r="P112" s="52"/>
      <c r="Q112" s="48"/>
    </row>
    <row r="113" spans="2:17">
      <c r="B113" s="68" t="s">
        <v>269</v>
      </c>
      <c r="C113" s="66" t="s">
        <v>253</v>
      </c>
      <c r="D113" s="51"/>
      <c r="E113" s="75"/>
      <c r="F113" s="75"/>
      <c r="G113" s="75"/>
      <c r="H113" s="75"/>
      <c r="I113" s="75"/>
      <c r="J113" s="75"/>
      <c r="K113" s="75"/>
      <c r="L113" s="51"/>
      <c r="M113" s="51"/>
      <c r="N113" s="51"/>
      <c r="O113" s="51"/>
      <c r="P113" s="52"/>
      <c r="Q113" s="48"/>
    </row>
    <row r="114" spans="2:17">
      <c r="B114" s="68" t="s">
        <v>269</v>
      </c>
      <c r="C114" s="66" t="s">
        <v>254</v>
      </c>
      <c r="D114" s="51"/>
      <c r="E114" s="75"/>
      <c r="F114" s="75"/>
      <c r="G114" s="75"/>
      <c r="H114" s="75"/>
      <c r="I114" s="75"/>
      <c r="J114" s="75"/>
      <c r="K114" s="75"/>
      <c r="L114" s="51"/>
      <c r="M114" s="51"/>
      <c r="N114" s="51"/>
      <c r="O114" s="51"/>
      <c r="P114" s="52"/>
      <c r="Q114" s="48"/>
    </row>
    <row r="115" spans="2:17">
      <c r="B115" s="68" t="s">
        <v>269</v>
      </c>
      <c r="C115" s="66" t="s">
        <v>255</v>
      </c>
      <c r="D115" s="51"/>
      <c r="E115" s="75"/>
      <c r="F115" s="75"/>
      <c r="G115" s="75"/>
      <c r="H115" s="75"/>
      <c r="I115" s="75"/>
      <c r="J115" s="75"/>
      <c r="K115" s="75"/>
      <c r="L115" s="51"/>
      <c r="M115" s="51"/>
      <c r="N115" s="51"/>
      <c r="O115" s="51"/>
      <c r="P115" s="52"/>
      <c r="Q115" s="48"/>
    </row>
    <row r="116" spans="2:17">
      <c r="B116" s="68" t="s">
        <v>269</v>
      </c>
      <c r="C116" s="66" t="s">
        <v>209</v>
      </c>
      <c r="D116" s="51"/>
      <c r="E116" s="75"/>
      <c r="F116" s="75"/>
      <c r="G116" s="75"/>
      <c r="H116" s="75"/>
      <c r="I116" s="75"/>
      <c r="J116" s="75"/>
      <c r="K116" s="75"/>
      <c r="L116" s="51"/>
      <c r="M116" s="51"/>
      <c r="N116" s="51"/>
      <c r="O116" s="51"/>
      <c r="P116" s="52"/>
      <c r="Q116" s="48"/>
    </row>
    <row r="117" spans="2:17">
      <c r="B117" s="68" t="s">
        <v>269</v>
      </c>
      <c r="C117" s="66" t="s">
        <v>256</v>
      </c>
      <c r="D117" s="51"/>
      <c r="E117" s="75"/>
      <c r="F117" s="75"/>
      <c r="G117" s="75"/>
      <c r="H117" s="75"/>
      <c r="I117" s="75"/>
      <c r="J117" s="75"/>
      <c r="K117" s="75"/>
      <c r="L117" s="51"/>
      <c r="M117" s="51"/>
      <c r="N117" s="51"/>
      <c r="O117" s="51"/>
      <c r="P117" s="52"/>
      <c r="Q117" s="48"/>
    </row>
    <row r="118" spans="2:17">
      <c r="B118" s="68" t="s">
        <v>269</v>
      </c>
      <c r="C118" s="66" t="s">
        <v>257</v>
      </c>
      <c r="D118" s="51"/>
      <c r="E118" s="75"/>
      <c r="F118" s="75"/>
      <c r="G118" s="75"/>
      <c r="H118" s="75"/>
      <c r="I118" s="75"/>
      <c r="J118" s="75"/>
      <c r="K118" s="75"/>
      <c r="L118" s="51"/>
      <c r="M118" s="51"/>
      <c r="N118" s="51"/>
      <c r="O118" s="51"/>
      <c r="P118" s="52"/>
      <c r="Q118" s="48"/>
    </row>
    <row r="119" spans="2:17">
      <c r="B119" s="68" t="s">
        <v>269</v>
      </c>
      <c r="C119" s="66" t="s">
        <v>258</v>
      </c>
      <c r="D119" s="51"/>
      <c r="E119" s="75"/>
      <c r="F119" s="75"/>
      <c r="G119" s="75"/>
      <c r="H119" s="75"/>
      <c r="I119" s="75"/>
      <c r="J119" s="75"/>
      <c r="K119" s="75"/>
      <c r="L119" s="51"/>
      <c r="M119" s="51"/>
      <c r="N119" s="51"/>
      <c r="O119" s="51"/>
      <c r="P119" s="52"/>
      <c r="Q119" s="48"/>
    </row>
    <row r="120" spans="2:17">
      <c r="B120" s="68" t="s">
        <v>269</v>
      </c>
      <c r="C120" s="66" t="s">
        <v>259</v>
      </c>
      <c r="D120" s="51"/>
      <c r="E120" s="75"/>
      <c r="F120" s="75"/>
      <c r="G120" s="75"/>
      <c r="H120" s="75"/>
      <c r="I120" s="75"/>
      <c r="J120" s="75"/>
      <c r="K120" s="75"/>
      <c r="L120" s="51"/>
      <c r="M120" s="51"/>
      <c r="N120" s="51"/>
      <c r="O120" s="51"/>
      <c r="P120" s="52"/>
      <c r="Q120" s="48"/>
    </row>
    <row r="121" spans="2:17">
      <c r="B121" s="68" t="s">
        <v>269</v>
      </c>
      <c r="C121" s="66" t="s">
        <v>210</v>
      </c>
      <c r="D121" s="51"/>
      <c r="E121" s="75"/>
      <c r="F121" s="75"/>
      <c r="G121" s="75"/>
      <c r="H121" s="75"/>
      <c r="I121" s="75"/>
      <c r="J121" s="75"/>
      <c r="K121" s="75"/>
      <c r="L121" s="51"/>
      <c r="M121" s="51"/>
      <c r="N121" s="51"/>
      <c r="O121" s="51"/>
      <c r="P121" s="52"/>
      <c r="Q121" s="48"/>
    </row>
    <row r="122" spans="2:17">
      <c r="B122" s="68" t="s">
        <v>269</v>
      </c>
      <c r="C122" s="66" t="s">
        <v>260</v>
      </c>
      <c r="D122" s="51"/>
      <c r="E122" s="75"/>
      <c r="F122" s="75"/>
      <c r="G122" s="75"/>
      <c r="H122" s="75"/>
      <c r="I122" s="75"/>
      <c r="J122" s="75"/>
      <c r="K122" s="75"/>
      <c r="L122" s="51"/>
      <c r="M122" s="51"/>
      <c r="N122" s="51"/>
      <c r="O122" s="51"/>
      <c r="P122" s="52"/>
      <c r="Q122" s="48"/>
    </row>
    <row r="123" spans="2:17">
      <c r="B123" s="68" t="s">
        <v>269</v>
      </c>
      <c r="C123" s="66" t="s">
        <v>261</v>
      </c>
      <c r="D123" s="51"/>
      <c r="E123" s="75"/>
      <c r="F123" s="75"/>
      <c r="G123" s="75"/>
      <c r="H123" s="75"/>
      <c r="I123" s="75"/>
      <c r="J123" s="75"/>
      <c r="K123" s="75"/>
      <c r="L123" s="51"/>
      <c r="M123" s="51"/>
      <c r="N123" s="51"/>
      <c r="O123" s="51"/>
      <c r="P123" s="52"/>
      <c r="Q123" s="48"/>
    </row>
    <row r="124" spans="2:17">
      <c r="B124" s="68" t="s">
        <v>269</v>
      </c>
      <c r="C124" s="66" t="s">
        <v>262</v>
      </c>
      <c r="D124" s="51"/>
      <c r="E124" s="75"/>
      <c r="F124" s="75"/>
      <c r="G124" s="75"/>
      <c r="H124" s="75"/>
      <c r="I124" s="75"/>
      <c r="J124" s="75"/>
      <c r="K124" s="75"/>
      <c r="L124" s="51"/>
      <c r="M124" s="51"/>
      <c r="N124" s="51"/>
      <c r="O124" s="51"/>
      <c r="P124" s="52"/>
      <c r="Q124" s="48"/>
    </row>
    <row r="125" spans="2:17">
      <c r="B125" s="68" t="s">
        <v>269</v>
      </c>
      <c r="C125" s="66" t="s">
        <v>263</v>
      </c>
      <c r="D125" s="51"/>
      <c r="E125" s="75"/>
      <c r="F125" s="75"/>
      <c r="G125" s="75"/>
      <c r="H125" s="75"/>
      <c r="I125" s="75"/>
      <c r="J125" s="75"/>
      <c r="K125" s="75"/>
      <c r="L125" s="51"/>
      <c r="M125" s="51"/>
      <c r="N125" s="51"/>
      <c r="O125" s="51"/>
      <c r="P125" s="52"/>
      <c r="Q125" s="48"/>
    </row>
    <row r="126" spans="2:17">
      <c r="B126" s="68" t="s">
        <v>269</v>
      </c>
      <c r="C126" s="66" t="s">
        <v>264</v>
      </c>
      <c r="D126" s="51"/>
      <c r="E126" s="75"/>
      <c r="F126" s="75"/>
      <c r="G126" s="75"/>
      <c r="H126" s="75"/>
      <c r="I126" s="75"/>
      <c r="J126" s="75"/>
      <c r="K126" s="75"/>
      <c r="L126" s="51"/>
      <c r="M126" s="51"/>
      <c r="N126" s="51"/>
      <c r="O126" s="51"/>
      <c r="P126" s="52"/>
      <c r="Q126" s="48"/>
    </row>
    <row r="127" spans="2:17">
      <c r="B127" s="68" t="s">
        <v>269</v>
      </c>
      <c r="C127" s="66" t="s">
        <v>265</v>
      </c>
      <c r="D127" s="51"/>
      <c r="E127" s="75"/>
      <c r="F127" s="75"/>
      <c r="G127" s="75"/>
      <c r="H127" s="75"/>
      <c r="I127" s="75"/>
      <c r="J127" s="75"/>
      <c r="K127" s="75"/>
      <c r="L127" s="51"/>
      <c r="M127" s="51"/>
      <c r="N127" s="51"/>
      <c r="O127" s="51"/>
      <c r="P127" s="52"/>
      <c r="Q127" s="48"/>
    </row>
    <row r="128" spans="2:17">
      <c r="B128" s="134" t="s">
        <v>269</v>
      </c>
      <c r="C128" s="66" t="s">
        <v>266</v>
      </c>
      <c r="D128" s="51"/>
      <c r="E128" s="75"/>
      <c r="F128" s="75"/>
      <c r="G128" s="75"/>
      <c r="H128" s="75"/>
      <c r="I128" s="75"/>
      <c r="J128" s="75"/>
      <c r="K128" s="75"/>
      <c r="L128" s="51"/>
      <c r="M128" s="51"/>
      <c r="N128" s="51"/>
      <c r="O128" s="51"/>
      <c r="P128" s="52"/>
      <c r="Q128" s="48"/>
    </row>
  </sheetData>
  <mergeCells count="5">
    <mergeCell ref="B2:P2"/>
    <mergeCell ref="B4:P4"/>
    <mergeCell ref="B5:P5"/>
    <mergeCell ref="B52:P52"/>
    <mergeCell ref="B56:B57"/>
  </mergeCells>
  <conditionalFormatting sqref="P52:P55">
    <cfRule type="expression" dxfId="29" priority="29" stopIfTrue="1">
      <formula>+$E64973&lt;&gt;$E64974</formula>
    </cfRule>
  </conditionalFormatting>
  <conditionalFormatting sqref="C56:C62 C64:C68 C105:C106 C97:C100">
    <cfRule type="expression" dxfId="28" priority="28" stopIfTrue="1">
      <formula>+$F54&lt;&gt;$F55</formula>
    </cfRule>
  </conditionalFormatting>
  <conditionalFormatting sqref="B53:B54 B76:B77 B73 B110 B87:B88 B91 B95:B99 B101 B103:B104 B107:B108 B79 B84:B85 B56:B61 B64:B66 B70 B113 B116:B117 B119:B121">
    <cfRule type="expression" dxfId="27" priority="27" stopIfTrue="1">
      <formula>+$C53&lt;&gt;$C54</formula>
    </cfRule>
  </conditionalFormatting>
  <conditionalFormatting sqref="B125">
    <cfRule type="expression" dxfId="26" priority="26" stopIfTrue="1">
      <formula>+$C126&lt;&gt;$C127</formula>
    </cfRule>
  </conditionalFormatting>
  <conditionalFormatting sqref="B55 B86 B52 B103 B111 B89 B93:B94 B105:B106 B71 B114:B115 B122:B124">
    <cfRule type="expression" dxfId="25" priority="25" stopIfTrue="1">
      <formula>+$C52&lt;&gt;$C54</formula>
    </cfRule>
  </conditionalFormatting>
  <conditionalFormatting sqref="C53:C55 C92:C94 C96 C87:C89">
    <cfRule type="expression" dxfId="24" priority="24" stopIfTrue="1">
      <formula>+$F52&lt;&gt;$F53</formula>
    </cfRule>
  </conditionalFormatting>
  <conditionalFormatting sqref="C52 C85:C86">
    <cfRule type="expression" dxfId="23" priority="23" stopIfTrue="1">
      <formula>+$F52&lt;&gt;$F53</formula>
    </cfRule>
  </conditionalFormatting>
  <conditionalFormatting sqref="C64:C68 C107:C111 C79:C83 C76 C116 C121:C123 C127:C128">
    <cfRule type="expression" dxfId="22" priority="22" stopIfTrue="1">
      <formula>+$F61&lt;&gt;$F62</formula>
    </cfRule>
  </conditionalFormatting>
  <conditionalFormatting sqref="B78 B84 B92 B109 B114:B115 B117:B118">
    <cfRule type="expression" dxfId="21" priority="21" stopIfTrue="1">
      <formula>+$C78&lt;&gt;#REF!</formula>
    </cfRule>
  </conditionalFormatting>
  <conditionalFormatting sqref="B127">
    <cfRule type="expression" dxfId="20" priority="20" stopIfTrue="1">
      <formula>+#REF!&lt;&gt;$C128</formula>
    </cfRule>
  </conditionalFormatting>
  <conditionalFormatting sqref="B126">
    <cfRule type="expression" dxfId="19" priority="19" stopIfTrue="1">
      <formula>+$C127&lt;&gt;#REF!</formula>
    </cfRule>
  </conditionalFormatting>
  <conditionalFormatting sqref="C117:C128">
    <cfRule type="expression" dxfId="18" priority="16" stopIfTrue="1">
      <formula>AND(C117&lt;&gt;#REF!,OR(C117=#REF!,C117=#REF!,C117=#REF!,C117=#REF!,C117=#REF!,C117=#REF!,C117=#REF!,C117=#REF!,C117=#REF!,C117=#REF!,C117=#REF!,C117=#REF!,C117=#REF!,C117=#REF!,C117=#REF!,C117=#REF!,C117=#REF!,C117=#REF!,C117=#REF!,C117=#REF!))</formula>
    </cfRule>
    <cfRule type="expression" dxfId="17" priority="17" stopIfTrue="1">
      <formula>C117&lt;&gt;#REF!</formula>
    </cfRule>
    <cfRule type="expression" dxfId="16" priority="18" stopIfTrue="1">
      <formula>OR(C117=#REF!,C117=#REF!,C117=#REF!,C117=#REF!,C117=#REF!,C117=#REF!,C117=#REF!,C117=#REF!,C117=#REF!,C117=#REF!,C117=#REF!,C117=#REF!,C117=#REF!,C117=#REF!,C117=#REF!,C117=#REF!,C117=#REF!,C117=#REF!,C117=#REF!,C117=#REF!)</formula>
    </cfRule>
  </conditionalFormatting>
  <conditionalFormatting sqref="B72">
    <cfRule type="expression" dxfId="15" priority="15" stopIfTrue="1">
      <formula>+$C72&lt;&gt;$C73</formula>
    </cfRule>
  </conditionalFormatting>
  <conditionalFormatting sqref="C114:C115 C118 C126">
    <cfRule type="expression" dxfId="14" priority="14" stopIfTrue="1">
      <formula>+$F110&lt;&gt;$F112</formula>
    </cfRule>
  </conditionalFormatting>
  <conditionalFormatting sqref="B112">
    <cfRule type="expression" dxfId="13" priority="13" stopIfTrue="1">
      <formula>+$C112&lt;&gt;$C113</formula>
    </cfRule>
  </conditionalFormatting>
  <conditionalFormatting sqref="C112:C113 C117 C124:C125">
    <cfRule type="expression" dxfId="12" priority="12" stopIfTrue="1">
      <formula>+$F108&lt;&gt;$F109</formula>
    </cfRule>
  </conditionalFormatting>
  <conditionalFormatting sqref="C91">
    <cfRule type="expression" dxfId="11" priority="11" stopIfTrue="1">
      <formula>+$F89&lt;&gt;$F91</formula>
    </cfRule>
  </conditionalFormatting>
  <conditionalFormatting sqref="B90">
    <cfRule type="expression" dxfId="10" priority="10" stopIfTrue="1">
      <formula>+$C90&lt;&gt;$C91</formula>
    </cfRule>
  </conditionalFormatting>
  <conditionalFormatting sqref="C90">
    <cfRule type="expression" dxfId="9" priority="9" stopIfTrue="1">
      <formula>+$F88&lt;&gt;$F90</formula>
    </cfRule>
  </conditionalFormatting>
  <conditionalFormatting sqref="C101">
    <cfRule type="expression" dxfId="8" priority="8" stopIfTrue="1">
      <formula>+$F100&lt;&gt;#REF!</formula>
    </cfRule>
  </conditionalFormatting>
  <conditionalFormatting sqref="C102">
    <cfRule type="expression" dxfId="7" priority="7" stopIfTrue="1">
      <formula>+#REF!&lt;&gt;$F101</formula>
    </cfRule>
  </conditionalFormatting>
  <conditionalFormatting sqref="B100">
    <cfRule type="expression" dxfId="6" priority="6" stopIfTrue="1">
      <formula>+$C100&lt;&gt;#REF!</formula>
    </cfRule>
  </conditionalFormatting>
  <conditionalFormatting sqref="B80:B83">
    <cfRule type="expression" dxfId="5" priority="5" stopIfTrue="1">
      <formula>+$C80&lt;&gt;$C84</formula>
    </cfRule>
  </conditionalFormatting>
  <conditionalFormatting sqref="B79">
    <cfRule type="expression" dxfId="4" priority="4" stopIfTrue="1">
      <formula>+$C79&lt;&gt;$C84</formula>
    </cfRule>
  </conditionalFormatting>
  <conditionalFormatting sqref="C84">
    <cfRule type="expression" dxfId="3" priority="3" stopIfTrue="1">
      <formula>+$F80&lt;&gt;$F84</formula>
    </cfRule>
  </conditionalFormatting>
  <conditionalFormatting sqref="B63">
    <cfRule type="expression" dxfId="2" priority="2" stopIfTrue="1">
      <formula>+$C63&lt;&gt;$C64</formula>
    </cfRule>
  </conditionalFormatting>
  <conditionalFormatting sqref="B62">
    <cfRule type="expression" dxfId="1" priority="1" stopIfTrue="1">
      <formula>+$C62&lt;&gt;$C63</formula>
    </cfRule>
  </conditionalFormatting>
  <conditionalFormatting sqref="B128">
    <cfRule type="expression" dxfId="0" priority="30" stopIfTrue="1">
      <formula>+#REF!&lt;&gt;#REF!</formula>
    </cfRule>
  </conditionalFormatting>
  <dataValidations count="5">
    <dataValidation type="list" allowBlank="1" showInputMessage="1" showErrorMessage="1" sqref="C10:C13 C18" xr:uid="{00000000-0002-0000-0D00-000000000000}">
      <formula1>VList_Insured_ii</formula1>
    </dataValidation>
    <dataValidation type="list" allowBlank="1" showInputMessage="1" showErrorMessage="1" sqref="C9 C24 C14:C17 C19" xr:uid="{00000000-0002-0000-0D00-000001000000}">
      <formula1>Insured_List</formula1>
    </dataValidation>
    <dataValidation type="list" allowBlank="1" showInputMessage="1" showErrorMessage="1" sqref="P65469:P65472 P58:P61 JL58:JL61 TH58:TH61 ADD58:ADD61 AMZ58:AMZ61 AWV58:AWV61 BGR58:BGR61 BQN58:BQN61 CAJ58:CAJ61 CKF58:CKF61 CUB58:CUB61 DDX58:DDX61 DNT58:DNT61 DXP58:DXP61 EHL58:EHL61 ERH58:ERH61 FBD58:FBD61 FKZ58:FKZ61 FUV58:FUV61 GER58:GER61 GON58:GON61 GYJ58:GYJ61 HIF58:HIF61 HSB58:HSB61 IBX58:IBX61 ILT58:ILT61 IVP58:IVP61 JFL58:JFL61 JPH58:JPH61 JZD58:JZD61 KIZ58:KIZ61 KSV58:KSV61 LCR58:LCR61 LMN58:LMN61 LWJ58:LWJ61 MGF58:MGF61 MQB58:MQB61 MZX58:MZX61 NJT58:NJT61 NTP58:NTP61 ODL58:ODL61 ONH58:ONH61 OXD58:OXD61 PGZ58:PGZ61 PQV58:PQV61 QAR58:QAR61 QKN58:QKN61 QUJ58:QUJ61 REF58:REF61 ROB58:ROB61 RXX58:RXX61 SHT58:SHT61 SRP58:SRP61 TBL58:TBL61 TLH58:TLH61 TVD58:TVD61 UEZ58:UEZ61 UOV58:UOV61 UYR58:UYR61 VIN58:VIN61 VSJ58:VSJ61 WCF58:WCF61 WMB58:WMB61 WVX58:WVX61 JL65469:JL65472 TH65469:TH65472 ADD65469:ADD65472 AMZ65469:AMZ65472 AWV65469:AWV65472 BGR65469:BGR65472 BQN65469:BQN65472 CAJ65469:CAJ65472 CKF65469:CKF65472 CUB65469:CUB65472 DDX65469:DDX65472 DNT65469:DNT65472 DXP65469:DXP65472 EHL65469:EHL65472 ERH65469:ERH65472 FBD65469:FBD65472 FKZ65469:FKZ65472 FUV65469:FUV65472 GER65469:GER65472 GON65469:GON65472 GYJ65469:GYJ65472 HIF65469:HIF65472 HSB65469:HSB65472 IBX65469:IBX65472 ILT65469:ILT65472 IVP65469:IVP65472 JFL65469:JFL65472 JPH65469:JPH65472 JZD65469:JZD65472 KIZ65469:KIZ65472 KSV65469:KSV65472 LCR65469:LCR65472 LMN65469:LMN65472 LWJ65469:LWJ65472 MGF65469:MGF65472 MQB65469:MQB65472 MZX65469:MZX65472 NJT65469:NJT65472 NTP65469:NTP65472 ODL65469:ODL65472 ONH65469:ONH65472 OXD65469:OXD65472 PGZ65469:PGZ65472 PQV65469:PQV65472 QAR65469:QAR65472 QKN65469:QKN65472 QUJ65469:QUJ65472 REF65469:REF65472 ROB65469:ROB65472 RXX65469:RXX65472 SHT65469:SHT65472 SRP65469:SRP65472 TBL65469:TBL65472 TLH65469:TLH65472 TVD65469:TVD65472 UEZ65469:UEZ65472 UOV65469:UOV65472 UYR65469:UYR65472 VIN65469:VIN65472 VSJ65469:VSJ65472 WCF65469:WCF65472 WMB65469:WMB65472 WVX65469:WVX65472 P131005:P131008 JL131005:JL131008 TH131005:TH131008 ADD131005:ADD131008 AMZ131005:AMZ131008 AWV131005:AWV131008 BGR131005:BGR131008 BQN131005:BQN131008 CAJ131005:CAJ131008 CKF131005:CKF131008 CUB131005:CUB131008 DDX131005:DDX131008 DNT131005:DNT131008 DXP131005:DXP131008 EHL131005:EHL131008 ERH131005:ERH131008 FBD131005:FBD131008 FKZ131005:FKZ131008 FUV131005:FUV131008 GER131005:GER131008 GON131005:GON131008 GYJ131005:GYJ131008 HIF131005:HIF131008 HSB131005:HSB131008 IBX131005:IBX131008 ILT131005:ILT131008 IVP131005:IVP131008 JFL131005:JFL131008 JPH131005:JPH131008 JZD131005:JZD131008 KIZ131005:KIZ131008 KSV131005:KSV131008 LCR131005:LCR131008 LMN131005:LMN131008 LWJ131005:LWJ131008 MGF131005:MGF131008 MQB131005:MQB131008 MZX131005:MZX131008 NJT131005:NJT131008 NTP131005:NTP131008 ODL131005:ODL131008 ONH131005:ONH131008 OXD131005:OXD131008 PGZ131005:PGZ131008 PQV131005:PQV131008 QAR131005:QAR131008 QKN131005:QKN131008 QUJ131005:QUJ131008 REF131005:REF131008 ROB131005:ROB131008 RXX131005:RXX131008 SHT131005:SHT131008 SRP131005:SRP131008 TBL131005:TBL131008 TLH131005:TLH131008 TVD131005:TVD131008 UEZ131005:UEZ131008 UOV131005:UOV131008 UYR131005:UYR131008 VIN131005:VIN131008 VSJ131005:VSJ131008 WCF131005:WCF131008 WMB131005:WMB131008 WVX131005:WVX131008 P196541:P196544 JL196541:JL196544 TH196541:TH196544 ADD196541:ADD196544 AMZ196541:AMZ196544 AWV196541:AWV196544 BGR196541:BGR196544 BQN196541:BQN196544 CAJ196541:CAJ196544 CKF196541:CKF196544 CUB196541:CUB196544 DDX196541:DDX196544 DNT196541:DNT196544 DXP196541:DXP196544 EHL196541:EHL196544 ERH196541:ERH196544 FBD196541:FBD196544 FKZ196541:FKZ196544 FUV196541:FUV196544 GER196541:GER196544 GON196541:GON196544 GYJ196541:GYJ196544 HIF196541:HIF196544 HSB196541:HSB196544 IBX196541:IBX196544 ILT196541:ILT196544 IVP196541:IVP196544 JFL196541:JFL196544 JPH196541:JPH196544 JZD196541:JZD196544 KIZ196541:KIZ196544 KSV196541:KSV196544 LCR196541:LCR196544 LMN196541:LMN196544 LWJ196541:LWJ196544 MGF196541:MGF196544 MQB196541:MQB196544 MZX196541:MZX196544 NJT196541:NJT196544 NTP196541:NTP196544 ODL196541:ODL196544 ONH196541:ONH196544 OXD196541:OXD196544 PGZ196541:PGZ196544 PQV196541:PQV196544 QAR196541:QAR196544 QKN196541:QKN196544 QUJ196541:QUJ196544 REF196541:REF196544 ROB196541:ROB196544 RXX196541:RXX196544 SHT196541:SHT196544 SRP196541:SRP196544 TBL196541:TBL196544 TLH196541:TLH196544 TVD196541:TVD196544 UEZ196541:UEZ196544 UOV196541:UOV196544 UYR196541:UYR196544 VIN196541:VIN196544 VSJ196541:VSJ196544 WCF196541:WCF196544 WMB196541:WMB196544 WVX196541:WVX196544 P262077:P262080 JL262077:JL262080 TH262077:TH262080 ADD262077:ADD262080 AMZ262077:AMZ262080 AWV262077:AWV262080 BGR262077:BGR262080 BQN262077:BQN262080 CAJ262077:CAJ262080 CKF262077:CKF262080 CUB262077:CUB262080 DDX262077:DDX262080 DNT262077:DNT262080 DXP262077:DXP262080 EHL262077:EHL262080 ERH262077:ERH262080 FBD262077:FBD262080 FKZ262077:FKZ262080 FUV262077:FUV262080 GER262077:GER262080 GON262077:GON262080 GYJ262077:GYJ262080 HIF262077:HIF262080 HSB262077:HSB262080 IBX262077:IBX262080 ILT262077:ILT262080 IVP262077:IVP262080 JFL262077:JFL262080 JPH262077:JPH262080 JZD262077:JZD262080 KIZ262077:KIZ262080 KSV262077:KSV262080 LCR262077:LCR262080 LMN262077:LMN262080 LWJ262077:LWJ262080 MGF262077:MGF262080 MQB262077:MQB262080 MZX262077:MZX262080 NJT262077:NJT262080 NTP262077:NTP262080 ODL262077:ODL262080 ONH262077:ONH262080 OXD262077:OXD262080 PGZ262077:PGZ262080 PQV262077:PQV262080 QAR262077:QAR262080 QKN262077:QKN262080 QUJ262077:QUJ262080 REF262077:REF262080 ROB262077:ROB262080 RXX262077:RXX262080 SHT262077:SHT262080 SRP262077:SRP262080 TBL262077:TBL262080 TLH262077:TLH262080 TVD262077:TVD262080 UEZ262077:UEZ262080 UOV262077:UOV262080 UYR262077:UYR262080 VIN262077:VIN262080 VSJ262077:VSJ262080 WCF262077:WCF262080 WMB262077:WMB262080 WVX262077:WVX262080 P327613:P327616 JL327613:JL327616 TH327613:TH327616 ADD327613:ADD327616 AMZ327613:AMZ327616 AWV327613:AWV327616 BGR327613:BGR327616 BQN327613:BQN327616 CAJ327613:CAJ327616 CKF327613:CKF327616 CUB327613:CUB327616 DDX327613:DDX327616 DNT327613:DNT327616 DXP327613:DXP327616 EHL327613:EHL327616 ERH327613:ERH327616 FBD327613:FBD327616 FKZ327613:FKZ327616 FUV327613:FUV327616 GER327613:GER327616 GON327613:GON327616 GYJ327613:GYJ327616 HIF327613:HIF327616 HSB327613:HSB327616 IBX327613:IBX327616 ILT327613:ILT327616 IVP327613:IVP327616 JFL327613:JFL327616 JPH327613:JPH327616 JZD327613:JZD327616 KIZ327613:KIZ327616 KSV327613:KSV327616 LCR327613:LCR327616 LMN327613:LMN327616 LWJ327613:LWJ327616 MGF327613:MGF327616 MQB327613:MQB327616 MZX327613:MZX327616 NJT327613:NJT327616 NTP327613:NTP327616 ODL327613:ODL327616 ONH327613:ONH327616 OXD327613:OXD327616 PGZ327613:PGZ327616 PQV327613:PQV327616 QAR327613:QAR327616 QKN327613:QKN327616 QUJ327613:QUJ327616 REF327613:REF327616 ROB327613:ROB327616 RXX327613:RXX327616 SHT327613:SHT327616 SRP327613:SRP327616 TBL327613:TBL327616 TLH327613:TLH327616 TVD327613:TVD327616 UEZ327613:UEZ327616 UOV327613:UOV327616 UYR327613:UYR327616 VIN327613:VIN327616 VSJ327613:VSJ327616 WCF327613:WCF327616 WMB327613:WMB327616 WVX327613:WVX327616 P393149:P393152 JL393149:JL393152 TH393149:TH393152 ADD393149:ADD393152 AMZ393149:AMZ393152 AWV393149:AWV393152 BGR393149:BGR393152 BQN393149:BQN393152 CAJ393149:CAJ393152 CKF393149:CKF393152 CUB393149:CUB393152 DDX393149:DDX393152 DNT393149:DNT393152 DXP393149:DXP393152 EHL393149:EHL393152 ERH393149:ERH393152 FBD393149:FBD393152 FKZ393149:FKZ393152 FUV393149:FUV393152 GER393149:GER393152 GON393149:GON393152 GYJ393149:GYJ393152 HIF393149:HIF393152 HSB393149:HSB393152 IBX393149:IBX393152 ILT393149:ILT393152 IVP393149:IVP393152 JFL393149:JFL393152 JPH393149:JPH393152 JZD393149:JZD393152 KIZ393149:KIZ393152 KSV393149:KSV393152 LCR393149:LCR393152 LMN393149:LMN393152 LWJ393149:LWJ393152 MGF393149:MGF393152 MQB393149:MQB393152 MZX393149:MZX393152 NJT393149:NJT393152 NTP393149:NTP393152 ODL393149:ODL393152 ONH393149:ONH393152 OXD393149:OXD393152 PGZ393149:PGZ393152 PQV393149:PQV393152 QAR393149:QAR393152 QKN393149:QKN393152 QUJ393149:QUJ393152 REF393149:REF393152 ROB393149:ROB393152 RXX393149:RXX393152 SHT393149:SHT393152 SRP393149:SRP393152 TBL393149:TBL393152 TLH393149:TLH393152 TVD393149:TVD393152 UEZ393149:UEZ393152 UOV393149:UOV393152 UYR393149:UYR393152 VIN393149:VIN393152 VSJ393149:VSJ393152 WCF393149:WCF393152 WMB393149:WMB393152 WVX393149:WVX393152 P458685:P458688 JL458685:JL458688 TH458685:TH458688 ADD458685:ADD458688 AMZ458685:AMZ458688 AWV458685:AWV458688 BGR458685:BGR458688 BQN458685:BQN458688 CAJ458685:CAJ458688 CKF458685:CKF458688 CUB458685:CUB458688 DDX458685:DDX458688 DNT458685:DNT458688 DXP458685:DXP458688 EHL458685:EHL458688 ERH458685:ERH458688 FBD458685:FBD458688 FKZ458685:FKZ458688 FUV458685:FUV458688 GER458685:GER458688 GON458685:GON458688 GYJ458685:GYJ458688 HIF458685:HIF458688 HSB458685:HSB458688 IBX458685:IBX458688 ILT458685:ILT458688 IVP458685:IVP458688 JFL458685:JFL458688 JPH458685:JPH458688 JZD458685:JZD458688 KIZ458685:KIZ458688 KSV458685:KSV458688 LCR458685:LCR458688 LMN458685:LMN458688 LWJ458685:LWJ458688 MGF458685:MGF458688 MQB458685:MQB458688 MZX458685:MZX458688 NJT458685:NJT458688 NTP458685:NTP458688 ODL458685:ODL458688 ONH458685:ONH458688 OXD458685:OXD458688 PGZ458685:PGZ458688 PQV458685:PQV458688 QAR458685:QAR458688 QKN458685:QKN458688 QUJ458685:QUJ458688 REF458685:REF458688 ROB458685:ROB458688 RXX458685:RXX458688 SHT458685:SHT458688 SRP458685:SRP458688 TBL458685:TBL458688 TLH458685:TLH458688 TVD458685:TVD458688 UEZ458685:UEZ458688 UOV458685:UOV458688 UYR458685:UYR458688 VIN458685:VIN458688 VSJ458685:VSJ458688 WCF458685:WCF458688 WMB458685:WMB458688 WVX458685:WVX458688 P524221:P524224 JL524221:JL524224 TH524221:TH524224 ADD524221:ADD524224 AMZ524221:AMZ524224 AWV524221:AWV524224 BGR524221:BGR524224 BQN524221:BQN524224 CAJ524221:CAJ524224 CKF524221:CKF524224 CUB524221:CUB524224 DDX524221:DDX524224 DNT524221:DNT524224 DXP524221:DXP524224 EHL524221:EHL524224 ERH524221:ERH524224 FBD524221:FBD524224 FKZ524221:FKZ524224 FUV524221:FUV524224 GER524221:GER524224 GON524221:GON524224 GYJ524221:GYJ524224 HIF524221:HIF524224 HSB524221:HSB524224 IBX524221:IBX524224 ILT524221:ILT524224 IVP524221:IVP524224 JFL524221:JFL524224 JPH524221:JPH524224 JZD524221:JZD524224 KIZ524221:KIZ524224 KSV524221:KSV524224 LCR524221:LCR524224 LMN524221:LMN524224 LWJ524221:LWJ524224 MGF524221:MGF524224 MQB524221:MQB524224 MZX524221:MZX524224 NJT524221:NJT524224 NTP524221:NTP524224 ODL524221:ODL524224 ONH524221:ONH524224 OXD524221:OXD524224 PGZ524221:PGZ524224 PQV524221:PQV524224 QAR524221:QAR524224 QKN524221:QKN524224 QUJ524221:QUJ524224 REF524221:REF524224 ROB524221:ROB524224 RXX524221:RXX524224 SHT524221:SHT524224 SRP524221:SRP524224 TBL524221:TBL524224 TLH524221:TLH524224 TVD524221:TVD524224 UEZ524221:UEZ524224 UOV524221:UOV524224 UYR524221:UYR524224 VIN524221:VIN524224 VSJ524221:VSJ524224 WCF524221:WCF524224 WMB524221:WMB524224 WVX524221:WVX524224 P589757:P589760 JL589757:JL589760 TH589757:TH589760 ADD589757:ADD589760 AMZ589757:AMZ589760 AWV589757:AWV589760 BGR589757:BGR589760 BQN589757:BQN589760 CAJ589757:CAJ589760 CKF589757:CKF589760 CUB589757:CUB589760 DDX589757:DDX589760 DNT589757:DNT589760 DXP589757:DXP589760 EHL589757:EHL589760 ERH589757:ERH589760 FBD589757:FBD589760 FKZ589757:FKZ589760 FUV589757:FUV589760 GER589757:GER589760 GON589757:GON589760 GYJ589757:GYJ589760 HIF589757:HIF589760 HSB589757:HSB589760 IBX589757:IBX589760 ILT589757:ILT589760 IVP589757:IVP589760 JFL589757:JFL589760 JPH589757:JPH589760 JZD589757:JZD589760 KIZ589757:KIZ589760 KSV589757:KSV589760 LCR589757:LCR589760 LMN589757:LMN589760 LWJ589757:LWJ589760 MGF589757:MGF589760 MQB589757:MQB589760 MZX589757:MZX589760 NJT589757:NJT589760 NTP589757:NTP589760 ODL589757:ODL589760 ONH589757:ONH589760 OXD589757:OXD589760 PGZ589757:PGZ589760 PQV589757:PQV589760 QAR589757:QAR589760 QKN589757:QKN589760 QUJ589757:QUJ589760 REF589757:REF589760 ROB589757:ROB589760 RXX589757:RXX589760 SHT589757:SHT589760 SRP589757:SRP589760 TBL589757:TBL589760 TLH589757:TLH589760 TVD589757:TVD589760 UEZ589757:UEZ589760 UOV589757:UOV589760 UYR589757:UYR589760 VIN589757:VIN589760 VSJ589757:VSJ589760 WCF589757:WCF589760 WMB589757:WMB589760 WVX589757:WVX589760 P655293:P655296 JL655293:JL655296 TH655293:TH655296 ADD655293:ADD655296 AMZ655293:AMZ655296 AWV655293:AWV655296 BGR655293:BGR655296 BQN655293:BQN655296 CAJ655293:CAJ655296 CKF655293:CKF655296 CUB655293:CUB655296 DDX655293:DDX655296 DNT655293:DNT655296 DXP655293:DXP655296 EHL655293:EHL655296 ERH655293:ERH655296 FBD655293:FBD655296 FKZ655293:FKZ655296 FUV655293:FUV655296 GER655293:GER655296 GON655293:GON655296 GYJ655293:GYJ655296 HIF655293:HIF655296 HSB655293:HSB655296 IBX655293:IBX655296 ILT655293:ILT655296 IVP655293:IVP655296 JFL655293:JFL655296 JPH655293:JPH655296 JZD655293:JZD655296 KIZ655293:KIZ655296 KSV655293:KSV655296 LCR655293:LCR655296 LMN655293:LMN655296 LWJ655293:LWJ655296 MGF655293:MGF655296 MQB655293:MQB655296 MZX655293:MZX655296 NJT655293:NJT655296 NTP655293:NTP655296 ODL655293:ODL655296 ONH655293:ONH655296 OXD655293:OXD655296 PGZ655293:PGZ655296 PQV655293:PQV655296 QAR655293:QAR655296 QKN655293:QKN655296 QUJ655293:QUJ655296 REF655293:REF655296 ROB655293:ROB655296 RXX655293:RXX655296 SHT655293:SHT655296 SRP655293:SRP655296 TBL655293:TBL655296 TLH655293:TLH655296 TVD655293:TVD655296 UEZ655293:UEZ655296 UOV655293:UOV655296 UYR655293:UYR655296 VIN655293:VIN655296 VSJ655293:VSJ655296 WCF655293:WCF655296 WMB655293:WMB655296 WVX655293:WVX655296 P720829:P720832 JL720829:JL720832 TH720829:TH720832 ADD720829:ADD720832 AMZ720829:AMZ720832 AWV720829:AWV720832 BGR720829:BGR720832 BQN720829:BQN720832 CAJ720829:CAJ720832 CKF720829:CKF720832 CUB720829:CUB720832 DDX720829:DDX720832 DNT720829:DNT720832 DXP720829:DXP720832 EHL720829:EHL720832 ERH720829:ERH720832 FBD720829:FBD720832 FKZ720829:FKZ720832 FUV720829:FUV720832 GER720829:GER720832 GON720829:GON720832 GYJ720829:GYJ720832 HIF720829:HIF720832 HSB720829:HSB720832 IBX720829:IBX720832 ILT720829:ILT720832 IVP720829:IVP720832 JFL720829:JFL720832 JPH720829:JPH720832 JZD720829:JZD720832 KIZ720829:KIZ720832 KSV720829:KSV720832 LCR720829:LCR720832 LMN720829:LMN720832 LWJ720829:LWJ720832 MGF720829:MGF720832 MQB720829:MQB720832 MZX720829:MZX720832 NJT720829:NJT720832 NTP720829:NTP720832 ODL720829:ODL720832 ONH720829:ONH720832 OXD720829:OXD720832 PGZ720829:PGZ720832 PQV720829:PQV720832 QAR720829:QAR720832 QKN720829:QKN720832 QUJ720829:QUJ720832 REF720829:REF720832 ROB720829:ROB720832 RXX720829:RXX720832 SHT720829:SHT720832 SRP720829:SRP720832 TBL720829:TBL720832 TLH720829:TLH720832 TVD720829:TVD720832 UEZ720829:UEZ720832 UOV720829:UOV720832 UYR720829:UYR720832 VIN720829:VIN720832 VSJ720829:VSJ720832 WCF720829:WCF720832 WMB720829:WMB720832 WVX720829:WVX720832 P786365:P786368 JL786365:JL786368 TH786365:TH786368 ADD786365:ADD786368 AMZ786365:AMZ786368 AWV786365:AWV786368 BGR786365:BGR786368 BQN786365:BQN786368 CAJ786365:CAJ786368 CKF786365:CKF786368 CUB786365:CUB786368 DDX786365:DDX786368 DNT786365:DNT786368 DXP786365:DXP786368 EHL786365:EHL786368 ERH786365:ERH786368 FBD786365:FBD786368 FKZ786365:FKZ786368 FUV786365:FUV786368 GER786365:GER786368 GON786365:GON786368 GYJ786365:GYJ786368 HIF786365:HIF786368 HSB786365:HSB786368 IBX786365:IBX786368 ILT786365:ILT786368 IVP786365:IVP786368 JFL786365:JFL786368 JPH786365:JPH786368 JZD786365:JZD786368 KIZ786365:KIZ786368 KSV786365:KSV786368 LCR786365:LCR786368 LMN786365:LMN786368 LWJ786365:LWJ786368 MGF786365:MGF786368 MQB786365:MQB786368 MZX786365:MZX786368 NJT786365:NJT786368 NTP786365:NTP786368 ODL786365:ODL786368 ONH786365:ONH786368 OXD786365:OXD786368 PGZ786365:PGZ786368 PQV786365:PQV786368 QAR786365:QAR786368 QKN786365:QKN786368 QUJ786365:QUJ786368 REF786365:REF786368 ROB786365:ROB786368 RXX786365:RXX786368 SHT786365:SHT786368 SRP786365:SRP786368 TBL786365:TBL786368 TLH786365:TLH786368 TVD786365:TVD786368 UEZ786365:UEZ786368 UOV786365:UOV786368 UYR786365:UYR786368 VIN786365:VIN786368 VSJ786365:VSJ786368 WCF786365:WCF786368 WMB786365:WMB786368 WVX786365:WVX786368 P851901:P851904 JL851901:JL851904 TH851901:TH851904 ADD851901:ADD851904 AMZ851901:AMZ851904 AWV851901:AWV851904 BGR851901:BGR851904 BQN851901:BQN851904 CAJ851901:CAJ851904 CKF851901:CKF851904 CUB851901:CUB851904 DDX851901:DDX851904 DNT851901:DNT851904 DXP851901:DXP851904 EHL851901:EHL851904 ERH851901:ERH851904 FBD851901:FBD851904 FKZ851901:FKZ851904 FUV851901:FUV851904 GER851901:GER851904 GON851901:GON851904 GYJ851901:GYJ851904 HIF851901:HIF851904 HSB851901:HSB851904 IBX851901:IBX851904 ILT851901:ILT851904 IVP851901:IVP851904 JFL851901:JFL851904 JPH851901:JPH851904 JZD851901:JZD851904 KIZ851901:KIZ851904 KSV851901:KSV851904 LCR851901:LCR851904 LMN851901:LMN851904 LWJ851901:LWJ851904 MGF851901:MGF851904 MQB851901:MQB851904 MZX851901:MZX851904 NJT851901:NJT851904 NTP851901:NTP851904 ODL851901:ODL851904 ONH851901:ONH851904 OXD851901:OXD851904 PGZ851901:PGZ851904 PQV851901:PQV851904 QAR851901:QAR851904 QKN851901:QKN851904 QUJ851901:QUJ851904 REF851901:REF851904 ROB851901:ROB851904 RXX851901:RXX851904 SHT851901:SHT851904 SRP851901:SRP851904 TBL851901:TBL851904 TLH851901:TLH851904 TVD851901:TVD851904 UEZ851901:UEZ851904 UOV851901:UOV851904 UYR851901:UYR851904 VIN851901:VIN851904 VSJ851901:VSJ851904 WCF851901:WCF851904 WMB851901:WMB851904 WVX851901:WVX851904 P917437:P917440 JL917437:JL917440 TH917437:TH917440 ADD917437:ADD917440 AMZ917437:AMZ917440 AWV917437:AWV917440 BGR917437:BGR917440 BQN917437:BQN917440 CAJ917437:CAJ917440 CKF917437:CKF917440 CUB917437:CUB917440 DDX917437:DDX917440 DNT917437:DNT917440 DXP917437:DXP917440 EHL917437:EHL917440 ERH917437:ERH917440 FBD917437:FBD917440 FKZ917437:FKZ917440 FUV917437:FUV917440 GER917437:GER917440 GON917437:GON917440 GYJ917437:GYJ917440 HIF917437:HIF917440 HSB917437:HSB917440 IBX917437:IBX917440 ILT917437:ILT917440 IVP917437:IVP917440 JFL917437:JFL917440 JPH917437:JPH917440 JZD917437:JZD917440 KIZ917437:KIZ917440 KSV917437:KSV917440 LCR917437:LCR917440 LMN917437:LMN917440 LWJ917437:LWJ917440 MGF917437:MGF917440 MQB917437:MQB917440 MZX917437:MZX917440 NJT917437:NJT917440 NTP917437:NTP917440 ODL917437:ODL917440 ONH917437:ONH917440 OXD917437:OXD917440 PGZ917437:PGZ917440 PQV917437:PQV917440 QAR917437:QAR917440 QKN917437:QKN917440 QUJ917437:QUJ917440 REF917437:REF917440 ROB917437:ROB917440 RXX917437:RXX917440 SHT917437:SHT917440 SRP917437:SRP917440 TBL917437:TBL917440 TLH917437:TLH917440 TVD917437:TVD917440 UEZ917437:UEZ917440 UOV917437:UOV917440 UYR917437:UYR917440 VIN917437:VIN917440 VSJ917437:VSJ917440 WCF917437:WCF917440 WMB917437:WMB917440 WVX917437:WVX917440 P982973:P982976 JL982973:JL982976 TH982973:TH982976 ADD982973:ADD982976 AMZ982973:AMZ982976 AWV982973:AWV982976 BGR982973:BGR982976 BQN982973:BQN982976 CAJ982973:CAJ982976 CKF982973:CKF982976 CUB982973:CUB982976 DDX982973:DDX982976 DNT982973:DNT982976 DXP982973:DXP982976 EHL982973:EHL982976 ERH982973:ERH982976 FBD982973:FBD982976 FKZ982973:FKZ982976 FUV982973:FUV982976 GER982973:GER982976 GON982973:GON982976 GYJ982973:GYJ982976 HIF982973:HIF982976 HSB982973:HSB982976 IBX982973:IBX982976 ILT982973:ILT982976 IVP982973:IVP982976 JFL982973:JFL982976 JPH982973:JPH982976 JZD982973:JZD982976 KIZ982973:KIZ982976 KSV982973:KSV982976 LCR982973:LCR982976 LMN982973:LMN982976 LWJ982973:LWJ982976 MGF982973:MGF982976 MQB982973:MQB982976 MZX982973:MZX982976 NJT982973:NJT982976 NTP982973:NTP982976 ODL982973:ODL982976 ONH982973:ONH982976 OXD982973:OXD982976 PGZ982973:PGZ982976 PQV982973:PQV982976 QAR982973:QAR982976 QKN982973:QKN982976 QUJ982973:QUJ982976 REF982973:REF982976 ROB982973:ROB982976 RXX982973:RXX982976 SHT982973:SHT982976 SRP982973:SRP982976 TBL982973:TBL982976 TLH982973:TLH982976 TVD982973:TVD982976 UEZ982973:UEZ982976 UOV982973:UOV982976 UYR982973:UYR982976 VIN982973:VIN982976 VSJ982973:VSJ982976 WCF982973:WCF982976 WMB982973:WMB982976 WVX982973:WVX982976" xr:uid="{00000000-0002-0000-0D00-000002000000}">
      <formula1>$E$340:$E$343</formula1>
    </dataValidation>
    <dataValidation type="list" allowBlank="1" showInputMessage="1" showErrorMessage="1" sqref="C65429:C65432 C130965:C130968 C196501:C196504 C262037:C262040 C327573:C327576 C393109:C393112 C458645:C458648 C524181:C524184 C589717:C589720 C655253:C655256 C720789:C720792 C786325:C786328 C851861:C851864 C917397:C917400 C982933:C982936 C65414:C65427 C130950:C130963 C196486:C196499 C262022:C262035 C327558:C327571 C393094:C393107 C458630:C458643 C524166:C524179 C589702:C589715 C655238:C655251 C720774:C720787 C786310:C786323 C851846:C851859 C917382:C917395 C982918:C982931 C65411:C65412 C130947:C130948 C196483:C196484 C262019:C262020 C327555:C327556 C393091:C393092 C458627:C458628 C524163:C524164 C589699:C589700 C655235:C655236 C720771:C720772 C786307:C786308 C851843:C851844 C917379:C917380 C982915:C982916 C65407:C65409 C130943:C130945 C196479:C196481 C262015:C262017 C327551:C327553 C393087:C393089 C458623:C458625 C524159:C524161 C589695:C589697 C655231:C655233 C720767:C720769 C786303:C786305 C851839:C851841 C917375:C917377 C982911:C982913 C65437:C65442 C130973:C130978 C196509:C196514 C262045:C262050 C327581:C327586 C393117:C393122 C458653:C458658 C524189:C524194 C589725:C589730 C655261:C655266 C720797:C720802 C786333:C786338 C851869:C851874 C917405:C917410 C982941:C982946 WVK982940:WVK982945 WLO982940:WLO982945 WBS982940:WBS982945 VRW982940:VRW982945 VIA982940:VIA982945 UYE982940:UYE982945 UOI982940:UOI982945 UEM982940:UEM982945 TUQ982940:TUQ982945 TKU982940:TKU982945 TAY982940:TAY982945 SRC982940:SRC982945 SHG982940:SHG982945 RXK982940:RXK982945 RNO982940:RNO982945 RDS982940:RDS982945 QTW982940:QTW982945 QKA982940:QKA982945 QAE982940:QAE982945 PQI982940:PQI982945 PGM982940:PGM982945 OWQ982940:OWQ982945 OMU982940:OMU982945 OCY982940:OCY982945 NTC982940:NTC982945 NJG982940:NJG982945 MZK982940:MZK982945 MPO982940:MPO982945 MFS982940:MFS982945 LVW982940:LVW982945 LMA982940:LMA982945 LCE982940:LCE982945 KSI982940:KSI982945 KIM982940:KIM982945 JYQ982940:JYQ982945 JOU982940:JOU982945 JEY982940:JEY982945 IVC982940:IVC982945 ILG982940:ILG982945 IBK982940:IBK982945 HRO982940:HRO982945 HHS982940:HHS982945 GXW982940:GXW982945 GOA982940:GOA982945 GEE982940:GEE982945 FUI982940:FUI982945 FKM982940:FKM982945 FAQ982940:FAQ982945 EQU982940:EQU982945 EGY982940:EGY982945 DXC982940:DXC982945 DNG982940:DNG982945 DDK982940:DDK982945 CTO982940:CTO982945 CJS982940:CJS982945 BZW982940:BZW982945 BQA982940:BQA982945 BGE982940:BGE982945 AWI982940:AWI982945 AMM982940:AMM982945 ACQ982940:ACQ982945 SU982940:SU982945 IY982940:IY982945 WVK917404:WVK917409 WLO917404:WLO917409 WBS917404:WBS917409 VRW917404:VRW917409 VIA917404:VIA917409 UYE917404:UYE917409 UOI917404:UOI917409 UEM917404:UEM917409 TUQ917404:TUQ917409 TKU917404:TKU917409 TAY917404:TAY917409 SRC917404:SRC917409 SHG917404:SHG917409 RXK917404:RXK917409 RNO917404:RNO917409 RDS917404:RDS917409 QTW917404:QTW917409 QKA917404:QKA917409 QAE917404:QAE917409 PQI917404:PQI917409 PGM917404:PGM917409 OWQ917404:OWQ917409 OMU917404:OMU917409 OCY917404:OCY917409 NTC917404:NTC917409 NJG917404:NJG917409 MZK917404:MZK917409 MPO917404:MPO917409 MFS917404:MFS917409 LVW917404:LVW917409 LMA917404:LMA917409 LCE917404:LCE917409 KSI917404:KSI917409 KIM917404:KIM917409 JYQ917404:JYQ917409 JOU917404:JOU917409 JEY917404:JEY917409 IVC917404:IVC917409 ILG917404:ILG917409 IBK917404:IBK917409 HRO917404:HRO917409 HHS917404:HHS917409 GXW917404:GXW917409 GOA917404:GOA917409 GEE917404:GEE917409 FUI917404:FUI917409 FKM917404:FKM917409 FAQ917404:FAQ917409 EQU917404:EQU917409 EGY917404:EGY917409 DXC917404:DXC917409 DNG917404:DNG917409 DDK917404:DDK917409 CTO917404:CTO917409 CJS917404:CJS917409 BZW917404:BZW917409 BQA917404:BQA917409 BGE917404:BGE917409 AWI917404:AWI917409 AMM917404:AMM917409 ACQ917404:ACQ917409 SU917404:SU917409 IY917404:IY917409 WVK851868:WVK851873 WLO851868:WLO851873 WBS851868:WBS851873 VRW851868:VRW851873 VIA851868:VIA851873 UYE851868:UYE851873 UOI851868:UOI851873 UEM851868:UEM851873 TUQ851868:TUQ851873 TKU851868:TKU851873 TAY851868:TAY851873 SRC851868:SRC851873 SHG851868:SHG851873 RXK851868:RXK851873 RNO851868:RNO851873 RDS851868:RDS851873 QTW851868:QTW851873 QKA851868:QKA851873 QAE851868:QAE851873 PQI851868:PQI851873 PGM851868:PGM851873 OWQ851868:OWQ851873 OMU851868:OMU851873 OCY851868:OCY851873 NTC851868:NTC851873 NJG851868:NJG851873 MZK851868:MZK851873 MPO851868:MPO851873 MFS851868:MFS851873 LVW851868:LVW851873 LMA851868:LMA851873 LCE851868:LCE851873 KSI851868:KSI851873 KIM851868:KIM851873 JYQ851868:JYQ851873 JOU851868:JOU851873 JEY851868:JEY851873 IVC851868:IVC851873 ILG851868:ILG851873 IBK851868:IBK851873 HRO851868:HRO851873 HHS851868:HHS851873 GXW851868:GXW851873 GOA851868:GOA851873 GEE851868:GEE851873 FUI851868:FUI851873 FKM851868:FKM851873 FAQ851868:FAQ851873 EQU851868:EQU851873 EGY851868:EGY851873 DXC851868:DXC851873 DNG851868:DNG851873 DDK851868:DDK851873 CTO851868:CTO851873 CJS851868:CJS851873 BZW851868:BZW851873 BQA851868:BQA851873 BGE851868:BGE851873 AWI851868:AWI851873 AMM851868:AMM851873 ACQ851868:ACQ851873 SU851868:SU851873 IY851868:IY851873 WVK786332:WVK786337 WLO786332:WLO786337 WBS786332:WBS786337 VRW786332:VRW786337 VIA786332:VIA786337 UYE786332:UYE786337 UOI786332:UOI786337 UEM786332:UEM786337 TUQ786332:TUQ786337 TKU786332:TKU786337 TAY786332:TAY786337 SRC786332:SRC786337 SHG786332:SHG786337 RXK786332:RXK786337 RNO786332:RNO786337 RDS786332:RDS786337 QTW786332:QTW786337 QKA786332:QKA786337 QAE786332:QAE786337 PQI786332:PQI786337 PGM786332:PGM786337 OWQ786332:OWQ786337 OMU786332:OMU786337 OCY786332:OCY786337 NTC786332:NTC786337 NJG786332:NJG786337 MZK786332:MZK786337 MPO786332:MPO786337 MFS786332:MFS786337 LVW786332:LVW786337 LMA786332:LMA786337 LCE786332:LCE786337 KSI786332:KSI786337 KIM786332:KIM786337 JYQ786332:JYQ786337 JOU786332:JOU786337 JEY786332:JEY786337 IVC786332:IVC786337 ILG786332:ILG786337 IBK786332:IBK786337 HRO786332:HRO786337 HHS786332:HHS786337 GXW786332:GXW786337 GOA786332:GOA786337 GEE786332:GEE786337 FUI786332:FUI786337 FKM786332:FKM786337 FAQ786332:FAQ786337 EQU786332:EQU786337 EGY786332:EGY786337 DXC786332:DXC786337 DNG786332:DNG786337 DDK786332:DDK786337 CTO786332:CTO786337 CJS786332:CJS786337 BZW786332:BZW786337 BQA786332:BQA786337 BGE786332:BGE786337 AWI786332:AWI786337 AMM786332:AMM786337 ACQ786332:ACQ786337 SU786332:SU786337 IY786332:IY786337 WVK720796:WVK720801 WLO720796:WLO720801 WBS720796:WBS720801 VRW720796:VRW720801 VIA720796:VIA720801 UYE720796:UYE720801 UOI720796:UOI720801 UEM720796:UEM720801 TUQ720796:TUQ720801 TKU720796:TKU720801 TAY720796:TAY720801 SRC720796:SRC720801 SHG720796:SHG720801 RXK720796:RXK720801 RNO720796:RNO720801 RDS720796:RDS720801 QTW720796:QTW720801 QKA720796:QKA720801 QAE720796:QAE720801 PQI720796:PQI720801 PGM720796:PGM720801 OWQ720796:OWQ720801 OMU720796:OMU720801 OCY720796:OCY720801 NTC720796:NTC720801 NJG720796:NJG720801 MZK720796:MZK720801 MPO720796:MPO720801 MFS720796:MFS720801 LVW720796:LVW720801 LMA720796:LMA720801 LCE720796:LCE720801 KSI720796:KSI720801 KIM720796:KIM720801 JYQ720796:JYQ720801 JOU720796:JOU720801 JEY720796:JEY720801 IVC720796:IVC720801 ILG720796:ILG720801 IBK720796:IBK720801 HRO720796:HRO720801 HHS720796:HHS720801 GXW720796:GXW720801 GOA720796:GOA720801 GEE720796:GEE720801 FUI720796:FUI720801 FKM720796:FKM720801 FAQ720796:FAQ720801 EQU720796:EQU720801 EGY720796:EGY720801 DXC720796:DXC720801 DNG720796:DNG720801 DDK720796:DDK720801 CTO720796:CTO720801 CJS720796:CJS720801 BZW720796:BZW720801 BQA720796:BQA720801 BGE720796:BGE720801 AWI720796:AWI720801 AMM720796:AMM720801 ACQ720796:ACQ720801 SU720796:SU720801 IY720796:IY720801 WVK655260:WVK655265 WLO655260:WLO655265 WBS655260:WBS655265 VRW655260:VRW655265 VIA655260:VIA655265 UYE655260:UYE655265 UOI655260:UOI655265 UEM655260:UEM655265 TUQ655260:TUQ655265 TKU655260:TKU655265 TAY655260:TAY655265 SRC655260:SRC655265 SHG655260:SHG655265 RXK655260:RXK655265 RNO655260:RNO655265 RDS655260:RDS655265 QTW655260:QTW655265 QKA655260:QKA655265 QAE655260:QAE655265 PQI655260:PQI655265 PGM655260:PGM655265 OWQ655260:OWQ655265 OMU655260:OMU655265 OCY655260:OCY655265 NTC655260:NTC655265 NJG655260:NJG655265 MZK655260:MZK655265 MPO655260:MPO655265 MFS655260:MFS655265 LVW655260:LVW655265 LMA655260:LMA655265 LCE655260:LCE655265 KSI655260:KSI655265 KIM655260:KIM655265 JYQ655260:JYQ655265 JOU655260:JOU655265 JEY655260:JEY655265 IVC655260:IVC655265 ILG655260:ILG655265 IBK655260:IBK655265 HRO655260:HRO655265 HHS655260:HHS655265 GXW655260:GXW655265 GOA655260:GOA655265 GEE655260:GEE655265 FUI655260:FUI655265 FKM655260:FKM655265 FAQ655260:FAQ655265 EQU655260:EQU655265 EGY655260:EGY655265 DXC655260:DXC655265 DNG655260:DNG655265 DDK655260:DDK655265 CTO655260:CTO655265 CJS655260:CJS655265 BZW655260:BZW655265 BQA655260:BQA655265 BGE655260:BGE655265 AWI655260:AWI655265 AMM655260:AMM655265 ACQ655260:ACQ655265 SU655260:SU655265 IY655260:IY655265 WVK589724:WVK589729 WLO589724:WLO589729 WBS589724:WBS589729 VRW589724:VRW589729 VIA589724:VIA589729 UYE589724:UYE589729 UOI589724:UOI589729 UEM589724:UEM589729 TUQ589724:TUQ589729 TKU589724:TKU589729 TAY589724:TAY589729 SRC589724:SRC589729 SHG589724:SHG589729 RXK589724:RXK589729 RNO589724:RNO589729 RDS589724:RDS589729 QTW589724:QTW589729 QKA589724:QKA589729 QAE589724:QAE589729 PQI589724:PQI589729 PGM589724:PGM589729 OWQ589724:OWQ589729 OMU589724:OMU589729 OCY589724:OCY589729 NTC589724:NTC589729 NJG589724:NJG589729 MZK589724:MZK589729 MPO589724:MPO589729 MFS589724:MFS589729 LVW589724:LVW589729 LMA589724:LMA589729 LCE589724:LCE589729 KSI589724:KSI589729 KIM589724:KIM589729 JYQ589724:JYQ589729 JOU589724:JOU589729 JEY589724:JEY589729 IVC589724:IVC589729 ILG589724:ILG589729 IBK589724:IBK589729 HRO589724:HRO589729 HHS589724:HHS589729 GXW589724:GXW589729 GOA589724:GOA589729 GEE589724:GEE589729 FUI589724:FUI589729 FKM589724:FKM589729 FAQ589724:FAQ589729 EQU589724:EQU589729 EGY589724:EGY589729 DXC589724:DXC589729 DNG589724:DNG589729 DDK589724:DDK589729 CTO589724:CTO589729 CJS589724:CJS589729 BZW589724:BZW589729 BQA589724:BQA589729 BGE589724:BGE589729 AWI589724:AWI589729 AMM589724:AMM589729 ACQ589724:ACQ589729 SU589724:SU589729 IY589724:IY589729 WVK524188:WVK524193 WLO524188:WLO524193 WBS524188:WBS524193 VRW524188:VRW524193 VIA524188:VIA524193 UYE524188:UYE524193 UOI524188:UOI524193 UEM524188:UEM524193 TUQ524188:TUQ524193 TKU524188:TKU524193 TAY524188:TAY524193 SRC524188:SRC524193 SHG524188:SHG524193 RXK524188:RXK524193 RNO524188:RNO524193 RDS524188:RDS524193 QTW524188:QTW524193 QKA524188:QKA524193 QAE524188:QAE524193 PQI524188:PQI524193 PGM524188:PGM524193 OWQ524188:OWQ524193 OMU524188:OMU524193 OCY524188:OCY524193 NTC524188:NTC524193 NJG524188:NJG524193 MZK524188:MZK524193 MPO524188:MPO524193 MFS524188:MFS524193 LVW524188:LVW524193 LMA524188:LMA524193 LCE524188:LCE524193 KSI524188:KSI524193 KIM524188:KIM524193 JYQ524188:JYQ524193 JOU524188:JOU524193 JEY524188:JEY524193 IVC524188:IVC524193 ILG524188:ILG524193 IBK524188:IBK524193 HRO524188:HRO524193 HHS524188:HHS524193 GXW524188:GXW524193 GOA524188:GOA524193 GEE524188:GEE524193 FUI524188:FUI524193 FKM524188:FKM524193 FAQ524188:FAQ524193 EQU524188:EQU524193 EGY524188:EGY524193 DXC524188:DXC524193 DNG524188:DNG524193 DDK524188:DDK524193 CTO524188:CTO524193 CJS524188:CJS524193 BZW524188:BZW524193 BQA524188:BQA524193 BGE524188:BGE524193 AWI524188:AWI524193 AMM524188:AMM524193 ACQ524188:ACQ524193 SU524188:SU524193 IY524188:IY524193 WVK458652:WVK458657 WLO458652:WLO458657 WBS458652:WBS458657 VRW458652:VRW458657 VIA458652:VIA458657 UYE458652:UYE458657 UOI458652:UOI458657 UEM458652:UEM458657 TUQ458652:TUQ458657 TKU458652:TKU458657 TAY458652:TAY458657 SRC458652:SRC458657 SHG458652:SHG458657 RXK458652:RXK458657 RNO458652:RNO458657 RDS458652:RDS458657 QTW458652:QTW458657 QKA458652:QKA458657 QAE458652:QAE458657 PQI458652:PQI458657 PGM458652:PGM458657 OWQ458652:OWQ458657 OMU458652:OMU458657 OCY458652:OCY458657 NTC458652:NTC458657 NJG458652:NJG458657 MZK458652:MZK458657 MPO458652:MPO458657 MFS458652:MFS458657 LVW458652:LVW458657 LMA458652:LMA458657 LCE458652:LCE458657 KSI458652:KSI458657 KIM458652:KIM458657 JYQ458652:JYQ458657 JOU458652:JOU458657 JEY458652:JEY458657 IVC458652:IVC458657 ILG458652:ILG458657 IBK458652:IBK458657 HRO458652:HRO458657 HHS458652:HHS458657 GXW458652:GXW458657 GOA458652:GOA458657 GEE458652:GEE458657 FUI458652:FUI458657 FKM458652:FKM458657 FAQ458652:FAQ458657 EQU458652:EQU458657 EGY458652:EGY458657 DXC458652:DXC458657 DNG458652:DNG458657 DDK458652:DDK458657 CTO458652:CTO458657 CJS458652:CJS458657 BZW458652:BZW458657 BQA458652:BQA458657 BGE458652:BGE458657 AWI458652:AWI458657 AMM458652:AMM458657 ACQ458652:ACQ458657 SU458652:SU458657 IY458652:IY458657 WVK393116:WVK393121 WLO393116:WLO393121 WBS393116:WBS393121 VRW393116:VRW393121 VIA393116:VIA393121 UYE393116:UYE393121 UOI393116:UOI393121 UEM393116:UEM393121 TUQ393116:TUQ393121 TKU393116:TKU393121 TAY393116:TAY393121 SRC393116:SRC393121 SHG393116:SHG393121 RXK393116:RXK393121 RNO393116:RNO393121 RDS393116:RDS393121 QTW393116:QTW393121 QKA393116:QKA393121 QAE393116:QAE393121 PQI393116:PQI393121 PGM393116:PGM393121 OWQ393116:OWQ393121 OMU393116:OMU393121 OCY393116:OCY393121 NTC393116:NTC393121 NJG393116:NJG393121 MZK393116:MZK393121 MPO393116:MPO393121 MFS393116:MFS393121 LVW393116:LVW393121 LMA393116:LMA393121 LCE393116:LCE393121 KSI393116:KSI393121 KIM393116:KIM393121 JYQ393116:JYQ393121 JOU393116:JOU393121 JEY393116:JEY393121 IVC393116:IVC393121 ILG393116:ILG393121 IBK393116:IBK393121 HRO393116:HRO393121 HHS393116:HHS393121 GXW393116:GXW393121 GOA393116:GOA393121 GEE393116:GEE393121 FUI393116:FUI393121 FKM393116:FKM393121 FAQ393116:FAQ393121 EQU393116:EQU393121 EGY393116:EGY393121 DXC393116:DXC393121 DNG393116:DNG393121 DDK393116:DDK393121 CTO393116:CTO393121 CJS393116:CJS393121 BZW393116:BZW393121 BQA393116:BQA393121 BGE393116:BGE393121 AWI393116:AWI393121 AMM393116:AMM393121 ACQ393116:ACQ393121 SU393116:SU393121 IY393116:IY393121 WVK327580:WVK327585 WLO327580:WLO327585 WBS327580:WBS327585 VRW327580:VRW327585 VIA327580:VIA327585 UYE327580:UYE327585 UOI327580:UOI327585 UEM327580:UEM327585 TUQ327580:TUQ327585 TKU327580:TKU327585 TAY327580:TAY327585 SRC327580:SRC327585 SHG327580:SHG327585 RXK327580:RXK327585 RNO327580:RNO327585 RDS327580:RDS327585 QTW327580:QTW327585 QKA327580:QKA327585 QAE327580:QAE327585 PQI327580:PQI327585 PGM327580:PGM327585 OWQ327580:OWQ327585 OMU327580:OMU327585 OCY327580:OCY327585 NTC327580:NTC327585 NJG327580:NJG327585 MZK327580:MZK327585 MPO327580:MPO327585 MFS327580:MFS327585 LVW327580:LVW327585 LMA327580:LMA327585 LCE327580:LCE327585 KSI327580:KSI327585 KIM327580:KIM327585 JYQ327580:JYQ327585 JOU327580:JOU327585 JEY327580:JEY327585 IVC327580:IVC327585 ILG327580:ILG327585 IBK327580:IBK327585 HRO327580:HRO327585 HHS327580:HHS327585 GXW327580:GXW327585 GOA327580:GOA327585 GEE327580:GEE327585 FUI327580:FUI327585 FKM327580:FKM327585 FAQ327580:FAQ327585 EQU327580:EQU327585 EGY327580:EGY327585 DXC327580:DXC327585 DNG327580:DNG327585 DDK327580:DDK327585 CTO327580:CTO327585 CJS327580:CJS327585 BZW327580:BZW327585 BQA327580:BQA327585 BGE327580:BGE327585 AWI327580:AWI327585 AMM327580:AMM327585 ACQ327580:ACQ327585 SU327580:SU327585 IY327580:IY327585 WVK262044:WVK262049 WLO262044:WLO262049 WBS262044:WBS262049 VRW262044:VRW262049 VIA262044:VIA262049 UYE262044:UYE262049 UOI262044:UOI262049 UEM262044:UEM262049 TUQ262044:TUQ262049 TKU262044:TKU262049 TAY262044:TAY262049 SRC262044:SRC262049 SHG262044:SHG262049 RXK262044:RXK262049 RNO262044:RNO262049 RDS262044:RDS262049 QTW262044:QTW262049 QKA262044:QKA262049 QAE262044:QAE262049 PQI262044:PQI262049 PGM262044:PGM262049 OWQ262044:OWQ262049 OMU262044:OMU262049 OCY262044:OCY262049 NTC262044:NTC262049 NJG262044:NJG262049 MZK262044:MZK262049 MPO262044:MPO262049 MFS262044:MFS262049 LVW262044:LVW262049 LMA262044:LMA262049 LCE262044:LCE262049 KSI262044:KSI262049 KIM262044:KIM262049 JYQ262044:JYQ262049 JOU262044:JOU262049 JEY262044:JEY262049 IVC262044:IVC262049 ILG262044:ILG262049 IBK262044:IBK262049 HRO262044:HRO262049 HHS262044:HHS262049 GXW262044:GXW262049 GOA262044:GOA262049 GEE262044:GEE262049 FUI262044:FUI262049 FKM262044:FKM262049 FAQ262044:FAQ262049 EQU262044:EQU262049 EGY262044:EGY262049 DXC262044:DXC262049 DNG262044:DNG262049 DDK262044:DDK262049 CTO262044:CTO262049 CJS262044:CJS262049 BZW262044:BZW262049 BQA262044:BQA262049 BGE262044:BGE262049 AWI262044:AWI262049 AMM262044:AMM262049 ACQ262044:ACQ262049 SU262044:SU262049 IY262044:IY262049 WVK196508:WVK196513 WLO196508:WLO196513 WBS196508:WBS196513 VRW196508:VRW196513 VIA196508:VIA196513 UYE196508:UYE196513 UOI196508:UOI196513 UEM196508:UEM196513 TUQ196508:TUQ196513 TKU196508:TKU196513 TAY196508:TAY196513 SRC196508:SRC196513 SHG196508:SHG196513 RXK196508:RXK196513 RNO196508:RNO196513 RDS196508:RDS196513 QTW196508:QTW196513 QKA196508:QKA196513 QAE196508:QAE196513 PQI196508:PQI196513 PGM196508:PGM196513 OWQ196508:OWQ196513 OMU196508:OMU196513 OCY196508:OCY196513 NTC196508:NTC196513 NJG196508:NJG196513 MZK196508:MZK196513 MPO196508:MPO196513 MFS196508:MFS196513 LVW196508:LVW196513 LMA196508:LMA196513 LCE196508:LCE196513 KSI196508:KSI196513 KIM196508:KIM196513 JYQ196508:JYQ196513 JOU196508:JOU196513 JEY196508:JEY196513 IVC196508:IVC196513 ILG196508:ILG196513 IBK196508:IBK196513 HRO196508:HRO196513 HHS196508:HHS196513 GXW196508:GXW196513 GOA196508:GOA196513 GEE196508:GEE196513 FUI196508:FUI196513 FKM196508:FKM196513 FAQ196508:FAQ196513 EQU196508:EQU196513 EGY196508:EGY196513 DXC196508:DXC196513 DNG196508:DNG196513 DDK196508:DDK196513 CTO196508:CTO196513 CJS196508:CJS196513 BZW196508:BZW196513 BQA196508:BQA196513 BGE196508:BGE196513 AWI196508:AWI196513 AMM196508:AMM196513 ACQ196508:ACQ196513 SU196508:SU196513 IY196508:IY196513 WVK130972:WVK130977 WLO130972:WLO130977 WBS130972:WBS130977 VRW130972:VRW130977 VIA130972:VIA130977 UYE130972:UYE130977 UOI130972:UOI130977 UEM130972:UEM130977 TUQ130972:TUQ130977 TKU130972:TKU130977 TAY130972:TAY130977 SRC130972:SRC130977 SHG130972:SHG130977 RXK130972:RXK130977 RNO130972:RNO130977 RDS130972:RDS130977 QTW130972:QTW130977 QKA130972:QKA130977 QAE130972:QAE130977 PQI130972:PQI130977 PGM130972:PGM130977 OWQ130972:OWQ130977 OMU130972:OMU130977 OCY130972:OCY130977 NTC130972:NTC130977 NJG130972:NJG130977 MZK130972:MZK130977 MPO130972:MPO130977 MFS130972:MFS130977 LVW130972:LVW130977 LMA130972:LMA130977 LCE130972:LCE130977 KSI130972:KSI130977 KIM130972:KIM130977 JYQ130972:JYQ130977 JOU130972:JOU130977 JEY130972:JEY130977 IVC130972:IVC130977 ILG130972:ILG130977 IBK130972:IBK130977 HRO130972:HRO130977 HHS130972:HHS130977 GXW130972:GXW130977 GOA130972:GOA130977 GEE130972:GEE130977 FUI130972:FUI130977 FKM130972:FKM130977 FAQ130972:FAQ130977 EQU130972:EQU130977 EGY130972:EGY130977 DXC130972:DXC130977 DNG130972:DNG130977 DDK130972:DDK130977 CTO130972:CTO130977 CJS130972:CJS130977 BZW130972:BZW130977 BQA130972:BQA130977 BGE130972:BGE130977 AWI130972:AWI130977 AMM130972:AMM130977 ACQ130972:ACQ130977 SU130972:SU130977 IY130972:IY130977 WVK65436:WVK65441 WLO65436:WLO65441 WBS65436:WBS65441 VRW65436:VRW65441 VIA65436:VIA65441 UYE65436:UYE65441 UOI65436:UOI65441 UEM65436:UEM65441 TUQ65436:TUQ65441 TKU65436:TKU65441 TAY65436:TAY65441 SRC65436:SRC65441 SHG65436:SHG65441 RXK65436:RXK65441 RNO65436:RNO65441 RDS65436:RDS65441 QTW65436:QTW65441 QKA65436:QKA65441 QAE65436:QAE65441 PQI65436:PQI65441 PGM65436:PGM65441 OWQ65436:OWQ65441 OMU65436:OMU65441 OCY65436:OCY65441 NTC65436:NTC65441 NJG65436:NJG65441 MZK65436:MZK65441 MPO65436:MPO65441 MFS65436:MFS65441 LVW65436:LVW65441 LMA65436:LMA65441 LCE65436:LCE65441 KSI65436:KSI65441 KIM65436:KIM65441 JYQ65436:JYQ65441 JOU65436:JOU65441 JEY65436:JEY65441 IVC65436:IVC65441 ILG65436:ILG65441 IBK65436:IBK65441 HRO65436:HRO65441 HHS65436:HHS65441 GXW65436:GXW65441 GOA65436:GOA65441 GEE65436:GEE65441 FUI65436:FUI65441 FKM65436:FKM65441 FAQ65436:FAQ65441 EQU65436:EQU65441 EGY65436:EGY65441 DXC65436:DXC65441 DNG65436:DNG65441 DDK65436:DDK65441 CTO65436:CTO65441 CJS65436:CJS65441 BZW65436:BZW65441 BQA65436:BQA65441 BGE65436:BGE65441 AWI65436:AWI65441 AMM65436:AMM65441 ACQ65436:ACQ65441 SU65436:SU65441 IY65436:IY65441 WVK982910:WVK982912 WLO982910:WLO982912 WBS982910:WBS982912 VRW982910:VRW982912 VIA982910:VIA982912 UYE982910:UYE982912 UOI982910:UOI982912 UEM982910:UEM982912 TUQ982910:TUQ982912 TKU982910:TKU982912 TAY982910:TAY982912 SRC982910:SRC982912 SHG982910:SHG982912 RXK982910:RXK982912 RNO982910:RNO982912 RDS982910:RDS982912 QTW982910:QTW982912 QKA982910:QKA982912 QAE982910:QAE982912 PQI982910:PQI982912 PGM982910:PGM982912 OWQ982910:OWQ982912 OMU982910:OMU982912 OCY982910:OCY982912 NTC982910:NTC982912 NJG982910:NJG982912 MZK982910:MZK982912 MPO982910:MPO982912 MFS982910:MFS982912 LVW982910:LVW982912 LMA982910:LMA982912 LCE982910:LCE982912 KSI982910:KSI982912 KIM982910:KIM982912 JYQ982910:JYQ982912 JOU982910:JOU982912 JEY982910:JEY982912 IVC982910:IVC982912 ILG982910:ILG982912 IBK982910:IBK982912 HRO982910:HRO982912 HHS982910:HHS982912 GXW982910:GXW982912 GOA982910:GOA982912 GEE982910:GEE982912 FUI982910:FUI982912 FKM982910:FKM982912 FAQ982910:FAQ982912 EQU982910:EQU982912 EGY982910:EGY982912 DXC982910:DXC982912 DNG982910:DNG982912 DDK982910:DDK982912 CTO982910:CTO982912 CJS982910:CJS982912 BZW982910:BZW982912 BQA982910:BQA982912 BGE982910:BGE982912 AWI982910:AWI982912 AMM982910:AMM982912 ACQ982910:ACQ982912 SU982910:SU982912 IY982910:IY982912 WVK917374:WVK917376 WLO917374:WLO917376 WBS917374:WBS917376 VRW917374:VRW917376 VIA917374:VIA917376 UYE917374:UYE917376 UOI917374:UOI917376 UEM917374:UEM917376 TUQ917374:TUQ917376 TKU917374:TKU917376 TAY917374:TAY917376 SRC917374:SRC917376 SHG917374:SHG917376 RXK917374:RXK917376 RNO917374:RNO917376 RDS917374:RDS917376 QTW917374:QTW917376 QKA917374:QKA917376 QAE917374:QAE917376 PQI917374:PQI917376 PGM917374:PGM917376 OWQ917374:OWQ917376 OMU917374:OMU917376 OCY917374:OCY917376 NTC917374:NTC917376 NJG917374:NJG917376 MZK917374:MZK917376 MPO917374:MPO917376 MFS917374:MFS917376 LVW917374:LVW917376 LMA917374:LMA917376 LCE917374:LCE917376 KSI917374:KSI917376 KIM917374:KIM917376 JYQ917374:JYQ917376 JOU917374:JOU917376 JEY917374:JEY917376 IVC917374:IVC917376 ILG917374:ILG917376 IBK917374:IBK917376 HRO917374:HRO917376 HHS917374:HHS917376 GXW917374:GXW917376 GOA917374:GOA917376 GEE917374:GEE917376 FUI917374:FUI917376 FKM917374:FKM917376 FAQ917374:FAQ917376 EQU917374:EQU917376 EGY917374:EGY917376 DXC917374:DXC917376 DNG917374:DNG917376 DDK917374:DDK917376 CTO917374:CTO917376 CJS917374:CJS917376 BZW917374:BZW917376 BQA917374:BQA917376 BGE917374:BGE917376 AWI917374:AWI917376 AMM917374:AMM917376 ACQ917374:ACQ917376 SU917374:SU917376 IY917374:IY917376 WVK851838:WVK851840 WLO851838:WLO851840 WBS851838:WBS851840 VRW851838:VRW851840 VIA851838:VIA851840 UYE851838:UYE851840 UOI851838:UOI851840 UEM851838:UEM851840 TUQ851838:TUQ851840 TKU851838:TKU851840 TAY851838:TAY851840 SRC851838:SRC851840 SHG851838:SHG851840 RXK851838:RXK851840 RNO851838:RNO851840 RDS851838:RDS851840 QTW851838:QTW851840 QKA851838:QKA851840 QAE851838:QAE851840 PQI851838:PQI851840 PGM851838:PGM851840 OWQ851838:OWQ851840 OMU851838:OMU851840 OCY851838:OCY851840 NTC851838:NTC851840 NJG851838:NJG851840 MZK851838:MZK851840 MPO851838:MPO851840 MFS851838:MFS851840 LVW851838:LVW851840 LMA851838:LMA851840 LCE851838:LCE851840 KSI851838:KSI851840 KIM851838:KIM851840 JYQ851838:JYQ851840 JOU851838:JOU851840 JEY851838:JEY851840 IVC851838:IVC851840 ILG851838:ILG851840 IBK851838:IBK851840 HRO851838:HRO851840 HHS851838:HHS851840 GXW851838:GXW851840 GOA851838:GOA851840 GEE851838:GEE851840 FUI851838:FUI851840 FKM851838:FKM851840 FAQ851838:FAQ851840 EQU851838:EQU851840 EGY851838:EGY851840 DXC851838:DXC851840 DNG851838:DNG851840 DDK851838:DDK851840 CTO851838:CTO851840 CJS851838:CJS851840 BZW851838:BZW851840 BQA851838:BQA851840 BGE851838:BGE851840 AWI851838:AWI851840 AMM851838:AMM851840 ACQ851838:ACQ851840 SU851838:SU851840 IY851838:IY851840 WVK786302:WVK786304 WLO786302:WLO786304 WBS786302:WBS786304 VRW786302:VRW786304 VIA786302:VIA786304 UYE786302:UYE786304 UOI786302:UOI786304 UEM786302:UEM786304 TUQ786302:TUQ786304 TKU786302:TKU786304 TAY786302:TAY786304 SRC786302:SRC786304 SHG786302:SHG786304 RXK786302:RXK786304 RNO786302:RNO786304 RDS786302:RDS786304 QTW786302:QTW786304 QKA786302:QKA786304 QAE786302:QAE786304 PQI786302:PQI786304 PGM786302:PGM786304 OWQ786302:OWQ786304 OMU786302:OMU786304 OCY786302:OCY786304 NTC786302:NTC786304 NJG786302:NJG786304 MZK786302:MZK786304 MPO786302:MPO786304 MFS786302:MFS786304 LVW786302:LVW786304 LMA786302:LMA786304 LCE786302:LCE786304 KSI786302:KSI786304 KIM786302:KIM786304 JYQ786302:JYQ786304 JOU786302:JOU786304 JEY786302:JEY786304 IVC786302:IVC786304 ILG786302:ILG786304 IBK786302:IBK786304 HRO786302:HRO786304 HHS786302:HHS786304 GXW786302:GXW786304 GOA786302:GOA786304 GEE786302:GEE786304 FUI786302:FUI786304 FKM786302:FKM786304 FAQ786302:FAQ786304 EQU786302:EQU786304 EGY786302:EGY786304 DXC786302:DXC786304 DNG786302:DNG786304 DDK786302:DDK786304 CTO786302:CTO786304 CJS786302:CJS786304 BZW786302:BZW786304 BQA786302:BQA786304 BGE786302:BGE786304 AWI786302:AWI786304 AMM786302:AMM786304 ACQ786302:ACQ786304 SU786302:SU786304 IY786302:IY786304 WVK720766:WVK720768 WLO720766:WLO720768 WBS720766:WBS720768 VRW720766:VRW720768 VIA720766:VIA720768 UYE720766:UYE720768 UOI720766:UOI720768 UEM720766:UEM720768 TUQ720766:TUQ720768 TKU720766:TKU720768 TAY720766:TAY720768 SRC720766:SRC720768 SHG720766:SHG720768 RXK720766:RXK720768 RNO720766:RNO720768 RDS720766:RDS720768 QTW720766:QTW720768 QKA720766:QKA720768 QAE720766:QAE720768 PQI720766:PQI720768 PGM720766:PGM720768 OWQ720766:OWQ720768 OMU720766:OMU720768 OCY720766:OCY720768 NTC720766:NTC720768 NJG720766:NJG720768 MZK720766:MZK720768 MPO720766:MPO720768 MFS720766:MFS720768 LVW720766:LVW720768 LMA720766:LMA720768 LCE720766:LCE720768 KSI720766:KSI720768 KIM720766:KIM720768 JYQ720766:JYQ720768 JOU720766:JOU720768 JEY720766:JEY720768 IVC720766:IVC720768 ILG720766:ILG720768 IBK720766:IBK720768 HRO720766:HRO720768 HHS720766:HHS720768 GXW720766:GXW720768 GOA720766:GOA720768 GEE720766:GEE720768 FUI720766:FUI720768 FKM720766:FKM720768 FAQ720766:FAQ720768 EQU720766:EQU720768 EGY720766:EGY720768 DXC720766:DXC720768 DNG720766:DNG720768 DDK720766:DDK720768 CTO720766:CTO720768 CJS720766:CJS720768 BZW720766:BZW720768 BQA720766:BQA720768 BGE720766:BGE720768 AWI720766:AWI720768 AMM720766:AMM720768 ACQ720766:ACQ720768 SU720766:SU720768 IY720766:IY720768 WVK655230:WVK655232 WLO655230:WLO655232 WBS655230:WBS655232 VRW655230:VRW655232 VIA655230:VIA655232 UYE655230:UYE655232 UOI655230:UOI655232 UEM655230:UEM655232 TUQ655230:TUQ655232 TKU655230:TKU655232 TAY655230:TAY655232 SRC655230:SRC655232 SHG655230:SHG655232 RXK655230:RXK655232 RNO655230:RNO655232 RDS655230:RDS655232 QTW655230:QTW655232 QKA655230:QKA655232 QAE655230:QAE655232 PQI655230:PQI655232 PGM655230:PGM655232 OWQ655230:OWQ655232 OMU655230:OMU655232 OCY655230:OCY655232 NTC655230:NTC655232 NJG655230:NJG655232 MZK655230:MZK655232 MPO655230:MPO655232 MFS655230:MFS655232 LVW655230:LVW655232 LMA655230:LMA655232 LCE655230:LCE655232 KSI655230:KSI655232 KIM655230:KIM655232 JYQ655230:JYQ655232 JOU655230:JOU655232 JEY655230:JEY655232 IVC655230:IVC655232 ILG655230:ILG655232 IBK655230:IBK655232 HRO655230:HRO655232 HHS655230:HHS655232 GXW655230:GXW655232 GOA655230:GOA655232 GEE655230:GEE655232 FUI655230:FUI655232 FKM655230:FKM655232 FAQ655230:FAQ655232 EQU655230:EQU655232 EGY655230:EGY655232 DXC655230:DXC655232 DNG655230:DNG655232 DDK655230:DDK655232 CTO655230:CTO655232 CJS655230:CJS655232 BZW655230:BZW655232 BQA655230:BQA655232 BGE655230:BGE655232 AWI655230:AWI655232 AMM655230:AMM655232 ACQ655230:ACQ655232 SU655230:SU655232 IY655230:IY655232 WVK589694:WVK589696 WLO589694:WLO589696 WBS589694:WBS589696 VRW589694:VRW589696 VIA589694:VIA589696 UYE589694:UYE589696 UOI589694:UOI589696 UEM589694:UEM589696 TUQ589694:TUQ589696 TKU589694:TKU589696 TAY589694:TAY589696 SRC589694:SRC589696 SHG589694:SHG589696 RXK589694:RXK589696 RNO589694:RNO589696 RDS589694:RDS589696 QTW589694:QTW589696 QKA589694:QKA589696 QAE589694:QAE589696 PQI589694:PQI589696 PGM589694:PGM589696 OWQ589694:OWQ589696 OMU589694:OMU589696 OCY589694:OCY589696 NTC589694:NTC589696 NJG589694:NJG589696 MZK589694:MZK589696 MPO589694:MPO589696 MFS589694:MFS589696 LVW589694:LVW589696 LMA589694:LMA589696 LCE589694:LCE589696 KSI589694:KSI589696 KIM589694:KIM589696 JYQ589694:JYQ589696 JOU589694:JOU589696 JEY589694:JEY589696 IVC589694:IVC589696 ILG589694:ILG589696 IBK589694:IBK589696 HRO589694:HRO589696 HHS589694:HHS589696 GXW589694:GXW589696 GOA589694:GOA589696 GEE589694:GEE589696 FUI589694:FUI589696 FKM589694:FKM589696 FAQ589694:FAQ589696 EQU589694:EQU589696 EGY589694:EGY589696 DXC589694:DXC589696 DNG589694:DNG589696 DDK589694:DDK589696 CTO589694:CTO589696 CJS589694:CJS589696 BZW589694:BZW589696 BQA589694:BQA589696 BGE589694:BGE589696 AWI589694:AWI589696 AMM589694:AMM589696 ACQ589694:ACQ589696 SU589694:SU589696 IY589694:IY589696 WVK524158:WVK524160 WLO524158:WLO524160 WBS524158:WBS524160 VRW524158:VRW524160 VIA524158:VIA524160 UYE524158:UYE524160 UOI524158:UOI524160 UEM524158:UEM524160 TUQ524158:TUQ524160 TKU524158:TKU524160 TAY524158:TAY524160 SRC524158:SRC524160 SHG524158:SHG524160 RXK524158:RXK524160 RNO524158:RNO524160 RDS524158:RDS524160 QTW524158:QTW524160 QKA524158:QKA524160 QAE524158:QAE524160 PQI524158:PQI524160 PGM524158:PGM524160 OWQ524158:OWQ524160 OMU524158:OMU524160 OCY524158:OCY524160 NTC524158:NTC524160 NJG524158:NJG524160 MZK524158:MZK524160 MPO524158:MPO524160 MFS524158:MFS524160 LVW524158:LVW524160 LMA524158:LMA524160 LCE524158:LCE524160 KSI524158:KSI524160 KIM524158:KIM524160 JYQ524158:JYQ524160 JOU524158:JOU524160 JEY524158:JEY524160 IVC524158:IVC524160 ILG524158:ILG524160 IBK524158:IBK524160 HRO524158:HRO524160 HHS524158:HHS524160 GXW524158:GXW524160 GOA524158:GOA524160 GEE524158:GEE524160 FUI524158:FUI524160 FKM524158:FKM524160 FAQ524158:FAQ524160 EQU524158:EQU524160 EGY524158:EGY524160 DXC524158:DXC524160 DNG524158:DNG524160 DDK524158:DDK524160 CTO524158:CTO524160 CJS524158:CJS524160 BZW524158:BZW524160 BQA524158:BQA524160 BGE524158:BGE524160 AWI524158:AWI524160 AMM524158:AMM524160 ACQ524158:ACQ524160 SU524158:SU524160 IY524158:IY524160 WVK458622:WVK458624 WLO458622:WLO458624 WBS458622:WBS458624 VRW458622:VRW458624 VIA458622:VIA458624 UYE458622:UYE458624 UOI458622:UOI458624 UEM458622:UEM458624 TUQ458622:TUQ458624 TKU458622:TKU458624 TAY458622:TAY458624 SRC458622:SRC458624 SHG458622:SHG458624 RXK458622:RXK458624 RNO458622:RNO458624 RDS458622:RDS458624 QTW458622:QTW458624 QKA458622:QKA458624 QAE458622:QAE458624 PQI458622:PQI458624 PGM458622:PGM458624 OWQ458622:OWQ458624 OMU458622:OMU458624 OCY458622:OCY458624 NTC458622:NTC458624 NJG458622:NJG458624 MZK458622:MZK458624 MPO458622:MPO458624 MFS458622:MFS458624 LVW458622:LVW458624 LMA458622:LMA458624 LCE458622:LCE458624 KSI458622:KSI458624 KIM458622:KIM458624 JYQ458622:JYQ458624 JOU458622:JOU458624 JEY458622:JEY458624 IVC458622:IVC458624 ILG458622:ILG458624 IBK458622:IBK458624 HRO458622:HRO458624 HHS458622:HHS458624 GXW458622:GXW458624 GOA458622:GOA458624 GEE458622:GEE458624 FUI458622:FUI458624 FKM458622:FKM458624 FAQ458622:FAQ458624 EQU458622:EQU458624 EGY458622:EGY458624 DXC458622:DXC458624 DNG458622:DNG458624 DDK458622:DDK458624 CTO458622:CTO458624 CJS458622:CJS458624 BZW458622:BZW458624 BQA458622:BQA458624 BGE458622:BGE458624 AWI458622:AWI458624 AMM458622:AMM458624 ACQ458622:ACQ458624 SU458622:SU458624 IY458622:IY458624 WVK393086:WVK393088 WLO393086:WLO393088 WBS393086:WBS393088 VRW393086:VRW393088 VIA393086:VIA393088 UYE393086:UYE393088 UOI393086:UOI393088 UEM393086:UEM393088 TUQ393086:TUQ393088 TKU393086:TKU393088 TAY393086:TAY393088 SRC393086:SRC393088 SHG393086:SHG393088 RXK393086:RXK393088 RNO393086:RNO393088 RDS393086:RDS393088 QTW393086:QTW393088 QKA393086:QKA393088 QAE393086:QAE393088 PQI393086:PQI393088 PGM393086:PGM393088 OWQ393086:OWQ393088 OMU393086:OMU393088 OCY393086:OCY393088 NTC393086:NTC393088 NJG393086:NJG393088 MZK393086:MZK393088 MPO393086:MPO393088 MFS393086:MFS393088 LVW393086:LVW393088 LMA393086:LMA393088 LCE393086:LCE393088 KSI393086:KSI393088 KIM393086:KIM393088 JYQ393086:JYQ393088 JOU393086:JOU393088 JEY393086:JEY393088 IVC393086:IVC393088 ILG393086:ILG393088 IBK393086:IBK393088 HRO393086:HRO393088 HHS393086:HHS393088 GXW393086:GXW393088 GOA393086:GOA393088 GEE393086:GEE393088 FUI393086:FUI393088 FKM393086:FKM393088 FAQ393086:FAQ393088 EQU393086:EQU393088 EGY393086:EGY393088 DXC393086:DXC393088 DNG393086:DNG393088 DDK393086:DDK393088 CTO393086:CTO393088 CJS393086:CJS393088 BZW393086:BZW393088 BQA393086:BQA393088 BGE393086:BGE393088 AWI393086:AWI393088 AMM393086:AMM393088 ACQ393086:ACQ393088 SU393086:SU393088 IY393086:IY393088 WVK327550:WVK327552 WLO327550:WLO327552 WBS327550:WBS327552 VRW327550:VRW327552 VIA327550:VIA327552 UYE327550:UYE327552 UOI327550:UOI327552 UEM327550:UEM327552 TUQ327550:TUQ327552 TKU327550:TKU327552 TAY327550:TAY327552 SRC327550:SRC327552 SHG327550:SHG327552 RXK327550:RXK327552 RNO327550:RNO327552 RDS327550:RDS327552 QTW327550:QTW327552 QKA327550:QKA327552 QAE327550:QAE327552 PQI327550:PQI327552 PGM327550:PGM327552 OWQ327550:OWQ327552 OMU327550:OMU327552 OCY327550:OCY327552 NTC327550:NTC327552 NJG327550:NJG327552 MZK327550:MZK327552 MPO327550:MPO327552 MFS327550:MFS327552 LVW327550:LVW327552 LMA327550:LMA327552 LCE327550:LCE327552 KSI327550:KSI327552 KIM327550:KIM327552 JYQ327550:JYQ327552 JOU327550:JOU327552 JEY327550:JEY327552 IVC327550:IVC327552 ILG327550:ILG327552 IBK327550:IBK327552 HRO327550:HRO327552 HHS327550:HHS327552 GXW327550:GXW327552 GOA327550:GOA327552 GEE327550:GEE327552 FUI327550:FUI327552 FKM327550:FKM327552 FAQ327550:FAQ327552 EQU327550:EQU327552 EGY327550:EGY327552 DXC327550:DXC327552 DNG327550:DNG327552 DDK327550:DDK327552 CTO327550:CTO327552 CJS327550:CJS327552 BZW327550:BZW327552 BQA327550:BQA327552 BGE327550:BGE327552 AWI327550:AWI327552 AMM327550:AMM327552 ACQ327550:ACQ327552 SU327550:SU327552 IY327550:IY327552 WVK262014:WVK262016 WLO262014:WLO262016 WBS262014:WBS262016 VRW262014:VRW262016 VIA262014:VIA262016 UYE262014:UYE262016 UOI262014:UOI262016 UEM262014:UEM262016 TUQ262014:TUQ262016 TKU262014:TKU262016 TAY262014:TAY262016 SRC262014:SRC262016 SHG262014:SHG262016 RXK262014:RXK262016 RNO262014:RNO262016 RDS262014:RDS262016 QTW262014:QTW262016 QKA262014:QKA262016 QAE262014:QAE262016 PQI262014:PQI262016 PGM262014:PGM262016 OWQ262014:OWQ262016 OMU262014:OMU262016 OCY262014:OCY262016 NTC262014:NTC262016 NJG262014:NJG262016 MZK262014:MZK262016 MPO262014:MPO262016 MFS262014:MFS262016 LVW262014:LVW262016 LMA262014:LMA262016 LCE262014:LCE262016 KSI262014:KSI262016 KIM262014:KIM262016 JYQ262014:JYQ262016 JOU262014:JOU262016 JEY262014:JEY262016 IVC262014:IVC262016 ILG262014:ILG262016 IBK262014:IBK262016 HRO262014:HRO262016 HHS262014:HHS262016 GXW262014:GXW262016 GOA262014:GOA262016 GEE262014:GEE262016 FUI262014:FUI262016 FKM262014:FKM262016 FAQ262014:FAQ262016 EQU262014:EQU262016 EGY262014:EGY262016 DXC262014:DXC262016 DNG262014:DNG262016 DDK262014:DDK262016 CTO262014:CTO262016 CJS262014:CJS262016 BZW262014:BZW262016 BQA262014:BQA262016 BGE262014:BGE262016 AWI262014:AWI262016 AMM262014:AMM262016 ACQ262014:ACQ262016 SU262014:SU262016 IY262014:IY262016 WVK196478:WVK196480 WLO196478:WLO196480 WBS196478:WBS196480 VRW196478:VRW196480 VIA196478:VIA196480 UYE196478:UYE196480 UOI196478:UOI196480 UEM196478:UEM196480 TUQ196478:TUQ196480 TKU196478:TKU196480 TAY196478:TAY196480 SRC196478:SRC196480 SHG196478:SHG196480 RXK196478:RXK196480 RNO196478:RNO196480 RDS196478:RDS196480 QTW196478:QTW196480 QKA196478:QKA196480 QAE196478:QAE196480 PQI196478:PQI196480 PGM196478:PGM196480 OWQ196478:OWQ196480 OMU196478:OMU196480 OCY196478:OCY196480 NTC196478:NTC196480 NJG196478:NJG196480 MZK196478:MZK196480 MPO196478:MPO196480 MFS196478:MFS196480 LVW196478:LVW196480 LMA196478:LMA196480 LCE196478:LCE196480 KSI196478:KSI196480 KIM196478:KIM196480 JYQ196478:JYQ196480 JOU196478:JOU196480 JEY196478:JEY196480 IVC196478:IVC196480 ILG196478:ILG196480 IBK196478:IBK196480 HRO196478:HRO196480 HHS196478:HHS196480 GXW196478:GXW196480 GOA196478:GOA196480 GEE196478:GEE196480 FUI196478:FUI196480 FKM196478:FKM196480 FAQ196478:FAQ196480 EQU196478:EQU196480 EGY196478:EGY196480 DXC196478:DXC196480 DNG196478:DNG196480 DDK196478:DDK196480 CTO196478:CTO196480 CJS196478:CJS196480 BZW196478:BZW196480 BQA196478:BQA196480 BGE196478:BGE196480 AWI196478:AWI196480 AMM196478:AMM196480 ACQ196478:ACQ196480 SU196478:SU196480 IY196478:IY196480 WVK130942:WVK130944 WLO130942:WLO130944 WBS130942:WBS130944 VRW130942:VRW130944 VIA130942:VIA130944 UYE130942:UYE130944 UOI130942:UOI130944 UEM130942:UEM130944 TUQ130942:TUQ130944 TKU130942:TKU130944 TAY130942:TAY130944 SRC130942:SRC130944 SHG130942:SHG130944 RXK130942:RXK130944 RNO130942:RNO130944 RDS130942:RDS130944 QTW130942:QTW130944 QKA130942:QKA130944 QAE130942:QAE130944 PQI130942:PQI130944 PGM130942:PGM130944 OWQ130942:OWQ130944 OMU130942:OMU130944 OCY130942:OCY130944 NTC130942:NTC130944 NJG130942:NJG130944 MZK130942:MZK130944 MPO130942:MPO130944 MFS130942:MFS130944 LVW130942:LVW130944 LMA130942:LMA130944 LCE130942:LCE130944 KSI130942:KSI130944 KIM130942:KIM130944 JYQ130942:JYQ130944 JOU130942:JOU130944 JEY130942:JEY130944 IVC130942:IVC130944 ILG130942:ILG130944 IBK130942:IBK130944 HRO130942:HRO130944 HHS130942:HHS130944 GXW130942:GXW130944 GOA130942:GOA130944 GEE130942:GEE130944 FUI130942:FUI130944 FKM130942:FKM130944 FAQ130942:FAQ130944 EQU130942:EQU130944 EGY130942:EGY130944 DXC130942:DXC130944 DNG130942:DNG130944 DDK130942:DDK130944 CTO130942:CTO130944 CJS130942:CJS130944 BZW130942:BZW130944 BQA130942:BQA130944 BGE130942:BGE130944 AWI130942:AWI130944 AMM130942:AMM130944 ACQ130942:ACQ130944 SU130942:SU130944 IY130942:IY130944 WVK65406:WVK65408 WLO65406:WLO65408 WBS65406:WBS65408 VRW65406:VRW65408 VIA65406:VIA65408 UYE65406:UYE65408 UOI65406:UOI65408 UEM65406:UEM65408 TUQ65406:TUQ65408 TKU65406:TKU65408 TAY65406:TAY65408 SRC65406:SRC65408 SHG65406:SHG65408 RXK65406:RXK65408 RNO65406:RNO65408 RDS65406:RDS65408 QTW65406:QTW65408 QKA65406:QKA65408 QAE65406:QAE65408 PQI65406:PQI65408 PGM65406:PGM65408 OWQ65406:OWQ65408 OMU65406:OMU65408 OCY65406:OCY65408 NTC65406:NTC65408 NJG65406:NJG65408 MZK65406:MZK65408 MPO65406:MPO65408 MFS65406:MFS65408 LVW65406:LVW65408 LMA65406:LMA65408 LCE65406:LCE65408 KSI65406:KSI65408 KIM65406:KIM65408 JYQ65406:JYQ65408 JOU65406:JOU65408 JEY65406:JEY65408 IVC65406:IVC65408 ILG65406:ILG65408 IBK65406:IBK65408 HRO65406:HRO65408 HHS65406:HHS65408 GXW65406:GXW65408 GOA65406:GOA65408 GEE65406:GEE65408 FUI65406:FUI65408 FKM65406:FKM65408 FAQ65406:FAQ65408 EQU65406:EQU65408 EGY65406:EGY65408 DXC65406:DXC65408 DNG65406:DNG65408 DDK65406:DDK65408 CTO65406:CTO65408 CJS65406:CJS65408 BZW65406:BZW65408 BQA65406:BQA65408 BGE65406:BGE65408 AWI65406:AWI65408 AMM65406:AMM65408 ACQ65406:ACQ65408 SU65406:SU65408 IY65406:IY65408 WVK982914:WVK982915 WLO982914:WLO982915 WBS982914:WBS982915 VRW982914:VRW982915 VIA982914:VIA982915 UYE982914:UYE982915 UOI982914:UOI982915 UEM982914:UEM982915 TUQ982914:TUQ982915 TKU982914:TKU982915 TAY982914:TAY982915 SRC982914:SRC982915 SHG982914:SHG982915 RXK982914:RXK982915 RNO982914:RNO982915 RDS982914:RDS982915 QTW982914:QTW982915 QKA982914:QKA982915 QAE982914:QAE982915 PQI982914:PQI982915 PGM982914:PGM982915 OWQ982914:OWQ982915 OMU982914:OMU982915 OCY982914:OCY982915 NTC982914:NTC982915 NJG982914:NJG982915 MZK982914:MZK982915 MPO982914:MPO982915 MFS982914:MFS982915 LVW982914:LVW982915 LMA982914:LMA982915 LCE982914:LCE982915 KSI982914:KSI982915 KIM982914:KIM982915 JYQ982914:JYQ982915 JOU982914:JOU982915 JEY982914:JEY982915 IVC982914:IVC982915 ILG982914:ILG982915 IBK982914:IBK982915 HRO982914:HRO982915 HHS982914:HHS982915 GXW982914:GXW982915 GOA982914:GOA982915 GEE982914:GEE982915 FUI982914:FUI982915 FKM982914:FKM982915 FAQ982914:FAQ982915 EQU982914:EQU982915 EGY982914:EGY982915 DXC982914:DXC982915 DNG982914:DNG982915 DDK982914:DDK982915 CTO982914:CTO982915 CJS982914:CJS982915 BZW982914:BZW982915 BQA982914:BQA982915 BGE982914:BGE982915 AWI982914:AWI982915 AMM982914:AMM982915 ACQ982914:ACQ982915 SU982914:SU982915 IY982914:IY982915 WVK917378:WVK917379 WLO917378:WLO917379 WBS917378:WBS917379 VRW917378:VRW917379 VIA917378:VIA917379 UYE917378:UYE917379 UOI917378:UOI917379 UEM917378:UEM917379 TUQ917378:TUQ917379 TKU917378:TKU917379 TAY917378:TAY917379 SRC917378:SRC917379 SHG917378:SHG917379 RXK917378:RXK917379 RNO917378:RNO917379 RDS917378:RDS917379 QTW917378:QTW917379 QKA917378:QKA917379 QAE917378:QAE917379 PQI917378:PQI917379 PGM917378:PGM917379 OWQ917378:OWQ917379 OMU917378:OMU917379 OCY917378:OCY917379 NTC917378:NTC917379 NJG917378:NJG917379 MZK917378:MZK917379 MPO917378:MPO917379 MFS917378:MFS917379 LVW917378:LVW917379 LMA917378:LMA917379 LCE917378:LCE917379 KSI917378:KSI917379 KIM917378:KIM917379 JYQ917378:JYQ917379 JOU917378:JOU917379 JEY917378:JEY917379 IVC917378:IVC917379 ILG917378:ILG917379 IBK917378:IBK917379 HRO917378:HRO917379 HHS917378:HHS917379 GXW917378:GXW917379 GOA917378:GOA917379 GEE917378:GEE917379 FUI917378:FUI917379 FKM917378:FKM917379 FAQ917378:FAQ917379 EQU917378:EQU917379 EGY917378:EGY917379 DXC917378:DXC917379 DNG917378:DNG917379 DDK917378:DDK917379 CTO917378:CTO917379 CJS917378:CJS917379 BZW917378:BZW917379 BQA917378:BQA917379 BGE917378:BGE917379 AWI917378:AWI917379 AMM917378:AMM917379 ACQ917378:ACQ917379 SU917378:SU917379 IY917378:IY917379 WVK851842:WVK851843 WLO851842:WLO851843 WBS851842:WBS851843 VRW851842:VRW851843 VIA851842:VIA851843 UYE851842:UYE851843 UOI851842:UOI851843 UEM851842:UEM851843 TUQ851842:TUQ851843 TKU851842:TKU851843 TAY851842:TAY851843 SRC851842:SRC851843 SHG851842:SHG851843 RXK851842:RXK851843 RNO851842:RNO851843 RDS851842:RDS851843 QTW851842:QTW851843 QKA851842:QKA851843 QAE851842:QAE851843 PQI851842:PQI851843 PGM851842:PGM851843 OWQ851842:OWQ851843 OMU851842:OMU851843 OCY851842:OCY851843 NTC851842:NTC851843 NJG851842:NJG851843 MZK851842:MZK851843 MPO851842:MPO851843 MFS851842:MFS851843 LVW851842:LVW851843 LMA851842:LMA851843 LCE851842:LCE851843 KSI851842:KSI851843 KIM851842:KIM851843 JYQ851842:JYQ851843 JOU851842:JOU851843 JEY851842:JEY851843 IVC851842:IVC851843 ILG851842:ILG851843 IBK851842:IBK851843 HRO851842:HRO851843 HHS851842:HHS851843 GXW851842:GXW851843 GOA851842:GOA851843 GEE851842:GEE851843 FUI851842:FUI851843 FKM851842:FKM851843 FAQ851842:FAQ851843 EQU851842:EQU851843 EGY851842:EGY851843 DXC851842:DXC851843 DNG851842:DNG851843 DDK851842:DDK851843 CTO851842:CTO851843 CJS851842:CJS851843 BZW851842:BZW851843 BQA851842:BQA851843 BGE851842:BGE851843 AWI851842:AWI851843 AMM851842:AMM851843 ACQ851842:ACQ851843 SU851842:SU851843 IY851842:IY851843 WVK786306:WVK786307 WLO786306:WLO786307 WBS786306:WBS786307 VRW786306:VRW786307 VIA786306:VIA786307 UYE786306:UYE786307 UOI786306:UOI786307 UEM786306:UEM786307 TUQ786306:TUQ786307 TKU786306:TKU786307 TAY786306:TAY786307 SRC786306:SRC786307 SHG786306:SHG786307 RXK786306:RXK786307 RNO786306:RNO786307 RDS786306:RDS786307 QTW786306:QTW786307 QKA786306:QKA786307 QAE786306:QAE786307 PQI786306:PQI786307 PGM786306:PGM786307 OWQ786306:OWQ786307 OMU786306:OMU786307 OCY786306:OCY786307 NTC786306:NTC786307 NJG786306:NJG786307 MZK786306:MZK786307 MPO786306:MPO786307 MFS786306:MFS786307 LVW786306:LVW786307 LMA786306:LMA786307 LCE786306:LCE786307 KSI786306:KSI786307 KIM786306:KIM786307 JYQ786306:JYQ786307 JOU786306:JOU786307 JEY786306:JEY786307 IVC786306:IVC786307 ILG786306:ILG786307 IBK786306:IBK786307 HRO786306:HRO786307 HHS786306:HHS786307 GXW786306:GXW786307 GOA786306:GOA786307 GEE786306:GEE786307 FUI786306:FUI786307 FKM786306:FKM786307 FAQ786306:FAQ786307 EQU786306:EQU786307 EGY786306:EGY786307 DXC786306:DXC786307 DNG786306:DNG786307 DDK786306:DDK786307 CTO786306:CTO786307 CJS786306:CJS786307 BZW786306:BZW786307 BQA786306:BQA786307 BGE786306:BGE786307 AWI786306:AWI786307 AMM786306:AMM786307 ACQ786306:ACQ786307 SU786306:SU786307 IY786306:IY786307 WVK720770:WVK720771 WLO720770:WLO720771 WBS720770:WBS720771 VRW720770:VRW720771 VIA720770:VIA720771 UYE720770:UYE720771 UOI720770:UOI720771 UEM720770:UEM720771 TUQ720770:TUQ720771 TKU720770:TKU720771 TAY720770:TAY720771 SRC720770:SRC720771 SHG720770:SHG720771 RXK720770:RXK720771 RNO720770:RNO720771 RDS720770:RDS720771 QTW720770:QTW720771 QKA720770:QKA720771 QAE720770:QAE720771 PQI720770:PQI720771 PGM720770:PGM720771 OWQ720770:OWQ720771 OMU720770:OMU720771 OCY720770:OCY720771 NTC720770:NTC720771 NJG720770:NJG720771 MZK720770:MZK720771 MPO720770:MPO720771 MFS720770:MFS720771 LVW720770:LVW720771 LMA720770:LMA720771 LCE720770:LCE720771 KSI720770:KSI720771 KIM720770:KIM720771 JYQ720770:JYQ720771 JOU720770:JOU720771 JEY720770:JEY720771 IVC720770:IVC720771 ILG720770:ILG720771 IBK720770:IBK720771 HRO720770:HRO720771 HHS720770:HHS720771 GXW720770:GXW720771 GOA720770:GOA720771 GEE720770:GEE720771 FUI720770:FUI720771 FKM720770:FKM720771 FAQ720770:FAQ720771 EQU720770:EQU720771 EGY720770:EGY720771 DXC720770:DXC720771 DNG720770:DNG720771 DDK720770:DDK720771 CTO720770:CTO720771 CJS720770:CJS720771 BZW720770:BZW720771 BQA720770:BQA720771 BGE720770:BGE720771 AWI720770:AWI720771 AMM720770:AMM720771 ACQ720770:ACQ720771 SU720770:SU720771 IY720770:IY720771 WVK655234:WVK655235 WLO655234:WLO655235 WBS655234:WBS655235 VRW655234:VRW655235 VIA655234:VIA655235 UYE655234:UYE655235 UOI655234:UOI655235 UEM655234:UEM655235 TUQ655234:TUQ655235 TKU655234:TKU655235 TAY655234:TAY655235 SRC655234:SRC655235 SHG655234:SHG655235 RXK655234:RXK655235 RNO655234:RNO655235 RDS655234:RDS655235 QTW655234:QTW655235 QKA655234:QKA655235 QAE655234:QAE655235 PQI655234:PQI655235 PGM655234:PGM655235 OWQ655234:OWQ655235 OMU655234:OMU655235 OCY655234:OCY655235 NTC655234:NTC655235 NJG655234:NJG655235 MZK655234:MZK655235 MPO655234:MPO655235 MFS655234:MFS655235 LVW655234:LVW655235 LMA655234:LMA655235 LCE655234:LCE655235 KSI655234:KSI655235 KIM655234:KIM655235 JYQ655234:JYQ655235 JOU655234:JOU655235 JEY655234:JEY655235 IVC655234:IVC655235 ILG655234:ILG655235 IBK655234:IBK655235 HRO655234:HRO655235 HHS655234:HHS655235 GXW655234:GXW655235 GOA655234:GOA655235 GEE655234:GEE655235 FUI655234:FUI655235 FKM655234:FKM655235 FAQ655234:FAQ655235 EQU655234:EQU655235 EGY655234:EGY655235 DXC655234:DXC655235 DNG655234:DNG655235 DDK655234:DDK655235 CTO655234:CTO655235 CJS655234:CJS655235 BZW655234:BZW655235 BQA655234:BQA655235 BGE655234:BGE655235 AWI655234:AWI655235 AMM655234:AMM655235 ACQ655234:ACQ655235 SU655234:SU655235 IY655234:IY655235 WVK589698:WVK589699 WLO589698:WLO589699 WBS589698:WBS589699 VRW589698:VRW589699 VIA589698:VIA589699 UYE589698:UYE589699 UOI589698:UOI589699 UEM589698:UEM589699 TUQ589698:TUQ589699 TKU589698:TKU589699 TAY589698:TAY589699 SRC589698:SRC589699 SHG589698:SHG589699 RXK589698:RXK589699 RNO589698:RNO589699 RDS589698:RDS589699 QTW589698:QTW589699 QKA589698:QKA589699 QAE589698:QAE589699 PQI589698:PQI589699 PGM589698:PGM589699 OWQ589698:OWQ589699 OMU589698:OMU589699 OCY589698:OCY589699 NTC589698:NTC589699 NJG589698:NJG589699 MZK589698:MZK589699 MPO589698:MPO589699 MFS589698:MFS589699 LVW589698:LVW589699 LMA589698:LMA589699 LCE589698:LCE589699 KSI589698:KSI589699 KIM589698:KIM589699 JYQ589698:JYQ589699 JOU589698:JOU589699 JEY589698:JEY589699 IVC589698:IVC589699 ILG589698:ILG589699 IBK589698:IBK589699 HRO589698:HRO589699 HHS589698:HHS589699 GXW589698:GXW589699 GOA589698:GOA589699 GEE589698:GEE589699 FUI589698:FUI589699 FKM589698:FKM589699 FAQ589698:FAQ589699 EQU589698:EQU589699 EGY589698:EGY589699 DXC589698:DXC589699 DNG589698:DNG589699 DDK589698:DDK589699 CTO589698:CTO589699 CJS589698:CJS589699 BZW589698:BZW589699 BQA589698:BQA589699 BGE589698:BGE589699 AWI589698:AWI589699 AMM589698:AMM589699 ACQ589698:ACQ589699 SU589698:SU589699 IY589698:IY589699 WVK524162:WVK524163 WLO524162:WLO524163 WBS524162:WBS524163 VRW524162:VRW524163 VIA524162:VIA524163 UYE524162:UYE524163 UOI524162:UOI524163 UEM524162:UEM524163 TUQ524162:TUQ524163 TKU524162:TKU524163 TAY524162:TAY524163 SRC524162:SRC524163 SHG524162:SHG524163 RXK524162:RXK524163 RNO524162:RNO524163 RDS524162:RDS524163 QTW524162:QTW524163 QKA524162:QKA524163 QAE524162:QAE524163 PQI524162:PQI524163 PGM524162:PGM524163 OWQ524162:OWQ524163 OMU524162:OMU524163 OCY524162:OCY524163 NTC524162:NTC524163 NJG524162:NJG524163 MZK524162:MZK524163 MPO524162:MPO524163 MFS524162:MFS524163 LVW524162:LVW524163 LMA524162:LMA524163 LCE524162:LCE524163 KSI524162:KSI524163 KIM524162:KIM524163 JYQ524162:JYQ524163 JOU524162:JOU524163 JEY524162:JEY524163 IVC524162:IVC524163 ILG524162:ILG524163 IBK524162:IBK524163 HRO524162:HRO524163 HHS524162:HHS524163 GXW524162:GXW524163 GOA524162:GOA524163 GEE524162:GEE524163 FUI524162:FUI524163 FKM524162:FKM524163 FAQ524162:FAQ524163 EQU524162:EQU524163 EGY524162:EGY524163 DXC524162:DXC524163 DNG524162:DNG524163 DDK524162:DDK524163 CTO524162:CTO524163 CJS524162:CJS524163 BZW524162:BZW524163 BQA524162:BQA524163 BGE524162:BGE524163 AWI524162:AWI524163 AMM524162:AMM524163 ACQ524162:ACQ524163 SU524162:SU524163 IY524162:IY524163 WVK458626:WVK458627 WLO458626:WLO458627 WBS458626:WBS458627 VRW458626:VRW458627 VIA458626:VIA458627 UYE458626:UYE458627 UOI458626:UOI458627 UEM458626:UEM458627 TUQ458626:TUQ458627 TKU458626:TKU458627 TAY458626:TAY458627 SRC458626:SRC458627 SHG458626:SHG458627 RXK458626:RXK458627 RNO458626:RNO458627 RDS458626:RDS458627 QTW458626:QTW458627 QKA458626:QKA458627 QAE458626:QAE458627 PQI458626:PQI458627 PGM458626:PGM458627 OWQ458626:OWQ458627 OMU458626:OMU458627 OCY458626:OCY458627 NTC458626:NTC458627 NJG458626:NJG458627 MZK458626:MZK458627 MPO458626:MPO458627 MFS458626:MFS458627 LVW458626:LVW458627 LMA458626:LMA458627 LCE458626:LCE458627 KSI458626:KSI458627 KIM458626:KIM458627 JYQ458626:JYQ458627 JOU458626:JOU458627 JEY458626:JEY458627 IVC458626:IVC458627 ILG458626:ILG458627 IBK458626:IBK458627 HRO458626:HRO458627 HHS458626:HHS458627 GXW458626:GXW458627 GOA458626:GOA458627 GEE458626:GEE458627 FUI458626:FUI458627 FKM458626:FKM458627 FAQ458626:FAQ458627 EQU458626:EQU458627 EGY458626:EGY458627 DXC458626:DXC458627 DNG458626:DNG458627 DDK458626:DDK458627 CTO458626:CTO458627 CJS458626:CJS458627 BZW458626:BZW458627 BQA458626:BQA458627 BGE458626:BGE458627 AWI458626:AWI458627 AMM458626:AMM458627 ACQ458626:ACQ458627 SU458626:SU458627 IY458626:IY458627 WVK393090:WVK393091 WLO393090:WLO393091 WBS393090:WBS393091 VRW393090:VRW393091 VIA393090:VIA393091 UYE393090:UYE393091 UOI393090:UOI393091 UEM393090:UEM393091 TUQ393090:TUQ393091 TKU393090:TKU393091 TAY393090:TAY393091 SRC393090:SRC393091 SHG393090:SHG393091 RXK393090:RXK393091 RNO393090:RNO393091 RDS393090:RDS393091 QTW393090:QTW393091 QKA393090:QKA393091 QAE393090:QAE393091 PQI393090:PQI393091 PGM393090:PGM393091 OWQ393090:OWQ393091 OMU393090:OMU393091 OCY393090:OCY393091 NTC393090:NTC393091 NJG393090:NJG393091 MZK393090:MZK393091 MPO393090:MPO393091 MFS393090:MFS393091 LVW393090:LVW393091 LMA393090:LMA393091 LCE393090:LCE393091 KSI393090:KSI393091 KIM393090:KIM393091 JYQ393090:JYQ393091 JOU393090:JOU393091 JEY393090:JEY393091 IVC393090:IVC393091 ILG393090:ILG393091 IBK393090:IBK393091 HRO393090:HRO393091 HHS393090:HHS393091 GXW393090:GXW393091 GOA393090:GOA393091 GEE393090:GEE393091 FUI393090:FUI393091 FKM393090:FKM393091 FAQ393090:FAQ393091 EQU393090:EQU393091 EGY393090:EGY393091 DXC393090:DXC393091 DNG393090:DNG393091 DDK393090:DDK393091 CTO393090:CTO393091 CJS393090:CJS393091 BZW393090:BZW393091 BQA393090:BQA393091 BGE393090:BGE393091 AWI393090:AWI393091 AMM393090:AMM393091 ACQ393090:ACQ393091 SU393090:SU393091 IY393090:IY393091 WVK327554:WVK327555 WLO327554:WLO327555 WBS327554:WBS327555 VRW327554:VRW327555 VIA327554:VIA327555 UYE327554:UYE327555 UOI327554:UOI327555 UEM327554:UEM327555 TUQ327554:TUQ327555 TKU327554:TKU327555 TAY327554:TAY327555 SRC327554:SRC327555 SHG327554:SHG327555 RXK327554:RXK327555 RNO327554:RNO327555 RDS327554:RDS327555 QTW327554:QTW327555 QKA327554:QKA327555 QAE327554:QAE327555 PQI327554:PQI327555 PGM327554:PGM327555 OWQ327554:OWQ327555 OMU327554:OMU327555 OCY327554:OCY327555 NTC327554:NTC327555 NJG327554:NJG327555 MZK327554:MZK327555 MPO327554:MPO327555 MFS327554:MFS327555 LVW327554:LVW327555 LMA327554:LMA327555 LCE327554:LCE327555 KSI327554:KSI327555 KIM327554:KIM327555 JYQ327554:JYQ327555 JOU327554:JOU327555 JEY327554:JEY327555 IVC327554:IVC327555 ILG327554:ILG327555 IBK327554:IBK327555 HRO327554:HRO327555 HHS327554:HHS327555 GXW327554:GXW327555 GOA327554:GOA327555 GEE327554:GEE327555 FUI327554:FUI327555 FKM327554:FKM327555 FAQ327554:FAQ327555 EQU327554:EQU327555 EGY327554:EGY327555 DXC327554:DXC327555 DNG327554:DNG327555 DDK327554:DDK327555 CTO327554:CTO327555 CJS327554:CJS327555 BZW327554:BZW327555 BQA327554:BQA327555 BGE327554:BGE327555 AWI327554:AWI327555 AMM327554:AMM327555 ACQ327554:ACQ327555 SU327554:SU327555 IY327554:IY327555 WVK262018:WVK262019 WLO262018:WLO262019 WBS262018:WBS262019 VRW262018:VRW262019 VIA262018:VIA262019 UYE262018:UYE262019 UOI262018:UOI262019 UEM262018:UEM262019 TUQ262018:TUQ262019 TKU262018:TKU262019 TAY262018:TAY262019 SRC262018:SRC262019 SHG262018:SHG262019 RXK262018:RXK262019 RNO262018:RNO262019 RDS262018:RDS262019 QTW262018:QTW262019 QKA262018:QKA262019 QAE262018:QAE262019 PQI262018:PQI262019 PGM262018:PGM262019 OWQ262018:OWQ262019 OMU262018:OMU262019 OCY262018:OCY262019 NTC262018:NTC262019 NJG262018:NJG262019 MZK262018:MZK262019 MPO262018:MPO262019 MFS262018:MFS262019 LVW262018:LVW262019 LMA262018:LMA262019 LCE262018:LCE262019 KSI262018:KSI262019 KIM262018:KIM262019 JYQ262018:JYQ262019 JOU262018:JOU262019 JEY262018:JEY262019 IVC262018:IVC262019 ILG262018:ILG262019 IBK262018:IBK262019 HRO262018:HRO262019 HHS262018:HHS262019 GXW262018:GXW262019 GOA262018:GOA262019 GEE262018:GEE262019 FUI262018:FUI262019 FKM262018:FKM262019 FAQ262018:FAQ262019 EQU262018:EQU262019 EGY262018:EGY262019 DXC262018:DXC262019 DNG262018:DNG262019 DDK262018:DDK262019 CTO262018:CTO262019 CJS262018:CJS262019 BZW262018:BZW262019 BQA262018:BQA262019 BGE262018:BGE262019 AWI262018:AWI262019 AMM262018:AMM262019 ACQ262018:ACQ262019 SU262018:SU262019 IY262018:IY262019 WVK196482:WVK196483 WLO196482:WLO196483 WBS196482:WBS196483 VRW196482:VRW196483 VIA196482:VIA196483 UYE196482:UYE196483 UOI196482:UOI196483 UEM196482:UEM196483 TUQ196482:TUQ196483 TKU196482:TKU196483 TAY196482:TAY196483 SRC196482:SRC196483 SHG196482:SHG196483 RXK196482:RXK196483 RNO196482:RNO196483 RDS196482:RDS196483 QTW196482:QTW196483 QKA196482:QKA196483 QAE196482:QAE196483 PQI196482:PQI196483 PGM196482:PGM196483 OWQ196482:OWQ196483 OMU196482:OMU196483 OCY196482:OCY196483 NTC196482:NTC196483 NJG196482:NJG196483 MZK196482:MZK196483 MPO196482:MPO196483 MFS196482:MFS196483 LVW196482:LVW196483 LMA196482:LMA196483 LCE196482:LCE196483 KSI196482:KSI196483 KIM196482:KIM196483 JYQ196482:JYQ196483 JOU196482:JOU196483 JEY196482:JEY196483 IVC196482:IVC196483 ILG196482:ILG196483 IBK196482:IBK196483 HRO196482:HRO196483 HHS196482:HHS196483 GXW196482:GXW196483 GOA196482:GOA196483 GEE196482:GEE196483 FUI196482:FUI196483 FKM196482:FKM196483 FAQ196482:FAQ196483 EQU196482:EQU196483 EGY196482:EGY196483 DXC196482:DXC196483 DNG196482:DNG196483 DDK196482:DDK196483 CTO196482:CTO196483 CJS196482:CJS196483 BZW196482:BZW196483 BQA196482:BQA196483 BGE196482:BGE196483 AWI196482:AWI196483 AMM196482:AMM196483 ACQ196482:ACQ196483 SU196482:SU196483 IY196482:IY196483 WVK130946:WVK130947 WLO130946:WLO130947 WBS130946:WBS130947 VRW130946:VRW130947 VIA130946:VIA130947 UYE130946:UYE130947 UOI130946:UOI130947 UEM130946:UEM130947 TUQ130946:TUQ130947 TKU130946:TKU130947 TAY130946:TAY130947 SRC130946:SRC130947 SHG130946:SHG130947 RXK130946:RXK130947 RNO130946:RNO130947 RDS130946:RDS130947 QTW130946:QTW130947 QKA130946:QKA130947 QAE130946:QAE130947 PQI130946:PQI130947 PGM130946:PGM130947 OWQ130946:OWQ130947 OMU130946:OMU130947 OCY130946:OCY130947 NTC130946:NTC130947 NJG130946:NJG130947 MZK130946:MZK130947 MPO130946:MPO130947 MFS130946:MFS130947 LVW130946:LVW130947 LMA130946:LMA130947 LCE130946:LCE130947 KSI130946:KSI130947 KIM130946:KIM130947 JYQ130946:JYQ130947 JOU130946:JOU130947 JEY130946:JEY130947 IVC130946:IVC130947 ILG130946:ILG130947 IBK130946:IBK130947 HRO130946:HRO130947 HHS130946:HHS130947 GXW130946:GXW130947 GOA130946:GOA130947 GEE130946:GEE130947 FUI130946:FUI130947 FKM130946:FKM130947 FAQ130946:FAQ130947 EQU130946:EQU130947 EGY130946:EGY130947 DXC130946:DXC130947 DNG130946:DNG130947 DDK130946:DDK130947 CTO130946:CTO130947 CJS130946:CJS130947 BZW130946:BZW130947 BQA130946:BQA130947 BGE130946:BGE130947 AWI130946:AWI130947 AMM130946:AMM130947 ACQ130946:ACQ130947 SU130946:SU130947 IY130946:IY130947 WVK65410:WVK65411 WLO65410:WLO65411 WBS65410:WBS65411 VRW65410:VRW65411 VIA65410:VIA65411 UYE65410:UYE65411 UOI65410:UOI65411 UEM65410:UEM65411 TUQ65410:TUQ65411 TKU65410:TKU65411 TAY65410:TAY65411 SRC65410:SRC65411 SHG65410:SHG65411 RXK65410:RXK65411 RNO65410:RNO65411 RDS65410:RDS65411 QTW65410:QTW65411 QKA65410:QKA65411 QAE65410:QAE65411 PQI65410:PQI65411 PGM65410:PGM65411 OWQ65410:OWQ65411 OMU65410:OMU65411 OCY65410:OCY65411 NTC65410:NTC65411 NJG65410:NJG65411 MZK65410:MZK65411 MPO65410:MPO65411 MFS65410:MFS65411 LVW65410:LVW65411 LMA65410:LMA65411 LCE65410:LCE65411 KSI65410:KSI65411 KIM65410:KIM65411 JYQ65410:JYQ65411 JOU65410:JOU65411 JEY65410:JEY65411 IVC65410:IVC65411 ILG65410:ILG65411 IBK65410:IBK65411 HRO65410:HRO65411 HHS65410:HHS65411 GXW65410:GXW65411 GOA65410:GOA65411 GEE65410:GEE65411 FUI65410:FUI65411 FKM65410:FKM65411 FAQ65410:FAQ65411 EQU65410:EQU65411 EGY65410:EGY65411 DXC65410:DXC65411 DNG65410:DNG65411 DDK65410:DDK65411 CTO65410:CTO65411 CJS65410:CJS65411 BZW65410:BZW65411 BQA65410:BQA65411 BGE65410:BGE65411 AWI65410:AWI65411 AMM65410:AMM65411 ACQ65410:ACQ65411 SU65410:SU65411 IY65410:IY65411 WVK982917:WVK982930 WLO982917:WLO982930 WBS982917:WBS982930 VRW982917:VRW982930 VIA982917:VIA982930 UYE982917:UYE982930 UOI982917:UOI982930 UEM982917:UEM982930 TUQ982917:TUQ982930 TKU982917:TKU982930 TAY982917:TAY982930 SRC982917:SRC982930 SHG982917:SHG982930 RXK982917:RXK982930 RNO982917:RNO982930 RDS982917:RDS982930 QTW982917:QTW982930 QKA982917:QKA982930 QAE982917:QAE982930 PQI982917:PQI982930 PGM982917:PGM982930 OWQ982917:OWQ982930 OMU982917:OMU982930 OCY982917:OCY982930 NTC982917:NTC982930 NJG982917:NJG982930 MZK982917:MZK982930 MPO982917:MPO982930 MFS982917:MFS982930 LVW982917:LVW982930 LMA982917:LMA982930 LCE982917:LCE982930 KSI982917:KSI982930 KIM982917:KIM982930 JYQ982917:JYQ982930 JOU982917:JOU982930 JEY982917:JEY982930 IVC982917:IVC982930 ILG982917:ILG982930 IBK982917:IBK982930 HRO982917:HRO982930 HHS982917:HHS982930 GXW982917:GXW982930 GOA982917:GOA982930 GEE982917:GEE982930 FUI982917:FUI982930 FKM982917:FKM982930 FAQ982917:FAQ982930 EQU982917:EQU982930 EGY982917:EGY982930 DXC982917:DXC982930 DNG982917:DNG982930 DDK982917:DDK982930 CTO982917:CTO982930 CJS982917:CJS982930 BZW982917:BZW982930 BQA982917:BQA982930 BGE982917:BGE982930 AWI982917:AWI982930 AMM982917:AMM982930 ACQ982917:ACQ982930 SU982917:SU982930 IY982917:IY982930 WVK917381:WVK917394 WLO917381:WLO917394 WBS917381:WBS917394 VRW917381:VRW917394 VIA917381:VIA917394 UYE917381:UYE917394 UOI917381:UOI917394 UEM917381:UEM917394 TUQ917381:TUQ917394 TKU917381:TKU917394 TAY917381:TAY917394 SRC917381:SRC917394 SHG917381:SHG917394 RXK917381:RXK917394 RNO917381:RNO917394 RDS917381:RDS917394 QTW917381:QTW917394 QKA917381:QKA917394 QAE917381:QAE917394 PQI917381:PQI917394 PGM917381:PGM917394 OWQ917381:OWQ917394 OMU917381:OMU917394 OCY917381:OCY917394 NTC917381:NTC917394 NJG917381:NJG917394 MZK917381:MZK917394 MPO917381:MPO917394 MFS917381:MFS917394 LVW917381:LVW917394 LMA917381:LMA917394 LCE917381:LCE917394 KSI917381:KSI917394 KIM917381:KIM917394 JYQ917381:JYQ917394 JOU917381:JOU917394 JEY917381:JEY917394 IVC917381:IVC917394 ILG917381:ILG917394 IBK917381:IBK917394 HRO917381:HRO917394 HHS917381:HHS917394 GXW917381:GXW917394 GOA917381:GOA917394 GEE917381:GEE917394 FUI917381:FUI917394 FKM917381:FKM917394 FAQ917381:FAQ917394 EQU917381:EQU917394 EGY917381:EGY917394 DXC917381:DXC917394 DNG917381:DNG917394 DDK917381:DDK917394 CTO917381:CTO917394 CJS917381:CJS917394 BZW917381:BZW917394 BQA917381:BQA917394 BGE917381:BGE917394 AWI917381:AWI917394 AMM917381:AMM917394 ACQ917381:ACQ917394 SU917381:SU917394 IY917381:IY917394 WVK851845:WVK851858 WLO851845:WLO851858 WBS851845:WBS851858 VRW851845:VRW851858 VIA851845:VIA851858 UYE851845:UYE851858 UOI851845:UOI851858 UEM851845:UEM851858 TUQ851845:TUQ851858 TKU851845:TKU851858 TAY851845:TAY851858 SRC851845:SRC851858 SHG851845:SHG851858 RXK851845:RXK851858 RNO851845:RNO851858 RDS851845:RDS851858 QTW851845:QTW851858 QKA851845:QKA851858 QAE851845:QAE851858 PQI851845:PQI851858 PGM851845:PGM851858 OWQ851845:OWQ851858 OMU851845:OMU851858 OCY851845:OCY851858 NTC851845:NTC851858 NJG851845:NJG851858 MZK851845:MZK851858 MPO851845:MPO851858 MFS851845:MFS851858 LVW851845:LVW851858 LMA851845:LMA851858 LCE851845:LCE851858 KSI851845:KSI851858 KIM851845:KIM851858 JYQ851845:JYQ851858 JOU851845:JOU851858 JEY851845:JEY851858 IVC851845:IVC851858 ILG851845:ILG851858 IBK851845:IBK851858 HRO851845:HRO851858 HHS851845:HHS851858 GXW851845:GXW851858 GOA851845:GOA851858 GEE851845:GEE851858 FUI851845:FUI851858 FKM851845:FKM851858 FAQ851845:FAQ851858 EQU851845:EQU851858 EGY851845:EGY851858 DXC851845:DXC851858 DNG851845:DNG851858 DDK851845:DDK851858 CTO851845:CTO851858 CJS851845:CJS851858 BZW851845:BZW851858 BQA851845:BQA851858 BGE851845:BGE851858 AWI851845:AWI851858 AMM851845:AMM851858 ACQ851845:ACQ851858 SU851845:SU851858 IY851845:IY851858 WVK786309:WVK786322 WLO786309:WLO786322 WBS786309:WBS786322 VRW786309:VRW786322 VIA786309:VIA786322 UYE786309:UYE786322 UOI786309:UOI786322 UEM786309:UEM786322 TUQ786309:TUQ786322 TKU786309:TKU786322 TAY786309:TAY786322 SRC786309:SRC786322 SHG786309:SHG786322 RXK786309:RXK786322 RNO786309:RNO786322 RDS786309:RDS786322 QTW786309:QTW786322 QKA786309:QKA786322 QAE786309:QAE786322 PQI786309:PQI786322 PGM786309:PGM786322 OWQ786309:OWQ786322 OMU786309:OMU786322 OCY786309:OCY786322 NTC786309:NTC786322 NJG786309:NJG786322 MZK786309:MZK786322 MPO786309:MPO786322 MFS786309:MFS786322 LVW786309:LVW786322 LMA786309:LMA786322 LCE786309:LCE786322 KSI786309:KSI786322 KIM786309:KIM786322 JYQ786309:JYQ786322 JOU786309:JOU786322 JEY786309:JEY786322 IVC786309:IVC786322 ILG786309:ILG786322 IBK786309:IBK786322 HRO786309:HRO786322 HHS786309:HHS786322 GXW786309:GXW786322 GOA786309:GOA786322 GEE786309:GEE786322 FUI786309:FUI786322 FKM786309:FKM786322 FAQ786309:FAQ786322 EQU786309:EQU786322 EGY786309:EGY786322 DXC786309:DXC786322 DNG786309:DNG786322 DDK786309:DDK786322 CTO786309:CTO786322 CJS786309:CJS786322 BZW786309:BZW786322 BQA786309:BQA786322 BGE786309:BGE786322 AWI786309:AWI786322 AMM786309:AMM786322 ACQ786309:ACQ786322 SU786309:SU786322 IY786309:IY786322 WVK720773:WVK720786 WLO720773:WLO720786 WBS720773:WBS720786 VRW720773:VRW720786 VIA720773:VIA720786 UYE720773:UYE720786 UOI720773:UOI720786 UEM720773:UEM720786 TUQ720773:TUQ720786 TKU720773:TKU720786 TAY720773:TAY720786 SRC720773:SRC720786 SHG720773:SHG720786 RXK720773:RXK720786 RNO720773:RNO720786 RDS720773:RDS720786 QTW720773:QTW720786 QKA720773:QKA720786 QAE720773:QAE720786 PQI720773:PQI720786 PGM720773:PGM720786 OWQ720773:OWQ720786 OMU720773:OMU720786 OCY720773:OCY720786 NTC720773:NTC720786 NJG720773:NJG720786 MZK720773:MZK720786 MPO720773:MPO720786 MFS720773:MFS720786 LVW720773:LVW720786 LMA720773:LMA720786 LCE720773:LCE720786 KSI720773:KSI720786 KIM720773:KIM720786 JYQ720773:JYQ720786 JOU720773:JOU720786 JEY720773:JEY720786 IVC720773:IVC720786 ILG720773:ILG720786 IBK720773:IBK720786 HRO720773:HRO720786 HHS720773:HHS720786 GXW720773:GXW720786 GOA720773:GOA720786 GEE720773:GEE720786 FUI720773:FUI720786 FKM720773:FKM720786 FAQ720773:FAQ720786 EQU720773:EQU720786 EGY720773:EGY720786 DXC720773:DXC720786 DNG720773:DNG720786 DDK720773:DDK720786 CTO720773:CTO720786 CJS720773:CJS720786 BZW720773:BZW720786 BQA720773:BQA720786 BGE720773:BGE720786 AWI720773:AWI720786 AMM720773:AMM720786 ACQ720773:ACQ720786 SU720773:SU720786 IY720773:IY720786 WVK655237:WVK655250 WLO655237:WLO655250 WBS655237:WBS655250 VRW655237:VRW655250 VIA655237:VIA655250 UYE655237:UYE655250 UOI655237:UOI655250 UEM655237:UEM655250 TUQ655237:TUQ655250 TKU655237:TKU655250 TAY655237:TAY655250 SRC655237:SRC655250 SHG655237:SHG655250 RXK655237:RXK655250 RNO655237:RNO655250 RDS655237:RDS655250 QTW655237:QTW655250 QKA655237:QKA655250 QAE655237:QAE655250 PQI655237:PQI655250 PGM655237:PGM655250 OWQ655237:OWQ655250 OMU655237:OMU655250 OCY655237:OCY655250 NTC655237:NTC655250 NJG655237:NJG655250 MZK655237:MZK655250 MPO655237:MPO655250 MFS655237:MFS655250 LVW655237:LVW655250 LMA655237:LMA655250 LCE655237:LCE655250 KSI655237:KSI655250 KIM655237:KIM655250 JYQ655237:JYQ655250 JOU655237:JOU655250 JEY655237:JEY655250 IVC655237:IVC655250 ILG655237:ILG655250 IBK655237:IBK655250 HRO655237:HRO655250 HHS655237:HHS655250 GXW655237:GXW655250 GOA655237:GOA655250 GEE655237:GEE655250 FUI655237:FUI655250 FKM655237:FKM655250 FAQ655237:FAQ655250 EQU655237:EQU655250 EGY655237:EGY655250 DXC655237:DXC655250 DNG655237:DNG655250 DDK655237:DDK655250 CTO655237:CTO655250 CJS655237:CJS655250 BZW655237:BZW655250 BQA655237:BQA655250 BGE655237:BGE655250 AWI655237:AWI655250 AMM655237:AMM655250 ACQ655237:ACQ655250 SU655237:SU655250 IY655237:IY655250 WVK589701:WVK589714 WLO589701:WLO589714 WBS589701:WBS589714 VRW589701:VRW589714 VIA589701:VIA589714 UYE589701:UYE589714 UOI589701:UOI589714 UEM589701:UEM589714 TUQ589701:TUQ589714 TKU589701:TKU589714 TAY589701:TAY589714 SRC589701:SRC589714 SHG589701:SHG589714 RXK589701:RXK589714 RNO589701:RNO589714 RDS589701:RDS589714 QTW589701:QTW589714 QKA589701:QKA589714 QAE589701:QAE589714 PQI589701:PQI589714 PGM589701:PGM589714 OWQ589701:OWQ589714 OMU589701:OMU589714 OCY589701:OCY589714 NTC589701:NTC589714 NJG589701:NJG589714 MZK589701:MZK589714 MPO589701:MPO589714 MFS589701:MFS589714 LVW589701:LVW589714 LMA589701:LMA589714 LCE589701:LCE589714 KSI589701:KSI589714 KIM589701:KIM589714 JYQ589701:JYQ589714 JOU589701:JOU589714 JEY589701:JEY589714 IVC589701:IVC589714 ILG589701:ILG589714 IBK589701:IBK589714 HRO589701:HRO589714 HHS589701:HHS589714 GXW589701:GXW589714 GOA589701:GOA589714 GEE589701:GEE589714 FUI589701:FUI589714 FKM589701:FKM589714 FAQ589701:FAQ589714 EQU589701:EQU589714 EGY589701:EGY589714 DXC589701:DXC589714 DNG589701:DNG589714 DDK589701:DDK589714 CTO589701:CTO589714 CJS589701:CJS589714 BZW589701:BZW589714 BQA589701:BQA589714 BGE589701:BGE589714 AWI589701:AWI589714 AMM589701:AMM589714 ACQ589701:ACQ589714 SU589701:SU589714 IY589701:IY589714 WVK524165:WVK524178 WLO524165:WLO524178 WBS524165:WBS524178 VRW524165:VRW524178 VIA524165:VIA524178 UYE524165:UYE524178 UOI524165:UOI524178 UEM524165:UEM524178 TUQ524165:TUQ524178 TKU524165:TKU524178 TAY524165:TAY524178 SRC524165:SRC524178 SHG524165:SHG524178 RXK524165:RXK524178 RNO524165:RNO524178 RDS524165:RDS524178 QTW524165:QTW524178 QKA524165:QKA524178 QAE524165:QAE524178 PQI524165:PQI524178 PGM524165:PGM524178 OWQ524165:OWQ524178 OMU524165:OMU524178 OCY524165:OCY524178 NTC524165:NTC524178 NJG524165:NJG524178 MZK524165:MZK524178 MPO524165:MPO524178 MFS524165:MFS524178 LVW524165:LVW524178 LMA524165:LMA524178 LCE524165:LCE524178 KSI524165:KSI524178 KIM524165:KIM524178 JYQ524165:JYQ524178 JOU524165:JOU524178 JEY524165:JEY524178 IVC524165:IVC524178 ILG524165:ILG524178 IBK524165:IBK524178 HRO524165:HRO524178 HHS524165:HHS524178 GXW524165:GXW524178 GOA524165:GOA524178 GEE524165:GEE524178 FUI524165:FUI524178 FKM524165:FKM524178 FAQ524165:FAQ524178 EQU524165:EQU524178 EGY524165:EGY524178 DXC524165:DXC524178 DNG524165:DNG524178 DDK524165:DDK524178 CTO524165:CTO524178 CJS524165:CJS524178 BZW524165:BZW524178 BQA524165:BQA524178 BGE524165:BGE524178 AWI524165:AWI524178 AMM524165:AMM524178 ACQ524165:ACQ524178 SU524165:SU524178 IY524165:IY524178 WVK458629:WVK458642 WLO458629:WLO458642 WBS458629:WBS458642 VRW458629:VRW458642 VIA458629:VIA458642 UYE458629:UYE458642 UOI458629:UOI458642 UEM458629:UEM458642 TUQ458629:TUQ458642 TKU458629:TKU458642 TAY458629:TAY458642 SRC458629:SRC458642 SHG458629:SHG458642 RXK458629:RXK458642 RNO458629:RNO458642 RDS458629:RDS458642 QTW458629:QTW458642 QKA458629:QKA458642 QAE458629:QAE458642 PQI458629:PQI458642 PGM458629:PGM458642 OWQ458629:OWQ458642 OMU458629:OMU458642 OCY458629:OCY458642 NTC458629:NTC458642 NJG458629:NJG458642 MZK458629:MZK458642 MPO458629:MPO458642 MFS458629:MFS458642 LVW458629:LVW458642 LMA458629:LMA458642 LCE458629:LCE458642 KSI458629:KSI458642 KIM458629:KIM458642 JYQ458629:JYQ458642 JOU458629:JOU458642 JEY458629:JEY458642 IVC458629:IVC458642 ILG458629:ILG458642 IBK458629:IBK458642 HRO458629:HRO458642 HHS458629:HHS458642 GXW458629:GXW458642 GOA458629:GOA458642 GEE458629:GEE458642 FUI458629:FUI458642 FKM458629:FKM458642 FAQ458629:FAQ458642 EQU458629:EQU458642 EGY458629:EGY458642 DXC458629:DXC458642 DNG458629:DNG458642 DDK458629:DDK458642 CTO458629:CTO458642 CJS458629:CJS458642 BZW458629:BZW458642 BQA458629:BQA458642 BGE458629:BGE458642 AWI458629:AWI458642 AMM458629:AMM458642 ACQ458629:ACQ458642 SU458629:SU458642 IY458629:IY458642 WVK393093:WVK393106 WLO393093:WLO393106 WBS393093:WBS393106 VRW393093:VRW393106 VIA393093:VIA393106 UYE393093:UYE393106 UOI393093:UOI393106 UEM393093:UEM393106 TUQ393093:TUQ393106 TKU393093:TKU393106 TAY393093:TAY393106 SRC393093:SRC393106 SHG393093:SHG393106 RXK393093:RXK393106 RNO393093:RNO393106 RDS393093:RDS393106 QTW393093:QTW393106 QKA393093:QKA393106 QAE393093:QAE393106 PQI393093:PQI393106 PGM393093:PGM393106 OWQ393093:OWQ393106 OMU393093:OMU393106 OCY393093:OCY393106 NTC393093:NTC393106 NJG393093:NJG393106 MZK393093:MZK393106 MPO393093:MPO393106 MFS393093:MFS393106 LVW393093:LVW393106 LMA393093:LMA393106 LCE393093:LCE393106 KSI393093:KSI393106 KIM393093:KIM393106 JYQ393093:JYQ393106 JOU393093:JOU393106 JEY393093:JEY393106 IVC393093:IVC393106 ILG393093:ILG393106 IBK393093:IBK393106 HRO393093:HRO393106 HHS393093:HHS393106 GXW393093:GXW393106 GOA393093:GOA393106 GEE393093:GEE393106 FUI393093:FUI393106 FKM393093:FKM393106 FAQ393093:FAQ393106 EQU393093:EQU393106 EGY393093:EGY393106 DXC393093:DXC393106 DNG393093:DNG393106 DDK393093:DDK393106 CTO393093:CTO393106 CJS393093:CJS393106 BZW393093:BZW393106 BQA393093:BQA393106 BGE393093:BGE393106 AWI393093:AWI393106 AMM393093:AMM393106 ACQ393093:ACQ393106 SU393093:SU393106 IY393093:IY393106 WVK327557:WVK327570 WLO327557:WLO327570 WBS327557:WBS327570 VRW327557:VRW327570 VIA327557:VIA327570 UYE327557:UYE327570 UOI327557:UOI327570 UEM327557:UEM327570 TUQ327557:TUQ327570 TKU327557:TKU327570 TAY327557:TAY327570 SRC327557:SRC327570 SHG327557:SHG327570 RXK327557:RXK327570 RNO327557:RNO327570 RDS327557:RDS327570 QTW327557:QTW327570 QKA327557:QKA327570 QAE327557:QAE327570 PQI327557:PQI327570 PGM327557:PGM327570 OWQ327557:OWQ327570 OMU327557:OMU327570 OCY327557:OCY327570 NTC327557:NTC327570 NJG327557:NJG327570 MZK327557:MZK327570 MPO327557:MPO327570 MFS327557:MFS327570 LVW327557:LVW327570 LMA327557:LMA327570 LCE327557:LCE327570 KSI327557:KSI327570 KIM327557:KIM327570 JYQ327557:JYQ327570 JOU327557:JOU327570 JEY327557:JEY327570 IVC327557:IVC327570 ILG327557:ILG327570 IBK327557:IBK327570 HRO327557:HRO327570 HHS327557:HHS327570 GXW327557:GXW327570 GOA327557:GOA327570 GEE327557:GEE327570 FUI327557:FUI327570 FKM327557:FKM327570 FAQ327557:FAQ327570 EQU327557:EQU327570 EGY327557:EGY327570 DXC327557:DXC327570 DNG327557:DNG327570 DDK327557:DDK327570 CTO327557:CTO327570 CJS327557:CJS327570 BZW327557:BZW327570 BQA327557:BQA327570 BGE327557:BGE327570 AWI327557:AWI327570 AMM327557:AMM327570 ACQ327557:ACQ327570 SU327557:SU327570 IY327557:IY327570 WVK262021:WVK262034 WLO262021:WLO262034 WBS262021:WBS262034 VRW262021:VRW262034 VIA262021:VIA262034 UYE262021:UYE262034 UOI262021:UOI262034 UEM262021:UEM262034 TUQ262021:TUQ262034 TKU262021:TKU262034 TAY262021:TAY262034 SRC262021:SRC262034 SHG262021:SHG262034 RXK262021:RXK262034 RNO262021:RNO262034 RDS262021:RDS262034 QTW262021:QTW262034 QKA262021:QKA262034 QAE262021:QAE262034 PQI262021:PQI262034 PGM262021:PGM262034 OWQ262021:OWQ262034 OMU262021:OMU262034 OCY262021:OCY262034 NTC262021:NTC262034 NJG262021:NJG262034 MZK262021:MZK262034 MPO262021:MPO262034 MFS262021:MFS262034 LVW262021:LVW262034 LMA262021:LMA262034 LCE262021:LCE262034 KSI262021:KSI262034 KIM262021:KIM262034 JYQ262021:JYQ262034 JOU262021:JOU262034 JEY262021:JEY262034 IVC262021:IVC262034 ILG262021:ILG262034 IBK262021:IBK262034 HRO262021:HRO262034 HHS262021:HHS262034 GXW262021:GXW262034 GOA262021:GOA262034 GEE262021:GEE262034 FUI262021:FUI262034 FKM262021:FKM262034 FAQ262021:FAQ262034 EQU262021:EQU262034 EGY262021:EGY262034 DXC262021:DXC262034 DNG262021:DNG262034 DDK262021:DDK262034 CTO262021:CTO262034 CJS262021:CJS262034 BZW262021:BZW262034 BQA262021:BQA262034 BGE262021:BGE262034 AWI262021:AWI262034 AMM262021:AMM262034 ACQ262021:ACQ262034 SU262021:SU262034 IY262021:IY262034 WVK196485:WVK196498 WLO196485:WLO196498 WBS196485:WBS196498 VRW196485:VRW196498 VIA196485:VIA196498 UYE196485:UYE196498 UOI196485:UOI196498 UEM196485:UEM196498 TUQ196485:TUQ196498 TKU196485:TKU196498 TAY196485:TAY196498 SRC196485:SRC196498 SHG196485:SHG196498 RXK196485:RXK196498 RNO196485:RNO196498 RDS196485:RDS196498 QTW196485:QTW196498 QKA196485:QKA196498 QAE196485:QAE196498 PQI196485:PQI196498 PGM196485:PGM196498 OWQ196485:OWQ196498 OMU196485:OMU196498 OCY196485:OCY196498 NTC196485:NTC196498 NJG196485:NJG196498 MZK196485:MZK196498 MPO196485:MPO196498 MFS196485:MFS196498 LVW196485:LVW196498 LMA196485:LMA196498 LCE196485:LCE196498 KSI196485:KSI196498 KIM196485:KIM196498 JYQ196485:JYQ196498 JOU196485:JOU196498 JEY196485:JEY196498 IVC196485:IVC196498 ILG196485:ILG196498 IBK196485:IBK196498 HRO196485:HRO196498 HHS196485:HHS196498 GXW196485:GXW196498 GOA196485:GOA196498 GEE196485:GEE196498 FUI196485:FUI196498 FKM196485:FKM196498 FAQ196485:FAQ196498 EQU196485:EQU196498 EGY196485:EGY196498 DXC196485:DXC196498 DNG196485:DNG196498 DDK196485:DDK196498 CTO196485:CTO196498 CJS196485:CJS196498 BZW196485:BZW196498 BQA196485:BQA196498 BGE196485:BGE196498 AWI196485:AWI196498 AMM196485:AMM196498 ACQ196485:ACQ196498 SU196485:SU196498 IY196485:IY196498 WVK130949:WVK130962 WLO130949:WLO130962 WBS130949:WBS130962 VRW130949:VRW130962 VIA130949:VIA130962 UYE130949:UYE130962 UOI130949:UOI130962 UEM130949:UEM130962 TUQ130949:TUQ130962 TKU130949:TKU130962 TAY130949:TAY130962 SRC130949:SRC130962 SHG130949:SHG130962 RXK130949:RXK130962 RNO130949:RNO130962 RDS130949:RDS130962 QTW130949:QTW130962 QKA130949:QKA130962 QAE130949:QAE130962 PQI130949:PQI130962 PGM130949:PGM130962 OWQ130949:OWQ130962 OMU130949:OMU130962 OCY130949:OCY130962 NTC130949:NTC130962 NJG130949:NJG130962 MZK130949:MZK130962 MPO130949:MPO130962 MFS130949:MFS130962 LVW130949:LVW130962 LMA130949:LMA130962 LCE130949:LCE130962 KSI130949:KSI130962 KIM130949:KIM130962 JYQ130949:JYQ130962 JOU130949:JOU130962 JEY130949:JEY130962 IVC130949:IVC130962 ILG130949:ILG130962 IBK130949:IBK130962 HRO130949:HRO130962 HHS130949:HHS130962 GXW130949:GXW130962 GOA130949:GOA130962 GEE130949:GEE130962 FUI130949:FUI130962 FKM130949:FKM130962 FAQ130949:FAQ130962 EQU130949:EQU130962 EGY130949:EGY130962 DXC130949:DXC130962 DNG130949:DNG130962 DDK130949:DDK130962 CTO130949:CTO130962 CJS130949:CJS130962 BZW130949:BZW130962 BQA130949:BQA130962 BGE130949:BGE130962 AWI130949:AWI130962 AMM130949:AMM130962 ACQ130949:ACQ130962 SU130949:SU130962 IY130949:IY130962 WVK65413:WVK65426 WLO65413:WLO65426 WBS65413:WBS65426 VRW65413:VRW65426 VIA65413:VIA65426 UYE65413:UYE65426 UOI65413:UOI65426 UEM65413:UEM65426 TUQ65413:TUQ65426 TKU65413:TKU65426 TAY65413:TAY65426 SRC65413:SRC65426 SHG65413:SHG65426 RXK65413:RXK65426 RNO65413:RNO65426 RDS65413:RDS65426 QTW65413:QTW65426 QKA65413:QKA65426 QAE65413:QAE65426 PQI65413:PQI65426 PGM65413:PGM65426 OWQ65413:OWQ65426 OMU65413:OMU65426 OCY65413:OCY65426 NTC65413:NTC65426 NJG65413:NJG65426 MZK65413:MZK65426 MPO65413:MPO65426 MFS65413:MFS65426 LVW65413:LVW65426 LMA65413:LMA65426 LCE65413:LCE65426 KSI65413:KSI65426 KIM65413:KIM65426 JYQ65413:JYQ65426 JOU65413:JOU65426 JEY65413:JEY65426 IVC65413:IVC65426 ILG65413:ILG65426 IBK65413:IBK65426 HRO65413:HRO65426 HHS65413:HHS65426 GXW65413:GXW65426 GOA65413:GOA65426 GEE65413:GEE65426 FUI65413:FUI65426 FKM65413:FKM65426 FAQ65413:FAQ65426 EQU65413:EQU65426 EGY65413:EGY65426 DXC65413:DXC65426 DNG65413:DNG65426 DDK65413:DDK65426 CTO65413:CTO65426 CJS65413:CJS65426 BZW65413:BZW65426 BQA65413:BQA65426 BGE65413:BGE65426 AWI65413:AWI65426 AMM65413:AMM65426 ACQ65413:ACQ65426 SU65413:SU65426 IY65413:IY65426 WVK982932:WVK982935 WLO982932:WLO982935 WBS982932:WBS982935 VRW982932:VRW982935 VIA982932:VIA982935 UYE982932:UYE982935 UOI982932:UOI982935 UEM982932:UEM982935 TUQ982932:TUQ982935 TKU982932:TKU982935 TAY982932:TAY982935 SRC982932:SRC982935 SHG982932:SHG982935 RXK982932:RXK982935 RNO982932:RNO982935 RDS982932:RDS982935 QTW982932:QTW982935 QKA982932:QKA982935 QAE982932:QAE982935 PQI982932:PQI982935 PGM982932:PGM982935 OWQ982932:OWQ982935 OMU982932:OMU982935 OCY982932:OCY982935 NTC982932:NTC982935 NJG982932:NJG982935 MZK982932:MZK982935 MPO982932:MPO982935 MFS982932:MFS982935 LVW982932:LVW982935 LMA982932:LMA982935 LCE982932:LCE982935 KSI982932:KSI982935 KIM982932:KIM982935 JYQ982932:JYQ982935 JOU982932:JOU982935 JEY982932:JEY982935 IVC982932:IVC982935 ILG982932:ILG982935 IBK982932:IBK982935 HRO982932:HRO982935 HHS982932:HHS982935 GXW982932:GXW982935 GOA982932:GOA982935 GEE982932:GEE982935 FUI982932:FUI982935 FKM982932:FKM982935 FAQ982932:FAQ982935 EQU982932:EQU982935 EGY982932:EGY982935 DXC982932:DXC982935 DNG982932:DNG982935 DDK982932:DDK982935 CTO982932:CTO982935 CJS982932:CJS982935 BZW982932:BZW982935 BQA982932:BQA982935 BGE982932:BGE982935 AWI982932:AWI982935 AMM982932:AMM982935 ACQ982932:ACQ982935 SU982932:SU982935 IY982932:IY982935 WVK917396:WVK917399 WLO917396:WLO917399 WBS917396:WBS917399 VRW917396:VRW917399 VIA917396:VIA917399 UYE917396:UYE917399 UOI917396:UOI917399 UEM917396:UEM917399 TUQ917396:TUQ917399 TKU917396:TKU917399 TAY917396:TAY917399 SRC917396:SRC917399 SHG917396:SHG917399 RXK917396:RXK917399 RNO917396:RNO917399 RDS917396:RDS917399 QTW917396:QTW917399 QKA917396:QKA917399 QAE917396:QAE917399 PQI917396:PQI917399 PGM917396:PGM917399 OWQ917396:OWQ917399 OMU917396:OMU917399 OCY917396:OCY917399 NTC917396:NTC917399 NJG917396:NJG917399 MZK917396:MZK917399 MPO917396:MPO917399 MFS917396:MFS917399 LVW917396:LVW917399 LMA917396:LMA917399 LCE917396:LCE917399 KSI917396:KSI917399 KIM917396:KIM917399 JYQ917396:JYQ917399 JOU917396:JOU917399 JEY917396:JEY917399 IVC917396:IVC917399 ILG917396:ILG917399 IBK917396:IBK917399 HRO917396:HRO917399 HHS917396:HHS917399 GXW917396:GXW917399 GOA917396:GOA917399 GEE917396:GEE917399 FUI917396:FUI917399 FKM917396:FKM917399 FAQ917396:FAQ917399 EQU917396:EQU917399 EGY917396:EGY917399 DXC917396:DXC917399 DNG917396:DNG917399 DDK917396:DDK917399 CTO917396:CTO917399 CJS917396:CJS917399 BZW917396:BZW917399 BQA917396:BQA917399 BGE917396:BGE917399 AWI917396:AWI917399 AMM917396:AMM917399 ACQ917396:ACQ917399 SU917396:SU917399 IY917396:IY917399 WVK851860:WVK851863 WLO851860:WLO851863 WBS851860:WBS851863 VRW851860:VRW851863 VIA851860:VIA851863 UYE851860:UYE851863 UOI851860:UOI851863 UEM851860:UEM851863 TUQ851860:TUQ851863 TKU851860:TKU851863 TAY851860:TAY851863 SRC851860:SRC851863 SHG851860:SHG851863 RXK851860:RXK851863 RNO851860:RNO851863 RDS851860:RDS851863 QTW851860:QTW851863 QKA851860:QKA851863 QAE851860:QAE851863 PQI851860:PQI851863 PGM851860:PGM851863 OWQ851860:OWQ851863 OMU851860:OMU851863 OCY851860:OCY851863 NTC851860:NTC851863 NJG851860:NJG851863 MZK851860:MZK851863 MPO851860:MPO851863 MFS851860:MFS851863 LVW851860:LVW851863 LMA851860:LMA851863 LCE851860:LCE851863 KSI851860:KSI851863 KIM851860:KIM851863 JYQ851860:JYQ851863 JOU851860:JOU851863 JEY851860:JEY851863 IVC851860:IVC851863 ILG851860:ILG851863 IBK851860:IBK851863 HRO851860:HRO851863 HHS851860:HHS851863 GXW851860:GXW851863 GOA851860:GOA851863 GEE851860:GEE851863 FUI851860:FUI851863 FKM851860:FKM851863 FAQ851860:FAQ851863 EQU851860:EQU851863 EGY851860:EGY851863 DXC851860:DXC851863 DNG851860:DNG851863 DDK851860:DDK851863 CTO851860:CTO851863 CJS851860:CJS851863 BZW851860:BZW851863 BQA851860:BQA851863 BGE851860:BGE851863 AWI851860:AWI851863 AMM851860:AMM851863 ACQ851860:ACQ851863 SU851860:SU851863 IY851860:IY851863 WVK786324:WVK786327 WLO786324:WLO786327 WBS786324:WBS786327 VRW786324:VRW786327 VIA786324:VIA786327 UYE786324:UYE786327 UOI786324:UOI786327 UEM786324:UEM786327 TUQ786324:TUQ786327 TKU786324:TKU786327 TAY786324:TAY786327 SRC786324:SRC786327 SHG786324:SHG786327 RXK786324:RXK786327 RNO786324:RNO786327 RDS786324:RDS786327 QTW786324:QTW786327 QKA786324:QKA786327 QAE786324:QAE786327 PQI786324:PQI786327 PGM786324:PGM786327 OWQ786324:OWQ786327 OMU786324:OMU786327 OCY786324:OCY786327 NTC786324:NTC786327 NJG786324:NJG786327 MZK786324:MZK786327 MPO786324:MPO786327 MFS786324:MFS786327 LVW786324:LVW786327 LMA786324:LMA786327 LCE786324:LCE786327 KSI786324:KSI786327 KIM786324:KIM786327 JYQ786324:JYQ786327 JOU786324:JOU786327 JEY786324:JEY786327 IVC786324:IVC786327 ILG786324:ILG786327 IBK786324:IBK786327 HRO786324:HRO786327 HHS786324:HHS786327 GXW786324:GXW786327 GOA786324:GOA786327 GEE786324:GEE786327 FUI786324:FUI786327 FKM786324:FKM786327 FAQ786324:FAQ786327 EQU786324:EQU786327 EGY786324:EGY786327 DXC786324:DXC786327 DNG786324:DNG786327 DDK786324:DDK786327 CTO786324:CTO786327 CJS786324:CJS786327 BZW786324:BZW786327 BQA786324:BQA786327 BGE786324:BGE786327 AWI786324:AWI786327 AMM786324:AMM786327 ACQ786324:ACQ786327 SU786324:SU786327 IY786324:IY786327 WVK720788:WVK720791 WLO720788:WLO720791 WBS720788:WBS720791 VRW720788:VRW720791 VIA720788:VIA720791 UYE720788:UYE720791 UOI720788:UOI720791 UEM720788:UEM720791 TUQ720788:TUQ720791 TKU720788:TKU720791 TAY720788:TAY720791 SRC720788:SRC720791 SHG720788:SHG720791 RXK720788:RXK720791 RNO720788:RNO720791 RDS720788:RDS720791 QTW720788:QTW720791 QKA720788:QKA720791 QAE720788:QAE720791 PQI720788:PQI720791 PGM720788:PGM720791 OWQ720788:OWQ720791 OMU720788:OMU720791 OCY720788:OCY720791 NTC720788:NTC720791 NJG720788:NJG720791 MZK720788:MZK720791 MPO720788:MPO720791 MFS720788:MFS720791 LVW720788:LVW720791 LMA720788:LMA720791 LCE720788:LCE720791 KSI720788:KSI720791 KIM720788:KIM720791 JYQ720788:JYQ720791 JOU720788:JOU720791 JEY720788:JEY720791 IVC720788:IVC720791 ILG720788:ILG720791 IBK720788:IBK720791 HRO720788:HRO720791 HHS720788:HHS720791 GXW720788:GXW720791 GOA720788:GOA720791 GEE720788:GEE720791 FUI720788:FUI720791 FKM720788:FKM720791 FAQ720788:FAQ720791 EQU720788:EQU720791 EGY720788:EGY720791 DXC720788:DXC720791 DNG720788:DNG720791 DDK720788:DDK720791 CTO720788:CTO720791 CJS720788:CJS720791 BZW720788:BZW720791 BQA720788:BQA720791 BGE720788:BGE720791 AWI720788:AWI720791 AMM720788:AMM720791 ACQ720788:ACQ720791 SU720788:SU720791 IY720788:IY720791 WVK655252:WVK655255 WLO655252:WLO655255 WBS655252:WBS655255 VRW655252:VRW655255 VIA655252:VIA655255 UYE655252:UYE655255 UOI655252:UOI655255 UEM655252:UEM655255 TUQ655252:TUQ655255 TKU655252:TKU655255 TAY655252:TAY655255 SRC655252:SRC655255 SHG655252:SHG655255 RXK655252:RXK655255 RNO655252:RNO655255 RDS655252:RDS655255 QTW655252:QTW655255 QKA655252:QKA655255 QAE655252:QAE655255 PQI655252:PQI655255 PGM655252:PGM655255 OWQ655252:OWQ655255 OMU655252:OMU655255 OCY655252:OCY655255 NTC655252:NTC655255 NJG655252:NJG655255 MZK655252:MZK655255 MPO655252:MPO655255 MFS655252:MFS655255 LVW655252:LVW655255 LMA655252:LMA655255 LCE655252:LCE655255 KSI655252:KSI655255 KIM655252:KIM655255 JYQ655252:JYQ655255 JOU655252:JOU655255 JEY655252:JEY655255 IVC655252:IVC655255 ILG655252:ILG655255 IBK655252:IBK655255 HRO655252:HRO655255 HHS655252:HHS655255 GXW655252:GXW655255 GOA655252:GOA655255 GEE655252:GEE655255 FUI655252:FUI655255 FKM655252:FKM655255 FAQ655252:FAQ655255 EQU655252:EQU655255 EGY655252:EGY655255 DXC655252:DXC655255 DNG655252:DNG655255 DDK655252:DDK655255 CTO655252:CTO655255 CJS655252:CJS655255 BZW655252:BZW655255 BQA655252:BQA655255 BGE655252:BGE655255 AWI655252:AWI655255 AMM655252:AMM655255 ACQ655252:ACQ655255 SU655252:SU655255 IY655252:IY655255 WVK589716:WVK589719 WLO589716:WLO589719 WBS589716:WBS589719 VRW589716:VRW589719 VIA589716:VIA589719 UYE589716:UYE589719 UOI589716:UOI589719 UEM589716:UEM589719 TUQ589716:TUQ589719 TKU589716:TKU589719 TAY589716:TAY589719 SRC589716:SRC589719 SHG589716:SHG589719 RXK589716:RXK589719 RNO589716:RNO589719 RDS589716:RDS589719 QTW589716:QTW589719 QKA589716:QKA589719 QAE589716:QAE589719 PQI589716:PQI589719 PGM589716:PGM589719 OWQ589716:OWQ589719 OMU589716:OMU589719 OCY589716:OCY589719 NTC589716:NTC589719 NJG589716:NJG589719 MZK589716:MZK589719 MPO589716:MPO589719 MFS589716:MFS589719 LVW589716:LVW589719 LMA589716:LMA589719 LCE589716:LCE589719 KSI589716:KSI589719 KIM589716:KIM589719 JYQ589716:JYQ589719 JOU589716:JOU589719 JEY589716:JEY589719 IVC589716:IVC589719 ILG589716:ILG589719 IBK589716:IBK589719 HRO589716:HRO589719 HHS589716:HHS589719 GXW589716:GXW589719 GOA589716:GOA589719 GEE589716:GEE589719 FUI589716:FUI589719 FKM589716:FKM589719 FAQ589716:FAQ589719 EQU589716:EQU589719 EGY589716:EGY589719 DXC589716:DXC589719 DNG589716:DNG589719 DDK589716:DDK589719 CTO589716:CTO589719 CJS589716:CJS589719 BZW589716:BZW589719 BQA589716:BQA589719 BGE589716:BGE589719 AWI589716:AWI589719 AMM589716:AMM589719 ACQ589716:ACQ589719 SU589716:SU589719 IY589716:IY589719 WVK524180:WVK524183 WLO524180:WLO524183 WBS524180:WBS524183 VRW524180:VRW524183 VIA524180:VIA524183 UYE524180:UYE524183 UOI524180:UOI524183 UEM524180:UEM524183 TUQ524180:TUQ524183 TKU524180:TKU524183 TAY524180:TAY524183 SRC524180:SRC524183 SHG524180:SHG524183 RXK524180:RXK524183 RNO524180:RNO524183 RDS524180:RDS524183 QTW524180:QTW524183 QKA524180:QKA524183 QAE524180:QAE524183 PQI524180:PQI524183 PGM524180:PGM524183 OWQ524180:OWQ524183 OMU524180:OMU524183 OCY524180:OCY524183 NTC524180:NTC524183 NJG524180:NJG524183 MZK524180:MZK524183 MPO524180:MPO524183 MFS524180:MFS524183 LVW524180:LVW524183 LMA524180:LMA524183 LCE524180:LCE524183 KSI524180:KSI524183 KIM524180:KIM524183 JYQ524180:JYQ524183 JOU524180:JOU524183 JEY524180:JEY524183 IVC524180:IVC524183 ILG524180:ILG524183 IBK524180:IBK524183 HRO524180:HRO524183 HHS524180:HHS524183 GXW524180:GXW524183 GOA524180:GOA524183 GEE524180:GEE524183 FUI524180:FUI524183 FKM524180:FKM524183 FAQ524180:FAQ524183 EQU524180:EQU524183 EGY524180:EGY524183 DXC524180:DXC524183 DNG524180:DNG524183 DDK524180:DDK524183 CTO524180:CTO524183 CJS524180:CJS524183 BZW524180:BZW524183 BQA524180:BQA524183 BGE524180:BGE524183 AWI524180:AWI524183 AMM524180:AMM524183 ACQ524180:ACQ524183 SU524180:SU524183 IY524180:IY524183 WVK458644:WVK458647 WLO458644:WLO458647 WBS458644:WBS458647 VRW458644:VRW458647 VIA458644:VIA458647 UYE458644:UYE458647 UOI458644:UOI458647 UEM458644:UEM458647 TUQ458644:TUQ458647 TKU458644:TKU458647 TAY458644:TAY458647 SRC458644:SRC458647 SHG458644:SHG458647 RXK458644:RXK458647 RNO458644:RNO458647 RDS458644:RDS458647 QTW458644:QTW458647 QKA458644:QKA458647 QAE458644:QAE458647 PQI458644:PQI458647 PGM458644:PGM458647 OWQ458644:OWQ458647 OMU458644:OMU458647 OCY458644:OCY458647 NTC458644:NTC458647 NJG458644:NJG458647 MZK458644:MZK458647 MPO458644:MPO458647 MFS458644:MFS458647 LVW458644:LVW458647 LMA458644:LMA458647 LCE458644:LCE458647 KSI458644:KSI458647 KIM458644:KIM458647 JYQ458644:JYQ458647 JOU458644:JOU458647 JEY458644:JEY458647 IVC458644:IVC458647 ILG458644:ILG458647 IBK458644:IBK458647 HRO458644:HRO458647 HHS458644:HHS458647 GXW458644:GXW458647 GOA458644:GOA458647 GEE458644:GEE458647 FUI458644:FUI458647 FKM458644:FKM458647 FAQ458644:FAQ458647 EQU458644:EQU458647 EGY458644:EGY458647 DXC458644:DXC458647 DNG458644:DNG458647 DDK458644:DDK458647 CTO458644:CTO458647 CJS458644:CJS458647 BZW458644:BZW458647 BQA458644:BQA458647 BGE458644:BGE458647 AWI458644:AWI458647 AMM458644:AMM458647 ACQ458644:ACQ458647 SU458644:SU458647 IY458644:IY458647 WVK393108:WVK393111 WLO393108:WLO393111 WBS393108:WBS393111 VRW393108:VRW393111 VIA393108:VIA393111 UYE393108:UYE393111 UOI393108:UOI393111 UEM393108:UEM393111 TUQ393108:TUQ393111 TKU393108:TKU393111 TAY393108:TAY393111 SRC393108:SRC393111 SHG393108:SHG393111 RXK393108:RXK393111 RNO393108:RNO393111 RDS393108:RDS393111 QTW393108:QTW393111 QKA393108:QKA393111 QAE393108:QAE393111 PQI393108:PQI393111 PGM393108:PGM393111 OWQ393108:OWQ393111 OMU393108:OMU393111 OCY393108:OCY393111 NTC393108:NTC393111 NJG393108:NJG393111 MZK393108:MZK393111 MPO393108:MPO393111 MFS393108:MFS393111 LVW393108:LVW393111 LMA393108:LMA393111 LCE393108:LCE393111 KSI393108:KSI393111 KIM393108:KIM393111 JYQ393108:JYQ393111 JOU393108:JOU393111 JEY393108:JEY393111 IVC393108:IVC393111 ILG393108:ILG393111 IBK393108:IBK393111 HRO393108:HRO393111 HHS393108:HHS393111 GXW393108:GXW393111 GOA393108:GOA393111 GEE393108:GEE393111 FUI393108:FUI393111 FKM393108:FKM393111 FAQ393108:FAQ393111 EQU393108:EQU393111 EGY393108:EGY393111 DXC393108:DXC393111 DNG393108:DNG393111 DDK393108:DDK393111 CTO393108:CTO393111 CJS393108:CJS393111 BZW393108:BZW393111 BQA393108:BQA393111 BGE393108:BGE393111 AWI393108:AWI393111 AMM393108:AMM393111 ACQ393108:ACQ393111 SU393108:SU393111 IY393108:IY393111 WVK327572:WVK327575 WLO327572:WLO327575 WBS327572:WBS327575 VRW327572:VRW327575 VIA327572:VIA327575 UYE327572:UYE327575 UOI327572:UOI327575 UEM327572:UEM327575 TUQ327572:TUQ327575 TKU327572:TKU327575 TAY327572:TAY327575 SRC327572:SRC327575 SHG327572:SHG327575 RXK327572:RXK327575 RNO327572:RNO327575 RDS327572:RDS327575 QTW327572:QTW327575 QKA327572:QKA327575 QAE327572:QAE327575 PQI327572:PQI327575 PGM327572:PGM327575 OWQ327572:OWQ327575 OMU327572:OMU327575 OCY327572:OCY327575 NTC327572:NTC327575 NJG327572:NJG327575 MZK327572:MZK327575 MPO327572:MPO327575 MFS327572:MFS327575 LVW327572:LVW327575 LMA327572:LMA327575 LCE327572:LCE327575 KSI327572:KSI327575 KIM327572:KIM327575 JYQ327572:JYQ327575 JOU327572:JOU327575 JEY327572:JEY327575 IVC327572:IVC327575 ILG327572:ILG327575 IBK327572:IBK327575 HRO327572:HRO327575 HHS327572:HHS327575 GXW327572:GXW327575 GOA327572:GOA327575 GEE327572:GEE327575 FUI327572:FUI327575 FKM327572:FKM327575 FAQ327572:FAQ327575 EQU327572:EQU327575 EGY327572:EGY327575 DXC327572:DXC327575 DNG327572:DNG327575 DDK327572:DDK327575 CTO327572:CTO327575 CJS327572:CJS327575 BZW327572:BZW327575 BQA327572:BQA327575 BGE327572:BGE327575 AWI327572:AWI327575 AMM327572:AMM327575 ACQ327572:ACQ327575 SU327572:SU327575 IY327572:IY327575 WVK262036:WVK262039 WLO262036:WLO262039 WBS262036:WBS262039 VRW262036:VRW262039 VIA262036:VIA262039 UYE262036:UYE262039 UOI262036:UOI262039 UEM262036:UEM262039 TUQ262036:TUQ262039 TKU262036:TKU262039 TAY262036:TAY262039 SRC262036:SRC262039 SHG262036:SHG262039 RXK262036:RXK262039 RNO262036:RNO262039 RDS262036:RDS262039 QTW262036:QTW262039 QKA262036:QKA262039 QAE262036:QAE262039 PQI262036:PQI262039 PGM262036:PGM262039 OWQ262036:OWQ262039 OMU262036:OMU262039 OCY262036:OCY262039 NTC262036:NTC262039 NJG262036:NJG262039 MZK262036:MZK262039 MPO262036:MPO262039 MFS262036:MFS262039 LVW262036:LVW262039 LMA262036:LMA262039 LCE262036:LCE262039 KSI262036:KSI262039 KIM262036:KIM262039 JYQ262036:JYQ262039 JOU262036:JOU262039 JEY262036:JEY262039 IVC262036:IVC262039 ILG262036:ILG262039 IBK262036:IBK262039 HRO262036:HRO262039 HHS262036:HHS262039 GXW262036:GXW262039 GOA262036:GOA262039 GEE262036:GEE262039 FUI262036:FUI262039 FKM262036:FKM262039 FAQ262036:FAQ262039 EQU262036:EQU262039 EGY262036:EGY262039 DXC262036:DXC262039 DNG262036:DNG262039 DDK262036:DDK262039 CTO262036:CTO262039 CJS262036:CJS262039 BZW262036:BZW262039 BQA262036:BQA262039 BGE262036:BGE262039 AWI262036:AWI262039 AMM262036:AMM262039 ACQ262036:ACQ262039 SU262036:SU262039 IY262036:IY262039 WVK196500:WVK196503 WLO196500:WLO196503 WBS196500:WBS196503 VRW196500:VRW196503 VIA196500:VIA196503 UYE196500:UYE196503 UOI196500:UOI196503 UEM196500:UEM196503 TUQ196500:TUQ196503 TKU196500:TKU196503 TAY196500:TAY196503 SRC196500:SRC196503 SHG196500:SHG196503 RXK196500:RXK196503 RNO196500:RNO196503 RDS196500:RDS196503 QTW196500:QTW196503 QKA196500:QKA196503 QAE196500:QAE196503 PQI196500:PQI196503 PGM196500:PGM196503 OWQ196500:OWQ196503 OMU196500:OMU196503 OCY196500:OCY196503 NTC196500:NTC196503 NJG196500:NJG196503 MZK196500:MZK196503 MPO196500:MPO196503 MFS196500:MFS196503 LVW196500:LVW196503 LMA196500:LMA196503 LCE196500:LCE196503 KSI196500:KSI196503 KIM196500:KIM196503 JYQ196500:JYQ196503 JOU196500:JOU196503 JEY196500:JEY196503 IVC196500:IVC196503 ILG196500:ILG196503 IBK196500:IBK196503 HRO196500:HRO196503 HHS196500:HHS196503 GXW196500:GXW196503 GOA196500:GOA196503 GEE196500:GEE196503 FUI196500:FUI196503 FKM196500:FKM196503 FAQ196500:FAQ196503 EQU196500:EQU196503 EGY196500:EGY196503 DXC196500:DXC196503 DNG196500:DNG196503 DDK196500:DDK196503 CTO196500:CTO196503 CJS196500:CJS196503 BZW196500:BZW196503 BQA196500:BQA196503 BGE196500:BGE196503 AWI196500:AWI196503 AMM196500:AMM196503 ACQ196500:ACQ196503 SU196500:SU196503 IY196500:IY196503 WVK130964:WVK130967 WLO130964:WLO130967 WBS130964:WBS130967 VRW130964:VRW130967 VIA130964:VIA130967 UYE130964:UYE130967 UOI130964:UOI130967 UEM130964:UEM130967 TUQ130964:TUQ130967 TKU130964:TKU130967 TAY130964:TAY130967 SRC130964:SRC130967 SHG130964:SHG130967 RXK130964:RXK130967 RNO130964:RNO130967 RDS130964:RDS130967 QTW130964:QTW130967 QKA130964:QKA130967 QAE130964:QAE130967 PQI130964:PQI130967 PGM130964:PGM130967 OWQ130964:OWQ130967 OMU130964:OMU130967 OCY130964:OCY130967 NTC130964:NTC130967 NJG130964:NJG130967 MZK130964:MZK130967 MPO130964:MPO130967 MFS130964:MFS130967 LVW130964:LVW130967 LMA130964:LMA130967 LCE130964:LCE130967 KSI130964:KSI130967 KIM130964:KIM130967 JYQ130964:JYQ130967 JOU130964:JOU130967 JEY130964:JEY130967 IVC130964:IVC130967 ILG130964:ILG130967 IBK130964:IBK130967 HRO130964:HRO130967 HHS130964:HHS130967 GXW130964:GXW130967 GOA130964:GOA130967 GEE130964:GEE130967 FUI130964:FUI130967 FKM130964:FKM130967 FAQ130964:FAQ130967 EQU130964:EQU130967 EGY130964:EGY130967 DXC130964:DXC130967 DNG130964:DNG130967 DDK130964:DDK130967 CTO130964:CTO130967 CJS130964:CJS130967 BZW130964:BZW130967 BQA130964:BQA130967 BGE130964:BGE130967 AWI130964:AWI130967 AMM130964:AMM130967 ACQ130964:ACQ130967 SU130964:SU130967 IY130964:IY130967 WVK65428:WVK65431 WLO65428:WLO65431 WBS65428:WBS65431 VRW65428:VRW65431 VIA65428:VIA65431 UYE65428:UYE65431 UOI65428:UOI65431 UEM65428:UEM65431 TUQ65428:TUQ65431 TKU65428:TKU65431 TAY65428:TAY65431 SRC65428:SRC65431 SHG65428:SHG65431 RXK65428:RXK65431 RNO65428:RNO65431 RDS65428:RDS65431 QTW65428:QTW65431 QKA65428:QKA65431 QAE65428:QAE65431 PQI65428:PQI65431 PGM65428:PGM65431 OWQ65428:OWQ65431 OMU65428:OMU65431 OCY65428:OCY65431 NTC65428:NTC65431 NJG65428:NJG65431 MZK65428:MZK65431 MPO65428:MPO65431 MFS65428:MFS65431 LVW65428:LVW65431 LMA65428:LMA65431 LCE65428:LCE65431 KSI65428:KSI65431 KIM65428:KIM65431 JYQ65428:JYQ65431 JOU65428:JOU65431 JEY65428:JEY65431 IVC65428:IVC65431 ILG65428:ILG65431 IBK65428:IBK65431 HRO65428:HRO65431 HHS65428:HHS65431 GXW65428:GXW65431 GOA65428:GOA65431 GEE65428:GEE65431 FUI65428:FUI65431 FKM65428:FKM65431 FAQ65428:FAQ65431 EQU65428:EQU65431 EGY65428:EGY65431 DXC65428:DXC65431 DNG65428:DNG65431 DDK65428:DDK65431 CTO65428:CTO65431 CJS65428:CJS65431 BZW65428:BZW65431 BQA65428:BQA65431 BGE65428:BGE65431 AWI65428:AWI65431 AMM65428:AMM65431 ACQ65428:ACQ65431 SU65428:SU65431 IY65428:IY65431 AWI11:AWI24 ACQ11:ACQ24 AMM11:AMM24 SU11:SU24 IY11:IY24 WVK11:WVK24 WLO11:WLO24 WBS11:WBS24 VRW11:VRW24 VIA11:VIA24 UYE11:UYE24 UOI11:UOI24 UEM11:UEM24 TUQ11:TUQ24 TKU11:TKU24 TAY11:TAY24 SRC11:SRC24 SHG11:SHG24 RXK11:RXK24 RNO11:RNO24 RDS11:RDS24 QTW11:QTW24 QKA11:QKA24 QAE11:QAE24 PQI11:PQI24 PGM11:PGM24 OWQ11:OWQ24 OMU11:OMU24 OCY11:OCY24 NTC11:NTC24 NJG11:NJG24 MZK11:MZK24 MPO11:MPO24 MFS11:MFS24 LVW11:LVW24 LMA11:LMA24 LCE11:LCE24 KSI11:KSI24 KIM11:KIM24 JYQ11:JYQ24 JOU11:JOU24 JEY11:JEY24 IVC11:IVC24 ILG11:ILG24 IBK11:IBK24 HRO11:HRO24 HHS11:HHS24 GXW11:GXW24 GOA11:GOA24 GEE11:GEE24 FUI11:FUI24 FKM11:FKM24 FAQ11:FAQ24 EQU11:EQU24 EGY11:EGY24 DXC11:DXC24 DNG11:DNG24 DDK11:DDK24 CTO11:CTO24 CJS11:CJS24 BZW11:BZW24 BQA11:BQA24 BGE11:BGE24" xr:uid="{00000000-0002-0000-0D00-000003000000}">
      <formula1>Audit_Note_Insured_List</formula1>
    </dataValidation>
    <dataValidation type="list" allowBlank="1" showInputMessage="1" showErrorMessage="1" sqref="B65470:B65585 B131006:B131121 B196542:B196657 B262078:B262193 B327614:B327729 B393150:B393265 B458686:B458801 B524222:B524337 B589758:B589873 B655294:B655409 B720830:B720945 B786366:B786481 B851902:B852017 B917438:B917553 B982974:B983089 WLN982973:WLN983088 WBR982973:WBR983088 VRV982973:VRV983088 VHZ982973:VHZ983088 UYD982973:UYD983088 UOH982973:UOH983088 UEL982973:UEL983088 TUP982973:TUP983088 TKT982973:TKT983088 TAX982973:TAX983088 SRB982973:SRB983088 SHF982973:SHF983088 RXJ982973:RXJ983088 RNN982973:RNN983088 RDR982973:RDR983088 QTV982973:QTV983088 QJZ982973:QJZ983088 QAD982973:QAD983088 PQH982973:PQH983088 PGL982973:PGL983088 OWP982973:OWP983088 OMT982973:OMT983088 OCX982973:OCX983088 NTB982973:NTB983088 NJF982973:NJF983088 MZJ982973:MZJ983088 MPN982973:MPN983088 MFR982973:MFR983088 LVV982973:LVV983088 LLZ982973:LLZ983088 LCD982973:LCD983088 KSH982973:KSH983088 KIL982973:KIL983088 JYP982973:JYP983088 JOT982973:JOT983088 JEX982973:JEX983088 IVB982973:IVB983088 ILF982973:ILF983088 IBJ982973:IBJ983088 HRN982973:HRN983088 HHR982973:HHR983088 GXV982973:GXV983088 GNZ982973:GNZ983088 GED982973:GED983088 FUH982973:FUH983088 FKL982973:FKL983088 FAP982973:FAP983088 EQT982973:EQT983088 EGX982973:EGX983088 DXB982973:DXB983088 DNF982973:DNF983088 DDJ982973:DDJ983088 CTN982973:CTN983088 CJR982973:CJR983088 BZV982973:BZV983088 BPZ982973:BPZ983088 BGD982973:BGD983088 AWH982973:AWH983088 AML982973:AML983088 ACP982973:ACP983088 ST982973:ST983088 IX982973:IX983088 WVJ917437:WVJ917552 WLN917437:WLN917552 WBR917437:WBR917552 VRV917437:VRV917552 VHZ917437:VHZ917552 UYD917437:UYD917552 UOH917437:UOH917552 UEL917437:UEL917552 TUP917437:TUP917552 TKT917437:TKT917552 TAX917437:TAX917552 SRB917437:SRB917552 SHF917437:SHF917552 RXJ917437:RXJ917552 RNN917437:RNN917552 RDR917437:RDR917552 QTV917437:QTV917552 QJZ917437:QJZ917552 QAD917437:QAD917552 PQH917437:PQH917552 PGL917437:PGL917552 OWP917437:OWP917552 OMT917437:OMT917552 OCX917437:OCX917552 NTB917437:NTB917552 NJF917437:NJF917552 MZJ917437:MZJ917552 MPN917437:MPN917552 MFR917437:MFR917552 LVV917437:LVV917552 LLZ917437:LLZ917552 LCD917437:LCD917552 KSH917437:KSH917552 KIL917437:KIL917552 JYP917437:JYP917552 JOT917437:JOT917552 JEX917437:JEX917552 IVB917437:IVB917552 ILF917437:ILF917552 IBJ917437:IBJ917552 HRN917437:HRN917552 HHR917437:HHR917552 GXV917437:GXV917552 GNZ917437:GNZ917552 GED917437:GED917552 FUH917437:FUH917552 FKL917437:FKL917552 FAP917437:FAP917552 EQT917437:EQT917552 EGX917437:EGX917552 DXB917437:DXB917552 DNF917437:DNF917552 DDJ917437:DDJ917552 CTN917437:CTN917552 CJR917437:CJR917552 BZV917437:BZV917552 BPZ917437:BPZ917552 BGD917437:BGD917552 AWH917437:AWH917552 AML917437:AML917552 ACP917437:ACP917552 ST917437:ST917552 IX917437:IX917552 WVJ851901:WVJ852016 WLN851901:WLN852016 WBR851901:WBR852016 VRV851901:VRV852016 VHZ851901:VHZ852016 UYD851901:UYD852016 UOH851901:UOH852016 UEL851901:UEL852016 TUP851901:TUP852016 TKT851901:TKT852016 TAX851901:TAX852016 SRB851901:SRB852016 SHF851901:SHF852016 RXJ851901:RXJ852016 RNN851901:RNN852016 RDR851901:RDR852016 QTV851901:QTV852016 QJZ851901:QJZ852016 QAD851901:QAD852016 PQH851901:PQH852016 PGL851901:PGL852016 OWP851901:OWP852016 OMT851901:OMT852016 OCX851901:OCX852016 NTB851901:NTB852016 NJF851901:NJF852016 MZJ851901:MZJ852016 MPN851901:MPN852016 MFR851901:MFR852016 LVV851901:LVV852016 LLZ851901:LLZ852016 LCD851901:LCD852016 KSH851901:KSH852016 KIL851901:KIL852016 JYP851901:JYP852016 JOT851901:JOT852016 JEX851901:JEX852016 IVB851901:IVB852016 ILF851901:ILF852016 IBJ851901:IBJ852016 HRN851901:HRN852016 HHR851901:HHR852016 GXV851901:GXV852016 GNZ851901:GNZ852016 GED851901:GED852016 FUH851901:FUH852016 FKL851901:FKL852016 FAP851901:FAP852016 EQT851901:EQT852016 EGX851901:EGX852016 DXB851901:DXB852016 DNF851901:DNF852016 DDJ851901:DDJ852016 CTN851901:CTN852016 CJR851901:CJR852016 BZV851901:BZV852016 BPZ851901:BPZ852016 BGD851901:BGD852016 AWH851901:AWH852016 AML851901:AML852016 ACP851901:ACP852016 ST851901:ST852016 IX851901:IX852016 WVJ786365:WVJ786480 WLN786365:WLN786480 WBR786365:WBR786480 VRV786365:VRV786480 VHZ786365:VHZ786480 UYD786365:UYD786480 UOH786365:UOH786480 UEL786365:UEL786480 TUP786365:TUP786480 TKT786365:TKT786480 TAX786365:TAX786480 SRB786365:SRB786480 SHF786365:SHF786480 RXJ786365:RXJ786480 RNN786365:RNN786480 RDR786365:RDR786480 QTV786365:QTV786480 QJZ786365:QJZ786480 QAD786365:QAD786480 PQH786365:PQH786480 PGL786365:PGL786480 OWP786365:OWP786480 OMT786365:OMT786480 OCX786365:OCX786480 NTB786365:NTB786480 NJF786365:NJF786480 MZJ786365:MZJ786480 MPN786365:MPN786480 MFR786365:MFR786480 LVV786365:LVV786480 LLZ786365:LLZ786480 LCD786365:LCD786480 KSH786365:KSH786480 KIL786365:KIL786480 JYP786365:JYP786480 JOT786365:JOT786480 JEX786365:JEX786480 IVB786365:IVB786480 ILF786365:ILF786480 IBJ786365:IBJ786480 HRN786365:HRN786480 HHR786365:HHR786480 GXV786365:GXV786480 GNZ786365:GNZ786480 GED786365:GED786480 FUH786365:FUH786480 FKL786365:FKL786480 FAP786365:FAP786480 EQT786365:EQT786480 EGX786365:EGX786480 DXB786365:DXB786480 DNF786365:DNF786480 DDJ786365:DDJ786480 CTN786365:CTN786480 CJR786365:CJR786480 BZV786365:BZV786480 BPZ786365:BPZ786480 BGD786365:BGD786480 AWH786365:AWH786480 AML786365:AML786480 ACP786365:ACP786480 ST786365:ST786480 IX786365:IX786480 WVJ720829:WVJ720944 WLN720829:WLN720944 WBR720829:WBR720944 VRV720829:VRV720944 VHZ720829:VHZ720944 UYD720829:UYD720944 UOH720829:UOH720944 UEL720829:UEL720944 TUP720829:TUP720944 TKT720829:TKT720944 TAX720829:TAX720944 SRB720829:SRB720944 SHF720829:SHF720944 RXJ720829:RXJ720944 RNN720829:RNN720944 RDR720829:RDR720944 QTV720829:QTV720944 QJZ720829:QJZ720944 QAD720829:QAD720944 PQH720829:PQH720944 PGL720829:PGL720944 OWP720829:OWP720944 OMT720829:OMT720944 OCX720829:OCX720944 NTB720829:NTB720944 NJF720829:NJF720944 MZJ720829:MZJ720944 MPN720829:MPN720944 MFR720829:MFR720944 LVV720829:LVV720944 LLZ720829:LLZ720944 LCD720829:LCD720944 KSH720829:KSH720944 KIL720829:KIL720944 JYP720829:JYP720944 JOT720829:JOT720944 JEX720829:JEX720944 IVB720829:IVB720944 ILF720829:ILF720944 IBJ720829:IBJ720944 HRN720829:HRN720944 HHR720829:HHR720944 GXV720829:GXV720944 GNZ720829:GNZ720944 GED720829:GED720944 FUH720829:FUH720944 FKL720829:FKL720944 FAP720829:FAP720944 EQT720829:EQT720944 EGX720829:EGX720944 DXB720829:DXB720944 DNF720829:DNF720944 DDJ720829:DDJ720944 CTN720829:CTN720944 CJR720829:CJR720944 BZV720829:BZV720944 BPZ720829:BPZ720944 BGD720829:BGD720944 AWH720829:AWH720944 AML720829:AML720944 ACP720829:ACP720944 ST720829:ST720944 IX720829:IX720944 WVJ655293:WVJ655408 WLN655293:WLN655408 WBR655293:WBR655408 VRV655293:VRV655408 VHZ655293:VHZ655408 UYD655293:UYD655408 UOH655293:UOH655408 UEL655293:UEL655408 TUP655293:TUP655408 TKT655293:TKT655408 TAX655293:TAX655408 SRB655293:SRB655408 SHF655293:SHF655408 RXJ655293:RXJ655408 RNN655293:RNN655408 RDR655293:RDR655408 QTV655293:QTV655408 QJZ655293:QJZ655408 QAD655293:QAD655408 PQH655293:PQH655408 PGL655293:PGL655408 OWP655293:OWP655408 OMT655293:OMT655408 OCX655293:OCX655408 NTB655293:NTB655408 NJF655293:NJF655408 MZJ655293:MZJ655408 MPN655293:MPN655408 MFR655293:MFR655408 LVV655293:LVV655408 LLZ655293:LLZ655408 LCD655293:LCD655408 KSH655293:KSH655408 KIL655293:KIL655408 JYP655293:JYP655408 JOT655293:JOT655408 JEX655293:JEX655408 IVB655293:IVB655408 ILF655293:ILF655408 IBJ655293:IBJ655408 HRN655293:HRN655408 HHR655293:HHR655408 GXV655293:GXV655408 GNZ655293:GNZ655408 GED655293:GED655408 FUH655293:FUH655408 FKL655293:FKL655408 FAP655293:FAP655408 EQT655293:EQT655408 EGX655293:EGX655408 DXB655293:DXB655408 DNF655293:DNF655408 DDJ655293:DDJ655408 CTN655293:CTN655408 CJR655293:CJR655408 BZV655293:BZV655408 BPZ655293:BPZ655408 BGD655293:BGD655408 AWH655293:AWH655408 AML655293:AML655408 ACP655293:ACP655408 ST655293:ST655408 IX655293:IX655408 WVJ589757:WVJ589872 WLN589757:WLN589872 WBR589757:WBR589872 VRV589757:VRV589872 VHZ589757:VHZ589872 UYD589757:UYD589872 UOH589757:UOH589872 UEL589757:UEL589872 TUP589757:TUP589872 TKT589757:TKT589872 TAX589757:TAX589872 SRB589757:SRB589872 SHF589757:SHF589872 RXJ589757:RXJ589872 RNN589757:RNN589872 RDR589757:RDR589872 QTV589757:QTV589872 QJZ589757:QJZ589872 QAD589757:QAD589872 PQH589757:PQH589872 PGL589757:PGL589872 OWP589757:OWP589872 OMT589757:OMT589872 OCX589757:OCX589872 NTB589757:NTB589872 NJF589757:NJF589872 MZJ589757:MZJ589872 MPN589757:MPN589872 MFR589757:MFR589872 LVV589757:LVV589872 LLZ589757:LLZ589872 LCD589757:LCD589872 KSH589757:KSH589872 KIL589757:KIL589872 JYP589757:JYP589872 JOT589757:JOT589872 JEX589757:JEX589872 IVB589757:IVB589872 ILF589757:ILF589872 IBJ589757:IBJ589872 HRN589757:HRN589872 HHR589757:HHR589872 GXV589757:GXV589872 GNZ589757:GNZ589872 GED589757:GED589872 FUH589757:FUH589872 FKL589757:FKL589872 FAP589757:FAP589872 EQT589757:EQT589872 EGX589757:EGX589872 DXB589757:DXB589872 DNF589757:DNF589872 DDJ589757:DDJ589872 CTN589757:CTN589872 CJR589757:CJR589872 BZV589757:BZV589872 BPZ589757:BPZ589872 BGD589757:BGD589872 AWH589757:AWH589872 AML589757:AML589872 ACP589757:ACP589872 ST589757:ST589872 IX589757:IX589872 WVJ524221:WVJ524336 WLN524221:WLN524336 WBR524221:WBR524336 VRV524221:VRV524336 VHZ524221:VHZ524336 UYD524221:UYD524336 UOH524221:UOH524336 UEL524221:UEL524336 TUP524221:TUP524336 TKT524221:TKT524336 TAX524221:TAX524336 SRB524221:SRB524336 SHF524221:SHF524336 RXJ524221:RXJ524336 RNN524221:RNN524336 RDR524221:RDR524336 QTV524221:QTV524336 QJZ524221:QJZ524336 QAD524221:QAD524336 PQH524221:PQH524336 PGL524221:PGL524336 OWP524221:OWP524336 OMT524221:OMT524336 OCX524221:OCX524336 NTB524221:NTB524336 NJF524221:NJF524336 MZJ524221:MZJ524336 MPN524221:MPN524336 MFR524221:MFR524336 LVV524221:LVV524336 LLZ524221:LLZ524336 LCD524221:LCD524336 KSH524221:KSH524336 KIL524221:KIL524336 JYP524221:JYP524336 JOT524221:JOT524336 JEX524221:JEX524336 IVB524221:IVB524336 ILF524221:ILF524336 IBJ524221:IBJ524336 HRN524221:HRN524336 HHR524221:HHR524336 GXV524221:GXV524336 GNZ524221:GNZ524336 GED524221:GED524336 FUH524221:FUH524336 FKL524221:FKL524336 FAP524221:FAP524336 EQT524221:EQT524336 EGX524221:EGX524336 DXB524221:DXB524336 DNF524221:DNF524336 DDJ524221:DDJ524336 CTN524221:CTN524336 CJR524221:CJR524336 BZV524221:BZV524336 BPZ524221:BPZ524336 BGD524221:BGD524336 AWH524221:AWH524336 AML524221:AML524336 ACP524221:ACP524336 ST524221:ST524336 IX524221:IX524336 WVJ458685:WVJ458800 WLN458685:WLN458800 WBR458685:WBR458800 VRV458685:VRV458800 VHZ458685:VHZ458800 UYD458685:UYD458800 UOH458685:UOH458800 UEL458685:UEL458800 TUP458685:TUP458800 TKT458685:TKT458800 TAX458685:TAX458800 SRB458685:SRB458800 SHF458685:SHF458800 RXJ458685:RXJ458800 RNN458685:RNN458800 RDR458685:RDR458800 QTV458685:QTV458800 QJZ458685:QJZ458800 QAD458685:QAD458800 PQH458685:PQH458800 PGL458685:PGL458800 OWP458685:OWP458800 OMT458685:OMT458800 OCX458685:OCX458800 NTB458685:NTB458800 NJF458685:NJF458800 MZJ458685:MZJ458800 MPN458685:MPN458800 MFR458685:MFR458800 LVV458685:LVV458800 LLZ458685:LLZ458800 LCD458685:LCD458800 KSH458685:KSH458800 KIL458685:KIL458800 JYP458685:JYP458800 JOT458685:JOT458800 JEX458685:JEX458800 IVB458685:IVB458800 ILF458685:ILF458800 IBJ458685:IBJ458800 HRN458685:HRN458800 HHR458685:HHR458800 GXV458685:GXV458800 GNZ458685:GNZ458800 GED458685:GED458800 FUH458685:FUH458800 FKL458685:FKL458800 FAP458685:FAP458800 EQT458685:EQT458800 EGX458685:EGX458800 DXB458685:DXB458800 DNF458685:DNF458800 DDJ458685:DDJ458800 CTN458685:CTN458800 CJR458685:CJR458800 BZV458685:BZV458800 BPZ458685:BPZ458800 BGD458685:BGD458800 AWH458685:AWH458800 AML458685:AML458800 ACP458685:ACP458800 ST458685:ST458800 IX458685:IX458800 WVJ393149:WVJ393264 WLN393149:WLN393264 WBR393149:WBR393264 VRV393149:VRV393264 VHZ393149:VHZ393264 UYD393149:UYD393264 UOH393149:UOH393264 UEL393149:UEL393264 TUP393149:TUP393264 TKT393149:TKT393264 TAX393149:TAX393264 SRB393149:SRB393264 SHF393149:SHF393264 RXJ393149:RXJ393264 RNN393149:RNN393264 RDR393149:RDR393264 QTV393149:QTV393264 QJZ393149:QJZ393264 QAD393149:QAD393264 PQH393149:PQH393264 PGL393149:PGL393264 OWP393149:OWP393264 OMT393149:OMT393264 OCX393149:OCX393264 NTB393149:NTB393264 NJF393149:NJF393264 MZJ393149:MZJ393264 MPN393149:MPN393264 MFR393149:MFR393264 LVV393149:LVV393264 LLZ393149:LLZ393264 LCD393149:LCD393264 KSH393149:KSH393264 KIL393149:KIL393264 JYP393149:JYP393264 JOT393149:JOT393264 JEX393149:JEX393264 IVB393149:IVB393264 ILF393149:ILF393264 IBJ393149:IBJ393264 HRN393149:HRN393264 HHR393149:HHR393264 GXV393149:GXV393264 GNZ393149:GNZ393264 GED393149:GED393264 FUH393149:FUH393264 FKL393149:FKL393264 FAP393149:FAP393264 EQT393149:EQT393264 EGX393149:EGX393264 DXB393149:DXB393264 DNF393149:DNF393264 DDJ393149:DDJ393264 CTN393149:CTN393264 CJR393149:CJR393264 BZV393149:BZV393264 BPZ393149:BPZ393264 BGD393149:BGD393264 AWH393149:AWH393264 AML393149:AML393264 ACP393149:ACP393264 ST393149:ST393264 IX393149:IX393264 WVJ327613:WVJ327728 WLN327613:WLN327728 WBR327613:WBR327728 VRV327613:VRV327728 VHZ327613:VHZ327728 UYD327613:UYD327728 UOH327613:UOH327728 UEL327613:UEL327728 TUP327613:TUP327728 TKT327613:TKT327728 TAX327613:TAX327728 SRB327613:SRB327728 SHF327613:SHF327728 RXJ327613:RXJ327728 RNN327613:RNN327728 RDR327613:RDR327728 QTV327613:QTV327728 QJZ327613:QJZ327728 QAD327613:QAD327728 PQH327613:PQH327728 PGL327613:PGL327728 OWP327613:OWP327728 OMT327613:OMT327728 OCX327613:OCX327728 NTB327613:NTB327728 NJF327613:NJF327728 MZJ327613:MZJ327728 MPN327613:MPN327728 MFR327613:MFR327728 LVV327613:LVV327728 LLZ327613:LLZ327728 LCD327613:LCD327728 KSH327613:KSH327728 KIL327613:KIL327728 JYP327613:JYP327728 JOT327613:JOT327728 JEX327613:JEX327728 IVB327613:IVB327728 ILF327613:ILF327728 IBJ327613:IBJ327728 HRN327613:HRN327728 HHR327613:HHR327728 GXV327613:GXV327728 GNZ327613:GNZ327728 GED327613:GED327728 FUH327613:FUH327728 FKL327613:FKL327728 FAP327613:FAP327728 EQT327613:EQT327728 EGX327613:EGX327728 DXB327613:DXB327728 DNF327613:DNF327728 DDJ327613:DDJ327728 CTN327613:CTN327728 CJR327613:CJR327728 BZV327613:BZV327728 BPZ327613:BPZ327728 BGD327613:BGD327728 AWH327613:AWH327728 AML327613:AML327728 ACP327613:ACP327728 ST327613:ST327728 IX327613:IX327728 WVJ262077:WVJ262192 WLN262077:WLN262192 WBR262077:WBR262192 VRV262077:VRV262192 VHZ262077:VHZ262192 UYD262077:UYD262192 UOH262077:UOH262192 UEL262077:UEL262192 TUP262077:TUP262192 TKT262077:TKT262192 TAX262077:TAX262192 SRB262077:SRB262192 SHF262077:SHF262192 RXJ262077:RXJ262192 RNN262077:RNN262192 RDR262077:RDR262192 QTV262077:QTV262192 QJZ262077:QJZ262192 QAD262077:QAD262192 PQH262077:PQH262192 PGL262077:PGL262192 OWP262077:OWP262192 OMT262077:OMT262192 OCX262077:OCX262192 NTB262077:NTB262192 NJF262077:NJF262192 MZJ262077:MZJ262192 MPN262077:MPN262192 MFR262077:MFR262192 LVV262077:LVV262192 LLZ262077:LLZ262192 LCD262077:LCD262192 KSH262077:KSH262192 KIL262077:KIL262192 JYP262077:JYP262192 JOT262077:JOT262192 JEX262077:JEX262192 IVB262077:IVB262192 ILF262077:ILF262192 IBJ262077:IBJ262192 HRN262077:HRN262192 HHR262077:HHR262192 GXV262077:GXV262192 GNZ262077:GNZ262192 GED262077:GED262192 FUH262077:FUH262192 FKL262077:FKL262192 FAP262077:FAP262192 EQT262077:EQT262192 EGX262077:EGX262192 DXB262077:DXB262192 DNF262077:DNF262192 DDJ262077:DDJ262192 CTN262077:CTN262192 CJR262077:CJR262192 BZV262077:BZV262192 BPZ262077:BPZ262192 BGD262077:BGD262192 AWH262077:AWH262192 AML262077:AML262192 ACP262077:ACP262192 ST262077:ST262192 IX262077:IX262192 WVJ196541:WVJ196656 WLN196541:WLN196656 WBR196541:WBR196656 VRV196541:VRV196656 VHZ196541:VHZ196656 UYD196541:UYD196656 UOH196541:UOH196656 UEL196541:UEL196656 TUP196541:TUP196656 TKT196541:TKT196656 TAX196541:TAX196656 SRB196541:SRB196656 SHF196541:SHF196656 RXJ196541:RXJ196656 RNN196541:RNN196656 RDR196541:RDR196656 QTV196541:QTV196656 QJZ196541:QJZ196656 QAD196541:QAD196656 PQH196541:PQH196656 PGL196541:PGL196656 OWP196541:OWP196656 OMT196541:OMT196656 OCX196541:OCX196656 NTB196541:NTB196656 NJF196541:NJF196656 MZJ196541:MZJ196656 MPN196541:MPN196656 MFR196541:MFR196656 LVV196541:LVV196656 LLZ196541:LLZ196656 LCD196541:LCD196656 KSH196541:KSH196656 KIL196541:KIL196656 JYP196541:JYP196656 JOT196541:JOT196656 JEX196541:JEX196656 IVB196541:IVB196656 ILF196541:ILF196656 IBJ196541:IBJ196656 HRN196541:HRN196656 HHR196541:HHR196656 GXV196541:GXV196656 GNZ196541:GNZ196656 GED196541:GED196656 FUH196541:FUH196656 FKL196541:FKL196656 FAP196541:FAP196656 EQT196541:EQT196656 EGX196541:EGX196656 DXB196541:DXB196656 DNF196541:DNF196656 DDJ196541:DDJ196656 CTN196541:CTN196656 CJR196541:CJR196656 BZV196541:BZV196656 BPZ196541:BPZ196656 BGD196541:BGD196656 AWH196541:AWH196656 AML196541:AML196656 ACP196541:ACP196656 ST196541:ST196656 IX196541:IX196656 WVJ131005:WVJ131120 WLN131005:WLN131120 WBR131005:WBR131120 VRV131005:VRV131120 VHZ131005:VHZ131120 UYD131005:UYD131120 UOH131005:UOH131120 UEL131005:UEL131120 TUP131005:TUP131120 TKT131005:TKT131120 TAX131005:TAX131120 SRB131005:SRB131120 SHF131005:SHF131120 RXJ131005:RXJ131120 RNN131005:RNN131120 RDR131005:RDR131120 QTV131005:QTV131120 QJZ131005:QJZ131120 QAD131005:QAD131120 PQH131005:PQH131120 PGL131005:PGL131120 OWP131005:OWP131120 OMT131005:OMT131120 OCX131005:OCX131120 NTB131005:NTB131120 NJF131005:NJF131120 MZJ131005:MZJ131120 MPN131005:MPN131120 MFR131005:MFR131120 LVV131005:LVV131120 LLZ131005:LLZ131120 LCD131005:LCD131120 KSH131005:KSH131120 KIL131005:KIL131120 JYP131005:JYP131120 JOT131005:JOT131120 JEX131005:JEX131120 IVB131005:IVB131120 ILF131005:ILF131120 IBJ131005:IBJ131120 HRN131005:HRN131120 HHR131005:HHR131120 GXV131005:GXV131120 GNZ131005:GNZ131120 GED131005:GED131120 FUH131005:FUH131120 FKL131005:FKL131120 FAP131005:FAP131120 EQT131005:EQT131120 EGX131005:EGX131120 DXB131005:DXB131120 DNF131005:DNF131120 DDJ131005:DDJ131120 CTN131005:CTN131120 CJR131005:CJR131120 BZV131005:BZV131120 BPZ131005:BPZ131120 BGD131005:BGD131120 AWH131005:AWH131120 AML131005:AML131120 ACP131005:ACP131120 ST131005:ST131120 IX131005:IX131120 WVJ65469:WVJ65584 WLN65469:WLN65584 WBR65469:WBR65584 VRV65469:VRV65584 VHZ65469:VHZ65584 UYD65469:UYD65584 UOH65469:UOH65584 UEL65469:UEL65584 TUP65469:TUP65584 TKT65469:TKT65584 TAX65469:TAX65584 SRB65469:SRB65584 SHF65469:SHF65584 RXJ65469:RXJ65584 RNN65469:RNN65584 RDR65469:RDR65584 QTV65469:QTV65584 QJZ65469:QJZ65584 QAD65469:QAD65584 PQH65469:PQH65584 PGL65469:PGL65584 OWP65469:OWP65584 OMT65469:OMT65584 OCX65469:OCX65584 NTB65469:NTB65584 NJF65469:NJF65584 MZJ65469:MZJ65584 MPN65469:MPN65584 MFR65469:MFR65584 LVV65469:LVV65584 LLZ65469:LLZ65584 LCD65469:LCD65584 KSH65469:KSH65584 KIL65469:KIL65584 JYP65469:JYP65584 JOT65469:JOT65584 JEX65469:JEX65584 IVB65469:IVB65584 ILF65469:ILF65584 IBJ65469:IBJ65584 HRN65469:HRN65584 HHR65469:HHR65584 GXV65469:GXV65584 GNZ65469:GNZ65584 GED65469:GED65584 FUH65469:FUH65584 FKL65469:FKL65584 FAP65469:FAP65584 EQT65469:EQT65584 EGX65469:EGX65584 DXB65469:DXB65584 DNF65469:DNF65584 DDJ65469:DDJ65584 CTN65469:CTN65584 CJR65469:CJR65584 BZV65469:BZV65584 BPZ65469:BPZ65584 BGD65469:BGD65584 AWH65469:AWH65584 AML65469:AML65584 ACP65469:ACP65584 ST65469:ST65584 IX65469:IX65584 IX58:IX128 ST58:ST128 ACP58:ACP128 AML58:AML128 AWH58:AWH128 BGD58:BGD128 BPZ58:BPZ128 BZV58:BZV128 CJR58:CJR128 CTN58:CTN128 DDJ58:DDJ128 DNF58:DNF128 DXB58:DXB128 EGX58:EGX128 EQT58:EQT128 FAP58:FAP128 FKL58:FKL128 FUH58:FUH128 GED58:GED128 GNZ58:GNZ128 GXV58:GXV128 HHR58:HHR128 HRN58:HRN128 IBJ58:IBJ128 ILF58:ILF128 IVB58:IVB128 JEX58:JEX128 JOT58:JOT128 JYP58:JYP128 KIL58:KIL128 KSH58:KSH128 LCD58:LCD128 LLZ58:LLZ128 LVV58:LVV128 MFR58:MFR128 MPN58:MPN128 MZJ58:MZJ128 NJF58:NJF128 NTB58:NTB128 OCX58:OCX128 OMT58:OMT128 OWP58:OWP128 PGL58:PGL128 PQH58:PQH128 QAD58:QAD128 QJZ58:QJZ128 QTV58:QTV128 RDR58:RDR128 RNN58:RNN128 RXJ58:RXJ128 SHF58:SHF128 SRB58:SRB128 TAX58:TAX128 TKT58:TKT128 TUP58:TUP128 UEL58:UEL128 UOH58:UOH128 UYD58:UYD128 VHZ58:VHZ128 VRV58:VRV128 WBR58:WBR128 WLN58:WLN128 WVJ58:WVJ128 WVJ982973:WVJ983088 B58:B128" xr:uid="{00000000-0002-0000-0D00-000004000000}">
      <formula1>Schedule_List</formula1>
    </dataValidation>
  </dataValidations>
  <printOptions horizontalCentered="1"/>
  <pageMargins left="0.15748031496062992" right="0.15748031496062992" top="0.62992125984251968" bottom="0.86614173228346458" header="0.19685039370078741" footer="0.31496062992125984"/>
  <pageSetup paperSize="9" scale="80" fitToHeight="3" orientation="landscape" r:id="rId1"/>
  <headerFooter alignWithMargins="0">
    <oddFooter>&amp;C&amp;11Page &amp;P of &amp;N</oddFooter>
  </headerFooter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pageSetUpPr fitToPage="1"/>
  </sheetPr>
  <dimension ref="A1:S71"/>
  <sheetViews>
    <sheetView showGridLines="0" view="pageBreakPreview" zoomScale="60" zoomScaleNormal="74" workbookViewId="0">
      <pane ySplit="6" topLeftCell="A39" activePane="bottomLeft" state="frozen"/>
      <selection pane="bottomLeft" activeCell="B61" sqref="B61:C65"/>
    </sheetView>
  </sheetViews>
  <sheetFormatPr defaultColWidth="5" defaultRowHeight="15.6"/>
  <cols>
    <col min="1" max="1" width="6.06640625" style="22" customWidth="1"/>
    <col min="2" max="2" width="30.33203125" style="23" customWidth="1"/>
    <col min="3" max="3" width="8.3984375" style="22" bestFit="1" customWidth="1"/>
    <col min="4" max="8" width="8.796875" style="23" customWidth="1"/>
    <col min="9" max="9" width="10.46484375" style="24" customWidth="1"/>
    <col min="10" max="10" width="0.73046875" style="23" customWidth="1"/>
    <col min="11" max="11" width="10.46484375" style="24" customWidth="1"/>
    <col min="12" max="16384" width="5" style="23"/>
  </cols>
  <sheetData>
    <row r="1" spans="1:19" s="25" customFormat="1" ht="30">
      <c r="A1" s="211" t="s">
        <v>35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</row>
    <row r="2" spans="1:19" ht="9.9" customHeight="1">
      <c r="A2" s="1"/>
      <c r="B2" s="1"/>
      <c r="C2" s="1"/>
      <c r="D2" s="1"/>
      <c r="E2" s="1"/>
      <c r="F2" s="1"/>
      <c r="G2" s="1"/>
      <c r="H2" s="1"/>
      <c r="I2" s="1"/>
      <c r="K2" s="21"/>
    </row>
    <row r="3" spans="1:19" s="25" customFormat="1" ht="21">
      <c r="A3" s="212" t="s">
        <v>36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</row>
    <row r="4" spans="1:19" ht="17.399999999999999">
      <c r="A4" s="2" t="s">
        <v>37</v>
      </c>
    </row>
    <row r="5" spans="1:19" ht="20.25" customHeight="1">
      <c r="E5" s="28"/>
      <c r="F5" s="1"/>
      <c r="G5" s="1"/>
      <c r="H5" s="1"/>
    </row>
    <row r="6" spans="1:19" ht="56.25" customHeight="1">
      <c r="A6" s="116" t="s">
        <v>38</v>
      </c>
      <c r="B6" s="117" t="s">
        <v>39</v>
      </c>
      <c r="C6" s="117" t="s">
        <v>40</v>
      </c>
      <c r="D6" s="117" t="s">
        <v>41</v>
      </c>
      <c r="E6" s="117" t="s">
        <v>42</v>
      </c>
      <c r="F6" s="118" t="s">
        <v>43</v>
      </c>
      <c r="G6" s="118" t="s">
        <v>28</v>
      </c>
      <c r="H6" s="119" t="s">
        <v>44</v>
      </c>
      <c r="I6" s="120" t="s">
        <v>45</v>
      </c>
      <c r="J6" s="29"/>
      <c r="K6" s="122" t="s">
        <v>46</v>
      </c>
      <c r="L6" s="29"/>
      <c r="M6" s="29"/>
      <c r="N6" s="29"/>
      <c r="O6" s="29"/>
      <c r="P6" s="29"/>
      <c r="Q6" s="29"/>
      <c r="R6" s="29"/>
      <c r="S6" s="29"/>
    </row>
    <row r="7" spans="1:19">
      <c r="C7" s="150"/>
    </row>
    <row r="8" spans="1:19" ht="24" customHeight="1">
      <c r="A8" s="213">
        <v>2011</v>
      </c>
      <c r="B8" s="133" t="s">
        <v>73</v>
      </c>
      <c r="C8" s="148">
        <v>40752</v>
      </c>
      <c r="D8" s="30"/>
      <c r="E8" s="30"/>
      <c r="F8" s="30"/>
      <c r="G8" s="30"/>
      <c r="H8" s="30"/>
      <c r="I8" s="121"/>
      <c r="J8" s="29"/>
      <c r="K8" s="123"/>
    </row>
    <row r="9" spans="1:19" ht="24" customHeight="1">
      <c r="A9" s="214"/>
      <c r="B9" s="133" t="s">
        <v>80</v>
      </c>
      <c r="C9" s="148">
        <v>40753</v>
      </c>
      <c r="D9" s="30"/>
      <c r="E9" s="30"/>
      <c r="F9" s="30"/>
      <c r="G9" s="30"/>
      <c r="H9" s="30"/>
      <c r="I9" s="121"/>
      <c r="J9" s="29"/>
      <c r="K9" s="123"/>
    </row>
    <row r="10" spans="1:19" ht="24" customHeight="1">
      <c r="A10" s="214"/>
      <c r="B10" s="133" t="s">
        <v>75</v>
      </c>
      <c r="C10" s="148">
        <v>40754</v>
      </c>
      <c r="D10" s="30"/>
      <c r="E10" s="30"/>
      <c r="F10" s="30"/>
      <c r="G10" s="30"/>
      <c r="H10" s="30"/>
      <c r="I10" s="121"/>
      <c r="J10" s="29"/>
      <c r="K10" s="123"/>
    </row>
    <row r="11" spans="1:19" ht="24" customHeight="1">
      <c r="A11" s="214"/>
      <c r="B11" s="133" t="s">
        <v>170</v>
      </c>
      <c r="C11" s="148">
        <v>40802</v>
      </c>
      <c r="D11" s="30"/>
      <c r="E11" s="30"/>
      <c r="F11" s="30"/>
      <c r="G11" s="30"/>
      <c r="H11" s="30"/>
      <c r="I11" s="121"/>
      <c r="J11" s="29"/>
      <c r="K11" s="123"/>
    </row>
    <row r="12" spans="1:19" ht="24" customHeight="1">
      <c r="A12" s="215"/>
      <c r="B12" s="133" t="s">
        <v>277</v>
      </c>
      <c r="C12" s="148">
        <v>40841</v>
      </c>
      <c r="D12" s="30"/>
      <c r="E12" s="30"/>
      <c r="F12" s="30"/>
      <c r="G12" s="30"/>
      <c r="H12" s="30"/>
      <c r="I12" s="121"/>
      <c r="J12" s="29"/>
      <c r="K12" s="123"/>
    </row>
    <row r="13" spans="1:19">
      <c r="C13" s="150"/>
    </row>
    <row r="14" spans="1:19" ht="24" customHeight="1">
      <c r="A14" s="213">
        <v>2012</v>
      </c>
      <c r="B14" s="133" t="s">
        <v>278</v>
      </c>
      <c r="C14" s="148">
        <v>41038</v>
      </c>
      <c r="D14" s="30"/>
      <c r="E14" s="30"/>
      <c r="F14" s="30"/>
      <c r="G14" s="30"/>
      <c r="H14" s="30"/>
      <c r="I14" s="121"/>
      <c r="J14" s="29"/>
      <c r="K14" s="123"/>
    </row>
    <row r="15" spans="1:19" ht="24" customHeight="1">
      <c r="A15" s="215"/>
      <c r="B15" s="133" t="s">
        <v>279</v>
      </c>
      <c r="C15" s="148">
        <v>41063</v>
      </c>
      <c r="D15" s="30"/>
      <c r="E15" s="30"/>
      <c r="F15" s="30"/>
      <c r="G15" s="30"/>
      <c r="H15" s="30"/>
      <c r="I15" s="121"/>
      <c r="J15" s="29"/>
      <c r="K15" s="123"/>
    </row>
    <row r="16" spans="1:19">
      <c r="C16" s="150"/>
    </row>
    <row r="17" spans="1:11" ht="24" customHeight="1">
      <c r="A17" s="213">
        <v>2013</v>
      </c>
      <c r="B17" s="133" t="s">
        <v>280</v>
      </c>
      <c r="C17" s="148">
        <v>41290</v>
      </c>
      <c r="D17" s="30"/>
      <c r="E17" s="30"/>
      <c r="F17" s="30"/>
      <c r="G17" s="30"/>
      <c r="H17" s="30"/>
      <c r="I17" s="121"/>
      <c r="J17" s="29"/>
      <c r="K17" s="123"/>
    </row>
    <row r="18" spans="1:11" ht="24" customHeight="1">
      <c r="A18" s="214"/>
      <c r="B18" s="133" t="s">
        <v>281</v>
      </c>
      <c r="C18" s="148">
        <v>41377</v>
      </c>
      <c r="D18" s="30"/>
      <c r="E18" s="30"/>
      <c r="F18" s="30"/>
      <c r="G18" s="30"/>
      <c r="H18" s="30"/>
      <c r="I18" s="121"/>
      <c r="J18" s="29"/>
      <c r="K18" s="123"/>
    </row>
    <row r="19" spans="1:11" ht="24" customHeight="1">
      <c r="A19" s="214"/>
      <c r="B19" s="133" t="s">
        <v>282</v>
      </c>
      <c r="C19" s="148">
        <v>41393</v>
      </c>
      <c r="D19" s="30"/>
      <c r="E19" s="30"/>
      <c r="F19" s="30"/>
      <c r="G19" s="30"/>
      <c r="H19" s="30"/>
      <c r="I19" s="121"/>
      <c r="J19" s="29"/>
      <c r="K19" s="123"/>
    </row>
    <row r="20" spans="1:11" ht="24" customHeight="1">
      <c r="A20" s="214"/>
      <c r="B20" s="133" t="s">
        <v>73</v>
      </c>
      <c r="C20" s="148">
        <v>41461</v>
      </c>
      <c r="D20" s="30"/>
      <c r="E20" s="30"/>
      <c r="F20" s="30"/>
      <c r="G20" s="30"/>
      <c r="H20" s="30"/>
      <c r="I20" s="121"/>
      <c r="J20" s="29"/>
      <c r="K20" s="123"/>
    </row>
    <row r="21" spans="1:11" ht="24" customHeight="1">
      <c r="A21" s="214"/>
      <c r="B21" s="133" t="s">
        <v>283</v>
      </c>
      <c r="C21" s="148">
        <v>41467</v>
      </c>
      <c r="D21" s="30"/>
      <c r="E21" s="30"/>
      <c r="F21" s="30"/>
      <c r="G21" s="30"/>
      <c r="H21" s="30"/>
      <c r="I21" s="121"/>
      <c r="J21" s="29"/>
      <c r="K21" s="123"/>
    </row>
    <row r="22" spans="1:11" ht="24" customHeight="1">
      <c r="A22" s="214"/>
      <c r="B22" s="133" t="s">
        <v>276</v>
      </c>
      <c r="C22" s="148">
        <v>41500</v>
      </c>
      <c r="D22" s="30"/>
      <c r="E22" s="30"/>
      <c r="F22" s="30"/>
      <c r="G22" s="30"/>
      <c r="H22" s="30"/>
      <c r="I22" s="121"/>
      <c r="J22" s="29"/>
      <c r="K22" s="123"/>
    </row>
    <row r="23" spans="1:11" ht="24" customHeight="1">
      <c r="A23" s="215"/>
      <c r="B23" s="133" t="s">
        <v>190</v>
      </c>
      <c r="C23" s="148">
        <v>41607</v>
      </c>
      <c r="D23" s="30"/>
      <c r="E23" s="30"/>
      <c r="F23" s="30"/>
      <c r="G23" s="30"/>
      <c r="H23" s="30"/>
      <c r="I23" s="121"/>
      <c r="J23" s="29"/>
      <c r="K23" s="123"/>
    </row>
    <row r="24" spans="1:11">
      <c r="C24" s="150"/>
    </row>
    <row r="25" spans="1:11" ht="24" customHeight="1">
      <c r="A25" s="94">
        <v>2014</v>
      </c>
      <c r="B25" s="133" t="s">
        <v>284</v>
      </c>
      <c r="C25" s="148">
        <v>41706</v>
      </c>
      <c r="D25" s="30"/>
      <c r="E25" s="30"/>
      <c r="F25" s="30"/>
      <c r="G25" s="30"/>
      <c r="H25" s="30"/>
      <c r="I25" s="121"/>
      <c r="J25" s="29"/>
      <c r="K25" s="123"/>
    </row>
    <row r="26" spans="1:11" ht="24" customHeight="1">
      <c r="A26" s="95"/>
      <c r="B26" s="133" t="s">
        <v>285</v>
      </c>
      <c r="C26" s="148">
        <v>41821</v>
      </c>
      <c r="D26" s="30"/>
      <c r="E26" s="30"/>
      <c r="F26" s="30"/>
      <c r="G26" s="30"/>
      <c r="H26" s="30"/>
      <c r="I26" s="121"/>
      <c r="J26" s="29"/>
      <c r="K26" s="123"/>
    </row>
    <row r="27" spans="1:11" ht="24" customHeight="1">
      <c r="A27" s="95"/>
      <c r="B27" s="133" t="s">
        <v>284</v>
      </c>
      <c r="C27" s="148">
        <v>41837</v>
      </c>
      <c r="D27" s="30"/>
      <c r="E27" s="30"/>
      <c r="F27" s="30"/>
      <c r="G27" s="30"/>
      <c r="H27" s="30"/>
      <c r="I27" s="121"/>
      <c r="J27" s="29"/>
      <c r="K27" s="123"/>
    </row>
    <row r="28" spans="1:11" ht="24" customHeight="1">
      <c r="A28" s="95"/>
      <c r="B28" s="133" t="s">
        <v>259</v>
      </c>
      <c r="C28" s="148">
        <v>41843</v>
      </c>
      <c r="D28" s="30"/>
      <c r="E28" s="30"/>
      <c r="F28" s="30"/>
      <c r="G28" s="30"/>
      <c r="H28" s="30"/>
      <c r="I28" s="121"/>
      <c r="J28" s="29"/>
      <c r="K28" s="123"/>
    </row>
    <row r="29" spans="1:11" ht="24" customHeight="1">
      <c r="A29" s="95"/>
      <c r="B29" s="133" t="s">
        <v>286</v>
      </c>
      <c r="C29" s="148">
        <v>41844</v>
      </c>
      <c r="D29" s="30"/>
      <c r="E29" s="30"/>
      <c r="F29" s="30"/>
      <c r="G29" s="30"/>
      <c r="H29" s="30"/>
      <c r="I29" s="121"/>
      <c r="J29" s="29"/>
      <c r="K29" s="123"/>
    </row>
    <row r="30" spans="1:11" ht="24" customHeight="1">
      <c r="A30" s="96"/>
      <c r="B30" s="133" t="s">
        <v>191</v>
      </c>
      <c r="C30" s="149">
        <v>42001</v>
      </c>
      <c r="D30" s="30"/>
      <c r="E30" s="30"/>
      <c r="F30" s="30"/>
      <c r="G30" s="30"/>
      <c r="H30" s="30"/>
      <c r="I30" s="121"/>
      <c r="J30" s="29"/>
      <c r="K30" s="123"/>
    </row>
    <row r="31" spans="1:11">
      <c r="C31" s="150"/>
    </row>
    <row r="32" spans="1:11" ht="24" customHeight="1">
      <c r="A32" s="213">
        <v>2015</v>
      </c>
      <c r="B32" s="133" t="s">
        <v>259</v>
      </c>
      <c r="C32" s="148">
        <v>42039</v>
      </c>
      <c r="D32" s="30"/>
      <c r="E32" s="30"/>
      <c r="F32" s="30"/>
      <c r="G32" s="30"/>
      <c r="H32" s="30"/>
      <c r="I32" s="121"/>
      <c r="J32" s="29"/>
      <c r="K32" s="123"/>
    </row>
    <row r="33" spans="1:13" ht="24" customHeight="1">
      <c r="A33" s="214"/>
      <c r="B33" s="133" t="s">
        <v>193</v>
      </c>
      <c r="C33" s="148">
        <v>42067</v>
      </c>
      <c r="D33" s="30"/>
      <c r="E33" s="30"/>
      <c r="F33" s="30"/>
      <c r="G33" s="30"/>
      <c r="H33" s="30"/>
      <c r="I33" s="121"/>
      <c r="J33" s="29"/>
      <c r="K33" s="123"/>
    </row>
    <row r="34" spans="1:13" ht="24" customHeight="1">
      <c r="A34" s="214"/>
      <c r="B34" s="133" t="s">
        <v>194</v>
      </c>
      <c r="C34" s="148">
        <v>42087</v>
      </c>
      <c r="D34" s="30"/>
      <c r="E34" s="30"/>
      <c r="F34" s="30"/>
      <c r="G34" s="30"/>
      <c r="H34" s="30"/>
      <c r="I34" s="121"/>
      <c r="J34" s="29"/>
      <c r="K34" s="123"/>
    </row>
    <row r="35" spans="1:13" ht="24" customHeight="1">
      <c r="A35" s="214"/>
      <c r="B35" s="133" t="s">
        <v>73</v>
      </c>
      <c r="C35" s="148">
        <v>42108</v>
      </c>
      <c r="D35" s="30"/>
      <c r="E35" s="30"/>
      <c r="F35" s="30"/>
      <c r="G35" s="30"/>
      <c r="H35" s="30"/>
      <c r="I35" s="121"/>
      <c r="J35" s="29"/>
      <c r="K35" s="123"/>
    </row>
    <row r="36" spans="1:13" ht="24" customHeight="1">
      <c r="A36" s="214"/>
      <c r="B36" s="133" t="s">
        <v>287</v>
      </c>
      <c r="C36" s="148">
        <v>42133</v>
      </c>
      <c r="D36" s="30"/>
      <c r="E36" s="30"/>
      <c r="F36" s="30"/>
      <c r="G36" s="30"/>
      <c r="H36" s="30"/>
      <c r="I36" s="121"/>
      <c r="J36" s="29"/>
      <c r="K36" s="123"/>
    </row>
    <row r="37" spans="1:13" ht="24" customHeight="1">
      <c r="A37" s="214"/>
      <c r="B37" s="133" t="s">
        <v>195</v>
      </c>
      <c r="C37" s="148">
        <v>42308</v>
      </c>
      <c r="D37" s="30"/>
      <c r="E37" s="30"/>
      <c r="F37" s="30"/>
      <c r="G37" s="30"/>
      <c r="H37" s="30"/>
      <c r="I37" s="121"/>
      <c r="J37" s="29"/>
      <c r="K37" s="123"/>
    </row>
    <row r="38" spans="1:13" ht="24" customHeight="1">
      <c r="A38" s="215"/>
      <c r="B38" s="133" t="s">
        <v>288</v>
      </c>
      <c r="C38" s="148">
        <v>42340</v>
      </c>
      <c r="D38" s="30"/>
      <c r="E38" s="30"/>
      <c r="F38" s="30"/>
      <c r="G38" s="30"/>
      <c r="H38" s="30"/>
      <c r="I38" s="121"/>
      <c r="J38" s="29"/>
      <c r="K38" s="123"/>
    </row>
    <row r="39" spans="1:13">
      <c r="C39" s="150"/>
    </row>
    <row r="40" spans="1:13" ht="24" customHeight="1">
      <c r="A40" s="213">
        <v>2016</v>
      </c>
      <c r="B40" s="133" t="s">
        <v>270</v>
      </c>
      <c r="C40" s="148">
        <v>42448</v>
      </c>
      <c r="D40" s="30"/>
      <c r="E40" s="30"/>
      <c r="F40" s="30"/>
      <c r="G40" s="30"/>
      <c r="H40" s="30"/>
      <c r="I40" s="121"/>
      <c r="J40" s="29"/>
      <c r="K40" s="123"/>
    </row>
    <row r="41" spans="1:13" ht="24" customHeight="1">
      <c r="A41" s="214"/>
      <c r="B41" s="133" t="s">
        <v>289</v>
      </c>
      <c r="C41" s="148">
        <v>42489</v>
      </c>
      <c r="D41" s="30"/>
      <c r="E41" s="30"/>
      <c r="F41" s="30"/>
      <c r="G41" s="30"/>
      <c r="H41" s="30"/>
      <c r="I41" s="121"/>
      <c r="J41" s="29"/>
      <c r="K41" s="123"/>
    </row>
    <row r="42" spans="1:13" ht="24" customHeight="1">
      <c r="A42" s="214"/>
      <c r="B42" s="133" t="s">
        <v>80</v>
      </c>
      <c r="C42" s="148">
        <v>42509</v>
      </c>
      <c r="D42" s="30"/>
      <c r="E42" s="30"/>
      <c r="F42" s="30"/>
      <c r="G42" s="30"/>
      <c r="H42" s="30"/>
      <c r="I42" s="121"/>
      <c r="J42" s="29"/>
      <c r="K42" s="123"/>
    </row>
    <row r="43" spans="1:13" ht="24" customHeight="1">
      <c r="A43" s="214"/>
      <c r="B43" s="133" t="s">
        <v>276</v>
      </c>
      <c r="C43" s="148">
        <v>42527</v>
      </c>
      <c r="D43" s="30"/>
      <c r="E43" s="30"/>
      <c r="F43" s="30"/>
      <c r="G43" s="30"/>
      <c r="H43" s="30"/>
      <c r="I43" s="121"/>
      <c r="J43" s="29"/>
      <c r="K43" s="123"/>
    </row>
    <row r="44" spans="1:13" ht="24" customHeight="1">
      <c r="A44" s="215"/>
      <c r="B44" s="133" t="s">
        <v>153</v>
      </c>
      <c r="C44" s="148">
        <v>42585</v>
      </c>
      <c r="D44" s="30"/>
      <c r="E44" s="30"/>
      <c r="F44" s="30"/>
      <c r="G44" s="30"/>
      <c r="H44" s="30"/>
      <c r="I44" s="121"/>
      <c r="J44" s="29"/>
      <c r="K44" s="123"/>
    </row>
    <row r="45" spans="1:13">
      <c r="C45" s="150"/>
    </row>
    <row r="46" spans="1:13" s="33" customFormat="1" ht="24" customHeight="1">
      <c r="A46" s="94">
        <v>2017</v>
      </c>
      <c r="B46" s="141" t="s">
        <v>125</v>
      </c>
      <c r="C46" s="151">
        <v>43040</v>
      </c>
      <c r="D46" s="142"/>
      <c r="E46" s="30"/>
      <c r="F46" s="30"/>
      <c r="G46" s="30"/>
      <c r="H46" s="30"/>
      <c r="I46" s="121"/>
      <c r="K46" s="123"/>
      <c r="M46" s="143"/>
    </row>
    <row r="47" spans="1:13">
      <c r="C47" s="150"/>
    </row>
    <row r="48" spans="1:13" s="33" customFormat="1" ht="24" customHeight="1">
      <c r="A48" s="213">
        <v>2018</v>
      </c>
      <c r="B48" s="141" t="s">
        <v>290</v>
      </c>
      <c r="C48" s="151">
        <v>43207</v>
      </c>
      <c r="D48" s="142"/>
      <c r="E48" s="30"/>
      <c r="F48" s="30"/>
      <c r="G48" s="30"/>
      <c r="H48" s="30"/>
      <c r="I48" s="121"/>
      <c r="K48" s="123"/>
      <c r="M48" s="143"/>
    </row>
    <row r="49" spans="1:13" s="33" customFormat="1" ht="24" customHeight="1">
      <c r="A49" s="214"/>
      <c r="B49" s="141" t="s">
        <v>115</v>
      </c>
      <c r="C49" s="151">
        <v>43225</v>
      </c>
      <c r="D49" s="142"/>
      <c r="E49" s="30"/>
      <c r="F49" s="30"/>
      <c r="G49" s="30"/>
      <c r="H49" s="30"/>
      <c r="I49" s="121"/>
      <c r="K49" s="123"/>
      <c r="M49" s="143"/>
    </row>
    <row r="50" spans="1:13" s="33" customFormat="1" ht="24" customHeight="1">
      <c r="A50" s="214"/>
      <c r="B50" s="141" t="s">
        <v>66</v>
      </c>
      <c r="C50" s="151">
        <v>43312</v>
      </c>
      <c r="D50" s="142"/>
      <c r="E50" s="30"/>
      <c r="F50" s="30"/>
      <c r="G50" s="30"/>
      <c r="H50" s="30"/>
      <c r="I50" s="121"/>
      <c r="K50" s="123"/>
      <c r="M50" s="143"/>
    </row>
    <row r="51" spans="1:13" s="33" customFormat="1" ht="24" customHeight="1">
      <c r="A51" s="214"/>
      <c r="B51" s="141" t="s">
        <v>291</v>
      </c>
      <c r="C51" s="151">
        <v>43371</v>
      </c>
      <c r="D51" s="142"/>
      <c r="E51" s="30"/>
      <c r="F51" s="30"/>
      <c r="G51" s="30"/>
      <c r="H51" s="30"/>
      <c r="I51" s="121"/>
      <c r="K51" s="123"/>
      <c r="M51" s="143"/>
    </row>
    <row r="52" spans="1:13" s="33" customFormat="1" ht="24" customHeight="1">
      <c r="A52" s="214"/>
      <c r="B52" s="141" t="s">
        <v>171</v>
      </c>
      <c r="C52" s="151">
        <v>43402</v>
      </c>
      <c r="D52" s="142"/>
      <c r="E52" s="30"/>
      <c r="F52" s="30"/>
      <c r="G52" s="30"/>
      <c r="H52" s="30"/>
      <c r="I52" s="121"/>
      <c r="K52" s="123"/>
      <c r="M52" s="143"/>
    </row>
    <row r="53" spans="1:13" s="33" customFormat="1" ht="24" customHeight="1">
      <c r="A53" s="214"/>
      <c r="B53" s="141" t="s">
        <v>125</v>
      </c>
      <c r="C53" s="151">
        <v>43405</v>
      </c>
      <c r="D53" s="142"/>
      <c r="E53" s="30"/>
      <c r="F53" s="30"/>
      <c r="G53" s="30"/>
      <c r="H53" s="30"/>
      <c r="I53" s="121"/>
      <c r="K53" s="123"/>
      <c r="M53" s="143"/>
    </row>
    <row r="54" spans="1:13">
      <c r="C54" s="150"/>
    </row>
    <row r="55" spans="1:13" s="33" customFormat="1" ht="24" customHeight="1">
      <c r="A55" s="213">
        <v>2019</v>
      </c>
      <c r="B55" s="141" t="s">
        <v>292</v>
      </c>
      <c r="C55" s="151">
        <v>43519</v>
      </c>
      <c r="D55" s="142"/>
      <c r="E55" s="30"/>
      <c r="F55" s="30"/>
      <c r="G55" s="30"/>
      <c r="H55" s="30"/>
      <c r="I55" s="121"/>
      <c r="K55" s="123"/>
      <c r="M55" s="143"/>
    </row>
    <row r="56" spans="1:13" s="33" customFormat="1" ht="24" customHeight="1">
      <c r="A56" s="214"/>
      <c r="B56" s="141" t="s">
        <v>160</v>
      </c>
      <c r="C56" s="151">
        <v>43534</v>
      </c>
      <c r="D56" s="142"/>
      <c r="E56" s="30"/>
      <c r="F56" s="30"/>
      <c r="G56" s="30"/>
      <c r="H56" s="30"/>
      <c r="I56" s="121"/>
      <c r="K56" s="123"/>
      <c r="M56" s="143"/>
    </row>
    <row r="57" spans="1:13" s="33" customFormat="1" ht="24" customHeight="1">
      <c r="A57" s="214"/>
      <c r="B57" s="141" t="s">
        <v>293</v>
      </c>
      <c r="C57" s="151">
        <v>43588</v>
      </c>
      <c r="D57" s="142"/>
      <c r="E57" s="30"/>
      <c r="F57" s="30"/>
      <c r="G57" s="30"/>
      <c r="H57" s="30"/>
      <c r="I57" s="121"/>
      <c r="K57" s="123"/>
      <c r="M57" s="143"/>
    </row>
    <row r="58" spans="1:13" s="33" customFormat="1" ht="24" customHeight="1">
      <c r="A58" s="214"/>
      <c r="B58" s="141" t="s">
        <v>64</v>
      </c>
      <c r="C58" s="151">
        <v>43590</v>
      </c>
      <c r="D58" s="142"/>
      <c r="E58" s="30"/>
      <c r="F58" s="30"/>
      <c r="G58" s="30"/>
      <c r="H58" s="30"/>
      <c r="I58" s="121"/>
      <c r="K58" s="123"/>
      <c r="M58" s="143"/>
    </row>
    <row r="59" spans="1:13" s="33" customFormat="1" ht="24" customHeight="1">
      <c r="A59" s="214"/>
      <c r="B59" s="141" t="s">
        <v>298</v>
      </c>
      <c r="C59" s="151">
        <v>43692</v>
      </c>
      <c r="D59" s="142"/>
      <c r="E59" s="30"/>
      <c r="F59" s="30"/>
      <c r="G59" s="30"/>
      <c r="H59" s="30"/>
      <c r="I59" s="121"/>
      <c r="K59" s="123"/>
      <c r="M59" s="143"/>
    </row>
    <row r="60" spans="1:13">
      <c r="C60" s="150"/>
    </row>
    <row r="61" spans="1:13" s="33" customFormat="1" ht="24" customHeight="1">
      <c r="A61" s="213">
        <v>2020</v>
      </c>
      <c r="B61" s="141" t="s">
        <v>296</v>
      </c>
      <c r="C61" s="151">
        <v>43838</v>
      </c>
      <c r="D61" s="142"/>
      <c r="E61" s="30"/>
      <c r="F61" s="30"/>
      <c r="G61" s="30"/>
      <c r="H61" s="30"/>
      <c r="I61" s="121"/>
      <c r="K61" s="123"/>
      <c r="M61" s="143"/>
    </row>
    <row r="62" spans="1:13" s="33" customFormat="1" ht="24" customHeight="1">
      <c r="A62" s="214"/>
      <c r="B62" s="141" t="s">
        <v>249</v>
      </c>
      <c r="C62" s="151">
        <v>43866</v>
      </c>
      <c r="D62" s="142"/>
      <c r="E62" s="30"/>
      <c r="F62" s="30"/>
      <c r="G62" s="30"/>
      <c r="H62" s="30"/>
      <c r="I62" s="121"/>
      <c r="K62" s="123"/>
      <c r="M62" s="143"/>
    </row>
    <row r="63" spans="1:13" s="33" customFormat="1" ht="24" customHeight="1">
      <c r="A63" s="214"/>
      <c r="B63" s="141" t="s">
        <v>297</v>
      </c>
      <c r="C63" s="151">
        <v>43973</v>
      </c>
      <c r="D63" s="142"/>
      <c r="E63" s="30"/>
      <c r="F63" s="30"/>
      <c r="G63" s="30"/>
      <c r="H63" s="30"/>
      <c r="I63" s="121"/>
      <c r="K63" s="123"/>
      <c r="M63" s="143"/>
    </row>
    <row r="64" spans="1:13" s="33" customFormat="1" ht="24" customHeight="1">
      <c r="A64" s="214"/>
      <c r="B64" s="141" t="s">
        <v>160</v>
      </c>
      <c r="C64" s="151">
        <v>44034</v>
      </c>
      <c r="D64" s="142"/>
      <c r="E64" s="30"/>
      <c r="F64" s="30"/>
      <c r="G64" s="30"/>
      <c r="H64" s="30"/>
      <c r="I64" s="121"/>
      <c r="K64" s="123"/>
      <c r="M64" s="143"/>
    </row>
    <row r="65" spans="1:13" s="33" customFormat="1" ht="24" customHeight="1">
      <c r="A65" s="214"/>
      <c r="B65" s="141" t="s">
        <v>275</v>
      </c>
      <c r="C65" s="151">
        <v>44050</v>
      </c>
      <c r="D65" s="142"/>
      <c r="E65" s="30"/>
      <c r="F65" s="30"/>
      <c r="G65" s="30"/>
      <c r="H65" s="30"/>
      <c r="I65" s="121"/>
      <c r="K65" s="123"/>
      <c r="M65" s="143"/>
    </row>
    <row r="66" spans="1:13" ht="23.25" customHeight="1">
      <c r="A66" s="71" t="s">
        <v>295</v>
      </c>
      <c r="B66" s="31"/>
      <c r="C66" s="32"/>
      <c r="D66" s="35"/>
      <c r="E66" s="35"/>
      <c r="F66" s="35"/>
      <c r="G66" s="35"/>
      <c r="H66" s="35"/>
      <c r="I66" s="36"/>
      <c r="J66" s="29"/>
      <c r="K66" s="36"/>
    </row>
    <row r="67" spans="1:13" ht="23.25" customHeight="1">
      <c r="A67" s="34"/>
      <c r="B67" s="31"/>
      <c r="C67" s="32"/>
      <c r="D67" s="35"/>
      <c r="E67" s="35"/>
      <c r="F67" s="35"/>
      <c r="G67" s="35"/>
      <c r="H67" s="35"/>
      <c r="I67" s="36"/>
      <c r="J67" s="29"/>
      <c r="K67" s="36"/>
    </row>
    <row r="68" spans="1:13" ht="23.25" customHeight="1">
      <c r="A68" s="23"/>
      <c r="B68" s="31"/>
      <c r="C68" s="32"/>
      <c r="D68" s="35"/>
      <c r="E68" s="35"/>
      <c r="F68" s="35"/>
      <c r="G68" s="35"/>
      <c r="H68" s="35"/>
      <c r="I68" s="36"/>
      <c r="J68" s="29"/>
      <c r="K68" s="36"/>
    </row>
    <row r="69" spans="1:13" ht="23.25" customHeight="1">
      <c r="A69" s="34"/>
      <c r="B69" s="31"/>
      <c r="C69" s="32"/>
      <c r="D69" s="35"/>
      <c r="E69" s="35"/>
      <c r="F69" s="35"/>
      <c r="G69" s="35"/>
      <c r="H69" s="35"/>
      <c r="I69" s="36"/>
      <c r="J69" s="29"/>
      <c r="K69" s="36"/>
    </row>
    <row r="70" spans="1:13" ht="19.5" customHeight="1">
      <c r="A70" s="23"/>
      <c r="B70" s="31"/>
      <c r="C70" s="32"/>
      <c r="D70" s="35"/>
      <c r="E70" s="35"/>
      <c r="F70" s="35"/>
      <c r="G70" s="35"/>
      <c r="H70" s="35"/>
      <c r="I70" s="36"/>
      <c r="J70" s="29"/>
      <c r="K70" s="36"/>
    </row>
    <row r="71" spans="1:13" s="26" customFormat="1" ht="17.399999999999999">
      <c r="A71" s="71"/>
      <c r="C71" s="72"/>
      <c r="I71" s="27"/>
      <c r="K71" s="27"/>
    </row>
  </sheetData>
  <sortState xmlns:xlrd2="http://schemas.microsoft.com/office/spreadsheetml/2017/richdata2" ref="A80:T90">
    <sortCondition ref="C80:C90"/>
  </sortState>
  <mergeCells count="10">
    <mergeCell ref="A1:K1"/>
    <mergeCell ref="A3:K3"/>
    <mergeCell ref="A61:A65"/>
    <mergeCell ref="A55:A59"/>
    <mergeCell ref="A48:A53"/>
    <mergeCell ref="A40:A44"/>
    <mergeCell ref="A32:A38"/>
    <mergeCell ref="A17:A23"/>
    <mergeCell ref="A14:A15"/>
    <mergeCell ref="A8:A12"/>
  </mergeCells>
  <phoneticPr fontId="0" type="noConversion"/>
  <printOptions horizontalCentered="1"/>
  <pageMargins left="0.39370078740157483" right="0.39370078740157483" top="0.35433070866141736" bottom="0.43307086614173229" header="0.27559055118110237" footer="0.27559055118110237"/>
  <pageSetup paperSize="9" scale="54" fitToHeight="0" orientation="portrait" r:id="rId1"/>
  <headerFooter alignWithMargins="0">
    <oddFooter>&amp;C&amp;10Page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D40DB508F3D47B5CFE8F325DD0805" ma:contentTypeVersion="12" ma:contentTypeDescription="Create a new document." ma:contentTypeScope="" ma:versionID="e9cc255f9ec7a3fcd9ed79314d063662">
  <xsd:schema xmlns:xsd="http://www.w3.org/2001/XMLSchema" xmlns:xs="http://www.w3.org/2001/XMLSchema" xmlns:p="http://schemas.microsoft.com/office/2006/metadata/properties" xmlns:ns3="14f22201-64dd-4700-8e70-f281b0d9a65f" xmlns:ns4="8c8413b3-ae21-4ef3-9548-0fc79639aa35" targetNamespace="http://schemas.microsoft.com/office/2006/metadata/properties" ma:root="true" ma:fieldsID="09f32fc5d478f0ac782ba519b21036dc" ns3:_="" ns4:_="">
    <xsd:import namespace="14f22201-64dd-4700-8e70-f281b0d9a65f"/>
    <xsd:import namespace="8c8413b3-ae21-4ef3-9548-0fc79639aa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22201-64dd-4700-8e70-f281b0d9a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413b3-ae21-4ef3-9548-0fc79639aa3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C46D9-27AD-4BC9-A864-833598FF56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D7EC8-437C-41D3-BA6E-D4A1A4D3F2A7}">
  <ds:schemaRefs>
    <ds:schemaRef ds:uri="8c8413b3-ae21-4ef3-9548-0fc79639aa35"/>
    <ds:schemaRef ds:uri="http://www.w3.org/XML/1998/namespace"/>
    <ds:schemaRef ds:uri="http://purl.org/dc/dcmitype/"/>
    <ds:schemaRef ds:uri="http://purl.org/dc/elements/1.1/"/>
    <ds:schemaRef ds:uri="14f22201-64dd-4700-8e70-f281b0d9a65f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58C28C1-900D-4FD5-A828-F29B1D091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f22201-64dd-4700-8e70-f281b0d9a65f"/>
    <ds:schemaRef ds:uri="8c8413b3-ae21-4ef3-9548-0fc79639a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page 2</vt:lpstr>
      <vt:lpstr>Schedules A,B,C</vt:lpstr>
      <vt:lpstr>Schedules A,B,C Audit Notes</vt:lpstr>
      <vt:lpstr>Secondary Schedule</vt:lpstr>
      <vt:lpstr>Secondary Schedule Audit No</vt:lpstr>
      <vt:lpstr>sched G</vt:lpstr>
      <vt:lpstr>'Schedules A,B,C'!AN_List</vt:lpstr>
      <vt:lpstr>'Schedules A,B,C'!Currency_List</vt:lpstr>
      <vt:lpstr>'Schedules A,B,C'!Insured_List</vt:lpstr>
      <vt:lpstr>'Schedules A,B,C Audit Notes'!Insured_List</vt:lpstr>
      <vt:lpstr>'Secondary Schedule Audit No'!Insured_List</vt:lpstr>
      <vt:lpstr>'page 2'!Print_Area</vt:lpstr>
      <vt:lpstr>'sched G'!Print_Area</vt:lpstr>
      <vt:lpstr>'Schedules A,B,C'!Print_Area</vt:lpstr>
      <vt:lpstr>'Schedules A,B,C Audit Notes'!Print_Area</vt:lpstr>
      <vt:lpstr>'Secondary Schedule'!Print_Area</vt:lpstr>
      <vt:lpstr>'Secondary Schedule Audit No'!Print_Area</vt:lpstr>
      <vt:lpstr>'sched G'!Print_Titles</vt:lpstr>
      <vt:lpstr>'Schedules A,B,C'!Print_Titles</vt:lpstr>
      <vt:lpstr>'Secondary Schedule'!Print_Titles</vt:lpstr>
      <vt:lpstr>'Schedules A,B,C'!Reg_List</vt:lpstr>
      <vt:lpstr>'Schedules A,B,C'!Schedule_List</vt:lpstr>
      <vt:lpstr>'Schedules A,B,C Audit Notes'!Schedule_List</vt:lpstr>
      <vt:lpstr>'Secondary Schedule Audit No'!Schedule_List</vt:lpstr>
      <vt:lpstr>'Schedules A,B,C'!Status_List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leyland</dc:creator>
  <cp:lastModifiedBy>craig scott</cp:lastModifiedBy>
  <cp:lastPrinted>2022-01-21T14:54:54Z</cp:lastPrinted>
  <dcterms:created xsi:type="dcterms:W3CDTF">2008-09-22T17:04:28Z</dcterms:created>
  <dcterms:modified xsi:type="dcterms:W3CDTF">2022-11-17T18:31:45Z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fadf0749-435c-47bb-bc94-a4b9e551edbc_Enabled">
    <vt:lpwstr>True</vt:lpwstr>
  </property>
  <property fmtid="{D5CDD505-2E9C-101B-9397-08002B2CF9AE}" pid="5" name="MSIP_Label_fadf0749-435c-47bb-bc94-a4b9e551edbc_SiteId">
    <vt:lpwstr>53b7cac7-14be-46d4-be43-f2ad9244d901</vt:lpwstr>
  </property>
  <property fmtid="{D5CDD505-2E9C-101B-9397-08002B2CF9AE}" pid="6" name="MSIP_Label_fadf0749-435c-47bb-bc94-a4b9e551edbc_Owner">
    <vt:lpwstr>tom.callahan@xlgroup.com</vt:lpwstr>
  </property>
  <property fmtid="{D5CDD505-2E9C-101B-9397-08002B2CF9AE}" pid="7" name="MSIP_Label_fadf0749-435c-47bb-bc94-a4b9e551edbc_SetDate">
    <vt:lpwstr>2021-01-11T15:15:14.6578459Z</vt:lpwstr>
  </property>
  <property fmtid="{D5CDD505-2E9C-101B-9397-08002B2CF9AE}" pid="8" name="MSIP_Label_fadf0749-435c-47bb-bc94-a4b9e551edbc_Name">
    <vt:lpwstr>Unsecured Content</vt:lpwstr>
  </property>
  <property fmtid="{D5CDD505-2E9C-101B-9397-08002B2CF9AE}" pid="9" name="MSIP_Label_fadf0749-435c-47bb-bc94-a4b9e551edbc_Application">
    <vt:lpwstr>Microsoft Azure Information Protection</vt:lpwstr>
  </property>
  <property fmtid="{D5CDD505-2E9C-101B-9397-08002B2CF9AE}" pid="10" name="MSIP_Label_fadf0749-435c-47bb-bc94-a4b9e551edbc_ActionId">
    <vt:lpwstr>0d4a4a91-8cf7-4555-b635-2b6db877250a</vt:lpwstr>
  </property>
  <property fmtid="{D5CDD505-2E9C-101B-9397-08002B2CF9AE}" pid="11" name="MSIP_Label_fadf0749-435c-47bb-bc94-a4b9e551edbc_Extended_MSFT_Method">
    <vt:lpwstr>Automatic</vt:lpwstr>
  </property>
  <property fmtid="{D5CDD505-2E9C-101B-9397-08002B2CF9AE}" pid="12" name="ContentTypeId">
    <vt:lpwstr>0x010100AA1D40DB508F3D47B5CFE8F325DD0805</vt:lpwstr>
  </property>
  <property fmtid="{D5CDD505-2E9C-101B-9397-08002B2CF9AE}" pid="13" name="MSIP_Label_38f1469a-2c2a-4aee-b92b-090d4c5468ff_Enabled">
    <vt:lpwstr>true</vt:lpwstr>
  </property>
  <property fmtid="{D5CDD505-2E9C-101B-9397-08002B2CF9AE}" pid="14" name="MSIP_Label_38f1469a-2c2a-4aee-b92b-090d4c5468ff_SetDate">
    <vt:lpwstr>2022-01-21T14:06:48Z</vt:lpwstr>
  </property>
  <property fmtid="{D5CDD505-2E9C-101B-9397-08002B2CF9AE}" pid="15" name="MSIP_Label_38f1469a-2c2a-4aee-b92b-090d4c5468ff_Method">
    <vt:lpwstr>Standard</vt:lpwstr>
  </property>
  <property fmtid="{D5CDD505-2E9C-101B-9397-08002B2CF9AE}" pid="16" name="MSIP_Label_38f1469a-2c2a-4aee-b92b-090d4c5468ff_Name">
    <vt:lpwstr>Confidential - Unmarked</vt:lpwstr>
  </property>
  <property fmtid="{D5CDD505-2E9C-101B-9397-08002B2CF9AE}" pid="17" name="MSIP_Label_38f1469a-2c2a-4aee-b92b-090d4c5468ff_SiteId">
    <vt:lpwstr>2a6e6092-73e4-4752-b1a5-477a17f5056d</vt:lpwstr>
  </property>
  <property fmtid="{D5CDD505-2E9C-101B-9397-08002B2CF9AE}" pid="18" name="MSIP_Label_38f1469a-2c2a-4aee-b92b-090d4c5468ff_ActionId">
    <vt:lpwstr>6d6021af-774d-40ff-8784-704386ca5eed</vt:lpwstr>
  </property>
  <property fmtid="{D5CDD505-2E9C-101B-9397-08002B2CF9AE}" pid="19" name="MSIP_Label_38f1469a-2c2a-4aee-b92b-090d4c5468ff_ContentBits">
    <vt:lpwstr>0</vt:lpwstr>
  </property>
</Properties>
</file>