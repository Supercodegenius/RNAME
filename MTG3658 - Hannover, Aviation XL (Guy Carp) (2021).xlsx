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AVN\reinsur\CLIENT\HANNOVER\1st Dec 21 Renewal\2 - Analytics\2 - Data Out\Questionnaire\"/>
    </mc:Choice>
  </mc:AlternateContent>
  <bookViews>
    <workbookView xWindow="0" yWindow="0" windowWidth="24000" windowHeight="8990"/>
  </bookViews>
  <sheets>
    <sheet name="HR A,B,C COMB 010721 FOR INPUT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'HR A,B,C COMB 010721 FOR INPUT'!$A$14:$P$122</definedName>
    <definedName name="AN_List">'[1]Schedule ABC  | Audit Notes'!$E$8:$E$36</definedName>
    <definedName name="AsAtDate" localSheetId="0">#REF!</definedName>
    <definedName name="AsAtDate">#REF!</definedName>
    <definedName name="Audit_Note_Insured_List">'[2]Audit Notes'!$C$79:$C$254</definedName>
    <definedName name="Currency_List">'[2]Audit Notes'!$C$264:$C$366</definedName>
    <definedName name="Data_Validation_Table" localSheetId="0">#REF!</definedName>
    <definedName name="Data_Validation_Table">#REF!</definedName>
    <definedName name="Insured_List">'[2]Audit Notes'!$C$79:$C$254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"04/28/2015 07:26:40"</definedName>
    <definedName name="IQ_QTD" hidden="1">750000</definedName>
    <definedName name="IQ_TODAY" hidden="1">0</definedName>
    <definedName name="IQ_YTDMONTH" hidden="1">130000</definedName>
    <definedName name="LineType" localSheetId="0">#REF!</definedName>
    <definedName name="LineType">#REF!</definedName>
    <definedName name="MandatoryReinsuredLines" localSheetId="0">#REF!</definedName>
    <definedName name="MandatoryReinsuredLines">#REF!</definedName>
    <definedName name="Reg_List">'[2]Audit Notes'!$C$375:$C$378</definedName>
    <definedName name="Reinsured" localSheetId="0">#REF!</definedName>
    <definedName name="Reinsured">#REF!</definedName>
    <definedName name="ReinsuredLines" localSheetId="0">#REF!</definedName>
    <definedName name="ReinsuredLines">#REF!</definedName>
    <definedName name="ReinsuredLinesErrors" localSheetId="0">'[3]HR FAC Mid Year 2018'!#REF!</definedName>
    <definedName name="ReinsuredLinesErrors">'[3]HR FAC Mid Year 2018'!#REF!</definedName>
    <definedName name="Schedule_List">'[2]Audit Notes'!$C$258:$C$260</definedName>
    <definedName name="Status_List">'[2]Audit Notes'!$C$370:$C$371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<sst xmlns="http://schemas.openxmlformats.org/spreadsheetml/2006/main" count="607" uniqueCount="136">
  <si>
    <t>Name</t>
  </si>
  <si>
    <t>HANNOVER RE</t>
  </si>
  <si>
    <t>AsAt</t>
  </si>
  <si>
    <t>01.07.2021</t>
  </si>
  <si>
    <t>ALL</t>
  </si>
  <si>
    <t>whether these participations are subject to US Regulated Surplus Line and/or Reinsurance obligations).</t>
  </si>
  <si>
    <t>Expiring limits shown. Please provide up to date renewal information where necessary.</t>
  </si>
  <si>
    <t xml:space="preserve">Please enter any comments in the Audit Notes. Indicate any Aggregate Deductibles as an Audit Note rather than as a Hull or Liability Excess. </t>
  </si>
  <si>
    <t>Please enter Hull values excluding TLO. Insureds with Audit Notes will be highlighted italic bold.</t>
  </si>
  <si>
    <t>Schedule A  - Non U.S.A. Airlines;  Schedule B - U.S.A. Airlines;  Schedule C - Products / Manufacturers / Liabilities.</t>
  </si>
  <si>
    <t>Schedule</t>
  </si>
  <si>
    <t>Insured</t>
  </si>
  <si>
    <t>Inception</t>
  </si>
  <si>
    <t>Expiry</t>
  </si>
  <si>
    <t>Attachment</t>
  </si>
  <si>
    <t>Ccy</t>
  </si>
  <si>
    <t>Hull Limit</t>
  </si>
  <si>
    <t>Hull Excess</t>
  </si>
  <si>
    <t>Client % Line</t>
  </si>
  <si>
    <t>Signed (S) or Estimated (E)</t>
  </si>
  <si>
    <t>Liability Limit</t>
  </si>
  <si>
    <t>Liability Excess</t>
  </si>
  <si>
    <t>Liability Policy No</t>
  </si>
  <si>
    <t>US Reg Line Obligation (Lloyd's only)</t>
  </si>
  <si>
    <t>Sched</t>
  </si>
  <si>
    <t>Hccy</t>
  </si>
  <si>
    <t>Hlimit</t>
  </si>
  <si>
    <t>Hexcess</t>
  </si>
  <si>
    <t>HLinePer</t>
  </si>
  <si>
    <t>Hstatus</t>
  </si>
  <si>
    <t>Lccy</t>
  </si>
  <si>
    <t>Llimit</t>
  </si>
  <si>
    <t>Lexcess</t>
  </si>
  <si>
    <t>LLinePer</t>
  </si>
  <si>
    <t>LPolicyNo</t>
  </si>
  <si>
    <t>Lstatus</t>
  </si>
  <si>
    <t>RowErrors</t>
  </si>
  <si>
    <t>A</t>
  </si>
  <si>
    <t>Aegean Airlines</t>
  </si>
  <si>
    <t>USD</t>
  </si>
  <si>
    <t>S</t>
  </si>
  <si>
    <t>Aeroflot</t>
  </si>
  <si>
    <t>Aerolineas Argentinas</t>
  </si>
  <si>
    <t>Aeromexico</t>
  </si>
  <si>
    <t>Air Algerie</t>
  </si>
  <si>
    <t>Air Asia</t>
  </si>
  <si>
    <t>Air Canada</t>
  </si>
  <si>
    <t>Air France</t>
  </si>
  <si>
    <t>Air India Limited</t>
  </si>
  <si>
    <t>Air New Zealand</t>
  </si>
  <si>
    <t>E</t>
  </si>
  <si>
    <t>Air Transat</t>
  </si>
  <si>
    <t>All Nippon Airways</t>
  </si>
  <si>
    <t>Asiana Airlines</t>
  </si>
  <si>
    <t>Avianca Taca Holdings</t>
  </si>
  <si>
    <t>Azul Linhas Aereas</t>
  </si>
  <si>
    <t>CAAC</t>
  </si>
  <si>
    <t>Cathay Pacific</t>
  </si>
  <si>
    <t>China Airlines (Taiwan)</t>
  </si>
  <si>
    <t>China Hainan Airlines</t>
  </si>
  <si>
    <t>Deutsche Lufthansa</t>
  </si>
  <si>
    <t>DHL International</t>
  </si>
  <si>
    <t>easyJet</t>
  </si>
  <si>
    <t>Egypt Air</t>
  </si>
  <si>
    <t>El Al Israel Airlines</t>
  </si>
  <si>
    <t>Emirates</t>
  </si>
  <si>
    <t>Ethiopian Airlines</t>
  </si>
  <si>
    <t>Etihad Airways</t>
  </si>
  <si>
    <t>Eva Airways Corp</t>
  </si>
  <si>
    <t>FIN Group</t>
  </si>
  <si>
    <t>Garuda Indonesia</t>
  </si>
  <si>
    <t>Gol Transportes Aereo</t>
  </si>
  <si>
    <t>Gulf Air</t>
  </si>
  <si>
    <t>International Airlines Group</t>
  </si>
  <si>
    <t>Japan Airlines Corp</t>
  </si>
  <si>
    <t>Korean Air Lines</t>
  </si>
  <si>
    <t>Kuwait Airways</t>
  </si>
  <si>
    <t>Malaysian Airlines System</t>
  </si>
  <si>
    <t>Oman Air</t>
  </si>
  <si>
    <t>Pakistan International Airlines Corp</t>
  </si>
  <si>
    <t>Philippine Airlines</t>
  </si>
  <si>
    <t>PT Lion Mentari</t>
  </si>
  <si>
    <t>Qantas Airways</t>
  </si>
  <si>
    <t>Qatar Airways</t>
  </si>
  <si>
    <t>Royal Air Maroc</t>
  </si>
  <si>
    <t>Royal Jordanian</t>
  </si>
  <si>
    <t>Ryanair</t>
  </si>
  <si>
    <t>SAS</t>
  </si>
  <si>
    <t>Saudi Arabian Airlines</t>
  </si>
  <si>
    <t>Singapore Airlines</t>
  </si>
  <si>
    <t>South African Airways</t>
  </si>
  <si>
    <t>TAP</t>
  </si>
  <si>
    <t>Thai Airways International</t>
  </si>
  <si>
    <t>TUI AG</t>
  </si>
  <si>
    <t>Tunis Air</t>
  </si>
  <si>
    <t>Vietnam Airlines</t>
  </si>
  <si>
    <t>Virgin Atlantic Airways</t>
  </si>
  <si>
    <t>Virgin Australia</t>
  </si>
  <si>
    <t>Westjet Airlines</t>
  </si>
  <si>
    <t>B</t>
  </si>
  <si>
    <t>Alaska Air Group</t>
  </si>
  <si>
    <t>American Airlines</t>
  </si>
  <si>
    <t>Delta Air Lines</t>
  </si>
  <si>
    <t>Fedex Corp</t>
  </si>
  <si>
    <t>Hawaiian Airlines</t>
  </si>
  <si>
    <t>Jetblue Airways Corp</t>
  </si>
  <si>
    <t>Mesa Air Group</t>
  </si>
  <si>
    <t>Republic Airways</t>
  </si>
  <si>
    <t>SkyWest Airlines</t>
  </si>
  <si>
    <t>Southwest Airlines Company</t>
  </si>
  <si>
    <t>Spirit Airlines</t>
  </si>
  <si>
    <t>Trans States Holdings</t>
  </si>
  <si>
    <t>United Continental Holdings</t>
  </si>
  <si>
    <t>United Parcel Service</t>
  </si>
  <si>
    <t>C</t>
  </si>
  <si>
    <t>Airbus Group N.V.</t>
  </si>
  <si>
    <t>BAE Systems</t>
  </si>
  <si>
    <t>Boeing/MDC</t>
  </si>
  <si>
    <t>Bombardier/Canadair/Learjet</t>
  </si>
  <si>
    <t>Dassault Aviation</t>
  </si>
  <si>
    <t>EUR</t>
  </si>
  <si>
    <t>Embraer</t>
  </si>
  <si>
    <t>General Dynamics/Gulfstream</t>
  </si>
  <si>
    <t>General Electric/Gecas</t>
  </si>
  <si>
    <t>Honeywell</t>
  </si>
  <si>
    <t>Israel Aircraft Industrie</t>
  </si>
  <si>
    <t>L3 Communications</t>
  </si>
  <si>
    <t>Leonardo</t>
  </si>
  <si>
    <t>Lockheed Martin Corp</t>
  </si>
  <si>
    <t>Northrop Grumman Corp</t>
  </si>
  <si>
    <t>Parker Hannifin Corp</t>
  </si>
  <si>
    <t>Rolls Royce</t>
  </si>
  <si>
    <t>Safran</t>
  </si>
  <si>
    <t>Textron</t>
  </si>
  <si>
    <t>Thales</t>
  </si>
  <si>
    <t>Raytheon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</si>
</sst>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Current Lines Advised On: &quot;@"/>
    <numFmt numFmtId="165" formatCode="&quot;Sample Current Lines As At: &quot;@"/>
    <numFmt numFmtId="166" formatCode="&quot;Please advise NETT SIGNED LINE participation on all&quot;\ @\ &quot;acceptances (for Reinsureds who are Lloyd's Syndicates please advise&quot;"/>
    <numFmt numFmtId="167" formatCode="0.0000%"/>
    <numFmt numFmtId="168" formatCode="mmmmm"/>
    <numFmt numFmtId="169" formatCode="0.0000"/>
  </numFmts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rgb="FF002060"/>
      <name val="Arial"/>
      <family val="2"/>
    </font>
    <font>
      <sz val="10"/>
      <color rgb="FF002060"/>
      <name val="MS Sans Serif"/>
      <family val="2"/>
    </font>
    <font>
      <b/>
      <sz val="11.5"/>
      <color rgb="FF002060"/>
      <name val="Arial"/>
      <family val="2"/>
    </font>
    <font>
      <sz val="11"/>
      <name val="MS Sans Serif"/>
      <family val="2"/>
    </font>
    <font>
      <b/>
      <sz val="12"/>
      <color indexed="39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39">
    <xf numFmtId="0" fontId="0" fillId="0" borderId="0" xfId="0"/>
    <xf numFmtId="49" fontId="3" fillId="0" borderId="0" xfId="1" applyNumberFormat="1" applyFont="1" applyFill="1" applyBorder="1" applyAlignment="1">
      <alignment horizontal="center"/>
    </xf>
    <xf numFmtId="49" fontId="3" fillId="0" borderId="0" xfId="1" applyNumberFormat="1" applyFont="1" applyFill="1" applyBorder="1"/>
    <xf numFmtId="49" fontId="4" fillId="0" borderId="0" xfId="1" applyNumberFormat="1" applyFont="1" applyFill="1" applyBorder="1"/>
    <xf numFmtId="0" fontId="2" fillId="0" borderId="0" xfId="1" applyFill="1"/>
    <xf numFmtId="49" fontId="2" fillId="0" borderId="0" xfId="1" applyNumberFormat="1" applyFont="1" applyFill="1"/>
    <xf numFmtId="49" fontId="2" fillId="0" borderId="0" xfId="1" applyNumberFormat="1" applyFill="1"/>
    <xf numFmtId="49" fontId="4" fillId="0" borderId="0" xfId="1" applyNumberFormat="1" applyFont="1" applyFill="1" applyBorder="1" applyAlignment="1">
      <alignment horizontal="centerContinuous"/>
    </xf>
    <xf numFmtId="49" fontId="3" fillId="0" borderId="0" xfId="1" applyNumberFormat="1" applyFont="1" applyFill="1" applyBorder="1" applyAlignment="1">
      <alignment horizontal="centerContinuous"/>
    </xf>
    <xf numFmtId="49" fontId="7" fillId="0" borderId="0" xfId="1" applyNumberFormat="1" applyFont="1" applyFill="1"/>
    <xf numFmtId="165" fontId="6" fillId="0" borderId="0" xfId="1" applyNumberFormat="1" applyFont="1" applyFill="1" applyBorder="1" applyAlignment="1">
      <alignment horizontal="center"/>
    </xf>
    <xf numFmtId="0" fontId="9" fillId="0" borderId="0" xfId="1" applyFont="1" applyFill="1"/>
    <xf numFmtId="49" fontId="8" fillId="0" borderId="0" xfId="1" applyNumberFormat="1" applyFont="1" applyFill="1" applyBorder="1" applyAlignment="1">
      <alignment horizontal="left"/>
    </xf>
    <xf numFmtId="49" fontId="10" fillId="0" borderId="1" xfId="1" applyNumberFormat="1" applyFont="1" applyFill="1" applyBorder="1" applyAlignment="1">
      <alignment horizontal="centerContinuous"/>
    </xf>
    <xf numFmtId="49" fontId="2" fillId="0" borderId="0" xfId="1" applyNumberFormat="1" applyFont="1" applyFill="1" applyAlignment="1">
      <alignment horizontal="centerContinuous"/>
    </xf>
    <xf numFmtId="49" fontId="11" fillId="2" borderId="2" xfId="1" applyNumberFormat="1" applyFont="1" applyFill="1" applyBorder="1" applyAlignment="1">
      <alignment horizontal="center" vertical="center" textRotation="90" wrapText="1"/>
    </xf>
    <xf numFmtId="49" fontId="11" fillId="2" borderId="3" xfId="1" applyNumberFormat="1" applyFont="1" applyFill="1" applyBorder="1" applyAlignment="1">
      <alignment horizontal="center" vertical="center" wrapText="1"/>
    </xf>
    <xf numFmtId="49" fontId="11" fillId="2" borderId="4" xfId="1" applyNumberFormat="1" applyFont="1" applyFill="1" applyBorder="1" applyAlignment="1">
      <alignment horizontal="center" vertical="center" wrapText="1"/>
    </xf>
    <xf numFmtId="49" fontId="11" fillId="2" borderId="3" xfId="1" applyNumberFormat="1" applyFont="1" applyFill="1" applyBorder="1" applyAlignment="1">
      <alignment horizontal="center" vertical="center" textRotation="90" wrapText="1"/>
    </xf>
    <xf numFmtId="49" fontId="4" fillId="0" borderId="5" xfId="1" applyNumberFormat="1" applyFont="1" applyFill="1" applyBorder="1" applyAlignment="1">
      <alignment horizontal="center"/>
    </xf>
    <xf numFmtId="49" fontId="4" fillId="0" borderId="5" xfId="1" applyNumberFormat="1" applyFont="1" applyFill="1" applyBorder="1" applyAlignment="1">
      <alignment horizontal="left"/>
    </xf>
    <xf numFmtId="15" fontId="4" fillId="0" borderId="5" xfId="2" quotePrefix="1" applyNumberFormat="1" applyBorder="1"/>
    <xf numFmtId="0" fontId="4" fillId="0" borderId="5" xfId="1" applyNumberFormat="1" applyFont="1" applyFill="1" applyBorder="1" applyAlignment="1">
      <alignment horizontal="center"/>
    </xf>
    <xf numFmtId="0" fontId="4" fillId="0" borderId="5" xfId="2" quotePrefix="1" applyNumberFormat="1" applyBorder="1"/>
    <xf numFmtId="0" fontId="4" fillId="0" borderId="5" xfId="2" applyNumberFormat="1" applyBorder="1"/>
    <xf numFmtId="167" fontId="4" fillId="0" borderId="6" xfId="1" applyNumberFormat="1" applyFont="1" applyFill="1" applyBorder="1" applyAlignment="1">
      <alignment horizontal="center"/>
    </xf>
    <xf numFmtId="168" fontId="2" fillId="0" borderId="0" xfId="1" applyNumberFormat="1" applyFont="1" applyFill="1"/>
    <xf numFmtId="49" fontId="4" fillId="0" borderId="6" xfId="1" applyNumberFormat="1" applyFont="1" applyFill="1" applyBorder="1" applyAlignment="1">
      <alignment horizontal="center"/>
    </xf>
    <xf numFmtId="49" fontId="4" fillId="0" borderId="6" xfId="1" applyNumberFormat="1" applyFont="1" applyFill="1" applyBorder="1" applyAlignment="1">
      <alignment horizontal="left"/>
    </xf>
    <xf numFmtId="15" fontId="4" fillId="0" borderId="6" xfId="2" quotePrefix="1" applyNumberFormat="1" applyBorder="1"/>
    <xf numFmtId="0" fontId="4" fillId="0" borderId="6" xfId="1" applyNumberFormat="1" applyFont="1" applyFill="1" applyBorder="1" applyAlignment="1">
      <alignment horizontal="center"/>
    </xf>
    <xf numFmtId="3" fontId="4" fillId="0" borderId="6" xfId="2" quotePrefix="1" applyNumberFormat="1" applyBorder="1"/>
    <xf numFmtId="169" fontId="4" fillId="0" borderId="6" xfId="2" quotePrefix="1" applyNumberFormat="1" applyBorder="1"/>
    <xf numFmtId="0" fontId="4" fillId="0" borderId="6" xfId="2" quotePrefix="1" applyNumberFormat="1" applyBorder="1"/>
    <xf numFmtId="0" fontId="4" fillId="0" borderId="0" xfId="2"/>
    <xf numFmtId="49" fontId="8" fillId="0" borderId="0" xfId="1" applyNumberFormat="1" applyFont="1" applyFill="1" applyBorder="1" applyAlignment="1">
      <alignment horizontal="left"/>
    </xf>
    <xf numFmtId="49" fontId="5" fillId="0" borderId="0" xfId="1" applyNumberFormat="1" applyFont="1" applyFill="1" applyBorder="1" applyAlignment="1">
      <alignment horizontal="center"/>
    </xf>
    <xf numFmtId="164" fontId="6" fillId="0" borderId="0" xfId="1" applyNumberFormat="1" applyFont="1" applyFill="1" applyBorder="1" applyAlignment="1">
      <alignment horizontal="center"/>
    </xf>
    <xf numFmtId="166" fontId="8" fillId="0" borderId="0" xfId="1" applyNumberFormat="1" applyFont="1" applyFill="1" applyBorder="1" applyAlignment="1">
      <alignment horizontal="left"/>
    </xf>
  </cellXfs>
  <cellStyles count="3">
    <cellStyle name="Normal" xfId="0" builtinId="0"/>
    <cellStyle name="Normal 2" xfId="2"/>
    <cellStyle name="Normal_Losses For Testing" xfId="1"/>
  </cellStyles>
  <dxfs count="34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condense val="0"/>
        <extend val="0"/>
        <color indexed="12"/>
      </font>
    </dxf>
    <dxf>
      <font>
        <b val="0"/>
        <i val="0"/>
        <condense val="0"/>
        <extend val="0"/>
        <color auto="1"/>
      </font>
      <border>
        <bottom style="thin">
          <color indexed="64"/>
        </bottom>
      </border>
    </dxf>
    <dxf>
      <font>
        <b/>
        <i/>
        <condense val="0"/>
        <extend val="0"/>
        <color indexed="12"/>
      </font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0</xdr:colOff>
          <xdr:row>3</xdr:row>
          <xdr:rowOff>12700</xdr:rowOff>
        </xdr:from>
        <xdr:to>
          <xdr:col>19</xdr:col>
          <xdr:colOff>0</xdr:colOff>
          <xdr:row>4</xdr:row>
          <xdr:rowOff>12700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Reformat Data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f\AppData\Local\Microsoft\Windows\Temporary%20Internet%20Files\Content.Outlook\2H17OC9E\Prop\XL%20Catlin%2020170816%20-%20Schedule_ABC_August17%20cal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VN/reinsur/CLIENT/HANNOVER/2019%20Mid%20Year/Analysis/Original%20Info/IHSB/Fac%20Schedule%20ABC%20as%20at%2001-08-2018%20plus%20AVN%2052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VN/reinsur/CLIENT/HANNOVER/2019%20Mid%20Year/Analysis/HRE%20MASTER%20ABC's%2001.07.19%20CVS%202019%20cession%204%2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.ad.guycarp.com\UK_Home\AVN\reinsur\CLIENT\HANNOVER\1st%20Dec%2021%20Renewal\2%20-%20Analytics\2%20-%20Data%20Out\New%20Model\Fac%20&amp;%20Tty\Hannover%20Re%20ABC%20Input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Version# (Hide)"/>
      <sheetName val="Schedule ABC"/>
      <sheetName val="Schedule ABC  | Audit Notes"/>
      <sheetName val="Lookups and Validations (Hide)"/>
    </sheetNames>
    <sheetDataSet>
      <sheetData sheetId="0"/>
      <sheetData sheetId="1"/>
      <sheetData sheetId="2">
        <row r="8">
          <cell r="E8" t="str">
            <v>Air Asia</v>
          </cell>
        </row>
        <row r="9">
          <cell r="E9" t="str">
            <v>Air New Zealand</v>
          </cell>
        </row>
        <row r="10">
          <cell r="E10" t="str">
            <v>Eva Airways Corp</v>
          </cell>
        </row>
        <row r="11">
          <cell r="E11" t="str">
            <v>Jet Airways (India)</v>
          </cell>
        </row>
        <row r="12">
          <cell r="E12" t="str">
            <v>Pakistan International Airlines Corp</v>
          </cell>
        </row>
        <row r="13">
          <cell r="E13" t="str">
            <v>PT Lion Mentari</v>
          </cell>
        </row>
        <row r="14">
          <cell r="E14" t="str">
            <v>Qantas Airways</v>
          </cell>
        </row>
        <row r="15">
          <cell r="E15" t="str">
            <v>SAS</v>
          </cell>
        </row>
        <row r="16">
          <cell r="E16" t="str">
            <v>Singapore Airlines</v>
          </cell>
        </row>
        <row r="17">
          <cell r="E17" t="str">
            <v>TAP</v>
          </cell>
        </row>
        <row r="18">
          <cell r="E18" t="str">
            <v>Transaero Airlines</v>
          </cell>
        </row>
        <row r="19">
          <cell r="E19" t="str">
            <v>Virgin Atlantic Airways</v>
          </cell>
        </row>
        <row r="20">
          <cell r="E20" t="str">
            <v>Alaska Air Group</v>
          </cell>
        </row>
        <row r="21">
          <cell r="E21" t="str">
            <v>Republic Airways</v>
          </cell>
        </row>
        <row r="22">
          <cell r="E22" t="str">
            <v>Virgin America</v>
          </cell>
        </row>
        <row r="23">
          <cell r="E23" t="str">
            <v>BAE Systems 3 yr XS deal</v>
          </cell>
        </row>
        <row r="24">
          <cell r="E24" t="str">
            <v>Israel Aircraft Industrie</v>
          </cell>
        </row>
        <row r="25">
          <cell r="E25" t="str">
            <v>Leonardo</v>
          </cell>
        </row>
        <row r="26">
          <cell r="E26" t="str">
            <v>Lockheed Martin Corp</v>
          </cell>
        </row>
        <row r="27">
          <cell r="E27">
            <v>0</v>
          </cell>
        </row>
        <row r="28">
          <cell r="E28" t="str">
            <v>Rolls Royce</v>
          </cell>
        </row>
        <row r="29">
          <cell r="E29">
            <v>0</v>
          </cell>
        </row>
        <row r="30">
          <cell r="E30" t="str">
            <v>All Nippon Airways</v>
          </cell>
        </row>
        <row r="31">
          <cell r="E31">
            <v>0</v>
          </cell>
        </row>
        <row r="32">
          <cell r="E32" t="str">
            <v>CAAC</v>
          </cell>
        </row>
        <row r="33">
          <cell r="E33" t="str">
            <v>Ryanair</v>
          </cell>
        </row>
        <row r="34">
          <cell r="E34" t="str">
            <v>Airbus Group N.V.</v>
          </cell>
        </row>
        <row r="35">
          <cell r="E35" t="str">
            <v>Dassault Aviation</v>
          </cell>
        </row>
        <row r="36">
          <cell r="E36">
            <v>0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s A,B,C"/>
      <sheetName val="Audit Notes"/>
      <sheetName val="Mandatory Fields"/>
      <sheetName val="Fac Schedule ABC as at 01-08-20"/>
    </sheetNames>
    <sheetDataSet>
      <sheetData sheetId="0"/>
      <sheetData sheetId="1">
        <row r="10">
          <cell r="C10">
            <v>0</v>
          </cell>
        </row>
        <row r="79">
          <cell r="C79">
            <v>0</v>
          </cell>
        </row>
        <row r="80">
          <cell r="C80" t="str">
            <v>Aegean Airlines</v>
          </cell>
        </row>
        <row r="81">
          <cell r="C81" t="str">
            <v>Aeroflot</v>
          </cell>
        </row>
        <row r="82">
          <cell r="C82" t="str">
            <v>Aerolineas Argentinas</v>
          </cell>
        </row>
        <row r="83">
          <cell r="C83" t="str">
            <v>Aeromexico</v>
          </cell>
        </row>
        <row r="84">
          <cell r="C84" t="str">
            <v>Air Algerie</v>
          </cell>
        </row>
        <row r="85">
          <cell r="C85" t="str">
            <v>Air Asia</v>
          </cell>
        </row>
        <row r="86">
          <cell r="C86" t="str">
            <v>Air Berlin</v>
          </cell>
        </row>
        <row r="87">
          <cell r="C87" t="str">
            <v>Air Canada</v>
          </cell>
        </row>
        <row r="88">
          <cell r="C88" t="str">
            <v>Air Europa</v>
          </cell>
        </row>
        <row r="89">
          <cell r="C89" t="str">
            <v>Air France</v>
          </cell>
        </row>
        <row r="90">
          <cell r="C90" t="str">
            <v>Air India Limited</v>
          </cell>
        </row>
        <row r="91">
          <cell r="C91" t="str">
            <v>Air Jamaica</v>
          </cell>
        </row>
        <row r="92">
          <cell r="C92" t="str">
            <v>Air New Zealand</v>
          </cell>
        </row>
        <row r="93">
          <cell r="C93" t="str">
            <v>Air Plus Comet</v>
          </cell>
        </row>
        <row r="94">
          <cell r="C94" t="str">
            <v>Air Transat</v>
          </cell>
        </row>
        <row r="95">
          <cell r="C95" t="str">
            <v>Alianza Summa</v>
          </cell>
        </row>
        <row r="96">
          <cell r="C96" t="str">
            <v>Alitalia</v>
          </cell>
        </row>
        <row r="97">
          <cell r="C97" t="str">
            <v>All Nippon Airways</v>
          </cell>
        </row>
        <row r="98">
          <cell r="C98" t="str">
            <v>Asiana Airlines</v>
          </cell>
        </row>
        <row r="99">
          <cell r="C99" t="str">
            <v>Avianca Taca Holdings</v>
          </cell>
        </row>
        <row r="100">
          <cell r="C100" t="str">
            <v>Azul Linhas Aereas</v>
          </cell>
        </row>
        <row r="101">
          <cell r="C101" t="str">
            <v>BWIA</v>
          </cell>
        </row>
        <row r="102">
          <cell r="C102" t="str">
            <v>CAAC</v>
          </cell>
        </row>
        <row r="103">
          <cell r="C103" t="str">
            <v>Caribbean Airlines</v>
          </cell>
        </row>
        <row r="104">
          <cell r="C104" t="str">
            <v>Cathay Pacific</v>
          </cell>
        </row>
        <row r="105">
          <cell r="C105" t="str">
            <v>China Airlines (Taiwan)</v>
          </cell>
        </row>
        <row r="106">
          <cell r="C106" t="str">
            <v>China Hainan Airlines</v>
          </cell>
        </row>
        <row r="107">
          <cell r="C107" t="str">
            <v>CINTRA</v>
          </cell>
        </row>
        <row r="108">
          <cell r="C108" t="str">
            <v>Compagnia Aerea Italiana</v>
          </cell>
        </row>
        <row r="109">
          <cell r="C109" t="str">
            <v>Deutsche Lufthansa</v>
          </cell>
        </row>
        <row r="110">
          <cell r="C110" t="str">
            <v>Deutsche Lufthansa - Segment A</v>
          </cell>
        </row>
        <row r="111">
          <cell r="C111" t="str">
            <v>Deutsche Lufthansa - Segment B</v>
          </cell>
        </row>
        <row r="112">
          <cell r="C112" t="str">
            <v>Deutsche Lufthansa - Segment C</v>
          </cell>
        </row>
        <row r="113">
          <cell r="C113" t="str">
            <v>Dragonair</v>
          </cell>
        </row>
        <row r="114">
          <cell r="C114" t="str">
            <v>easyJet</v>
          </cell>
        </row>
        <row r="115">
          <cell r="C115" t="str">
            <v>Egypt Air</v>
          </cell>
        </row>
        <row r="116">
          <cell r="C116" t="str">
            <v>El Al Israel Airlines</v>
          </cell>
        </row>
        <row r="117">
          <cell r="C117" t="str">
            <v>Emirates</v>
          </cell>
        </row>
        <row r="118">
          <cell r="C118" t="str">
            <v>Etihad Airways</v>
          </cell>
        </row>
        <row r="119">
          <cell r="C119" t="str">
            <v>Ethiopian Airlines</v>
          </cell>
        </row>
        <row r="120">
          <cell r="C120" t="str">
            <v>Eva Airways Corp</v>
          </cell>
        </row>
        <row r="121">
          <cell r="C121" t="str">
            <v>Far Eastern Air Transport Corp</v>
          </cell>
        </row>
        <row r="122">
          <cell r="C122" t="str">
            <v>FIN Group</v>
          </cell>
        </row>
        <row r="123">
          <cell r="C123" t="str">
            <v>FIN Group (Air Europa only)</v>
          </cell>
        </row>
        <row r="124">
          <cell r="C124" t="str">
            <v>FIN Group (other than Air Europa)</v>
          </cell>
        </row>
        <row r="125">
          <cell r="C125" t="str">
            <v>First Choice Airways</v>
          </cell>
        </row>
        <row r="126">
          <cell r="C126" t="str">
            <v>Garuda Indonesia</v>
          </cell>
        </row>
        <row r="127">
          <cell r="C127" t="str">
            <v>Gol Transportes Aereo</v>
          </cell>
        </row>
        <row r="128">
          <cell r="C128" t="str">
            <v>Gulf Air</v>
          </cell>
        </row>
        <row r="129">
          <cell r="C129" t="str">
            <v>Gulf Co-operation Council</v>
          </cell>
        </row>
        <row r="130">
          <cell r="C130" t="str">
            <v>Iberia</v>
          </cell>
        </row>
        <row r="131">
          <cell r="C131" t="str">
            <v>Indian Airlines</v>
          </cell>
        </row>
        <row r="132">
          <cell r="C132" t="str">
            <v>International Airlines Group</v>
          </cell>
        </row>
        <row r="133">
          <cell r="C133" t="str">
            <v>Japan Airlines Corp</v>
          </cell>
        </row>
        <row r="134">
          <cell r="C134" t="str">
            <v>Jet Airways (India)</v>
          </cell>
        </row>
        <row r="135">
          <cell r="C135" t="str">
            <v>Kingfisher Airlines</v>
          </cell>
        </row>
        <row r="136">
          <cell r="C136" t="str">
            <v>Korean Air Lines</v>
          </cell>
        </row>
        <row r="137">
          <cell r="C137" t="str">
            <v>Kuwait Airways</v>
          </cell>
        </row>
        <row r="138">
          <cell r="C138" t="str">
            <v>LAN - Chile</v>
          </cell>
        </row>
        <row r="139">
          <cell r="C139" t="str">
            <v>Malaysian Airlines System</v>
          </cell>
        </row>
        <row r="140">
          <cell r="C140" t="str">
            <v>Mexicana/Click Mexicana</v>
          </cell>
        </row>
        <row r="141">
          <cell r="C141" t="str">
            <v>Monarch Airlines</v>
          </cell>
        </row>
        <row r="142">
          <cell r="C142" t="str">
            <v>Mytravel Group</v>
          </cell>
        </row>
        <row r="143">
          <cell r="C143" t="str">
            <v>Olympic Airlines</v>
          </cell>
        </row>
        <row r="144">
          <cell r="C144" t="str">
            <v>Oman Air</v>
          </cell>
        </row>
        <row r="145">
          <cell r="C145" t="str">
            <v>Pakistan International Airlines Corp</v>
          </cell>
        </row>
        <row r="146">
          <cell r="C146" t="str">
            <v>Philippine Airlines</v>
          </cell>
        </row>
        <row r="147">
          <cell r="C147" t="str">
            <v>PT Lion Mentari</v>
          </cell>
        </row>
        <row r="148">
          <cell r="C148" t="str">
            <v>Qantas Airways</v>
          </cell>
        </row>
        <row r="149">
          <cell r="C149" t="str">
            <v>Qatar Airways</v>
          </cell>
        </row>
        <row r="150">
          <cell r="C150" t="str">
            <v>QLP</v>
          </cell>
        </row>
        <row r="151">
          <cell r="C151" t="str">
            <v>Royal Air Maroc</v>
          </cell>
        </row>
        <row r="152">
          <cell r="C152" t="str">
            <v>Royal Jordanian</v>
          </cell>
        </row>
        <row r="153">
          <cell r="C153" t="str">
            <v>Ryanair</v>
          </cell>
        </row>
        <row r="154">
          <cell r="C154" t="str">
            <v>SAF</v>
          </cell>
        </row>
        <row r="155">
          <cell r="C155" t="str">
            <v>SAS</v>
          </cell>
        </row>
        <row r="156">
          <cell r="C156" t="str">
            <v>SASTAP</v>
          </cell>
        </row>
        <row r="157">
          <cell r="C157" t="str">
            <v>Saudi Arabian Airlines</v>
          </cell>
        </row>
        <row r="158">
          <cell r="C158" t="str">
            <v>SFIT</v>
          </cell>
        </row>
        <row r="159">
          <cell r="C159" t="str">
            <v>Singapore Airlines</v>
          </cell>
        </row>
        <row r="160">
          <cell r="C160" t="str">
            <v>South African Airways</v>
          </cell>
        </row>
        <row r="161">
          <cell r="C161" t="str">
            <v>Synergy</v>
          </cell>
        </row>
        <row r="162">
          <cell r="C162" t="str">
            <v>TACA International Airlines</v>
          </cell>
        </row>
        <row r="163">
          <cell r="C163" t="str">
            <v>Tam Brasil</v>
          </cell>
        </row>
        <row r="164">
          <cell r="C164" t="str">
            <v>TAP</v>
          </cell>
        </row>
        <row r="165">
          <cell r="C165" t="str">
            <v>Thai Airways International</v>
          </cell>
        </row>
        <row r="166">
          <cell r="C166" t="str">
            <v>Thomas Cook</v>
          </cell>
        </row>
        <row r="167">
          <cell r="C167" t="str">
            <v>TUI AG</v>
          </cell>
        </row>
        <row r="168">
          <cell r="C168" t="str">
            <v>Tunis Air</v>
          </cell>
        </row>
        <row r="169">
          <cell r="C169" t="str">
            <v>Turk Hava Yollari</v>
          </cell>
        </row>
        <row r="170">
          <cell r="C170" t="str">
            <v>Varig</v>
          </cell>
        </row>
        <row r="171">
          <cell r="C171" t="str">
            <v>VASP</v>
          </cell>
        </row>
        <row r="172">
          <cell r="C172" t="str">
            <v>Vietnam Airlines</v>
          </cell>
        </row>
        <row r="173">
          <cell r="C173" t="str">
            <v>Virgin Atlantic Airways</v>
          </cell>
        </row>
        <row r="174">
          <cell r="C174" t="str">
            <v>Virgin Blue</v>
          </cell>
        </row>
        <row r="175">
          <cell r="C175" t="str">
            <v>Westjet Airlines</v>
          </cell>
        </row>
        <row r="176">
          <cell r="C176" t="str">
            <v>Air Wisconsin Airlines Corp</v>
          </cell>
        </row>
        <row r="177">
          <cell r="C177" t="str">
            <v>Airborne Express</v>
          </cell>
        </row>
        <row r="178">
          <cell r="C178" t="str">
            <v>AirTran Airways</v>
          </cell>
        </row>
        <row r="179">
          <cell r="C179" t="str">
            <v>Alaska Air Group</v>
          </cell>
        </row>
        <row r="180">
          <cell r="C180" t="str">
            <v>Aloha Airlines</v>
          </cell>
        </row>
        <row r="181">
          <cell r="C181" t="str">
            <v>America West Airlines</v>
          </cell>
        </row>
        <row r="182">
          <cell r="C182" t="str">
            <v>American Airlines</v>
          </cell>
        </row>
        <row r="183">
          <cell r="C183" t="str">
            <v>American Trans Air</v>
          </cell>
        </row>
        <row r="184">
          <cell r="C184" t="str">
            <v>Atlas Air</v>
          </cell>
        </row>
        <row r="185">
          <cell r="C185" t="str">
            <v>BAX Global</v>
          </cell>
        </row>
        <row r="186">
          <cell r="C186" t="str">
            <v>Chautauqua Airlines</v>
          </cell>
        </row>
        <row r="187">
          <cell r="C187" t="str">
            <v>Continental Airlines</v>
          </cell>
        </row>
        <row r="188">
          <cell r="C188" t="str">
            <v>Delta Air Lines</v>
          </cell>
        </row>
        <row r="189">
          <cell r="C189" t="str">
            <v>DHL International</v>
          </cell>
        </row>
        <row r="190">
          <cell r="C190" t="str">
            <v>Evergreen International Aviation</v>
          </cell>
        </row>
        <row r="191">
          <cell r="C191" t="str">
            <v>Fedex Corp</v>
          </cell>
        </row>
        <row r="192">
          <cell r="C192" t="str">
            <v>Frontier Airlines</v>
          </cell>
        </row>
        <row r="193">
          <cell r="C193" t="str">
            <v>Global Aviation Holdings</v>
          </cell>
        </row>
        <row r="194">
          <cell r="C194" t="str">
            <v>Hawaiian Airlines</v>
          </cell>
        </row>
        <row r="195">
          <cell r="C195" t="str">
            <v>Independence Air</v>
          </cell>
        </row>
        <row r="196">
          <cell r="C196" t="str">
            <v>Jetblue Airways Corp</v>
          </cell>
        </row>
        <row r="197">
          <cell r="C197" t="str">
            <v>Kitty Hawk</v>
          </cell>
        </row>
        <row r="198">
          <cell r="C198" t="str">
            <v>Mesa Air Group</v>
          </cell>
        </row>
        <row r="199">
          <cell r="C199" t="str">
            <v>Midwest Airlines</v>
          </cell>
        </row>
        <row r="200">
          <cell r="C200" t="str">
            <v>MN Airlines</v>
          </cell>
        </row>
        <row r="201">
          <cell r="C201" t="str">
            <v>Northwest/Continental Group</v>
          </cell>
        </row>
        <row r="202">
          <cell r="C202" t="str">
            <v>Pinnacle Airlines &amp; Colgan Air</v>
          </cell>
        </row>
        <row r="203">
          <cell r="C203" t="str">
            <v>Republic Airways</v>
          </cell>
        </row>
        <row r="204">
          <cell r="C204" t="str">
            <v>Ryan International Airlines</v>
          </cell>
        </row>
        <row r="205">
          <cell r="C205" t="str">
            <v>SkyWest Airlines</v>
          </cell>
        </row>
        <row r="206">
          <cell r="C206" t="str">
            <v>Southwest Airlines Company</v>
          </cell>
        </row>
        <row r="207">
          <cell r="C207" t="str">
            <v>Spirit Airlines</v>
          </cell>
        </row>
        <row r="208">
          <cell r="C208" t="str">
            <v>Trans States Holdings</v>
          </cell>
        </row>
        <row r="209">
          <cell r="C209" t="str">
            <v>United Air Lines</v>
          </cell>
        </row>
        <row r="210">
          <cell r="C210" t="str">
            <v>United Continental Holdings</v>
          </cell>
        </row>
        <row r="211">
          <cell r="C211" t="str">
            <v>United Parcel Service</v>
          </cell>
        </row>
        <row r="212">
          <cell r="C212" t="str">
            <v>US Airways</v>
          </cell>
        </row>
        <row r="213">
          <cell r="C213" t="str">
            <v>Virgin America</v>
          </cell>
        </row>
        <row r="214">
          <cell r="C214" t="str">
            <v>World Airways</v>
          </cell>
        </row>
        <row r="215">
          <cell r="C215" t="str">
            <v>ABC Scheme</v>
          </cell>
        </row>
        <row r="216">
          <cell r="C216" t="str">
            <v>Aermacchi</v>
          </cell>
        </row>
        <row r="217">
          <cell r="C217" t="str">
            <v>Agusta/Westland</v>
          </cell>
        </row>
        <row r="218">
          <cell r="C218" t="str">
            <v>Airbus Group N.V.</v>
          </cell>
        </row>
        <row r="219">
          <cell r="C219" t="str">
            <v>Alenia</v>
          </cell>
        </row>
        <row r="220">
          <cell r="C220" t="str">
            <v>ATR</v>
          </cell>
        </row>
        <row r="221">
          <cell r="C221" t="str">
            <v>Avio</v>
          </cell>
        </row>
        <row r="222">
          <cell r="C222" t="str">
            <v>BAA</v>
          </cell>
        </row>
        <row r="223">
          <cell r="C223" t="str">
            <v>BAE Systems</v>
          </cell>
        </row>
        <row r="224">
          <cell r="C224" t="str">
            <v>Boeing/MDC</v>
          </cell>
        </row>
        <row r="225">
          <cell r="C225" t="str">
            <v>Bombardier/Canadair/Learjet</v>
          </cell>
        </row>
        <row r="226">
          <cell r="C226" t="str">
            <v>Dassault Aviation</v>
          </cell>
        </row>
        <row r="227">
          <cell r="C227" t="str">
            <v>Embraer</v>
          </cell>
        </row>
        <row r="228">
          <cell r="C228" t="str">
            <v>Fairchild Corp</v>
          </cell>
        </row>
        <row r="229">
          <cell r="C229" t="str">
            <v>Finmeccanica</v>
          </cell>
        </row>
        <row r="230">
          <cell r="C230" t="str">
            <v>General Dynamics/Gulfstream</v>
          </cell>
        </row>
        <row r="231">
          <cell r="C231" t="str">
            <v>General Electric/Gecas</v>
          </cell>
        </row>
        <row r="232">
          <cell r="C232" t="str">
            <v>General Motors</v>
          </cell>
        </row>
        <row r="233">
          <cell r="C233" t="str">
            <v>Goodrich Corp</v>
          </cell>
        </row>
        <row r="234">
          <cell r="C234" t="str">
            <v>Honeywell</v>
          </cell>
        </row>
        <row r="235">
          <cell r="C235" t="str">
            <v>Israel Aircraft Industrie</v>
          </cell>
        </row>
        <row r="236">
          <cell r="C236" t="str">
            <v>L3 Communications</v>
          </cell>
        </row>
        <row r="237">
          <cell r="C237" t="str">
            <v>Labinal / Turbomecca</v>
          </cell>
        </row>
        <row r="238">
          <cell r="C238" t="str">
            <v>Leonardo</v>
          </cell>
        </row>
        <row r="239">
          <cell r="C239" t="str">
            <v>Lockheed Martin Corp</v>
          </cell>
        </row>
        <row r="240">
          <cell r="C240" t="str">
            <v>NATS</v>
          </cell>
        </row>
        <row r="241">
          <cell r="C241" t="str">
            <v>Northrop Grumman Corp</v>
          </cell>
        </row>
        <row r="242">
          <cell r="C242" t="str">
            <v>PANNJ</v>
          </cell>
        </row>
        <row r="243">
          <cell r="C243" t="str">
            <v>Parker Hannifin Corp</v>
          </cell>
        </row>
        <row r="244">
          <cell r="C244" t="str">
            <v>Raytheon Company</v>
          </cell>
        </row>
        <row r="245">
          <cell r="C245" t="str">
            <v>Rockwell Collins</v>
          </cell>
        </row>
        <row r="246">
          <cell r="C246" t="str">
            <v>Rolls Royce</v>
          </cell>
        </row>
        <row r="247">
          <cell r="C247" t="str">
            <v>Saab</v>
          </cell>
        </row>
        <row r="248">
          <cell r="C248" t="str">
            <v>Safran</v>
          </cell>
        </row>
        <row r="249">
          <cell r="C249" t="str">
            <v>SNECMA</v>
          </cell>
        </row>
        <row r="250">
          <cell r="C250" t="str">
            <v>Stork NV</v>
          </cell>
        </row>
        <row r="251">
          <cell r="C251" t="str">
            <v>Teledyne Technologies</v>
          </cell>
        </row>
        <row r="252">
          <cell r="C252" t="str">
            <v>Textron</v>
          </cell>
        </row>
        <row r="253">
          <cell r="C253" t="str">
            <v>Thales</v>
          </cell>
        </row>
        <row r="254">
          <cell r="C254" t="str">
            <v>United Technologies</v>
          </cell>
        </row>
        <row r="258">
          <cell r="C258" t="str">
            <v>A</v>
          </cell>
        </row>
        <row r="259">
          <cell r="C259" t="str">
            <v>B</v>
          </cell>
        </row>
        <row r="260">
          <cell r="C260" t="str">
            <v>C</v>
          </cell>
        </row>
        <row r="264">
          <cell r="C264" t="str">
            <v>AED</v>
          </cell>
        </row>
        <row r="265">
          <cell r="C265" t="str">
            <v>AFN</v>
          </cell>
        </row>
        <row r="266">
          <cell r="C266" t="str">
            <v>ALL</v>
          </cell>
        </row>
        <row r="267">
          <cell r="C267" t="str">
            <v>AMD</v>
          </cell>
        </row>
        <row r="268">
          <cell r="C268" t="str">
            <v>ARS</v>
          </cell>
        </row>
        <row r="269">
          <cell r="C269" t="str">
            <v>AUD</v>
          </cell>
        </row>
        <row r="270">
          <cell r="C270" t="str">
            <v>AZN</v>
          </cell>
        </row>
        <row r="271">
          <cell r="C271" t="str">
            <v>BBD</v>
          </cell>
        </row>
        <row r="272">
          <cell r="C272" t="str">
            <v>BDT</v>
          </cell>
        </row>
        <row r="273">
          <cell r="C273" t="str">
            <v>BGN</v>
          </cell>
        </row>
        <row r="274">
          <cell r="C274" t="str">
            <v>BHD</v>
          </cell>
        </row>
        <row r="275">
          <cell r="C275" t="str">
            <v>BMD</v>
          </cell>
        </row>
        <row r="276">
          <cell r="C276" t="str">
            <v>BND</v>
          </cell>
        </row>
        <row r="277">
          <cell r="C277" t="str">
            <v>BRL</v>
          </cell>
        </row>
        <row r="278">
          <cell r="C278" t="str">
            <v>BSD</v>
          </cell>
        </row>
        <row r="279">
          <cell r="C279" t="str">
            <v>BWP</v>
          </cell>
        </row>
        <row r="280">
          <cell r="C280" t="str">
            <v>BZD</v>
          </cell>
        </row>
        <row r="281">
          <cell r="C281" t="str">
            <v>CAD</v>
          </cell>
        </row>
        <row r="282">
          <cell r="C282" t="str">
            <v>CHF</v>
          </cell>
        </row>
        <row r="283">
          <cell r="C283" t="str">
            <v>CLP</v>
          </cell>
        </row>
        <row r="284">
          <cell r="C284" t="str">
            <v>CNY</v>
          </cell>
        </row>
        <row r="285">
          <cell r="C285" t="str">
            <v>COP</v>
          </cell>
        </row>
        <row r="286">
          <cell r="C286" t="str">
            <v>CRC</v>
          </cell>
        </row>
        <row r="287">
          <cell r="C287" t="str">
            <v>CZK</v>
          </cell>
        </row>
        <row r="288">
          <cell r="C288" t="str">
            <v>DKK</v>
          </cell>
        </row>
        <row r="289">
          <cell r="C289" t="str">
            <v>DOP</v>
          </cell>
        </row>
        <row r="290">
          <cell r="C290" t="str">
            <v>DZD</v>
          </cell>
        </row>
        <row r="291">
          <cell r="C291" t="str">
            <v>EGP</v>
          </cell>
        </row>
        <row r="292">
          <cell r="C292" t="str">
            <v>EUR</v>
          </cell>
        </row>
        <row r="293">
          <cell r="C293" t="str">
            <v>FJD</v>
          </cell>
        </row>
        <row r="294">
          <cell r="C294" t="str">
            <v>GBP</v>
          </cell>
        </row>
        <row r="295">
          <cell r="C295" t="str">
            <v>GEL</v>
          </cell>
        </row>
        <row r="296">
          <cell r="C296" t="str">
            <v>GTQ</v>
          </cell>
        </row>
        <row r="297">
          <cell r="C297" t="str">
            <v>HKD</v>
          </cell>
        </row>
        <row r="298">
          <cell r="C298" t="str">
            <v>HRK</v>
          </cell>
        </row>
        <row r="299">
          <cell r="C299" t="str">
            <v>HUF</v>
          </cell>
        </row>
        <row r="300">
          <cell r="C300" t="str">
            <v>IDR</v>
          </cell>
        </row>
        <row r="301">
          <cell r="C301" t="str">
            <v>ILS</v>
          </cell>
        </row>
        <row r="302">
          <cell r="C302" t="str">
            <v>INR</v>
          </cell>
        </row>
        <row r="303">
          <cell r="C303" t="str">
            <v>IQD</v>
          </cell>
        </row>
        <row r="304">
          <cell r="C304" t="str">
            <v>IRR</v>
          </cell>
        </row>
        <row r="305">
          <cell r="C305" t="str">
            <v>ISK</v>
          </cell>
        </row>
        <row r="306">
          <cell r="C306" t="str">
            <v>JMD</v>
          </cell>
        </row>
        <row r="307">
          <cell r="C307" t="str">
            <v>JOD</v>
          </cell>
        </row>
        <row r="308">
          <cell r="C308" t="str">
            <v>JPY</v>
          </cell>
        </row>
        <row r="309">
          <cell r="C309" t="str">
            <v>KES</v>
          </cell>
        </row>
        <row r="310">
          <cell r="C310" t="str">
            <v>KRW</v>
          </cell>
        </row>
        <row r="311">
          <cell r="C311" t="str">
            <v>KWD</v>
          </cell>
        </row>
        <row r="312">
          <cell r="C312" t="str">
            <v>KYD</v>
          </cell>
        </row>
        <row r="313">
          <cell r="C313" t="str">
            <v>KZT</v>
          </cell>
        </row>
        <row r="314">
          <cell r="C314" t="str">
            <v>LAK</v>
          </cell>
        </row>
        <row r="315">
          <cell r="C315" t="str">
            <v>LBP</v>
          </cell>
        </row>
        <row r="316">
          <cell r="C316" t="str">
            <v>LKR</v>
          </cell>
        </row>
        <row r="317">
          <cell r="C317" t="str">
            <v>LSL</v>
          </cell>
        </row>
        <row r="318">
          <cell r="C318" t="str">
            <v>LVL</v>
          </cell>
        </row>
        <row r="319">
          <cell r="C319" t="str">
            <v>MAD</v>
          </cell>
        </row>
        <row r="320">
          <cell r="C320" t="str">
            <v>MNT</v>
          </cell>
        </row>
        <row r="321">
          <cell r="C321" t="str">
            <v>MOP</v>
          </cell>
        </row>
        <row r="322">
          <cell r="C322" t="str">
            <v>MRO</v>
          </cell>
        </row>
        <row r="323">
          <cell r="C323" t="str">
            <v>MUR</v>
          </cell>
        </row>
        <row r="324">
          <cell r="C324" t="str">
            <v>MXN</v>
          </cell>
        </row>
        <row r="325">
          <cell r="C325" t="str">
            <v>MYR</v>
          </cell>
        </row>
        <row r="326">
          <cell r="C326" t="str">
            <v>NAD</v>
          </cell>
        </row>
        <row r="327">
          <cell r="C327" t="str">
            <v>NOK</v>
          </cell>
        </row>
        <row r="328">
          <cell r="C328" t="str">
            <v>NPR</v>
          </cell>
        </row>
        <row r="329">
          <cell r="C329" t="str">
            <v>NZD</v>
          </cell>
        </row>
        <row r="330">
          <cell r="C330" t="str">
            <v>OMR</v>
          </cell>
        </row>
        <row r="331">
          <cell r="C331" t="str">
            <v>PAB</v>
          </cell>
        </row>
        <row r="332">
          <cell r="C332" t="str">
            <v>PEN</v>
          </cell>
        </row>
        <row r="333">
          <cell r="C333" t="str">
            <v>PGK</v>
          </cell>
        </row>
        <row r="334">
          <cell r="C334" t="str">
            <v>PHP</v>
          </cell>
        </row>
        <row r="335">
          <cell r="C335" t="str">
            <v>PKR</v>
          </cell>
        </row>
        <row r="336">
          <cell r="C336" t="str">
            <v>PLN</v>
          </cell>
        </row>
        <row r="337">
          <cell r="C337" t="str">
            <v>QAR</v>
          </cell>
        </row>
        <row r="338">
          <cell r="C338" t="str">
            <v>RON</v>
          </cell>
        </row>
        <row r="339">
          <cell r="C339" t="str">
            <v>RUB</v>
          </cell>
        </row>
        <row r="340">
          <cell r="C340" t="str">
            <v>SAR</v>
          </cell>
        </row>
        <row r="341">
          <cell r="C341" t="str">
            <v>SDG</v>
          </cell>
        </row>
        <row r="342">
          <cell r="C342" t="str">
            <v>SEK</v>
          </cell>
        </row>
        <row r="343">
          <cell r="C343" t="str">
            <v>SGD</v>
          </cell>
        </row>
        <row r="344">
          <cell r="C344" t="str">
            <v>SZL</v>
          </cell>
        </row>
        <row r="345">
          <cell r="C345" t="str">
            <v>THB</v>
          </cell>
        </row>
        <row r="346">
          <cell r="C346" t="str">
            <v>TND</v>
          </cell>
        </row>
        <row r="347">
          <cell r="C347" t="str">
            <v>TRY</v>
          </cell>
        </row>
        <row r="348">
          <cell r="C348" t="str">
            <v>TTD</v>
          </cell>
        </row>
        <row r="349">
          <cell r="C349" t="str">
            <v>TWD</v>
          </cell>
        </row>
        <row r="350">
          <cell r="C350" t="str">
            <v>UAH</v>
          </cell>
        </row>
        <row r="351">
          <cell r="C351" t="str">
            <v>UGX</v>
          </cell>
        </row>
        <row r="352">
          <cell r="C352" t="str">
            <v>USD</v>
          </cell>
        </row>
        <row r="353">
          <cell r="C353" t="str">
            <v>UZS</v>
          </cell>
        </row>
        <row r="354">
          <cell r="C354" t="str">
            <v>VEB</v>
          </cell>
        </row>
        <row r="355">
          <cell r="C355" t="str">
            <v>VEF</v>
          </cell>
        </row>
        <row r="356">
          <cell r="C356" t="str">
            <v>VND</v>
          </cell>
        </row>
        <row r="357">
          <cell r="C357" t="str">
            <v>XAF</v>
          </cell>
        </row>
        <row r="358">
          <cell r="C358" t="str">
            <v>XAG</v>
          </cell>
        </row>
        <row r="359">
          <cell r="C359" t="str">
            <v>XAU</v>
          </cell>
        </row>
        <row r="360">
          <cell r="C360" t="str">
            <v>XCD</v>
          </cell>
        </row>
        <row r="361">
          <cell r="C361" t="str">
            <v>XDR</v>
          </cell>
        </row>
        <row r="362">
          <cell r="C362" t="str">
            <v>XOF</v>
          </cell>
        </row>
        <row r="363">
          <cell r="C363" t="str">
            <v>XPD</v>
          </cell>
        </row>
        <row r="364">
          <cell r="C364" t="str">
            <v>XPF</v>
          </cell>
        </row>
        <row r="365">
          <cell r="C365" t="str">
            <v>XPT</v>
          </cell>
        </row>
        <row r="366">
          <cell r="C366" t="str">
            <v>ZAR</v>
          </cell>
        </row>
        <row r="370">
          <cell r="C370" t="str">
            <v>S</v>
          </cell>
        </row>
        <row r="371">
          <cell r="C371" t="str">
            <v>E</v>
          </cell>
        </row>
        <row r="375">
          <cell r="C375">
            <v>0</v>
          </cell>
        </row>
        <row r="376">
          <cell r="C376" t="str">
            <v>Reg (SL)</v>
          </cell>
        </row>
        <row r="377">
          <cell r="C377" t="str">
            <v>Non-Reg</v>
          </cell>
        </row>
        <row r="378">
          <cell r="C378" t="str">
            <v>Reins</v>
          </cell>
        </row>
      </sheetData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R FAC"/>
      <sheetName val="PRT LRA"/>
      <sheetName val="PRT MSI"/>
      <sheetName val="ALL LINES"/>
      <sheetName val="ALL LINES (2)"/>
      <sheetName val="ALL LINES (CLEANSED)"/>
      <sheetName val="ALL LINES (AS-IF)"/>
      <sheetName val="ALL LINES (AS-IF) SYNCED"/>
      <sheetName val="Sheet2"/>
      <sheetName val="ALL LINES (AS-IF) SYNCED (2)"/>
      <sheetName val="workings"/>
      <sheetName val="ALPS 07.19"/>
      <sheetName val="WRAS 07.19"/>
      <sheetName val="WRAS COMBINED 07.18 v 07.19"/>
      <sheetName val="FAC 2 HULL 07.19"/>
      <sheetName val="FAC 2 LIAB 07.19"/>
      <sheetName val="ALPS FAC 2 07.19"/>
      <sheetName val="WRAS FAC 2 07.19"/>
      <sheetName val="FAC 1 HULL 07.18"/>
      <sheetName val="FAC 1 LIAB 07.18"/>
      <sheetName val="ALPS FAC 1 07.18"/>
      <sheetName val="WRAS FAC 1 07.18"/>
      <sheetName val="WRAS FAC COMBINED"/>
      <sheetName val="FOR FGU SHEET"/>
      <sheetName val="ALPS (2)"/>
      <sheetName val="WRAS "/>
      <sheetName val="WRAS FAC COMBINED 07.18 V 07.19"/>
      <sheetName val="WRAS Dec 17 Renewal"/>
      <sheetName val="WRAS COMBINED"/>
      <sheetName val="HR FAC Mid Year 2018"/>
      <sheetName val="Sheet1"/>
      <sheetName val="FAC 01.07.19"/>
      <sheetName val="ACE 31.12.17"/>
      <sheetName val="ADNIC 13.06.18"/>
      <sheetName val="AIG 01.01.18"/>
      <sheetName val="CVS INTL 01.05.18"/>
      <sheetName val="CVS US 01.05.18"/>
      <sheetName val="LRA 28.06.18"/>
      <sheetName val="Allianz 02.02.18"/>
      <sheetName val="XLC 16.05.18"/>
      <sheetName val="MAPFRE 30.06.18"/>
      <sheetName val="MSI 17.07.17"/>
      <sheetName val="HULL PML"/>
      <sheetName val="LIAB PML"/>
      <sheetName val="ALPS NB FAC &amp; PR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R A,B,C COMBINED 01072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22"/>
  <sheetViews>
    <sheetView showGridLines="0" tabSelected="1" topLeftCell="A56" zoomScale="80" zoomScaleNormal="80" workbookViewId="0">
      <selection activeCell="G76" sqref="G76"/>
    </sheetView>
  </sheetViews>
  <sheetFormatPr defaultColWidth="9.1796875" defaultRowHeight="13" x14ac:dyDescent="0.3"/>
  <cols>
    <col min="1" max="1" width="3.7265625" style="1" customWidth="1"/>
    <col min="2" max="2" width="31.26953125" style="2" bestFit="1" customWidth="1"/>
    <col min="3" max="3" width="10.81640625" style="3" bestFit="1" customWidth="1"/>
    <col min="4" max="4" width="11.26953125" style="3" bestFit="1" customWidth="1"/>
    <col min="5" max="5" width="12.7265625" style="3" bestFit="1" customWidth="1"/>
    <col min="6" max="6" width="6" style="1" bestFit="1" customWidth="1"/>
    <col min="7" max="7" width="15" style="1" bestFit="1" customWidth="1"/>
    <col min="8" max="8" width="13.81640625" style="1" customWidth="1"/>
    <col min="9" max="9" width="9.453125" style="1" customWidth="1"/>
    <col min="10" max="10" width="7.26953125" style="1" customWidth="1"/>
    <col min="11" max="11" width="5.1796875" style="1" bestFit="1" customWidth="1"/>
    <col min="12" max="13" width="13.81640625" style="1" customWidth="1"/>
    <col min="14" max="14" width="9.453125" style="1" customWidth="1"/>
    <col min="15" max="15" width="15.7265625" style="1" hidden="1" customWidth="1"/>
    <col min="16" max="16" width="7.26953125" style="1" customWidth="1"/>
    <col min="17" max="17" width="8.81640625" style="4" hidden="1" customWidth="1"/>
    <col min="18" max="18" width="10.453125" style="4" customWidth="1"/>
    <col min="19" max="19" width="9.81640625" style="4" bestFit="1" customWidth="1"/>
    <col min="20" max="20" width="9.1796875" style="4"/>
    <col min="21" max="21" width="13.453125" style="4" bestFit="1" customWidth="1"/>
    <col min="22" max="22" width="11.81640625" style="4" customWidth="1"/>
    <col min="23" max="24" width="9.1796875" style="4"/>
    <col min="25" max="25" width="13.453125" style="4" bestFit="1" customWidth="1"/>
    <col min="26" max="26" width="17.81640625" style="4" customWidth="1"/>
    <col min="27" max="16384" width="9.1796875" style="4"/>
  </cols>
  <sheetData>
    <row r="1" spans="1:18" ht="28.5" hidden="1" customHeight="1" x14ac:dyDescent="0.3">
      <c r="A1" s="1" t="s">
        <v>0</v>
      </c>
    </row>
    <row r="2" spans="1:18" ht="18" customHeight="1" x14ac:dyDescent="0.4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8" hidden="1" x14ac:dyDescent="0.3">
      <c r="A3" s="5" t="s">
        <v>2</v>
      </c>
      <c r="B3" s="6"/>
      <c r="C3" s="7"/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8" ht="15.5" x14ac:dyDescent="0.35">
      <c r="A4" s="37" t="s">
        <v>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8" ht="15.5" x14ac:dyDescent="0.3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8" ht="15.5" hidden="1" x14ac:dyDescent="0.35">
      <c r="A6" s="9" t="s">
        <v>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8" s="11" customFormat="1" ht="14.5" x14ac:dyDescent="0.3">
      <c r="A7" s="38" t="s">
        <v>4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8" ht="14.5" x14ac:dyDescent="0.3">
      <c r="A8" s="35" t="s">
        <v>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</row>
    <row r="9" spans="1:18" ht="15.75" customHeight="1" x14ac:dyDescent="0.3">
      <c r="A9" s="35" t="s">
        <v>6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</row>
    <row r="10" spans="1:18" ht="15.75" customHeight="1" x14ac:dyDescent="0.3">
      <c r="A10" s="35" t="s">
        <v>7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</row>
    <row r="11" spans="1:18" ht="15.75" customHeight="1" x14ac:dyDescent="0.3">
      <c r="A11" s="12" t="s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8" ht="15.75" customHeight="1" x14ac:dyDescent="0.3">
      <c r="A12" s="35" t="s">
        <v>9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</row>
    <row r="13" spans="1:18" ht="16" thickBot="1" x14ac:dyDescent="0.4">
      <c r="A13" s="13"/>
      <c r="B13" s="14"/>
      <c r="C13" s="7"/>
      <c r="D13" s="7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8" ht="80.25" customHeight="1" x14ac:dyDescent="0.3">
      <c r="A14" s="15" t="s">
        <v>10</v>
      </c>
      <c r="B14" s="16" t="s">
        <v>11</v>
      </c>
      <c r="C14" s="17" t="s">
        <v>12</v>
      </c>
      <c r="D14" s="17" t="s">
        <v>13</v>
      </c>
      <c r="E14" s="17" t="s">
        <v>14</v>
      </c>
      <c r="F14" s="17" t="s">
        <v>15</v>
      </c>
      <c r="G14" s="17" t="s">
        <v>16</v>
      </c>
      <c r="H14" s="17" t="s">
        <v>17</v>
      </c>
      <c r="I14" s="16" t="s">
        <v>18</v>
      </c>
      <c r="J14" s="18" t="s">
        <v>19</v>
      </c>
      <c r="K14" s="17" t="s">
        <v>15</v>
      </c>
      <c r="L14" s="17" t="s">
        <v>20</v>
      </c>
      <c r="M14" s="17" t="s">
        <v>21</v>
      </c>
      <c r="N14" s="17" t="s">
        <v>18</v>
      </c>
      <c r="O14" s="15" t="s">
        <v>22</v>
      </c>
      <c r="P14" s="18" t="s">
        <v>19</v>
      </c>
      <c r="Q14" s="17" t="s">
        <v>23</v>
      </c>
    </row>
    <row r="15" spans="1:18" ht="44.25" hidden="1" customHeight="1" x14ac:dyDescent="0.3">
      <c r="A15" s="19" t="s">
        <v>24</v>
      </c>
      <c r="B15" s="20" t="s">
        <v>11</v>
      </c>
      <c r="C15" s="21" t="s">
        <v>12</v>
      </c>
      <c r="D15" s="21" t="s">
        <v>13</v>
      </c>
      <c r="E15" s="21" t="s">
        <v>14</v>
      </c>
      <c r="F15" s="22" t="s">
        <v>25</v>
      </c>
      <c r="G15" s="23" t="s">
        <v>26</v>
      </c>
      <c r="H15" s="23" t="s">
        <v>27</v>
      </c>
      <c r="I15" s="24" t="s">
        <v>28</v>
      </c>
      <c r="J15" s="23" t="s">
        <v>29</v>
      </c>
      <c r="K15" s="19" t="s">
        <v>30</v>
      </c>
      <c r="L15" s="23" t="s">
        <v>31</v>
      </c>
      <c r="M15" s="23" t="s">
        <v>32</v>
      </c>
      <c r="N15" s="23" t="s">
        <v>33</v>
      </c>
      <c r="O15" s="23" t="s">
        <v>34</v>
      </c>
      <c r="P15" s="23" t="s">
        <v>35</v>
      </c>
      <c r="Q15" s="25"/>
      <c r="R15" s="26" t="s">
        <v>36</v>
      </c>
    </row>
    <row r="16" spans="1:18" x14ac:dyDescent="0.3">
      <c r="A16" s="27" t="s">
        <v>37</v>
      </c>
      <c r="B16" s="28" t="s">
        <v>38</v>
      </c>
      <c r="C16" s="29">
        <v>44372</v>
      </c>
      <c r="D16" s="29">
        <v>44736</v>
      </c>
      <c r="E16" s="29">
        <v>44372</v>
      </c>
      <c r="F16" s="30" t="s">
        <v>39</v>
      </c>
      <c r="G16" s="31">
        <v>115000000</v>
      </c>
      <c r="H16" s="31">
        <v>0</v>
      </c>
      <c r="I16" s="32">
        <v>4.7991739999999998</v>
      </c>
      <c r="J16" s="33" t="s">
        <v>40</v>
      </c>
      <c r="K16" s="27" t="s">
        <v>39</v>
      </c>
      <c r="L16" s="31">
        <v>750000000</v>
      </c>
      <c r="M16" s="31">
        <v>0</v>
      </c>
      <c r="N16" s="32">
        <v>4.7991739999999998</v>
      </c>
      <c r="O16" s="33" t="s">
        <v>40</v>
      </c>
      <c r="P16" s="4"/>
    </row>
    <row r="17" spans="1:16" x14ac:dyDescent="0.3">
      <c r="A17" s="27" t="s">
        <v>37</v>
      </c>
      <c r="B17" s="28" t="s">
        <v>41</v>
      </c>
      <c r="C17" s="29">
        <v>44014</v>
      </c>
      <c r="D17" s="29">
        <v>44470</v>
      </c>
      <c r="E17" s="29">
        <v>44014</v>
      </c>
      <c r="F17" s="30" t="s">
        <v>39</v>
      </c>
      <c r="G17" s="31">
        <v>225000000</v>
      </c>
      <c r="H17" s="31">
        <v>0</v>
      </c>
      <c r="I17" s="32">
        <v>5.3797500000000005</v>
      </c>
      <c r="J17" s="33" t="s">
        <v>40</v>
      </c>
      <c r="K17" s="27" t="s">
        <v>39</v>
      </c>
      <c r="L17" s="31">
        <v>1250000000</v>
      </c>
      <c r="M17" s="31">
        <v>0</v>
      </c>
      <c r="N17" s="32">
        <v>5.3797500000000005</v>
      </c>
      <c r="O17" s="33" t="s">
        <v>40</v>
      </c>
      <c r="P17" s="4"/>
    </row>
    <row r="18" spans="1:16" x14ac:dyDescent="0.3">
      <c r="A18" s="27" t="s">
        <v>37</v>
      </c>
      <c r="B18" s="28" t="s">
        <v>42</v>
      </c>
      <c r="C18" s="29">
        <v>44105</v>
      </c>
      <c r="D18" s="29">
        <v>44469</v>
      </c>
      <c r="E18" s="29">
        <v>44105</v>
      </c>
      <c r="F18" s="30" t="s">
        <v>39</v>
      </c>
      <c r="G18" s="31">
        <v>155000000</v>
      </c>
      <c r="H18" s="31">
        <v>0</v>
      </c>
      <c r="I18" s="32">
        <v>6.3701499999999998</v>
      </c>
      <c r="J18" s="33" t="s">
        <v>40</v>
      </c>
      <c r="K18" s="27" t="s">
        <v>39</v>
      </c>
      <c r="L18" s="31">
        <v>1750000000</v>
      </c>
      <c r="M18" s="31">
        <v>0</v>
      </c>
      <c r="N18" s="32">
        <v>6.3701499999999998</v>
      </c>
      <c r="O18" s="33" t="s">
        <v>40</v>
      </c>
      <c r="P18" s="4"/>
    </row>
    <row r="19" spans="1:16" x14ac:dyDescent="0.3">
      <c r="A19" s="27" t="s">
        <v>37</v>
      </c>
      <c r="B19" s="28" t="s">
        <v>43</v>
      </c>
      <c r="C19" s="29">
        <v>44166</v>
      </c>
      <c r="D19" s="29">
        <v>44530</v>
      </c>
      <c r="E19" s="29">
        <v>44166</v>
      </c>
      <c r="F19" s="30" t="s">
        <v>39</v>
      </c>
      <c r="G19" s="31">
        <v>242000000</v>
      </c>
      <c r="H19" s="31">
        <v>0</v>
      </c>
      <c r="I19" s="32">
        <v>4.8309749999999996</v>
      </c>
      <c r="J19" s="33" t="s">
        <v>40</v>
      </c>
      <c r="K19" s="27" t="s">
        <v>39</v>
      </c>
      <c r="L19" s="31">
        <v>1500000000</v>
      </c>
      <c r="M19" s="31">
        <v>0</v>
      </c>
      <c r="N19" s="32">
        <v>4.8309749999999996</v>
      </c>
      <c r="O19" s="33" t="s">
        <v>40</v>
      </c>
      <c r="P19" s="4"/>
    </row>
    <row r="20" spans="1:16" x14ac:dyDescent="0.3">
      <c r="A20" s="27" t="s">
        <v>37</v>
      </c>
      <c r="B20" s="28" t="s">
        <v>44</v>
      </c>
      <c r="C20" s="29">
        <v>44166</v>
      </c>
      <c r="D20" s="29">
        <v>44530</v>
      </c>
      <c r="E20" s="29">
        <v>44166</v>
      </c>
      <c r="F20" s="30" t="s">
        <v>39</v>
      </c>
      <c r="G20" s="31">
        <v>200000000</v>
      </c>
      <c r="H20" s="31">
        <v>0</v>
      </c>
      <c r="I20" s="32">
        <v>6.8634000000000004</v>
      </c>
      <c r="J20" s="33" t="s">
        <v>40</v>
      </c>
      <c r="K20" s="27" t="s">
        <v>39</v>
      </c>
      <c r="L20" s="31">
        <v>1000000000</v>
      </c>
      <c r="M20" s="31">
        <v>0</v>
      </c>
      <c r="N20" s="32">
        <v>6.8634000000000004</v>
      </c>
      <c r="O20" s="33" t="s">
        <v>40</v>
      </c>
      <c r="P20" s="4"/>
    </row>
    <row r="21" spans="1:16" x14ac:dyDescent="0.3">
      <c r="A21" s="27" t="s">
        <v>37</v>
      </c>
      <c r="B21" s="28" t="s">
        <v>45</v>
      </c>
      <c r="C21" s="29">
        <v>44331</v>
      </c>
      <c r="D21" s="29">
        <v>44695</v>
      </c>
      <c r="E21" s="29">
        <v>44331</v>
      </c>
      <c r="F21" s="30" t="s">
        <v>39</v>
      </c>
      <c r="G21" s="31">
        <v>175000000</v>
      </c>
      <c r="H21" s="31">
        <v>0</v>
      </c>
      <c r="I21" s="32">
        <v>1.7347499999999998</v>
      </c>
      <c r="J21" s="33" t="s">
        <v>40</v>
      </c>
      <c r="K21" s="27" t="s">
        <v>39</v>
      </c>
      <c r="L21" s="31">
        <v>1000000000</v>
      </c>
      <c r="M21" s="31">
        <v>0</v>
      </c>
      <c r="N21" s="32">
        <v>1.7347499999999998</v>
      </c>
      <c r="O21" s="4"/>
      <c r="P21" s="4"/>
    </row>
    <row r="22" spans="1:16" x14ac:dyDescent="0.3">
      <c r="A22" s="27" t="s">
        <v>37</v>
      </c>
      <c r="B22" s="28" t="s">
        <v>46</v>
      </c>
      <c r="C22" s="29">
        <v>44180</v>
      </c>
      <c r="D22" s="29">
        <v>44544</v>
      </c>
      <c r="E22" s="29">
        <v>44180</v>
      </c>
      <c r="F22" s="30" t="s">
        <v>39</v>
      </c>
      <c r="G22" s="31">
        <v>250000000</v>
      </c>
      <c r="H22" s="31">
        <v>0</v>
      </c>
      <c r="I22" s="32">
        <v>4.8531249999999995</v>
      </c>
      <c r="J22" s="33" t="s">
        <v>40</v>
      </c>
      <c r="K22" s="27" t="s">
        <v>39</v>
      </c>
      <c r="L22" s="31">
        <v>1500000000</v>
      </c>
      <c r="M22" s="31">
        <v>0</v>
      </c>
      <c r="N22" s="32">
        <v>4.8531249999999995</v>
      </c>
      <c r="O22" s="33" t="s">
        <v>40</v>
      </c>
      <c r="P22" s="4"/>
    </row>
    <row r="23" spans="1:16" x14ac:dyDescent="0.3">
      <c r="A23" s="27" t="s">
        <v>37</v>
      </c>
      <c r="B23" s="28" t="s">
        <v>47</v>
      </c>
      <c r="C23" s="29">
        <v>44166</v>
      </c>
      <c r="D23" s="29">
        <v>44530</v>
      </c>
      <c r="E23" s="29">
        <v>44166</v>
      </c>
      <c r="F23" s="30" t="s">
        <v>39</v>
      </c>
      <c r="G23" s="31">
        <v>300000000</v>
      </c>
      <c r="H23" s="31">
        <v>0</v>
      </c>
      <c r="I23" s="32">
        <v>3.7351000000000001</v>
      </c>
      <c r="J23" s="33" t="s">
        <v>40</v>
      </c>
      <c r="K23" s="27" t="s">
        <v>39</v>
      </c>
      <c r="L23" s="31">
        <v>2250000000</v>
      </c>
      <c r="M23" s="31">
        <v>0</v>
      </c>
      <c r="N23" s="32">
        <v>3.7351000000000001</v>
      </c>
      <c r="O23" s="33" t="s">
        <v>40</v>
      </c>
      <c r="P23" s="4"/>
    </row>
    <row r="24" spans="1:16" x14ac:dyDescent="0.3">
      <c r="A24" s="27" t="s">
        <v>37</v>
      </c>
      <c r="B24" s="28" t="s">
        <v>48</v>
      </c>
      <c r="C24" s="29">
        <v>44287</v>
      </c>
      <c r="D24" s="29">
        <v>44651</v>
      </c>
      <c r="E24" s="29">
        <v>44287</v>
      </c>
      <c r="F24" s="30" t="s">
        <v>39</v>
      </c>
      <c r="G24" s="31">
        <v>275000000</v>
      </c>
      <c r="H24" s="31">
        <v>0</v>
      </c>
      <c r="I24" s="32">
        <v>5.2287499999999998</v>
      </c>
      <c r="J24" s="33" t="s">
        <v>40</v>
      </c>
      <c r="K24" s="27" t="s">
        <v>39</v>
      </c>
      <c r="L24" s="31">
        <v>1500000000</v>
      </c>
      <c r="M24" s="31">
        <v>0</v>
      </c>
      <c r="N24" s="32">
        <v>5.2287499999999998</v>
      </c>
      <c r="O24" s="33"/>
      <c r="P24" s="4"/>
    </row>
    <row r="25" spans="1:16" x14ac:dyDescent="0.3">
      <c r="A25" s="27" t="s">
        <v>37</v>
      </c>
      <c r="B25" s="28" t="s">
        <v>49</v>
      </c>
      <c r="C25" s="29">
        <v>44136</v>
      </c>
      <c r="D25" s="29">
        <v>44500</v>
      </c>
      <c r="E25" s="29">
        <v>44136</v>
      </c>
      <c r="F25" s="30" t="s">
        <v>39</v>
      </c>
      <c r="G25" s="31">
        <v>290000000</v>
      </c>
      <c r="H25" s="31">
        <v>0</v>
      </c>
      <c r="I25" s="32">
        <v>4.2643999999999993</v>
      </c>
      <c r="J25" s="33" t="s">
        <v>40</v>
      </c>
      <c r="K25" s="27" t="s">
        <v>39</v>
      </c>
      <c r="L25" s="31">
        <v>2250000000</v>
      </c>
      <c r="M25" s="31">
        <v>0</v>
      </c>
      <c r="N25" s="32">
        <v>4.2643999999999993</v>
      </c>
      <c r="O25" s="33" t="s">
        <v>50</v>
      </c>
      <c r="P25" s="4"/>
    </row>
    <row r="26" spans="1:16" x14ac:dyDescent="0.3">
      <c r="A26" s="27" t="s">
        <v>37</v>
      </c>
      <c r="B26" s="28" t="s">
        <v>51</v>
      </c>
      <c r="C26" s="29">
        <v>43983</v>
      </c>
      <c r="D26" s="29">
        <v>44439</v>
      </c>
      <c r="E26" s="29">
        <v>43983</v>
      </c>
      <c r="F26" s="30" t="s">
        <v>39</v>
      </c>
      <c r="G26" s="31">
        <v>150000000</v>
      </c>
      <c r="H26" s="31">
        <v>0</v>
      </c>
      <c r="I26" s="32">
        <v>7.2462499999999999</v>
      </c>
      <c r="J26" s="33" t="s">
        <v>40</v>
      </c>
      <c r="K26" s="27" t="s">
        <v>39</v>
      </c>
      <c r="L26" s="31">
        <v>1250000000</v>
      </c>
      <c r="M26" s="31">
        <v>0</v>
      </c>
      <c r="N26" s="32">
        <v>7.2462499999999999</v>
      </c>
      <c r="O26" s="33" t="s">
        <v>40</v>
      </c>
      <c r="P26" s="4"/>
    </row>
    <row r="27" spans="1:16" x14ac:dyDescent="0.3">
      <c r="A27" s="27" t="s">
        <v>37</v>
      </c>
      <c r="B27" s="28" t="s">
        <v>52</v>
      </c>
      <c r="C27" s="29">
        <v>44166</v>
      </c>
      <c r="D27" s="29">
        <v>44530</v>
      </c>
      <c r="E27" s="29">
        <v>44166</v>
      </c>
      <c r="F27" s="30" t="s">
        <v>39</v>
      </c>
      <c r="G27" s="31">
        <v>418181818</v>
      </c>
      <c r="H27" s="31">
        <v>0</v>
      </c>
      <c r="I27" s="32">
        <v>6.5000333333333336</v>
      </c>
      <c r="J27" s="33" t="s">
        <v>40</v>
      </c>
      <c r="K27" s="27" t="s">
        <v>39</v>
      </c>
      <c r="L27" s="31">
        <v>2250000000</v>
      </c>
      <c r="M27" s="31">
        <v>0</v>
      </c>
      <c r="N27" s="32">
        <v>6.4915458333333333</v>
      </c>
      <c r="O27" s="33" t="s">
        <v>40</v>
      </c>
      <c r="P27" s="4"/>
    </row>
    <row r="28" spans="1:16" x14ac:dyDescent="0.3">
      <c r="A28" s="27" t="s">
        <v>37</v>
      </c>
      <c r="B28" s="28" t="s">
        <v>53</v>
      </c>
      <c r="C28" s="29">
        <v>44166</v>
      </c>
      <c r="D28" s="29">
        <v>44530</v>
      </c>
      <c r="E28" s="29">
        <v>44166</v>
      </c>
      <c r="F28" s="30" t="s">
        <v>39</v>
      </c>
      <c r="G28" s="31">
        <v>375000000</v>
      </c>
      <c r="H28" s="31">
        <v>0</v>
      </c>
      <c r="I28" s="32">
        <v>6.9598812499999996</v>
      </c>
      <c r="J28" s="33" t="s">
        <v>40</v>
      </c>
      <c r="K28" s="27" t="s">
        <v>39</v>
      </c>
      <c r="L28" s="31">
        <v>2250000000</v>
      </c>
      <c r="M28" s="31">
        <v>0</v>
      </c>
      <c r="N28" s="32">
        <v>6.9598812499999996</v>
      </c>
      <c r="O28" s="33" t="s">
        <v>40</v>
      </c>
      <c r="P28" s="4"/>
    </row>
    <row r="29" spans="1:16" x14ac:dyDescent="0.3">
      <c r="A29" s="27" t="s">
        <v>37</v>
      </c>
      <c r="B29" s="28" t="s">
        <v>54</v>
      </c>
      <c r="C29" s="29">
        <v>44196</v>
      </c>
      <c r="D29" s="29">
        <v>44560</v>
      </c>
      <c r="E29" s="29">
        <v>44196</v>
      </c>
      <c r="F29" s="30" t="s">
        <v>39</v>
      </c>
      <c r="G29" s="31">
        <v>245000000</v>
      </c>
      <c r="H29" s="31">
        <v>0</v>
      </c>
      <c r="I29" s="32">
        <v>3.38</v>
      </c>
      <c r="J29" s="33" t="s">
        <v>40</v>
      </c>
      <c r="K29" s="27" t="s">
        <v>39</v>
      </c>
      <c r="L29" s="31">
        <v>1250000000</v>
      </c>
      <c r="M29" s="31">
        <v>0</v>
      </c>
      <c r="N29" s="32">
        <v>3.38</v>
      </c>
      <c r="O29" s="33" t="s">
        <v>40</v>
      </c>
      <c r="P29" s="4"/>
    </row>
    <row r="30" spans="1:16" x14ac:dyDescent="0.3">
      <c r="A30" s="27" t="s">
        <v>37</v>
      </c>
      <c r="B30" s="28" t="s">
        <v>55</v>
      </c>
      <c r="C30" s="29">
        <v>44166</v>
      </c>
      <c r="D30" s="29">
        <v>44530</v>
      </c>
      <c r="E30" s="29">
        <v>44166</v>
      </c>
      <c r="F30" s="30" t="s">
        <v>39</v>
      </c>
      <c r="G30" s="31">
        <v>105000000</v>
      </c>
      <c r="H30" s="31">
        <v>0</v>
      </c>
      <c r="I30" s="32">
        <v>3.8175000000000003</v>
      </c>
      <c r="J30" s="33" t="s">
        <v>40</v>
      </c>
      <c r="K30" s="27" t="s">
        <v>39</v>
      </c>
      <c r="L30" s="31">
        <v>1500000000</v>
      </c>
      <c r="M30" s="31">
        <v>0</v>
      </c>
      <c r="N30" s="32">
        <v>3.8175000000000003</v>
      </c>
      <c r="O30" s="33" t="s">
        <v>40</v>
      </c>
      <c r="P30" s="4"/>
    </row>
    <row r="31" spans="1:16" x14ac:dyDescent="0.3">
      <c r="A31" s="27" t="s">
        <v>37</v>
      </c>
      <c r="B31" s="28" t="s">
        <v>56</v>
      </c>
      <c r="C31" s="29">
        <v>44166</v>
      </c>
      <c r="D31" s="29">
        <v>44530</v>
      </c>
      <c r="E31" s="29">
        <v>44166</v>
      </c>
      <c r="F31" s="30" t="s">
        <v>39</v>
      </c>
      <c r="G31" s="31">
        <v>400000000</v>
      </c>
      <c r="H31" s="31">
        <v>0</v>
      </c>
      <c r="I31" s="32">
        <v>6.3675850000000001</v>
      </c>
      <c r="J31" s="33" t="s">
        <v>40</v>
      </c>
      <c r="K31" s="27" t="s">
        <v>39</v>
      </c>
      <c r="L31" s="31">
        <v>2250000000</v>
      </c>
      <c r="M31" s="31">
        <v>0</v>
      </c>
      <c r="N31" s="32">
        <v>6.3675850000000001</v>
      </c>
      <c r="O31" s="33" t="s">
        <v>40</v>
      </c>
      <c r="P31" s="4"/>
    </row>
    <row r="32" spans="1:16" x14ac:dyDescent="0.3">
      <c r="A32" s="27" t="s">
        <v>37</v>
      </c>
      <c r="B32" s="28" t="s">
        <v>57</v>
      </c>
      <c r="C32" s="29">
        <v>44180</v>
      </c>
      <c r="D32" s="29">
        <v>44544</v>
      </c>
      <c r="E32" s="29">
        <v>44180</v>
      </c>
      <c r="F32" s="30" t="s">
        <v>39</v>
      </c>
      <c r="G32" s="31">
        <v>350000000</v>
      </c>
      <c r="H32" s="31">
        <v>0</v>
      </c>
      <c r="I32" s="32">
        <v>4.8881249999999996</v>
      </c>
      <c r="J32" s="33" t="s">
        <v>40</v>
      </c>
      <c r="K32" s="27" t="s">
        <v>39</v>
      </c>
      <c r="L32" s="31">
        <v>2250000000</v>
      </c>
      <c r="M32" s="31">
        <v>0</v>
      </c>
      <c r="N32" s="32">
        <v>4.8881249999999996</v>
      </c>
      <c r="O32" s="33" t="s">
        <v>40</v>
      </c>
      <c r="P32" s="4"/>
    </row>
    <row r="33" spans="1:16" x14ac:dyDescent="0.3">
      <c r="A33" s="27" t="s">
        <v>37</v>
      </c>
      <c r="B33" s="28" t="s">
        <v>58</v>
      </c>
      <c r="C33" s="29">
        <v>44348</v>
      </c>
      <c r="D33" s="29">
        <v>44712</v>
      </c>
      <c r="E33" s="29">
        <v>44348</v>
      </c>
      <c r="F33" s="30" t="s">
        <v>39</v>
      </c>
      <c r="G33" s="31">
        <v>305000000</v>
      </c>
      <c r="H33" s="31">
        <v>0</v>
      </c>
      <c r="I33" s="32">
        <v>7.6207500000000001</v>
      </c>
      <c r="J33" s="33" t="s">
        <v>40</v>
      </c>
      <c r="K33" s="27" t="s">
        <v>39</v>
      </c>
      <c r="L33" s="31">
        <v>1750000000</v>
      </c>
      <c r="M33" s="31">
        <v>0</v>
      </c>
      <c r="N33" s="32">
        <v>7.6207500000000001</v>
      </c>
      <c r="O33" s="33" t="s">
        <v>40</v>
      </c>
      <c r="P33" s="4"/>
    </row>
    <row r="34" spans="1:16" x14ac:dyDescent="0.3">
      <c r="A34" s="27" t="s">
        <v>37</v>
      </c>
      <c r="B34" s="28" t="s">
        <v>59</v>
      </c>
      <c r="C34" s="29">
        <v>44020</v>
      </c>
      <c r="D34" s="29">
        <v>44384</v>
      </c>
      <c r="E34" s="29">
        <v>44020</v>
      </c>
      <c r="F34" s="30" t="s">
        <v>39</v>
      </c>
      <c r="G34" s="31">
        <v>385000000</v>
      </c>
      <c r="H34" s="31">
        <v>0</v>
      </c>
      <c r="I34" s="32">
        <v>3.3265199999999999</v>
      </c>
      <c r="J34" s="33" t="s">
        <v>40</v>
      </c>
      <c r="K34" s="27" t="s">
        <v>39</v>
      </c>
      <c r="L34" s="31">
        <v>2250000000</v>
      </c>
      <c r="M34" s="31">
        <v>0</v>
      </c>
      <c r="N34" s="32">
        <v>3.3265199999999999</v>
      </c>
      <c r="O34" s="33" t="s">
        <v>40</v>
      </c>
      <c r="P34" s="4"/>
    </row>
    <row r="35" spans="1:16" x14ac:dyDescent="0.3">
      <c r="A35" s="27" t="s">
        <v>37</v>
      </c>
      <c r="B35" s="28" t="s">
        <v>59</v>
      </c>
      <c r="C35" s="29">
        <v>44020</v>
      </c>
      <c r="D35" s="29">
        <v>44384</v>
      </c>
      <c r="E35" s="29">
        <v>44020</v>
      </c>
      <c r="F35" s="30"/>
      <c r="G35" s="31"/>
      <c r="H35" s="31"/>
      <c r="I35" s="32"/>
      <c r="J35" s="33"/>
      <c r="K35" s="27" t="s">
        <v>39</v>
      </c>
      <c r="L35" s="31">
        <v>700000000</v>
      </c>
      <c r="M35" s="31">
        <v>60000000</v>
      </c>
      <c r="N35" s="32">
        <v>0.125</v>
      </c>
      <c r="O35" s="33"/>
      <c r="P35" s="4"/>
    </row>
    <row r="36" spans="1:16" x14ac:dyDescent="0.3">
      <c r="A36" s="27" t="s">
        <v>37</v>
      </c>
      <c r="B36" s="28" t="s">
        <v>59</v>
      </c>
      <c r="C36" s="29">
        <v>44020</v>
      </c>
      <c r="D36" s="29">
        <v>44384</v>
      </c>
      <c r="E36" s="29">
        <v>44020</v>
      </c>
      <c r="F36" s="30"/>
      <c r="G36" s="31"/>
      <c r="H36" s="31"/>
      <c r="I36" s="32"/>
      <c r="J36" s="33"/>
      <c r="K36" s="27" t="s">
        <v>39</v>
      </c>
      <c r="L36" s="31">
        <v>500000000</v>
      </c>
      <c r="M36" s="31">
        <v>70000000</v>
      </c>
      <c r="N36" s="32">
        <v>0.125</v>
      </c>
      <c r="O36" s="33"/>
      <c r="P36" s="4"/>
    </row>
    <row r="37" spans="1:16" x14ac:dyDescent="0.3">
      <c r="A37" s="27" t="s">
        <v>37</v>
      </c>
      <c r="B37" s="28" t="s">
        <v>60</v>
      </c>
      <c r="C37" s="29">
        <v>44151</v>
      </c>
      <c r="D37" s="29">
        <v>44515</v>
      </c>
      <c r="E37" s="29">
        <v>44151</v>
      </c>
      <c r="F37" s="30" t="s">
        <v>39</v>
      </c>
      <c r="G37" s="31">
        <v>320000000</v>
      </c>
      <c r="H37" s="31">
        <v>0</v>
      </c>
      <c r="I37" s="32">
        <v>5.4045059999999996</v>
      </c>
      <c r="J37" s="33" t="s">
        <v>40</v>
      </c>
      <c r="K37" s="27" t="s">
        <v>39</v>
      </c>
      <c r="L37" s="31">
        <v>2250000000</v>
      </c>
      <c r="M37" s="31">
        <v>0</v>
      </c>
      <c r="N37" s="32">
        <v>5.4045059999999996</v>
      </c>
      <c r="O37" s="33" t="s">
        <v>40</v>
      </c>
      <c r="P37" s="4"/>
    </row>
    <row r="38" spans="1:16" x14ac:dyDescent="0.3">
      <c r="A38" s="27" t="s">
        <v>37</v>
      </c>
      <c r="B38" s="28" t="s">
        <v>61</v>
      </c>
      <c r="C38" s="29">
        <v>44136</v>
      </c>
      <c r="D38" s="29">
        <v>44500</v>
      </c>
      <c r="E38" s="29">
        <v>44136</v>
      </c>
      <c r="F38" s="30" t="s">
        <v>39</v>
      </c>
      <c r="G38" s="31">
        <v>302500000</v>
      </c>
      <c r="H38" s="31">
        <v>0</v>
      </c>
      <c r="I38" s="32">
        <v>6.6920300000000008</v>
      </c>
      <c r="J38" s="33" t="s">
        <v>40</v>
      </c>
      <c r="K38" s="27" t="s">
        <v>39</v>
      </c>
      <c r="L38" s="31">
        <v>1000000000</v>
      </c>
      <c r="M38" s="31">
        <v>0</v>
      </c>
      <c r="N38" s="32">
        <v>6.6920300000000008</v>
      </c>
      <c r="O38" s="33" t="s">
        <v>40</v>
      </c>
      <c r="P38" s="4"/>
    </row>
    <row r="39" spans="1:16" x14ac:dyDescent="0.3">
      <c r="A39" s="27" t="s">
        <v>37</v>
      </c>
      <c r="B39" s="28" t="s">
        <v>62</v>
      </c>
      <c r="C39" s="29">
        <v>44317</v>
      </c>
      <c r="D39" s="29">
        <v>44681</v>
      </c>
      <c r="E39" s="29">
        <v>44317</v>
      </c>
      <c r="F39" s="30" t="s">
        <v>39</v>
      </c>
      <c r="G39" s="31">
        <v>100000000</v>
      </c>
      <c r="H39" s="31">
        <v>0</v>
      </c>
      <c r="I39" s="32">
        <v>6.4865000000000004</v>
      </c>
      <c r="J39" s="33" t="s">
        <v>40</v>
      </c>
      <c r="K39" s="27" t="s">
        <v>39</v>
      </c>
      <c r="L39" s="31">
        <v>1500000000</v>
      </c>
      <c r="M39" s="31">
        <v>0</v>
      </c>
      <c r="N39" s="32">
        <v>6.4865000000000004</v>
      </c>
      <c r="O39" s="33" t="s">
        <v>40</v>
      </c>
      <c r="P39" s="4"/>
    </row>
    <row r="40" spans="1:16" x14ac:dyDescent="0.3">
      <c r="A40" s="27" t="s">
        <v>37</v>
      </c>
      <c r="B40" s="28" t="s">
        <v>62</v>
      </c>
      <c r="C40" s="29">
        <v>44317</v>
      </c>
      <c r="D40" s="29">
        <v>44681</v>
      </c>
      <c r="E40" s="29">
        <v>44317</v>
      </c>
      <c r="F40" s="30"/>
      <c r="G40" s="31"/>
      <c r="H40" s="31"/>
      <c r="I40" s="32"/>
      <c r="J40" s="33"/>
      <c r="K40" s="27" t="s">
        <v>39</v>
      </c>
      <c r="L40" s="31">
        <v>500000000</v>
      </c>
      <c r="M40" s="31">
        <v>1000000000</v>
      </c>
      <c r="N40" s="32">
        <v>0.14624999999999999</v>
      </c>
      <c r="O40" s="33"/>
      <c r="P40" s="4"/>
    </row>
    <row r="41" spans="1:16" x14ac:dyDescent="0.3">
      <c r="A41" s="27" t="s">
        <v>37</v>
      </c>
      <c r="B41" s="28" t="s">
        <v>63</v>
      </c>
      <c r="C41" s="29">
        <v>44363</v>
      </c>
      <c r="D41" s="29">
        <v>44727</v>
      </c>
      <c r="E41" s="29">
        <v>44363</v>
      </c>
      <c r="F41" s="30" t="s">
        <v>39</v>
      </c>
      <c r="G41" s="31">
        <v>270000000</v>
      </c>
      <c r="H41" s="31">
        <v>0</v>
      </c>
      <c r="I41" s="32">
        <v>6.0959999999999992</v>
      </c>
      <c r="J41" s="33" t="s">
        <v>40</v>
      </c>
      <c r="K41" s="27" t="s">
        <v>39</v>
      </c>
      <c r="L41" s="31">
        <v>1250000000</v>
      </c>
      <c r="M41" s="31">
        <v>0</v>
      </c>
      <c r="N41" s="32">
        <v>6.0959999999999992</v>
      </c>
      <c r="O41" s="33" t="s">
        <v>40</v>
      </c>
      <c r="P41" s="4"/>
    </row>
    <row r="42" spans="1:16" x14ac:dyDescent="0.3">
      <c r="A42" s="27" t="s">
        <v>37</v>
      </c>
      <c r="B42" s="28" t="s">
        <v>64</v>
      </c>
      <c r="C42" s="29">
        <v>44285</v>
      </c>
      <c r="D42" s="29">
        <v>44649</v>
      </c>
      <c r="E42" s="29">
        <v>44285</v>
      </c>
      <c r="F42" s="30" t="s">
        <v>39</v>
      </c>
      <c r="G42" s="31">
        <v>280000000</v>
      </c>
      <c r="H42" s="31">
        <v>0</v>
      </c>
      <c r="I42" s="32">
        <v>6.8637500000000005</v>
      </c>
      <c r="J42" s="33" t="s">
        <v>40</v>
      </c>
      <c r="K42" s="27" t="s">
        <v>39</v>
      </c>
      <c r="L42" s="31">
        <v>2000000000</v>
      </c>
      <c r="M42" s="31">
        <v>0</v>
      </c>
      <c r="N42" s="32">
        <v>6.8637500000000005</v>
      </c>
      <c r="O42" s="33" t="s">
        <v>40</v>
      </c>
      <c r="P42" s="4"/>
    </row>
    <row r="43" spans="1:16" x14ac:dyDescent="0.3">
      <c r="A43" s="27" t="s">
        <v>37</v>
      </c>
      <c r="B43" s="28" t="s">
        <v>65</v>
      </c>
      <c r="C43" s="29">
        <v>44151</v>
      </c>
      <c r="D43" s="29">
        <v>44515</v>
      </c>
      <c r="E43" s="29">
        <v>44151</v>
      </c>
      <c r="F43" s="30" t="s">
        <v>39</v>
      </c>
      <c r="G43" s="31">
        <v>450000000</v>
      </c>
      <c r="H43" s="31">
        <v>0</v>
      </c>
      <c r="I43" s="32">
        <v>5.2220779999999998</v>
      </c>
      <c r="J43" s="33" t="s">
        <v>40</v>
      </c>
      <c r="K43" s="27" t="s">
        <v>39</v>
      </c>
      <c r="L43" s="31">
        <v>2250000000</v>
      </c>
      <c r="M43" s="31">
        <v>0</v>
      </c>
      <c r="N43" s="32">
        <v>5.2220779999999998</v>
      </c>
      <c r="O43" s="33" t="s">
        <v>40</v>
      </c>
      <c r="P43" s="4"/>
    </row>
    <row r="44" spans="1:16" x14ac:dyDescent="0.3">
      <c r="A44" s="27" t="s">
        <v>37</v>
      </c>
      <c r="B44" s="28" t="s">
        <v>66</v>
      </c>
      <c r="C44" s="29">
        <v>44186</v>
      </c>
      <c r="D44" s="29">
        <v>44550</v>
      </c>
      <c r="E44" s="29">
        <v>44186</v>
      </c>
      <c r="F44" s="30" t="s">
        <v>39</v>
      </c>
      <c r="G44" s="31">
        <v>285000000</v>
      </c>
      <c r="H44" s="31">
        <v>0</v>
      </c>
      <c r="I44" s="32">
        <v>4.8627699999999994</v>
      </c>
      <c r="J44" s="33" t="s">
        <v>40</v>
      </c>
      <c r="K44" s="27" t="s">
        <v>39</v>
      </c>
      <c r="L44" s="31">
        <v>1500000000</v>
      </c>
      <c r="M44" s="31">
        <v>0</v>
      </c>
      <c r="N44" s="32">
        <v>4.8627699999999994</v>
      </c>
      <c r="O44" s="33" t="s">
        <v>40</v>
      </c>
      <c r="P44" s="4"/>
    </row>
    <row r="45" spans="1:16" x14ac:dyDescent="0.3">
      <c r="A45" s="27" t="s">
        <v>37</v>
      </c>
      <c r="B45" s="28" t="s">
        <v>67</v>
      </c>
      <c r="C45" s="29">
        <v>44028</v>
      </c>
      <c r="D45" s="29">
        <v>44392</v>
      </c>
      <c r="E45" s="29">
        <v>44028</v>
      </c>
      <c r="F45" s="30" t="s">
        <v>39</v>
      </c>
      <c r="G45" s="31">
        <v>450000000</v>
      </c>
      <c r="H45" s="31">
        <v>0</v>
      </c>
      <c r="I45" s="32">
        <v>4.8017500000000011</v>
      </c>
      <c r="J45" s="33" t="s">
        <v>40</v>
      </c>
      <c r="K45" s="27" t="s">
        <v>39</v>
      </c>
      <c r="L45" s="31">
        <v>2250000000</v>
      </c>
      <c r="M45" s="31">
        <v>0</v>
      </c>
      <c r="N45" s="32">
        <v>4.8017500000000011</v>
      </c>
      <c r="O45" s="33"/>
      <c r="P45" s="4"/>
    </row>
    <row r="46" spans="1:16" x14ac:dyDescent="0.3">
      <c r="A46" s="27" t="s">
        <v>37</v>
      </c>
      <c r="B46" s="28" t="s">
        <v>68</v>
      </c>
      <c r="C46" s="29">
        <v>44348</v>
      </c>
      <c r="D46" s="29">
        <v>44712</v>
      </c>
      <c r="E46" s="29">
        <v>44348</v>
      </c>
      <c r="F46" s="30" t="s">
        <v>39</v>
      </c>
      <c r="G46" s="31">
        <v>300000000</v>
      </c>
      <c r="H46" s="31">
        <v>0</v>
      </c>
      <c r="I46" s="32">
        <v>7.4374999999999991</v>
      </c>
      <c r="J46" s="33" t="s">
        <v>40</v>
      </c>
      <c r="K46" s="27" t="s">
        <v>39</v>
      </c>
      <c r="L46" s="31">
        <v>2000000000</v>
      </c>
      <c r="M46" s="31">
        <v>0</v>
      </c>
      <c r="N46" s="32">
        <v>7.4374999999999991</v>
      </c>
      <c r="O46" s="33" t="s">
        <v>40</v>
      </c>
      <c r="P46" s="4"/>
    </row>
    <row r="47" spans="1:16" x14ac:dyDescent="0.3">
      <c r="A47" s="27" t="s">
        <v>37</v>
      </c>
      <c r="B47" s="28" t="s">
        <v>69</v>
      </c>
      <c r="C47" s="29">
        <v>44166</v>
      </c>
      <c r="D47" s="29">
        <v>44530</v>
      </c>
      <c r="E47" s="29">
        <v>44166</v>
      </c>
      <c r="F47" s="30" t="s">
        <v>39</v>
      </c>
      <c r="G47" s="31">
        <v>250000000</v>
      </c>
      <c r="H47" s="31">
        <v>0</v>
      </c>
      <c r="I47" s="32">
        <v>3.5953374999999999</v>
      </c>
      <c r="J47" s="33" t="s">
        <v>40</v>
      </c>
      <c r="K47" s="27" t="s">
        <v>39</v>
      </c>
      <c r="L47" s="31">
        <v>1500000000</v>
      </c>
      <c r="M47" s="31">
        <v>0</v>
      </c>
      <c r="N47" s="32">
        <v>3.5953374999999999</v>
      </c>
      <c r="O47" s="33" t="s">
        <v>40</v>
      </c>
      <c r="P47" s="4"/>
    </row>
    <row r="48" spans="1:16" x14ac:dyDescent="0.3">
      <c r="A48" s="27" t="s">
        <v>37</v>
      </c>
      <c r="B48" s="28" t="s">
        <v>70</v>
      </c>
      <c r="C48" s="29">
        <v>44166</v>
      </c>
      <c r="D48" s="29">
        <v>44530</v>
      </c>
      <c r="E48" s="29">
        <v>44166</v>
      </c>
      <c r="F48" s="30" t="s">
        <v>39</v>
      </c>
      <c r="G48" s="31">
        <v>250000000</v>
      </c>
      <c r="H48" s="31">
        <v>0</v>
      </c>
      <c r="I48" s="32">
        <v>4.3943750000000001</v>
      </c>
      <c r="J48" s="33" t="s">
        <v>40</v>
      </c>
      <c r="K48" s="27" t="s">
        <v>39</v>
      </c>
      <c r="L48" s="31">
        <v>1725000000</v>
      </c>
      <c r="M48" s="31">
        <v>0</v>
      </c>
      <c r="N48" s="32">
        <v>4.3943750000000001</v>
      </c>
      <c r="O48" s="33" t="s">
        <v>40</v>
      </c>
      <c r="P48" s="4"/>
    </row>
    <row r="49" spans="1:16" x14ac:dyDescent="0.3">
      <c r="A49" s="27" t="s">
        <v>37</v>
      </c>
      <c r="B49" s="28" t="s">
        <v>71</v>
      </c>
      <c r="C49" s="29">
        <v>44114</v>
      </c>
      <c r="D49" s="29">
        <v>44478</v>
      </c>
      <c r="E49" s="29">
        <v>44114</v>
      </c>
      <c r="F49" s="30" t="s">
        <v>39</v>
      </c>
      <c r="G49" s="31">
        <v>100000000</v>
      </c>
      <c r="H49" s="31">
        <v>0</v>
      </c>
      <c r="I49" s="32">
        <v>4.5687499999999996</v>
      </c>
      <c r="J49" s="33" t="s">
        <v>40</v>
      </c>
      <c r="K49" s="27" t="s">
        <v>39</v>
      </c>
      <c r="L49" s="31">
        <v>750000000</v>
      </c>
      <c r="M49" s="31">
        <v>0</v>
      </c>
      <c r="N49" s="32">
        <v>4.5687499999999996</v>
      </c>
      <c r="O49" s="33" t="s">
        <v>40</v>
      </c>
      <c r="P49" s="4"/>
    </row>
    <row r="50" spans="1:16" x14ac:dyDescent="0.3">
      <c r="A50" s="27" t="s">
        <v>37</v>
      </c>
      <c r="B50" s="28" t="s">
        <v>72</v>
      </c>
      <c r="C50" s="29">
        <v>44151</v>
      </c>
      <c r="D50" s="29">
        <v>44515</v>
      </c>
      <c r="E50" s="29">
        <v>44151</v>
      </c>
      <c r="F50" s="30" t="s">
        <v>39</v>
      </c>
      <c r="G50" s="31">
        <v>305000000</v>
      </c>
      <c r="H50" s="31">
        <v>0</v>
      </c>
      <c r="I50" s="32">
        <v>6.7195333333333336</v>
      </c>
      <c r="J50" s="33" t="s">
        <v>40</v>
      </c>
      <c r="K50" s="27" t="s">
        <v>39</v>
      </c>
      <c r="L50" s="31">
        <v>1500000000</v>
      </c>
      <c r="M50" s="31">
        <v>0</v>
      </c>
      <c r="N50" s="32">
        <v>6.8861999999999997</v>
      </c>
      <c r="O50" s="33" t="s">
        <v>40</v>
      </c>
      <c r="P50" s="4"/>
    </row>
    <row r="51" spans="1:16" x14ac:dyDescent="0.3">
      <c r="A51" s="27" t="s">
        <v>37</v>
      </c>
      <c r="B51" s="28" t="s">
        <v>73</v>
      </c>
      <c r="C51" s="29">
        <v>44378</v>
      </c>
      <c r="D51" s="29">
        <v>44742</v>
      </c>
      <c r="E51" s="29">
        <v>44378</v>
      </c>
      <c r="F51" s="30" t="s">
        <v>39</v>
      </c>
      <c r="G51" s="31">
        <v>340000000</v>
      </c>
      <c r="H51" s="31">
        <v>0</v>
      </c>
      <c r="I51" s="32">
        <v>6.1578625000000002</v>
      </c>
      <c r="J51" s="33" t="s">
        <v>40</v>
      </c>
      <c r="K51" s="27" t="s">
        <v>39</v>
      </c>
      <c r="L51" s="31">
        <v>2250000000</v>
      </c>
      <c r="M51" s="31">
        <v>0</v>
      </c>
      <c r="N51" s="32">
        <v>6.1578625000000002</v>
      </c>
      <c r="O51" s="33" t="s">
        <v>40</v>
      </c>
      <c r="P51" s="4"/>
    </row>
    <row r="52" spans="1:16" x14ac:dyDescent="0.3">
      <c r="A52" s="27" t="s">
        <v>37</v>
      </c>
      <c r="B52" s="28" t="s">
        <v>74</v>
      </c>
      <c r="C52" s="29">
        <v>44166</v>
      </c>
      <c r="D52" s="29">
        <v>44530</v>
      </c>
      <c r="E52" s="29">
        <v>44166</v>
      </c>
      <c r="F52" s="30" t="s">
        <v>39</v>
      </c>
      <c r="G52" s="31">
        <v>200000000</v>
      </c>
      <c r="H52" s="31">
        <v>0</v>
      </c>
      <c r="I52" s="32">
        <v>6.4763269166666664</v>
      </c>
      <c r="J52" s="33" t="s">
        <v>40</v>
      </c>
      <c r="K52" s="27" t="s">
        <v>39</v>
      </c>
      <c r="L52" s="31">
        <v>2000000000</v>
      </c>
      <c r="M52" s="31">
        <v>0</v>
      </c>
      <c r="N52" s="32">
        <v>6.4763269166666664</v>
      </c>
      <c r="O52" s="33" t="s">
        <v>40</v>
      </c>
      <c r="P52" s="4"/>
    </row>
    <row r="53" spans="1:16" x14ac:dyDescent="0.3">
      <c r="A53" s="27" t="s">
        <v>37</v>
      </c>
      <c r="B53" s="28" t="s">
        <v>75</v>
      </c>
      <c r="C53" s="29">
        <v>44166</v>
      </c>
      <c r="D53" s="29">
        <v>44530</v>
      </c>
      <c r="E53" s="29">
        <v>44166</v>
      </c>
      <c r="F53" s="30" t="s">
        <v>39</v>
      </c>
      <c r="G53" s="31">
        <v>400000000</v>
      </c>
      <c r="H53" s="31">
        <v>0</v>
      </c>
      <c r="I53" s="32">
        <v>5.9191250000000002</v>
      </c>
      <c r="J53" s="33" t="s">
        <v>40</v>
      </c>
      <c r="K53" s="27" t="s">
        <v>39</v>
      </c>
      <c r="L53" s="31">
        <v>2250000000</v>
      </c>
      <c r="M53" s="31">
        <v>0</v>
      </c>
      <c r="N53" s="32">
        <v>5.9191250000000002</v>
      </c>
      <c r="O53" s="33" t="s">
        <v>40</v>
      </c>
      <c r="P53" s="4"/>
    </row>
    <row r="54" spans="1:16" x14ac:dyDescent="0.3">
      <c r="A54" s="27" t="s">
        <v>37</v>
      </c>
      <c r="B54" s="28" t="s">
        <v>76</v>
      </c>
      <c r="C54" s="29">
        <v>44166</v>
      </c>
      <c r="D54" s="29">
        <v>44530</v>
      </c>
      <c r="E54" s="29">
        <v>44166</v>
      </c>
      <c r="F54" s="30" t="s">
        <v>39</v>
      </c>
      <c r="G54" s="31">
        <v>275000000</v>
      </c>
      <c r="H54" s="31">
        <v>0</v>
      </c>
      <c r="I54" s="32">
        <v>5.8241937500000001</v>
      </c>
      <c r="J54" s="33" t="s">
        <v>40</v>
      </c>
      <c r="K54" s="27" t="s">
        <v>39</v>
      </c>
      <c r="L54" s="31">
        <v>1750000000</v>
      </c>
      <c r="M54" s="31">
        <v>0</v>
      </c>
      <c r="N54" s="32">
        <v>5.8241937500000001</v>
      </c>
      <c r="O54" s="33" t="s">
        <v>40</v>
      </c>
      <c r="P54" s="4"/>
    </row>
    <row r="55" spans="1:16" x14ac:dyDescent="0.3">
      <c r="A55" s="27" t="s">
        <v>37</v>
      </c>
      <c r="B55" s="28" t="s">
        <v>77</v>
      </c>
      <c r="C55" s="29">
        <v>44166</v>
      </c>
      <c r="D55" s="29">
        <v>44530</v>
      </c>
      <c r="E55" s="29">
        <v>44166</v>
      </c>
      <c r="F55" s="30" t="s">
        <v>39</v>
      </c>
      <c r="G55" s="31">
        <v>350000000</v>
      </c>
      <c r="H55" s="31">
        <v>0</v>
      </c>
      <c r="I55" s="32">
        <v>6.878696999999999</v>
      </c>
      <c r="J55" s="33" t="s">
        <v>40</v>
      </c>
      <c r="K55" s="27" t="s">
        <v>39</v>
      </c>
      <c r="L55" s="31">
        <v>2250000000</v>
      </c>
      <c r="M55" s="31">
        <v>0</v>
      </c>
      <c r="N55" s="32">
        <v>6.878696999999999</v>
      </c>
      <c r="O55" s="33" t="s">
        <v>40</v>
      </c>
      <c r="P55" s="4"/>
    </row>
    <row r="56" spans="1:16" x14ac:dyDescent="0.3">
      <c r="A56" s="27" t="s">
        <v>37</v>
      </c>
      <c r="B56" s="28" t="s">
        <v>78</v>
      </c>
      <c r="C56" s="29">
        <v>44151</v>
      </c>
      <c r="D56" s="29">
        <v>44515</v>
      </c>
      <c r="E56" s="29">
        <v>44151</v>
      </c>
      <c r="F56" s="30" t="s">
        <v>39</v>
      </c>
      <c r="G56" s="31">
        <v>330000000</v>
      </c>
      <c r="H56" s="31">
        <v>0</v>
      </c>
      <c r="I56" s="32">
        <v>6.0728562500000001</v>
      </c>
      <c r="J56" s="33" t="s">
        <v>40</v>
      </c>
      <c r="K56" s="27" t="s">
        <v>39</v>
      </c>
      <c r="L56" s="31">
        <v>1750000000</v>
      </c>
      <c r="M56" s="31">
        <v>0</v>
      </c>
      <c r="N56" s="32">
        <v>6.0728562500000001</v>
      </c>
      <c r="O56" s="33" t="s">
        <v>50</v>
      </c>
      <c r="P56" s="4"/>
    </row>
    <row r="57" spans="1:16" x14ac:dyDescent="0.3">
      <c r="A57" s="27" t="s">
        <v>37</v>
      </c>
      <c r="B57" s="28" t="s">
        <v>79</v>
      </c>
      <c r="C57" s="29">
        <v>44195</v>
      </c>
      <c r="D57" s="29">
        <v>44559</v>
      </c>
      <c r="E57" s="29">
        <v>44195</v>
      </c>
      <c r="F57" s="30" t="s">
        <v>39</v>
      </c>
      <c r="G57" s="31">
        <v>250000000</v>
      </c>
      <c r="H57" s="31">
        <v>0</v>
      </c>
      <c r="I57" s="32">
        <v>4.6687500000000002</v>
      </c>
      <c r="J57" s="33" t="s">
        <v>40</v>
      </c>
      <c r="K57" s="27" t="s">
        <v>39</v>
      </c>
      <c r="L57" s="31">
        <v>1000000000</v>
      </c>
      <c r="M57" s="31">
        <v>0</v>
      </c>
      <c r="N57" s="32">
        <v>4.6687500000000002</v>
      </c>
      <c r="O57" s="33" t="s">
        <v>50</v>
      </c>
      <c r="P57" s="4"/>
    </row>
    <row r="58" spans="1:16" x14ac:dyDescent="0.3">
      <c r="A58" s="27" t="s">
        <v>37</v>
      </c>
      <c r="B58" s="28" t="s">
        <v>80</v>
      </c>
      <c r="C58" s="29">
        <v>44180</v>
      </c>
      <c r="D58" s="29">
        <v>44544</v>
      </c>
      <c r="E58" s="29">
        <v>44180</v>
      </c>
      <c r="F58" s="30" t="s">
        <v>39</v>
      </c>
      <c r="G58" s="31">
        <v>325000000</v>
      </c>
      <c r="H58" s="31">
        <v>0</v>
      </c>
      <c r="I58" s="32">
        <v>2.3882812499999999</v>
      </c>
      <c r="J58" s="33" t="s">
        <v>40</v>
      </c>
      <c r="K58" s="27" t="s">
        <v>39</v>
      </c>
      <c r="L58" s="31">
        <v>2000000000</v>
      </c>
      <c r="M58" s="31">
        <v>0</v>
      </c>
      <c r="N58" s="32">
        <v>2.3882812499999999</v>
      </c>
      <c r="O58" s="33" t="s">
        <v>50</v>
      </c>
      <c r="P58" s="4"/>
    </row>
    <row r="59" spans="1:16" x14ac:dyDescent="0.3">
      <c r="A59" s="27" t="s">
        <v>37</v>
      </c>
      <c r="B59" s="28" t="s">
        <v>81</v>
      </c>
      <c r="C59" s="29">
        <v>44354</v>
      </c>
      <c r="D59" s="29">
        <v>44718</v>
      </c>
      <c r="E59" s="29">
        <v>44354</v>
      </c>
      <c r="F59" s="30" t="s">
        <v>39</v>
      </c>
      <c r="G59" s="31">
        <v>150000000</v>
      </c>
      <c r="H59" s="31">
        <v>0</v>
      </c>
      <c r="I59" s="32">
        <v>0.75396750000000001</v>
      </c>
      <c r="J59" s="33" t="s">
        <v>40</v>
      </c>
      <c r="K59" s="27" t="s">
        <v>39</v>
      </c>
      <c r="L59" s="31">
        <v>1000000000</v>
      </c>
      <c r="M59" s="31">
        <v>0</v>
      </c>
      <c r="N59" s="32">
        <v>0.75396750000000001</v>
      </c>
      <c r="O59" s="4"/>
      <c r="P59" s="4"/>
    </row>
    <row r="60" spans="1:16" x14ac:dyDescent="0.3">
      <c r="A60" s="27" t="s">
        <v>37</v>
      </c>
      <c r="B60" s="28" t="s">
        <v>82</v>
      </c>
      <c r="C60" s="29">
        <v>44166</v>
      </c>
      <c r="D60" s="29">
        <v>44530</v>
      </c>
      <c r="E60" s="29">
        <v>44166</v>
      </c>
      <c r="F60" s="30" t="s">
        <v>39</v>
      </c>
      <c r="G60" s="31">
        <v>290000000</v>
      </c>
      <c r="H60" s="31">
        <v>0</v>
      </c>
      <c r="I60" s="32">
        <v>5.5317499999999997</v>
      </c>
      <c r="J60" s="33" t="s">
        <v>40</v>
      </c>
      <c r="K60" s="27" t="s">
        <v>39</v>
      </c>
      <c r="L60" s="31">
        <v>2250000000</v>
      </c>
      <c r="M60" s="31">
        <v>0</v>
      </c>
      <c r="N60" s="32">
        <v>5.5317499999999997</v>
      </c>
      <c r="O60" s="33" t="s">
        <v>40</v>
      </c>
      <c r="P60" s="4"/>
    </row>
    <row r="61" spans="1:16" x14ac:dyDescent="0.3">
      <c r="A61" s="27" t="s">
        <v>37</v>
      </c>
      <c r="B61" s="28" t="s">
        <v>83</v>
      </c>
      <c r="C61" s="29">
        <v>44104</v>
      </c>
      <c r="D61" s="29">
        <v>44468</v>
      </c>
      <c r="E61" s="29">
        <v>44104</v>
      </c>
      <c r="F61" s="30" t="s">
        <v>39</v>
      </c>
      <c r="G61" s="31">
        <v>450000000</v>
      </c>
      <c r="H61" s="31">
        <v>0</v>
      </c>
      <c r="I61" s="32">
        <v>4.7107374999999996</v>
      </c>
      <c r="J61" s="33" t="s">
        <v>40</v>
      </c>
      <c r="K61" s="27" t="s">
        <v>39</v>
      </c>
      <c r="L61" s="31">
        <v>2250000000</v>
      </c>
      <c r="M61" s="31">
        <v>0</v>
      </c>
      <c r="N61" s="32">
        <v>4.7107374999999996</v>
      </c>
      <c r="O61" s="33" t="s">
        <v>40</v>
      </c>
      <c r="P61" s="4"/>
    </row>
    <row r="62" spans="1:16" x14ac:dyDescent="0.3">
      <c r="A62" s="27" t="s">
        <v>37</v>
      </c>
      <c r="B62" s="28" t="s">
        <v>84</v>
      </c>
      <c r="C62" s="29">
        <v>44166</v>
      </c>
      <c r="D62" s="29">
        <v>44530</v>
      </c>
      <c r="E62" s="29">
        <v>44166</v>
      </c>
      <c r="F62" s="30" t="s">
        <v>39</v>
      </c>
      <c r="G62" s="31">
        <v>195000000</v>
      </c>
      <c r="H62" s="31">
        <v>0</v>
      </c>
      <c r="I62" s="32">
        <v>5.3956500000000007</v>
      </c>
      <c r="J62" s="33" t="s">
        <v>40</v>
      </c>
      <c r="K62" s="27" t="s">
        <v>39</v>
      </c>
      <c r="L62" s="31">
        <v>1250000000</v>
      </c>
      <c r="M62" s="31">
        <v>0</v>
      </c>
      <c r="N62" s="32">
        <v>5.3956500000000007</v>
      </c>
      <c r="O62" s="33" t="s">
        <v>40</v>
      </c>
      <c r="P62" s="4"/>
    </row>
    <row r="63" spans="1:16" x14ac:dyDescent="0.3">
      <c r="A63" s="27" t="s">
        <v>37</v>
      </c>
      <c r="B63" s="28" t="s">
        <v>85</v>
      </c>
      <c r="C63" s="29">
        <v>44187</v>
      </c>
      <c r="D63" s="29">
        <v>44551</v>
      </c>
      <c r="E63" s="29">
        <v>44187</v>
      </c>
      <c r="F63" s="30" t="s">
        <v>39</v>
      </c>
      <c r="G63" s="31">
        <v>260000000</v>
      </c>
      <c r="H63" s="31">
        <v>0</v>
      </c>
      <c r="I63" s="32">
        <v>6.8528437500000008</v>
      </c>
      <c r="J63" s="33" t="s">
        <v>40</v>
      </c>
      <c r="K63" s="27" t="s">
        <v>39</v>
      </c>
      <c r="L63" s="31">
        <v>1500000000</v>
      </c>
      <c r="M63" s="31">
        <v>0</v>
      </c>
      <c r="N63" s="32">
        <v>6.8528437500000008</v>
      </c>
      <c r="O63" s="33" t="s">
        <v>40</v>
      </c>
      <c r="P63" s="4"/>
    </row>
    <row r="64" spans="1:16" x14ac:dyDescent="0.3">
      <c r="A64" s="27" t="s">
        <v>37</v>
      </c>
      <c r="B64" s="28" t="s">
        <v>86</v>
      </c>
      <c r="C64" s="29">
        <v>44166</v>
      </c>
      <c r="D64" s="29">
        <v>44530</v>
      </c>
      <c r="E64" s="29">
        <v>44166</v>
      </c>
      <c r="F64" s="30" t="s">
        <v>39</v>
      </c>
      <c r="G64" s="31">
        <v>100000000</v>
      </c>
      <c r="H64" s="31">
        <v>0</v>
      </c>
      <c r="I64" s="32">
        <v>6.4789500000000002</v>
      </c>
      <c r="J64" s="33" t="s">
        <v>40</v>
      </c>
      <c r="K64" s="27" t="s">
        <v>39</v>
      </c>
      <c r="L64" s="31">
        <v>750000000</v>
      </c>
      <c r="M64" s="31">
        <v>0</v>
      </c>
      <c r="N64" s="32">
        <v>6.4789500000000002</v>
      </c>
      <c r="O64" s="33" t="s">
        <v>40</v>
      </c>
      <c r="P64" s="4"/>
    </row>
    <row r="65" spans="1:16" x14ac:dyDescent="0.3">
      <c r="A65" s="27" t="s">
        <v>37</v>
      </c>
      <c r="B65" s="28" t="s">
        <v>87</v>
      </c>
      <c r="C65" s="29">
        <v>44166</v>
      </c>
      <c r="D65" s="29">
        <v>44530</v>
      </c>
      <c r="E65" s="29">
        <v>44166</v>
      </c>
      <c r="F65" s="30" t="s">
        <v>39</v>
      </c>
      <c r="G65" s="31">
        <v>250000000</v>
      </c>
      <c r="H65" s="31">
        <v>0</v>
      </c>
      <c r="I65" s="32">
        <v>6.9875000000000007</v>
      </c>
      <c r="J65" s="33" t="s">
        <v>40</v>
      </c>
      <c r="K65" s="27" t="s">
        <v>39</v>
      </c>
      <c r="L65" s="31">
        <v>1500000000</v>
      </c>
      <c r="M65" s="31">
        <v>0</v>
      </c>
      <c r="N65" s="32">
        <v>6.9875000000000007</v>
      </c>
      <c r="O65" s="33" t="s">
        <v>40</v>
      </c>
      <c r="P65" s="4"/>
    </row>
    <row r="66" spans="1:16" x14ac:dyDescent="0.3">
      <c r="A66" s="27" t="s">
        <v>37</v>
      </c>
      <c r="B66" s="28" t="s">
        <v>88</v>
      </c>
      <c r="C66" s="29">
        <v>44151</v>
      </c>
      <c r="D66" s="29">
        <v>44515</v>
      </c>
      <c r="E66" s="29">
        <v>44151</v>
      </c>
      <c r="F66" s="30" t="s">
        <v>39</v>
      </c>
      <c r="G66" s="31">
        <v>315000000</v>
      </c>
      <c r="H66" s="31">
        <v>0</v>
      </c>
      <c r="I66" s="32">
        <v>5.0118749999999999</v>
      </c>
      <c r="J66" s="33" t="s">
        <v>40</v>
      </c>
      <c r="K66" s="27" t="s">
        <v>39</v>
      </c>
      <c r="L66" s="31">
        <v>2250000000</v>
      </c>
      <c r="M66" s="31">
        <v>0</v>
      </c>
      <c r="N66" s="32">
        <v>5.0118749999999999</v>
      </c>
      <c r="O66" s="33" t="s">
        <v>50</v>
      </c>
      <c r="P66" s="4"/>
    </row>
    <row r="67" spans="1:16" x14ac:dyDescent="0.3">
      <c r="A67" s="27" t="s">
        <v>37</v>
      </c>
      <c r="B67" s="28" t="s">
        <v>89</v>
      </c>
      <c r="C67" s="29">
        <v>44378</v>
      </c>
      <c r="D67" s="29">
        <v>44742</v>
      </c>
      <c r="E67" s="29">
        <v>44378</v>
      </c>
      <c r="F67" s="30" t="s">
        <v>39</v>
      </c>
      <c r="G67" s="31">
        <v>350000000</v>
      </c>
      <c r="H67" s="31">
        <v>0</v>
      </c>
      <c r="I67" s="32">
        <v>4.6215424999999994</v>
      </c>
      <c r="J67" s="33" t="s">
        <v>40</v>
      </c>
      <c r="K67" s="27" t="s">
        <v>39</v>
      </c>
      <c r="L67" s="31">
        <v>2250000000</v>
      </c>
      <c r="M67" s="31">
        <v>0</v>
      </c>
      <c r="N67" s="32">
        <v>4.6215424999999994</v>
      </c>
      <c r="O67" s="33" t="s">
        <v>40</v>
      </c>
      <c r="P67" s="4"/>
    </row>
    <row r="68" spans="1:16" x14ac:dyDescent="0.3">
      <c r="A68" s="27" t="s">
        <v>37</v>
      </c>
      <c r="B68" s="28" t="s">
        <v>90</v>
      </c>
      <c r="C68" s="29">
        <v>44348</v>
      </c>
      <c r="D68" s="29">
        <v>44712</v>
      </c>
      <c r="E68" s="29">
        <v>44348</v>
      </c>
      <c r="F68" s="30" t="s">
        <v>39</v>
      </c>
      <c r="G68" s="31">
        <v>225000000</v>
      </c>
      <c r="H68" s="31">
        <v>0</v>
      </c>
      <c r="I68" s="32">
        <v>6.4710833333333326</v>
      </c>
      <c r="J68" s="33" t="s">
        <v>40</v>
      </c>
      <c r="K68" s="27" t="s">
        <v>39</v>
      </c>
      <c r="L68" s="31">
        <v>1500000000</v>
      </c>
      <c r="M68" s="31">
        <v>0</v>
      </c>
      <c r="N68" s="32">
        <v>6.6377499999999996</v>
      </c>
      <c r="O68" s="33" t="s">
        <v>50</v>
      </c>
      <c r="P68" s="4"/>
    </row>
    <row r="69" spans="1:16" x14ac:dyDescent="0.3">
      <c r="A69" s="27" t="s">
        <v>37</v>
      </c>
      <c r="B69" s="28" t="s">
        <v>91</v>
      </c>
      <c r="C69" s="29">
        <v>44166</v>
      </c>
      <c r="D69" s="29">
        <v>44530</v>
      </c>
      <c r="E69" s="29">
        <v>44166</v>
      </c>
      <c r="F69" s="30" t="s">
        <v>39</v>
      </c>
      <c r="G69" s="31">
        <v>250000000</v>
      </c>
      <c r="H69" s="31">
        <v>0</v>
      </c>
      <c r="I69" s="32">
        <v>5.3429833333333328</v>
      </c>
      <c r="J69" s="33" t="s">
        <v>40</v>
      </c>
      <c r="K69" s="27" t="s">
        <v>39</v>
      </c>
      <c r="L69" s="31">
        <v>1500000000</v>
      </c>
      <c r="M69" s="31">
        <v>0</v>
      </c>
      <c r="N69" s="32">
        <v>5.4846499999999994</v>
      </c>
      <c r="O69" s="33" t="s">
        <v>50</v>
      </c>
      <c r="P69" s="4"/>
    </row>
    <row r="70" spans="1:16" x14ac:dyDescent="0.3">
      <c r="A70" s="27" t="s">
        <v>37</v>
      </c>
      <c r="B70" s="28" t="s">
        <v>92</v>
      </c>
      <c r="C70" s="29">
        <v>44166</v>
      </c>
      <c r="D70" s="29">
        <v>44530</v>
      </c>
      <c r="E70" s="29">
        <v>44166</v>
      </c>
      <c r="F70" s="30" t="s">
        <v>39</v>
      </c>
      <c r="G70" s="31">
        <v>350000000</v>
      </c>
      <c r="H70" s="31">
        <v>0</v>
      </c>
      <c r="I70" s="32">
        <v>2.7957083333333332</v>
      </c>
      <c r="J70" s="33" t="s">
        <v>40</v>
      </c>
      <c r="K70" s="27" t="s">
        <v>39</v>
      </c>
      <c r="L70" s="31">
        <v>2000000000</v>
      </c>
      <c r="M70" s="31">
        <v>0</v>
      </c>
      <c r="N70" s="32">
        <v>2.9623750000000002</v>
      </c>
      <c r="O70" s="33" t="s">
        <v>50</v>
      </c>
      <c r="P70" s="4"/>
    </row>
    <row r="71" spans="1:16" x14ac:dyDescent="0.3">
      <c r="A71" s="27" t="s">
        <v>37</v>
      </c>
      <c r="B71" s="28" t="s">
        <v>93</v>
      </c>
      <c r="C71" s="29">
        <v>44166</v>
      </c>
      <c r="D71" s="29">
        <v>44530</v>
      </c>
      <c r="E71" s="29">
        <v>44166</v>
      </c>
      <c r="F71" s="30" t="s">
        <v>39</v>
      </c>
      <c r="G71" s="31">
        <v>215000000</v>
      </c>
      <c r="H71" s="31">
        <v>0</v>
      </c>
      <c r="I71" s="32">
        <v>7.3220833333333335</v>
      </c>
      <c r="J71" s="33" t="s">
        <v>40</v>
      </c>
      <c r="K71" s="27" t="s">
        <v>39</v>
      </c>
      <c r="L71" s="31">
        <v>2250000000</v>
      </c>
      <c r="M71" s="31">
        <v>0</v>
      </c>
      <c r="N71" s="32">
        <v>7.4887499999999996</v>
      </c>
      <c r="O71" s="33" t="s">
        <v>50</v>
      </c>
      <c r="P71" s="4"/>
    </row>
    <row r="72" spans="1:16" x14ac:dyDescent="0.3">
      <c r="A72" s="27" t="s">
        <v>37</v>
      </c>
      <c r="B72" s="28" t="s">
        <v>94</v>
      </c>
      <c r="C72" s="29">
        <v>44166</v>
      </c>
      <c r="D72" s="29">
        <v>44530</v>
      </c>
      <c r="E72" s="29">
        <v>44166</v>
      </c>
      <c r="F72" s="30" t="s">
        <v>39</v>
      </c>
      <c r="G72" s="31">
        <v>160000000</v>
      </c>
      <c r="H72" s="31">
        <v>0</v>
      </c>
      <c r="I72" s="32">
        <v>6.3762499999999998</v>
      </c>
      <c r="J72" s="33" t="s">
        <v>40</v>
      </c>
      <c r="K72" s="27" t="s">
        <v>39</v>
      </c>
      <c r="L72" s="31">
        <v>1000000000</v>
      </c>
      <c r="M72" s="31">
        <v>0</v>
      </c>
      <c r="N72" s="32">
        <v>6.3762499999999998</v>
      </c>
      <c r="O72" s="33" t="s">
        <v>50</v>
      </c>
      <c r="P72" s="4"/>
    </row>
    <row r="73" spans="1:16" x14ac:dyDescent="0.3">
      <c r="A73" s="27" t="s">
        <v>37</v>
      </c>
      <c r="B73" s="28" t="s">
        <v>95</v>
      </c>
      <c r="C73" s="29">
        <v>44180</v>
      </c>
      <c r="D73" s="29">
        <v>44544</v>
      </c>
      <c r="E73" s="29">
        <v>44180</v>
      </c>
      <c r="F73" s="30" t="s">
        <v>39</v>
      </c>
      <c r="G73" s="31">
        <v>300000000</v>
      </c>
      <c r="H73" s="31">
        <v>0</v>
      </c>
      <c r="I73" s="32">
        <v>4.8602170833333336</v>
      </c>
      <c r="J73" s="33" t="s">
        <v>40</v>
      </c>
      <c r="K73" s="27" t="s">
        <v>39</v>
      </c>
      <c r="L73" s="31">
        <v>2000000000</v>
      </c>
      <c r="M73" s="31">
        <v>0</v>
      </c>
      <c r="N73" s="32">
        <v>5.0268837499999997</v>
      </c>
      <c r="O73" s="33" t="s">
        <v>50</v>
      </c>
      <c r="P73" s="4"/>
    </row>
    <row r="74" spans="1:16" x14ac:dyDescent="0.3">
      <c r="A74" s="27" t="s">
        <v>37</v>
      </c>
      <c r="B74" s="28" t="s">
        <v>96</v>
      </c>
      <c r="C74" s="29">
        <v>44197</v>
      </c>
      <c r="D74" s="29">
        <v>44561</v>
      </c>
      <c r="E74" s="29">
        <v>44197</v>
      </c>
      <c r="F74" s="30" t="s">
        <v>39</v>
      </c>
      <c r="G74" s="31">
        <v>275000000</v>
      </c>
      <c r="H74" s="31">
        <v>0</v>
      </c>
      <c r="I74" s="32">
        <v>7.0516666666666659</v>
      </c>
      <c r="J74" s="33" t="s">
        <v>40</v>
      </c>
      <c r="K74" s="27" t="s">
        <v>39</v>
      </c>
      <c r="L74" s="31">
        <v>1750000000</v>
      </c>
      <c r="M74" s="31">
        <v>0</v>
      </c>
      <c r="N74" s="32">
        <v>7.1349999999999989</v>
      </c>
      <c r="O74" s="33" t="s">
        <v>50</v>
      </c>
      <c r="P74" s="4"/>
    </row>
    <row r="75" spans="1:16" x14ac:dyDescent="0.3">
      <c r="A75" s="27" t="s">
        <v>37</v>
      </c>
      <c r="B75" s="28" t="s">
        <v>97</v>
      </c>
      <c r="C75" s="29">
        <v>44330</v>
      </c>
      <c r="D75" s="29">
        <v>44694</v>
      </c>
      <c r="E75" s="29">
        <v>44330</v>
      </c>
      <c r="F75" s="30" t="s">
        <v>39</v>
      </c>
      <c r="G75" s="31">
        <v>100000000</v>
      </c>
      <c r="H75" s="31">
        <v>0</v>
      </c>
      <c r="I75" s="32">
        <v>9.7318125000000002</v>
      </c>
      <c r="J75" s="33" t="s">
        <v>40</v>
      </c>
      <c r="K75" s="27" t="s">
        <v>39</v>
      </c>
      <c r="L75" s="31">
        <v>1000000000</v>
      </c>
      <c r="M75" s="31">
        <v>0</v>
      </c>
      <c r="N75" s="32">
        <v>9.7318125000000002</v>
      </c>
      <c r="O75" s="33" t="s">
        <v>50</v>
      </c>
      <c r="P75" s="4"/>
    </row>
    <row r="76" spans="1:16" x14ac:dyDescent="0.3">
      <c r="A76" s="27" t="s">
        <v>37</v>
      </c>
      <c r="B76" s="28" t="s">
        <v>98</v>
      </c>
      <c r="C76" s="29">
        <v>44166</v>
      </c>
      <c r="D76" s="29">
        <v>44530</v>
      </c>
      <c r="E76" s="29">
        <v>44166</v>
      </c>
      <c r="F76" s="30" t="s">
        <v>39</v>
      </c>
      <c r="G76" s="31">
        <v>100000000</v>
      </c>
      <c r="H76" s="31">
        <v>0</v>
      </c>
      <c r="I76" s="32">
        <v>4.9748541666666659</v>
      </c>
      <c r="J76" s="33" t="s">
        <v>40</v>
      </c>
      <c r="K76" s="27" t="s">
        <v>39</v>
      </c>
      <c r="L76" s="31">
        <v>1750000000</v>
      </c>
      <c r="M76" s="31">
        <v>0</v>
      </c>
      <c r="N76" s="32">
        <v>5.0581874999999998</v>
      </c>
      <c r="O76" s="33" t="s">
        <v>40</v>
      </c>
      <c r="P76" s="4"/>
    </row>
    <row r="77" spans="1:16" x14ac:dyDescent="0.3">
      <c r="A77" s="27" t="s">
        <v>99</v>
      </c>
      <c r="B77" s="28" t="s">
        <v>100</v>
      </c>
      <c r="C77" s="29">
        <v>44180</v>
      </c>
      <c r="D77" s="29">
        <v>44544</v>
      </c>
      <c r="E77" s="29">
        <v>44180</v>
      </c>
      <c r="F77" s="30" t="s">
        <v>39</v>
      </c>
      <c r="G77" s="31">
        <v>135000000</v>
      </c>
      <c r="H77" s="31">
        <v>0</v>
      </c>
      <c r="I77" s="32">
        <v>4.1113500000000007</v>
      </c>
      <c r="J77" s="33" t="s">
        <v>40</v>
      </c>
      <c r="K77" s="27" t="s">
        <v>39</v>
      </c>
      <c r="L77" s="31">
        <v>1500000000</v>
      </c>
      <c r="M77" s="31">
        <v>0</v>
      </c>
      <c r="N77" s="32">
        <v>4.1113500000000007</v>
      </c>
      <c r="O77" s="33" t="s">
        <v>40</v>
      </c>
      <c r="P77" s="4"/>
    </row>
    <row r="78" spans="1:16" x14ac:dyDescent="0.3">
      <c r="A78" s="27" t="s">
        <v>99</v>
      </c>
      <c r="B78" s="28" t="s">
        <v>101</v>
      </c>
      <c r="C78" s="29">
        <v>44187</v>
      </c>
      <c r="D78" s="29">
        <v>44551</v>
      </c>
      <c r="E78" s="29">
        <v>44187</v>
      </c>
      <c r="F78" s="30" t="s">
        <v>39</v>
      </c>
      <c r="G78" s="31">
        <v>200000000</v>
      </c>
      <c r="H78" s="31">
        <v>0</v>
      </c>
      <c r="I78" s="32">
        <v>5.3004999999999995</v>
      </c>
      <c r="J78" s="33" t="s">
        <v>40</v>
      </c>
      <c r="K78" s="27" t="s">
        <v>39</v>
      </c>
      <c r="L78" s="31">
        <v>2000000000</v>
      </c>
      <c r="M78" s="31">
        <v>0</v>
      </c>
      <c r="N78" s="32">
        <v>5.3004999999999995</v>
      </c>
      <c r="O78" s="33" t="s">
        <v>40</v>
      </c>
      <c r="P78" s="4"/>
    </row>
    <row r="79" spans="1:16" x14ac:dyDescent="0.3">
      <c r="A79" s="27" t="s">
        <v>99</v>
      </c>
      <c r="B79" s="28" t="s">
        <v>102</v>
      </c>
      <c r="C79" s="29">
        <v>44186</v>
      </c>
      <c r="D79" s="29">
        <v>44550</v>
      </c>
      <c r="E79" s="29">
        <v>44186</v>
      </c>
      <c r="F79" s="30" t="s">
        <v>39</v>
      </c>
      <c r="G79" s="31">
        <v>225000000</v>
      </c>
      <c r="H79" s="31">
        <v>0</v>
      </c>
      <c r="I79" s="32">
        <v>3.2687339999999998</v>
      </c>
      <c r="J79" s="33" t="s">
        <v>40</v>
      </c>
      <c r="K79" s="27" t="s">
        <v>39</v>
      </c>
      <c r="L79" s="31">
        <v>2000000000</v>
      </c>
      <c r="M79" s="31">
        <v>0</v>
      </c>
      <c r="N79" s="32">
        <v>3.2687339999999998</v>
      </c>
      <c r="O79" s="33" t="s">
        <v>40</v>
      </c>
      <c r="P79" s="4"/>
    </row>
    <row r="80" spans="1:16" x14ac:dyDescent="0.3">
      <c r="A80" s="27" t="s">
        <v>99</v>
      </c>
      <c r="B80" s="28" t="s">
        <v>103</v>
      </c>
      <c r="C80" s="29">
        <v>44378</v>
      </c>
      <c r="D80" s="29">
        <v>44742</v>
      </c>
      <c r="E80" s="29">
        <v>44378</v>
      </c>
      <c r="F80" s="30" t="s">
        <v>39</v>
      </c>
      <c r="G80" s="31">
        <v>210000000</v>
      </c>
      <c r="H80" s="31">
        <v>0</v>
      </c>
      <c r="I80" s="32">
        <v>5.4175000000000004</v>
      </c>
      <c r="J80" s="33" t="s">
        <v>40</v>
      </c>
      <c r="K80" s="27" t="s">
        <v>39</v>
      </c>
      <c r="L80" s="31">
        <v>1500000000</v>
      </c>
      <c r="M80" s="31">
        <v>0</v>
      </c>
      <c r="N80" s="32">
        <v>5.4175000000000004</v>
      </c>
      <c r="O80" s="33" t="s">
        <v>40</v>
      </c>
      <c r="P80" s="4"/>
    </row>
    <row r="81" spans="1:16" x14ac:dyDescent="0.3">
      <c r="A81" s="27" t="s">
        <v>99</v>
      </c>
      <c r="B81" s="28" t="s">
        <v>104</v>
      </c>
      <c r="C81" s="29">
        <v>44185</v>
      </c>
      <c r="D81" s="29">
        <v>44549</v>
      </c>
      <c r="E81" s="29">
        <v>44185</v>
      </c>
      <c r="F81" s="30" t="s">
        <v>39</v>
      </c>
      <c r="G81" s="31">
        <v>160000000</v>
      </c>
      <c r="H81" s="31">
        <v>0</v>
      </c>
      <c r="I81" s="32">
        <v>4.4324999999999992</v>
      </c>
      <c r="J81" s="33" t="s">
        <v>40</v>
      </c>
      <c r="K81" s="27" t="s">
        <v>39</v>
      </c>
      <c r="L81" s="31">
        <v>1750000000</v>
      </c>
      <c r="M81" s="31">
        <v>0</v>
      </c>
      <c r="N81" s="32">
        <v>4.4324999999999992</v>
      </c>
      <c r="O81" s="33" t="s">
        <v>40</v>
      </c>
      <c r="P81" s="4"/>
    </row>
    <row r="82" spans="1:16" x14ac:dyDescent="0.3">
      <c r="A82" s="27" t="s">
        <v>99</v>
      </c>
      <c r="B82" s="28" t="s">
        <v>105</v>
      </c>
      <c r="C82" s="29">
        <v>44166</v>
      </c>
      <c r="D82" s="29">
        <v>44530</v>
      </c>
      <c r="E82" s="29">
        <v>44166</v>
      </c>
      <c r="F82" s="30" t="s">
        <v>39</v>
      </c>
      <c r="G82" s="31">
        <v>125000000</v>
      </c>
      <c r="H82" s="31">
        <v>0</v>
      </c>
      <c r="I82" s="32">
        <v>4.2637499999999999</v>
      </c>
      <c r="J82" s="33" t="s">
        <v>40</v>
      </c>
      <c r="K82" s="27" t="s">
        <v>39</v>
      </c>
      <c r="L82" s="31">
        <v>1500000000</v>
      </c>
      <c r="M82" s="31">
        <v>0</v>
      </c>
      <c r="N82" s="32">
        <v>4.2637499999999999</v>
      </c>
      <c r="O82" s="33" t="s">
        <v>40</v>
      </c>
      <c r="P82" s="4"/>
    </row>
    <row r="83" spans="1:16" x14ac:dyDescent="0.3">
      <c r="A83" s="27" t="s">
        <v>99</v>
      </c>
      <c r="B83" s="28" t="s">
        <v>106</v>
      </c>
      <c r="C83" s="29">
        <v>44180</v>
      </c>
      <c r="D83" s="29">
        <v>44544</v>
      </c>
      <c r="E83" s="29">
        <v>44180</v>
      </c>
      <c r="F83" s="30" t="s">
        <v>39</v>
      </c>
      <c r="G83" s="31">
        <v>40000000</v>
      </c>
      <c r="H83" s="31">
        <v>0</v>
      </c>
      <c r="I83" s="32">
        <v>3.9254166666666666</v>
      </c>
      <c r="J83" s="33" t="s">
        <v>40</v>
      </c>
      <c r="K83" s="27" t="s">
        <v>39</v>
      </c>
      <c r="L83" s="31">
        <v>1250000000</v>
      </c>
      <c r="M83" s="31">
        <v>0</v>
      </c>
      <c r="N83" s="32">
        <v>4.00875</v>
      </c>
      <c r="O83" s="33" t="s">
        <v>40</v>
      </c>
      <c r="P83" s="4"/>
    </row>
    <row r="84" spans="1:16" ht="12.75" customHeight="1" x14ac:dyDescent="0.3">
      <c r="A84" s="27" t="s">
        <v>99</v>
      </c>
      <c r="B84" s="28" t="s">
        <v>107</v>
      </c>
      <c r="C84" s="29">
        <v>44180</v>
      </c>
      <c r="D84" s="29">
        <v>44544</v>
      </c>
      <c r="E84" s="29">
        <v>44180</v>
      </c>
      <c r="F84" s="30" t="s">
        <v>39</v>
      </c>
      <c r="G84" s="31">
        <v>65000000</v>
      </c>
      <c r="H84" s="31">
        <v>0</v>
      </c>
      <c r="I84" s="32">
        <v>1.94625</v>
      </c>
      <c r="J84" s="33" t="s">
        <v>40</v>
      </c>
      <c r="K84" s="27" t="s">
        <v>39</v>
      </c>
      <c r="L84" s="31">
        <v>1250000000</v>
      </c>
      <c r="M84" s="31">
        <v>0</v>
      </c>
      <c r="N84" s="32">
        <v>1.94625</v>
      </c>
      <c r="O84" s="33" t="s">
        <v>40</v>
      </c>
      <c r="P84" s="4"/>
    </row>
    <row r="85" spans="1:16" ht="12.75" customHeight="1" x14ac:dyDescent="0.3">
      <c r="A85" s="27" t="s">
        <v>99</v>
      </c>
      <c r="B85" s="28" t="s">
        <v>108</v>
      </c>
      <c r="C85" s="29">
        <v>44180</v>
      </c>
      <c r="D85" s="29">
        <v>44544</v>
      </c>
      <c r="E85" s="29">
        <v>44180</v>
      </c>
      <c r="F85" s="30" t="s">
        <v>39</v>
      </c>
      <c r="G85" s="31">
        <v>45000000</v>
      </c>
      <c r="H85" s="31">
        <v>0</v>
      </c>
      <c r="I85" s="32">
        <v>1.94625</v>
      </c>
      <c r="J85" s="33" t="s">
        <v>40</v>
      </c>
      <c r="K85" s="27" t="s">
        <v>39</v>
      </c>
      <c r="L85" s="31">
        <v>1250000000</v>
      </c>
      <c r="M85" s="31">
        <v>0</v>
      </c>
      <c r="N85" s="32">
        <v>1.94625</v>
      </c>
      <c r="O85" s="33" t="s">
        <v>40</v>
      </c>
      <c r="P85" s="4"/>
    </row>
    <row r="86" spans="1:16" x14ac:dyDescent="0.3">
      <c r="A86" s="27" t="s">
        <v>99</v>
      </c>
      <c r="B86" s="28" t="s">
        <v>109</v>
      </c>
      <c r="C86" s="29">
        <v>44180</v>
      </c>
      <c r="D86" s="29">
        <v>44544</v>
      </c>
      <c r="E86" s="29">
        <v>44180</v>
      </c>
      <c r="F86" s="30" t="s">
        <v>39</v>
      </c>
      <c r="G86" s="31">
        <v>70000000</v>
      </c>
      <c r="H86" s="31">
        <v>0</v>
      </c>
      <c r="I86" s="32">
        <v>3.8596416666666671</v>
      </c>
      <c r="J86" s="33" t="s">
        <v>40</v>
      </c>
      <c r="K86" s="27" t="s">
        <v>39</v>
      </c>
      <c r="L86" s="31">
        <v>1750000000</v>
      </c>
      <c r="M86" s="31">
        <v>0</v>
      </c>
      <c r="N86" s="32">
        <v>3.8929750000000003</v>
      </c>
      <c r="O86" s="33" t="s">
        <v>40</v>
      </c>
      <c r="P86" s="4"/>
    </row>
    <row r="87" spans="1:16" x14ac:dyDescent="0.3">
      <c r="A87" s="27" t="s">
        <v>99</v>
      </c>
      <c r="B87" s="28" t="s">
        <v>110</v>
      </c>
      <c r="C87" s="29">
        <v>44378</v>
      </c>
      <c r="D87" s="29">
        <v>44742</v>
      </c>
      <c r="E87" s="29">
        <v>44378</v>
      </c>
      <c r="F87" s="30" t="s">
        <v>39</v>
      </c>
      <c r="G87" s="31">
        <v>90000000</v>
      </c>
      <c r="H87" s="31">
        <v>0</v>
      </c>
      <c r="I87" s="32">
        <v>3.74275</v>
      </c>
      <c r="J87" s="33" t="s">
        <v>40</v>
      </c>
      <c r="K87" s="27" t="s">
        <v>39</v>
      </c>
      <c r="L87" s="31">
        <v>1500000000</v>
      </c>
      <c r="M87" s="31">
        <v>0</v>
      </c>
      <c r="N87" s="32">
        <v>3.74275</v>
      </c>
      <c r="O87" s="33"/>
      <c r="P87" s="4"/>
    </row>
    <row r="88" spans="1:16" x14ac:dyDescent="0.3">
      <c r="A88" s="27" t="s">
        <v>99</v>
      </c>
      <c r="B88" s="28" t="s">
        <v>111</v>
      </c>
      <c r="C88" s="29">
        <v>44180</v>
      </c>
      <c r="D88" s="29">
        <v>44544</v>
      </c>
      <c r="E88" s="29">
        <v>44180</v>
      </c>
      <c r="F88" s="30" t="s">
        <v>39</v>
      </c>
      <c r="G88" s="31">
        <v>100000000</v>
      </c>
      <c r="H88" s="31">
        <v>0</v>
      </c>
      <c r="I88" s="32">
        <v>1.94625</v>
      </c>
      <c r="J88" s="33" t="s">
        <v>40</v>
      </c>
      <c r="K88" s="27" t="s">
        <v>39</v>
      </c>
      <c r="L88" s="31">
        <v>1250000000</v>
      </c>
      <c r="M88" s="31">
        <v>0</v>
      </c>
      <c r="N88" s="32">
        <v>1.94625</v>
      </c>
      <c r="O88" s="33" t="s">
        <v>40</v>
      </c>
      <c r="P88" s="4"/>
    </row>
    <row r="89" spans="1:16" x14ac:dyDescent="0.3">
      <c r="A89" s="27" t="s">
        <v>99</v>
      </c>
      <c r="B89" s="28" t="s">
        <v>112</v>
      </c>
      <c r="C89" s="29">
        <v>44196</v>
      </c>
      <c r="D89" s="29">
        <v>44560</v>
      </c>
      <c r="E89" s="29">
        <v>44196</v>
      </c>
      <c r="F89" s="30" t="s">
        <v>39</v>
      </c>
      <c r="G89" s="31">
        <v>185000000</v>
      </c>
      <c r="H89" s="31">
        <v>0</v>
      </c>
      <c r="I89" s="32">
        <v>4.1483333333333334</v>
      </c>
      <c r="J89" s="33" t="s">
        <v>40</v>
      </c>
      <c r="K89" s="27" t="s">
        <v>39</v>
      </c>
      <c r="L89" s="31">
        <v>2000000000</v>
      </c>
      <c r="M89" s="31">
        <v>0</v>
      </c>
      <c r="N89" s="32">
        <v>4.2149999999999999</v>
      </c>
      <c r="O89" s="33" t="s">
        <v>40</v>
      </c>
      <c r="P89" s="4"/>
    </row>
    <row r="90" spans="1:16" x14ac:dyDescent="0.3">
      <c r="A90" s="27" t="s">
        <v>99</v>
      </c>
      <c r="B90" s="28" t="s">
        <v>113</v>
      </c>
      <c r="C90" s="29">
        <v>44151</v>
      </c>
      <c r="D90" s="29">
        <v>44515</v>
      </c>
      <c r="E90" s="29">
        <v>44151</v>
      </c>
      <c r="F90" s="30" t="s">
        <v>39</v>
      </c>
      <c r="G90" s="31">
        <v>225000000</v>
      </c>
      <c r="H90" s="31">
        <v>0</v>
      </c>
      <c r="I90" s="32">
        <v>4.9443666666666664</v>
      </c>
      <c r="J90" s="33" t="s">
        <v>40</v>
      </c>
      <c r="K90" s="27" t="s">
        <v>39</v>
      </c>
      <c r="L90" s="31">
        <v>1500000000</v>
      </c>
      <c r="M90" s="31">
        <v>0</v>
      </c>
      <c r="N90" s="32">
        <v>5.0276999999999994</v>
      </c>
      <c r="O90" s="33" t="s">
        <v>40</v>
      </c>
      <c r="P90" s="4"/>
    </row>
    <row r="91" spans="1:16" x14ac:dyDescent="0.3">
      <c r="A91" s="27" t="s">
        <v>114</v>
      </c>
      <c r="B91" s="28" t="s">
        <v>115</v>
      </c>
      <c r="C91" s="29">
        <v>44197</v>
      </c>
      <c r="D91" s="29">
        <v>44561</v>
      </c>
      <c r="E91" s="29">
        <v>44197</v>
      </c>
      <c r="F91" s="30"/>
      <c r="G91" s="31"/>
      <c r="H91" s="31"/>
      <c r="I91" s="32"/>
      <c r="J91" s="33"/>
      <c r="K91" s="27" t="s">
        <v>39</v>
      </c>
      <c r="L91" s="31">
        <v>2500000000</v>
      </c>
      <c r="M91" s="31">
        <v>0</v>
      </c>
      <c r="N91" s="32">
        <v>6.1295599999999997</v>
      </c>
      <c r="O91" s="33" t="s">
        <v>40</v>
      </c>
      <c r="P91" s="4"/>
    </row>
    <row r="92" spans="1:16" x14ac:dyDescent="0.3">
      <c r="A92" s="27" t="s">
        <v>114</v>
      </c>
      <c r="B92" s="28" t="s">
        <v>115</v>
      </c>
      <c r="C92" s="29">
        <v>44197</v>
      </c>
      <c r="D92" s="29">
        <v>44561</v>
      </c>
      <c r="E92" s="29">
        <v>44197</v>
      </c>
      <c r="F92" s="30"/>
      <c r="G92" s="31"/>
      <c r="H92" s="31"/>
      <c r="I92" s="32"/>
      <c r="J92" s="33"/>
      <c r="K92" s="27" t="s">
        <v>39</v>
      </c>
      <c r="L92" s="31">
        <v>50000000</v>
      </c>
      <c r="M92" s="31">
        <v>0</v>
      </c>
      <c r="N92" s="32">
        <v>0.23750000000000002</v>
      </c>
      <c r="O92" s="33" t="s">
        <v>40</v>
      </c>
      <c r="P92" s="4"/>
    </row>
    <row r="93" spans="1:16" x14ac:dyDescent="0.3">
      <c r="A93" s="27" t="s">
        <v>114</v>
      </c>
      <c r="B93" s="28" t="s">
        <v>116</v>
      </c>
      <c r="C93" s="29">
        <v>44287</v>
      </c>
      <c r="D93" s="29">
        <v>44651</v>
      </c>
      <c r="E93" s="29">
        <v>44287</v>
      </c>
      <c r="F93" s="30"/>
      <c r="G93" s="31"/>
      <c r="H93" s="31"/>
      <c r="I93" s="32"/>
      <c r="J93" s="33"/>
      <c r="K93" s="27" t="s">
        <v>39</v>
      </c>
      <c r="L93" s="31">
        <v>1500000000</v>
      </c>
      <c r="M93" s="31">
        <v>0</v>
      </c>
      <c r="N93" s="32">
        <v>5.5063750000000002</v>
      </c>
      <c r="O93" s="33"/>
      <c r="P93" s="4"/>
    </row>
    <row r="94" spans="1:16" x14ac:dyDescent="0.3">
      <c r="A94" s="27" t="s">
        <v>114</v>
      </c>
      <c r="B94" s="28" t="s">
        <v>117</v>
      </c>
      <c r="C94" s="29">
        <v>44378</v>
      </c>
      <c r="D94" s="29">
        <v>44742</v>
      </c>
      <c r="E94" s="29">
        <v>44378</v>
      </c>
      <c r="F94" s="30"/>
      <c r="G94" s="31"/>
      <c r="H94" s="31"/>
      <c r="I94" s="32"/>
      <c r="J94" s="33"/>
      <c r="K94" s="27" t="s">
        <v>39</v>
      </c>
      <c r="L94" s="31">
        <v>2250000000</v>
      </c>
      <c r="M94" s="31">
        <v>0</v>
      </c>
      <c r="N94" s="32">
        <v>4.0195759999999998</v>
      </c>
      <c r="O94" s="33" t="s">
        <v>40</v>
      </c>
      <c r="P94" s="4"/>
    </row>
    <row r="95" spans="1:16" x14ac:dyDescent="0.3">
      <c r="A95" s="27" t="s">
        <v>114</v>
      </c>
      <c r="B95" s="28" t="s">
        <v>117</v>
      </c>
      <c r="C95" s="29">
        <v>44378</v>
      </c>
      <c r="D95" s="29">
        <v>44742</v>
      </c>
      <c r="E95" s="29">
        <v>44378</v>
      </c>
      <c r="F95" s="30"/>
      <c r="G95" s="31"/>
      <c r="H95" s="31"/>
      <c r="I95" s="32"/>
      <c r="J95" s="33"/>
      <c r="K95" s="27" t="s">
        <v>39</v>
      </c>
      <c r="L95" s="31">
        <v>500000000</v>
      </c>
      <c r="M95" s="31">
        <v>2250000000</v>
      </c>
      <c r="N95" s="32">
        <v>7.2307750000000004</v>
      </c>
      <c r="O95" s="33" t="s">
        <v>40</v>
      </c>
      <c r="P95" s="4"/>
    </row>
    <row r="96" spans="1:16" x14ac:dyDescent="0.3">
      <c r="A96" s="27" t="s">
        <v>114</v>
      </c>
      <c r="B96" s="28" t="s">
        <v>118</v>
      </c>
      <c r="C96" s="29">
        <v>44180</v>
      </c>
      <c r="D96" s="29">
        <v>44544</v>
      </c>
      <c r="E96" s="29">
        <v>44180</v>
      </c>
      <c r="F96" s="30"/>
      <c r="G96" s="31"/>
      <c r="H96" s="31"/>
      <c r="I96" s="32"/>
      <c r="J96" s="33"/>
      <c r="K96" s="27" t="s">
        <v>39</v>
      </c>
      <c r="L96" s="31">
        <v>1500000000</v>
      </c>
      <c r="M96" s="31">
        <v>0</v>
      </c>
      <c r="N96" s="32">
        <v>5.6124999999999998</v>
      </c>
      <c r="O96" s="33" t="s">
        <v>40</v>
      </c>
      <c r="P96" s="4"/>
    </row>
    <row r="97" spans="1:16" x14ac:dyDescent="0.3">
      <c r="A97" s="27" t="s">
        <v>114</v>
      </c>
      <c r="B97" s="28" t="s">
        <v>119</v>
      </c>
      <c r="C97" s="29">
        <v>44105</v>
      </c>
      <c r="D97" s="29">
        <v>44469</v>
      </c>
      <c r="E97" s="29">
        <v>44105</v>
      </c>
      <c r="F97" s="30"/>
      <c r="G97" s="31"/>
      <c r="H97" s="31"/>
      <c r="I97" s="32"/>
      <c r="J97" s="33"/>
      <c r="K97" s="27" t="s">
        <v>120</v>
      </c>
      <c r="L97" s="31">
        <v>1500000000</v>
      </c>
      <c r="M97" s="31">
        <v>0</v>
      </c>
      <c r="N97" s="32">
        <v>6.2160437499999999</v>
      </c>
      <c r="O97" s="33" t="s">
        <v>40</v>
      </c>
      <c r="P97" s="4"/>
    </row>
    <row r="98" spans="1:16" x14ac:dyDescent="0.3">
      <c r="A98" s="27" t="s">
        <v>114</v>
      </c>
      <c r="B98" s="28" t="s">
        <v>121</v>
      </c>
      <c r="C98" s="29">
        <v>44043</v>
      </c>
      <c r="D98" s="29">
        <v>44407</v>
      </c>
      <c r="E98" s="29">
        <v>44043</v>
      </c>
      <c r="F98" s="30"/>
      <c r="G98" s="31"/>
      <c r="H98" s="31"/>
      <c r="I98" s="32"/>
      <c r="J98" s="33"/>
      <c r="K98" s="27" t="s">
        <v>39</v>
      </c>
      <c r="L98" s="31">
        <v>1500000000</v>
      </c>
      <c r="M98" s="31">
        <v>0</v>
      </c>
      <c r="N98" s="32">
        <v>3.7550000000000003</v>
      </c>
      <c r="O98" s="33" t="s">
        <v>40</v>
      </c>
      <c r="P98" s="4"/>
    </row>
    <row r="99" spans="1:16" x14ac:dyDescent="0.3">
      <c r="A99" s="27" t="s">
        <v>114</v>
      </c>
      <c r="B99" s="28" t="s">
        <v>122</v>
      </c>
      <c r="C99" s="29">
        <v>44136</v>
      </c>
      <c r="D99" s="29">
        <v>44500</v>
      </c>
      <c r="E99" s="29">
        <v>44136</v>
      </c>
      <c r="F99" s="30"/>
      <c r="G99" s="31"/>
      <c r="H99" s="31"/>
      <c r="I99" s="32"/>
      <c r="J99" s="33"/>
      <c r="K99" s="27" t="s">
        <v>39</v>
      </c>
      <c r="L99" s="31">
        <v>1000000000</v>
      </c>
      <c r="M99" s="31">
        <v>0</v>
      </c>
      <c r="N99" s="32">
        <v>7.1731499999999997</v>
      </c>
      <c r="O99" s="33" t="s">
        <v>40</v>
      </c>
      <c r="P99" s="4"/>
    </row>
    <row r="100" spans="1:16" x14ac:dyDescent="0.3">
      <c r="A100" s="27" t="s">
        <v>114</v>
      </c>
      <c r="B100" s="28" t="s">
        <v>122</v>
      </c>
      <c r="C100" s="29">
        <v>44136</v>
      </c>
      <c r="D100" s="29">
        <v>44500</v>
      </c>
      <c r="E100" s="29">
        <v>44136</v>
      </c>
      <c r="F100" s="30"/>
      <c r="G100" s="31"/>
      <c r="H100" s="31"/>
      <c r="I100" s="32"/>
      <c r="J100" s="33"/>
      <c r="K100" s="27" t="s">
        <v>39</v>
      </c>
      <c r="L100" s="31">
        <v>500000000</v>
      </c>
      <c r="M100" s="31">
        <v>1000000000</v>
      </c>
      <c r="N100" s="32">
        <v>8.74</v>
      </c>
      <c r="O100" s="33" t="s">
        <v>40</v>
      </c>
      <c r="P100" s="4"/>
    </row>
    <row r="101" spans="1:16" x14ac:dyDescent="0.3">
      <c r="A101" s="27" t="s">
        <v>114</v>
      </c>
      <c r="B101" s="28" t="s">
        <v>123</v>
      </c>
      <c r="C101" s="29">
        <v>44120</v>
      </c>
      <c r="D101" s="29">
        <v>44484</v>
      </c>
      <c r="E101" s="29">
        <v>44120</v>
      </c>
      <c r="F101" s="30"/>
      <c r="G101" s="31"/>
      <c r="H101" s="31"/>
      <c r="I101" s="32"/>
      <c r="J101" s="33"/>
      <c r="K101" s="27" t="s">
        <v>39</v>
      </c>
      <c r="L101" s="31">
        <v>2500000000</v>
      </c>
      <c r="M101" s="31">
        <v>0</v>
      </c>
      <c r="N101" s="32">
        <v>6.6262499999999998</v>
      </c>
      <c r="O101" s="33" t="s">
        <v>40</v>
      </c>
      <c r="P101" s="4"/>
    </row>
    <row r="102" spans="1:16" x14ac:dyDescent="0.3">
      <c r="A102" s="27" t="s">
        <v>114</v>
      </c>
      <c r="B102" s="28" t="s">
        <v>123</v>
      </c>
      <c r="C102" s="29">
        <v>44120</v>
      </c>
      <c r="D102" s="29">
        <v>44484</v>
      </c>
      <c r="E102" s="29">
        <v>44120</v>
      </c>
      <c r="F102" s="30"/>
      <c r="G102" s="31"/>
      <c r="H102" s="31"/>
      <c r="I102" s="32"/>
      <c r="J102" s="33"/>
      <c r="K102" s="27" t="s">
        <v>39</v>
      </c>
      <c r="L102" s="31">
        <v>500000000</v>
      </c>
      <c r="M102" s="31">
        <v>2500000000</v>
      </c>
      <c r="N102" s="32">
        <v>6.9937500000000004</v>
      </c>
      <c r="O102" s="33" t="s">
        <v>40</v>
      </c>
      <c r="P102" s="4"/>
    </row>
    <row r="103" spans="1:16" x14ac:dyDescent="0.3">
      <c r="A103" s="27" t="s">
        <v>114</v>
      </c>
      <c r="B103" s="28" t="s">
        <v>123</v>
      </c>
      <c r="C103" s="29">
        <v>44120</v>
      </c>
      <c r="D103" s="29">
        <v>44484</v>
      </c>
      <c r="E103" s="29">
        <v>44120</v>
      </c>
      <c r="F103" s="30"/>
      <c r="G103" s="31"/>
      <c r="H103" s="31"/>
      <c r="I103" s="32"/>
      <c r="J103" s="33"/>
      <c r="K103" s="27" t="s">
        <v>39</v>
      </c>
      <c r="L103" s="31">
        <v>500000000</v>
      </c>
      <c r="M103" s="31">
        <v>3000000000</v>
      </c>
      <c r="N103" s="32">
        <v>9.375E-2</v>
      </c>
      <c r="O103" s="33" t="s">
        <v>40</v>
      </c>
      <c r="P103" s="4"/>
    </row>
    <row r="104" spans="1:16" x14ac:dyDescent="0.3">
      <c r="A104" s="27" t="s">
        <v>114</v>
      </c>
      <c r="B104" s="28" t="s">
        <v>124</v>
      </c>
      <c r="C104" s="29">
        <v>44149</v>
      </c>
      <c r="D104" s="29">
        <v>44513</v>
      </c>
      <c r="E104" s="29">
        <v>44149</v>
      </c>
      <c r="F104" s="30"/>
      <c r="G104" s="31"/>
      <c r="H104" s="31"/>
      <c r="I104" s="32"/>
      <c r="J104" s="33"/>
      <c r="K104" s="27" t="s">
        <v>39</v>
      </c>
      <c r="L104" s="31">
        <v>2000000000</v>
      </c>
      <c r="M104" s="31">
        <v>0</v>
      </c>
      <c r="N104" s="32">
        <v>5.0212500000000002</v>
      </c>
      <c r="O104" s="33" t="s">
        <v>40</v>
      </c>
      <c r="P104" s="4"/>
    </row>
    <row r="105" spans="1:16" x14ac:dyDescent="0.3">
      <c r="A105" s="27" t="s">
        <v>114</v>
      </c>
      <c r="B105" s="28" t="s">
        <v>125</v>
      </c>
      <c r="C105" s="29">
        <v>44378</v>
      </c>
      <c r="D105" s="29">
        <v>44742</v>
      </c>
      <c r="E105" s="29">
        <v>44378</v>
      </c>
      <c r="F105" s="30"/>
      <c r="G105" s="31"/>
      <c r="H105" s="31"/>
      <c r="I105" s="32"/>
      <c r="J105" s="33"/>
      <c r="K105" s="27" t="s">
        <v>39</v>
      </c>
      <c r="L105" s="31">
        <v>1000000000</v>
      </c>
      <c r="M105" s="31">
        <v>0</v>
      </c>
      <c r="N105" s="32">
        <v>4.4309500000000002</v>
      </c>
      <c r="O105" s="33" t="s">
        <v>40</v>
      </c>
      <c r="P105" s="4"/>
    </row>
    <row r="106" spans="1:16" x14ac:dyDescent="0.3">
      <c r="A106" s="27" t="s">
        <v>114</v>
      </c>
      <c r="B106" s="28" t="s">
        <v>125</v>
      </c>
      <c r="C106" s="29">
        <v>44378</v>
      </c>
      <c r="D106" s="29">
        <v>44742</v>
      </c>
      <c r="E106" s="29">
        <v>44378</v>
      </c>
      <c r="F106" s="30"/>
      <c r="G106" s="31"/>
      <c r="H106" s="31"/>
      <c r="I106" s="32"/>
      <c r="J106" s="33"/>
      <c r="K106" s="27" t="s">
        <v>39</v>
      </c>
      <c r="L106" s="31">
        <v>250000000</v>
      </c>
      <c r="M106" s="31">
        <v>1000000000</v>
      </c>
      <c r="N106" s="32">
        <v>4.8499999999999996</v>
      </c>
      <c r="O106" s="33" t="s">
        <v>40</v>
      </c>
      <c r="P106" s="4"/>
    </row>
    <row r="107" spans="1:16" x14ac:dyDescent="0.3">
      <c r="A107" s="27" t="s">
        <v>114</v>
      </c>
      <c r="B107" s="28" t="s">
        <v>126</v>
      </c>
      <c r="C107" s="29">
        <v>44197</v>
      </c>
      <c r="D107" s="29">
        <v>44561</v>
      </c>
      <c r="E107" s="29">
        <v>44197</v>
      </c>
      <c r="F107" s="30"/>
      <c r="G107" s="31"/>
      <c r="H107" s="31"/>
      <c r="I107" s="32"/>
      <c r="J107" s="33"/>
      <c r="K107" s="27" t="s">
        <v>39</v>
      </c>
      <c r="L107" s="31">
        <v>1500000000</v>
      </c>
      <c r="M107" s="31">
        <v>0</v>
      </c>
      <c r="N107" s="32">
        <v>5.1359375000000007</v>
      </c>
      <c r="O107" s="33"/>
      <c r="P107" s="4"/>
    </row>
    <row r="108" spans="1:16" x14ac:dyDescent="0.3">
      <c r="A108" s="27" t="s">
        <v>114</v>
      </c>
      <c r="B108" s="28" t="s">
        <v>127</v>
      </c>
      <c r="C108" s="29">
        <v>44044</v>
      </c>
      <c r="D108" s="29">
        <v>44408</v>
      </c>
      <c r="E108" s="29">
        <v>44044</v>
      </c>
      <c r="F108" s="30"/>
      <c r="G108" s="31"/>
      <c r="H108" s="31"/>
      <c r="I108" s="32"/>
      <c r="J108" s="33"/>
      <c r="K108" s="27" t="s">
        <v>120</v>
      </c>
      <c r="L108" s="31">
        <v>1500000000</v>
      </c>
      <c r="M108" s="31">
        <v>0</v>
      </c>
      <c r="N108" s="32">
        <v>5.7475000000000005</v>
      </c>
      <c r="O108" s="33" t="s">
        <v>40</v>
      </c>
      <c r="P108" s="4"/>
    </row>
    <row r="109" spans="1:16" x14ac:dyDescent="0.3">
      <c r="A109" s="27" t="s">
        <v>114</v>
      </c>
      <c r="B109" s="28" t="s">
        <v>128</v>
      </c>
      <c r="C109" s="29">
        <v>44348</v>
      </c>
      <c r="D109" s="29">
        <v>44712</v>
      </c>
      <c r="E109" s="29">
        <v>44348</v>
      </c>
      <c r="F109" s="30"/>
      <c r="G109" s="31"/>
      <c r="H109" s="31"/>
      <c r="I109" s="32"/>
      <c r="J109" s="33"/>
      <c r="K109" s="27" t="s">
        <v>39</v>
      </c>
      <c r="L109" s="31">
        <v>2000000000</v>
      </c>
      <c r="M109" s="31">
        <v>0</v>
      </c>
      <c r="N109" s="32">
        <v>4.8409999999999993</v>
      </c>
      <c r="O109" s="33" t="s">
        <v>40</v>
      </c>
      <c r="P109" s="4"/>
    </row>
    <row r="110" spans="1:16" x14ac:dyDescent="0.3">
      <c r="A110" s="27" t="s">
        <v>114</v>
      </c>
      <c r="B110" s="28" t="s">
        <v>128</v>
      </c>
      <c r="C110" s="29">
        <v>44348</v>
      </c>
      <c r="D110" s="29">
        <v>44712</v>
      </c>
      <c r="E110" s="29">
        <v>44348</v>
      </c>
      <c r="F110" s="30"/>
      <c r="G110" s="31"/>
      <c r="H110" s="31"/>
      <c r="I110" s="32"/>
      <c r="J110" s="33"/>
      <c r="K110" s="27" t="s">
        <v>39</v>
      </c>
      <c r="L110" s="31">
        <v>2000000000</v>
      </c>
      <c r="M110" s="31">
        <v>500000000</v>
      </c>
      <c r="N110" s="32">
        <v>3</v>
      </c>
      <c r="O110" s="33" t="s">
        <v>40</v>
      </c>
      <c r="P110" s="4"/>
    </row>
    <row r="111" spans="1:16" x14ac:dyDescent="0.3">
      <c r="A111" s="27" t="s">
        <v>114</v>
      </c>
      <c r="B111" s="28" t="s">
        <v>129</v>
      </c>
      <c r="C111" s="29">
        <v>44043</v>
      </c>
      <c r="D111" s="29">
        <v>44407</v>
      </c>
      <c r="E111" s="29">
        <v>44043</v>
      </c>
      <c r="F111" s="30"/>
      <c r="G111" s="31"/>
      <c r="H111" s="31"/>
      <c r="I111" s="32"/>
      <c r="J111" s="33"/>
      <c r="K111" s="27" t="s">
        <v>39</v>
      </c>
      <c r="L111" s="31">
        <v>2250000000</v>
      </c>
      <c r="M111" s="31">
        <v>0</v>
      </c>
      <c r="N111" s="32">
        <v>5.8381874999999992</v>
      </c>
      <c r="O111" s="33" t="s">
        <v>40</v>
      </c>
      <c r="P111" s="4"/>
    </row>
    <row r="112" spans="1:16" x14ac:dyDescent="0.3">
      <c r="A112" s="27" t="s">
        <v>114</v>
      </c>
      <c r="B112" s="28" t="s">
        <v>130</v>
      </c>
      <c r="C112" s="29">
        <v>44378</v>
      </c>
      <c r="D112" s="29">
        <v>44742</v>
      </c>
      <c r="E112" s="29">
        <v>44378</v>
      </c>
      <c r="F112" s="30"/>
      <c r="G112" s="31"/>
      <c r="H112" s="31"/>
      <c r="I112" s="32"/>
      <c r="J112" s="33"/>
      <c r="K112" s="27" t="s">
        <v>39</v>
      </c>
      <c r="L112" s="31">
        <v>1500000000</v>
      </c>
      <c r="M112" s="31">
        <v>0</v>
      </c>
      <c r="N112" s="32">
        <v>5.01</v>
      </c>
      <c r="O112" s="33" t="s">
        <v>40</v>
      </c>
      <c r="P112" s="4"/>
    </row>
    <row r="113" spans="1:19" x14ac:dyDescent="0.3">
      <c r="A113" s="27" t="s">
        <v>114</v>
      </c>
      <c r="B113" s="28" t="s">
        <v>130</v>
      </c>
      <c r="C113" s="29">
        <v>44378</v>
      </c>
      <c r="D113" s="29">
        <v>44742</v>
      </c>
      <c r="E113" s="29">
        <v>44378</v>
      </c>
      <c r="F113" s="30"/>
      <c r="G113" s="31"/>
      <c r="H113" s="31"/>
      <c r="I113" s="32"/>
      <c r="J113" s="33"/>
      <c r="K113" s="27" t="s">
        <v>39</v>
      </c>
      <c r="L113" s="31">
        <v>500000000</v>
      </c>
      <c r="M113" s="31">
        <v>1500000000</v>
      </c>
      <c r="N113" s="32">
        <v>8.4487500000000004</v>
      </c>
      <c r="O113" s="33" t="s">
        <v>40</v>
      </c>
      <c r="P113" s="4"/>
      <c r="S113" s="34"/>
    </row>
    <row r="114" spans="1:19" x14ac:dyDescent="0.3">
      <c r="A114" s="27" t="s">
        <v>114</v>
      </c>
      <c r="B114" s="28" t="s">
        <v>131</v>
      </c>
      <c r="C114" s="29">
        <v>44185</v>
      </c>
      <c r="D114" s="29">
        <v>44500</v>
      </c>
      <c r="E114" s="29">
        <v>44185</v>
      </c>
      <c r="F114" s="30"/>
      <c r="G114" s="31"/>
      <c r="H114" s="31"/>
      <c r="I114" s="32"/>
      <c r="J114" s="33"/>
      <c r="K114" s="27" t="s">
        <v>39</v>
      </c>
      <c r="L114" s="31">
        <v>750000000</v>
      </c>
      <c r="M114" s="31">
        <v>0</v>
      </c>
      <c r="N114" s="32">
        <v>5.1700000000000008</v>
      </c>
      <c r="O114" s="33" t="s">
        <v>40</v>
      </c>
      <c r="P114" s="4"/>
      <c r="S114" s="34"/>
    </row>
    <row r="115" spans="1:19" x14ac:dyDescent="0.3">
      <c r="A115" s="27" t="s">
        <v>114</v>
      </c>
      <c r="B115" s="28" t="s">
        <v>131</v>
      </c>
      <c r="C115" s="29">
        <v>44185</v>
      </c>
      <c r="D115" s="29">
        <v>44500</v>
      </c>
      <c r="E115" s="29">
        <v>44185</v>
      </c>
      <c r="F115" s="30"/>
      <c r="G115" s="31"/>
      <c r="H115" s="31"/>
      <c r="I115" s="32"/>
      <c r="J115" s="33"/>
      <c r="K115" s="27" t="s">
        <v>39</v>
      </c>
      <c r="L115" s="31">
        <v>1250000000</v>
      </c>
      <c r="M115" s="31">
        <v>750000000</v>
      </c>
      <c r="N115" s="32">
        <v>6.4200000000000008</v>
      </c>
      <c r="O115" s="33" t="s">
        <v>40</v>
      </c>
      <c r="P115" s="4"/>
      <c r="S115" s="34"/>
    </row>
    <row r="116" spans="1:19" x14ac:dyDescent="0.3">
      <c r="A116" s="27" t="s">
        <v>114</v>
      </c>
      <c r="B116" s="28" t="s">
        <v>132</v>
      </c>
      <c r="C116" s="29">
        <v>44165</v>
      </c>
      <c r="D116" s="29">
        <v>44529</v>
      </c>
      <c r="E116" s="29">
        <v>44165</v>
      </c>
      <c r="F116" s="30"/>
      <c r="G116" s="31"/>
      <c r="H116" s="31"/>
      <c r="I116" s="32"/>
      <c r="J116" s="33"/>
      <c r="K116" s="27" t="s">
        <v>39</v>
      </c>
      <c r="L116" s="31">
        <v>2000000000</v>
      </c>
      <c r="M116" s="31">
        <v>0</v>
      </c>
      <c r="N116" s="32">
        <v>6.3848000000000003</v>
      </c>
      <c r="O116" s="33" t="s">
        <v>40</v>
      </c>
      <c r="P116" s="4"/>
      <c r="S116" s="34"/>
    </row>
    <row r="117" spans="1:19" x14ac:dyDescent="0.3">
      <c r="A117" s="27" t="s">
        <v>114</v>
      </c>
      <c r="B117" s="28" t="s">
        <v>132</v>
      </c>
      <c r="C117" s="29">
        <v>44165</v>
      </c>
      <c r="D117" s="29">
        <v>44529</v>
      </c>
      <c r="E117" s="29">
        <v>44165</v>
      </c>
      <c r="F117" s="30"/>
      <c r="G117" s="31"/>
      <c r="H117" s="31"/>
      <c r="I117" s="32"/>
      <c r="J117" s="33"/>
      <c r="K117" s="27" t="s">
        <v>39</v>
      </c>
      <c r="L117" s="31">
        <v>500000000</v>
      </c>
      <c r="M117" s="31">
        <v>2000000000</v>
      </c>
      <c r="N117" s="32">
        <v>8.1724999999999994</v>
      </c>
      <c r="O117" s="33" t="s">
        <v>40</v>
      </c>
      <c r="P117" s="4"/>
      <c r="S117" s="34"/>
    </row>
    <row r="118" spans="1:19" x14ac:dyDescent="0.3">
      <c r="A118" s="27" t="s">
        <v>114</v>
      </c>
      <c r="B118" s="28" t="s">
        <v>133</v>
      </c>
      <c r="C118" s="29">
        <v>44287</v>
      </c>
      <c r="D118" s="29">
        <v>44651</v>
      </c>
      <c r="E118" s="29">
        <v>44287</v>
      </c>
      <c r="F118" s="30"/>
      <c r="G118" s="31"/>
      <c r="H118" s="31"/>
      <c r="I118" s="32"/>
      <c r="J118" s="33"/>
      <c r="K118" s="27" t="s">
        <v>39</v>
      </c>
      <c r="L118" s="31">
        <v>1000000000</v>
      </c>
      <c r="M118" s="31">
        <v>0</v>
      </c>
      <c r="N118" s="32">
        <v>4.0626999999999995</v>
      </c>
      <c r="O118" s="33" t="s">
        <v>40</v>
      </c>
      <c r="P118" s="4"/>
      <c r="S118" s="34"/>
    </row>
    <row r="119" spans="1:19" x14ac:dyDescent="0.3">
      <c r="A119" s="27" t="s">
        <v>114</v>
      </c>
      <c r="B119" s="28" t="s">
        <v>134</v>
      </c>
      <c r="C119" s="29">
        <v>44197</v>
      </c>
      <c r="D119" s="29">
        <v>44561</v>
      </c>
      <c r="E119" s="29">
        <v>44197</v>
      </c>
      <c r="F119" s="30"/>
      <c r="G119" s="31"/>
      <c r="H119" s="31"/>
      <c r="I119" s="32"/>
      <c r="J119" s="33"/>
      <c r="K119" s="27" t="s">
        <v>39</v>
      </c>
      <c r="L119" s="31">
        <v>2000000000</v>
      </c>
      <c r="M119" s="31">
        <v>0</v>
      </c>
      <c r="N119" s="32">
        <v>5.5465999999999998</v>
      </c>
      <c r="O119" s="33" t="s">
        <v>40</v>
      </c>
      <c r="P119" s="4"/>
      <c r="S119" s="34"/>
    </row>
    <row r="120" spans="1:19" x14ac:dyDescent="0.3">
      <c r="A120" s="27" t="s">
        <v>114</v>
      </c>
      <c r="B120" s="28" t="s">
        <v>135</v>
      </c>
      <c r="C120" s="29">
        <v>44378</v>
      </c>
      <c r="D120" s="29">
        <v>44742</v>
      </c>
      <c r="E120" s="29">
        <v>44378</v>
      </c>
      <c r="F120" s="30"/>
      <c r="G120" s="31"/>
      <c r="H120" s="31"/>
      <c r="I120" s="32"/>
      <c r="J120" s="33"/>
      <c r="K120" s="27" t="s">
        <v>39</v>
      </c>
      <c r="L120" s="31">
        <v>2500000000</v>
      </c>
      <c r="M120" s="31">
        <v>0</v>
      </c>
      <c r="N120" s="32">
        <v>5.0893999999999995</v>
      </c>
      <c r="O120" s="33" t="s">
        <v>40</v>
      </c>
      <c r="P120" s="4"/>
      <c r="S120" s="34"/>
    </row>
    <row r="121" spans="1:19" x14ac:dyDescent="0.3">
      <c r="A121" s="27" t="s">
        <v>114</v>
      </c>
      <c r="B121" s="28" t="s">
        <v>135</v>
      </c>
      <c r="C121" s="29">
        <v>44378</v>
      </c>
      <c r="D121" s="29">
        <v>44742</v>
      </c>
      <c r="E121" s="29">
        <v>44378</v>
      </c>
      <c r="F121" s="30"/>
      <c r="G121" s="31"/>
      <c r="H121" s="31"/>
      <c r="I121" s="32"/>
      <c r="J121" s="33"/>
      <c r="K121" s="27" t="s">
        <v>39</v>
      </c>
      <c r="L121" s="31">
        <v>1500000000</v>
      </c>
      <c r="M121" s="31">
        <v>2500000000</v>
      </c>
      <c r="N121" s="32">
        <v>4.70133125</v>
      </c>
      <c r="O121" s="33" t="s">
        <v>40</v>
      </c>
      <c r="P121" s="4"/>
      <c r="S121" s="34"/>
    </row>
    <row r="122" spans="1:19" x14ac:dyDescent="0.3">
      <c r="A122" s="27" t="s">
        <v>114</v>
      </c>
      <c r="B122" s="28" t="s">
        <v>135</v>
      </c>
      <c r="C122" s="29">
        <v>44378</v>
      </c>
      <c r="D122" s="29">
        <v>44742</v>
      </c>
      <c r="E122" s="29">
        <v>44378</v>
      </c>
      <c r="F122" s="30"/>
      <c r="G122" s="31"/>
      <c r="H122" s="31"/>
      <c r="I122" s="32"/>
      <c r="J122" s="33"/>
      <c r="K122" s="27" t="s">
        <v>39</v>
      </c>
      <c r="L122" s="31">
        <v>250000000</v>
      </c>
      <c r="M122" s="31">
        <v>4000000000</v>
      </c>
      <c r="N122" s="32">
        <v>8.0562500000000004</v>
      </c>
      <c r="O122" s="33" t="s">
        <v>50</v>
      </c>
      <c r="P122" s="4"/>
      <c r="S122" s="34"/>
    </row>
  </sheetData>
  <autoFilter ref="A14:P122"/>
  <mergeCells count="7">
    <mergeCell ref="A12:Q12"/>
    <mergeCell ref="A2:Q2"/>
    <mergeCell ref="A4:Q4"/>
    <mergeCell ref="A7:Q7"/>
    <mergeCell ref="A8:Q8"/>
    <mergeCell ref="A9:Q9"/>
    <mergeCell ref="A10:Q10"/>
  </mergeCells>
  <conditionalFormatting sqref="A120:A121 C120:M121 A116 C116:M116 A114 C114:M114 A112 C112:M112 A109 C109:M109 A101 C101:M101 A99 C99:M99 O99 O101 O109 O112 O114 O116 O120:O121">
    <cfRule type="expression" dxfId="33" priority="20" stopIfTrue="1">
      <formula>+$B99&lt;&gt;$B100</formula>
    </cfRule>
  </conditionalFormatting>
  <conditionalFormatting sqref="B120:B122 B112:B117 B109:B110 B99:B103">
    <cfRule type="expression" dxfId="32" priority="19" stopIfTrue="1">
      <formula>AND(B99&lt;&gt;OFFSET(B99,1,0),VLOOKUP(B99,AN_List,1,FALSE)=B99)</formula>
    </cfRule>
    <cfRule type="expression" dxfId="31" priority="21" stopIfTrue="1">
      <formula>B99&lt;&gt;B100</formula>
    </cfRule>
    <cfRule type="expression" dxfId="30" priority="22" stopIfTrue="1">
      <formula>VLOOKUP(B99,AN_List,1,FALSE)=B99</formula>
    </cfRule>
  </conditionalFormatting>
  <conditionalFormatting sqref="A122 C122:M122 A117:A119 C117:M119 A115 C115:M115 A113 C113:M113 A110:A111 C110:M111 C102:M102 A100 C100:M100 A16:A20 C16:O16 O22:O34 O17:O20 O100 O102 O110:O111 O113 O115 O117:O119 O122 C35:O36 A86:A98 C86:H98 G99 G101 J86:M98 O86:O98 N37:N102 I37:I98 O107:O108 C107:M108 G109 G112 G114 G116 G120:G121 N107:N122 C103:O106 A102:A108 C17:N34 A22:A83 O37:O83 G37:G85 C37:F83 H37:H83 J37:M83">
    <cfRule type="expression" dxfId="29" priority="23" stopIfTrue="1">
      <formula>+$B16&lt;&gt;#REF!</formula>
    </cfRule>
  </conditionalFormatting>
  <conditionalFormatting sqref="B118:B119 B111 B60:B83 B16:B20 B22:B58 B86:B98 B104:B108">
    <cfRule type="expression" dxfId="28" priority="24" stopIfTrue="1">
      <formula>AND(B16&lt;&gt;OFFSET(B16,1,0),VLOOKUP(B16,AN_List,1,FALSE)=B16)</formula>
    </cfRule>
    <cfRule type="expression" dxfId="27" priority="25" stopIfTrue="1">
      <formula>B16&lt;&gt;#REF!</formula>
    </cfRule>
    <cfRule type="expression" dxfId="26" priority="26" stopIfTrue="1">
      <formula>VLOOKUP(B16,AN_List,1,FALSE)=B16</formula>
    </cfRule>
  </conditionalFormatting>
  <conditionalFormatting sqref="A21">
    <cfRule type="expression" dxfId="25" priority="9" stopIfTrue="1">
      <formula>+$B21&lt;&gt;#REF!</formula>
    </cfRule>
  </conditionalFormatting>
  <conditionalFormatting sqref="B21">
    <cfRule type="expression" dxfId="24" priority="10" stopIfTrue="1">
      <formula>AND(B21&lt;&gt;OFFSET(B21,1,0),VLOOKUP(B21,AN_List,1,FALSE)=B21)</formula>
    </cfRule>
    <cfRule type="expression" dxfId="23" priority="11" stopIfTrue="1">
      <formula>B21&lt;&gt;#REF!</formula>
    </cfRule>
    <cfRule type="expression" dxfId="22" priority="12" stopIfTrue="1">
      <formula>VLOOKUP(B21,AN_List,1,FALSE)=B21</formula>
    </cfRule>
  </conditionalFormatting>
  <conditionalFormatting sqref="C59:H59">
    <cfRule type="expression" dxfId="21" priority="1" stopIfTrue="1">
      <formula>+$B59&lt;&gt;#REF!</formula>
    </cfRule>
  </conditionalFormatting>
  <conditionalFormatting sqref="B59">
    <cfRule type="expression" dxfId="20" priority="2" stopIfTrue="1">
      <formula>AND(B59&lt;&gt;OFFSET(B59,1,0),VLOOKUP(B59,AN_List,1,FALSE)=B59)</formula>
    </cfRule>
    <cfRule type="expression" dxfId="19" priority="3" stopIfTrue="1">
      <formula>B59&lt;&gt;#REF!</formula>
    </cfRule>
    <cfRule type="expression" dxfId="18" priority="4" stopIfTrue="1">
      <formula>VLOOKUP(B59,AN_List,1,FALSE)=B59</formula>
    </cfRule>
  </conditionalFormatting>
  <conditionalFormatting sqref="A59">
    <cfRule type="expression" dxfId="17" priority="5" stopIfTrue="1">
      <formula>+$B59&lt;&gt;#REF!</formula>
    </cfRule>
  </conditionalFormatting>
  <conditionalFormatting sqref="B59">
    <cfRule type="expression" dxfId="16" priority="6" stopIfTrue="1">
      <formula>AND(B59&lt;&gt;OFFSET(B59,1,0),VLOOKUP(B59,AN_List,1,FALSE)=B59)</formula>
    </cfRule>
    <cfRule type="expression" dxfId="15" priority="7" stopIfTrue="1">
      <formula>B59&lt;&gt;#REF!</formula>
    </cfRule>
    <cfRule type="expression" dxfId="14" priority="8" stopIfTrue="1">
      <formula>VLOOKUP(B59,AN_List,1,FALSE)=B59</formula>
    </cfRule>
  </conditionalFormatting>
  <conditionalFormatting sqref="B85">
    <cfRule type="expression" dxfId="13" priority="27" stopIfTrue="1">
      <formula>AND(B85&lt;&gt;OFFSET(B85,1,0),VLOOKUP(B85,AN_List,1,FALSE)=B85)</formula>
    </cfRule>
    <cfRule type="expression" dxfId="12" priority="28" stopIfTrue="1">
      <formula>B85&lt;&gt;#REF!</formula>
    </cfRule>
    <cfRule type="expression" dxfId="11" priority="29" stopIfTrue="1">
      <formula>VLOOKUP(B85,AN_List,1,FALSE)=B85</formula>
    </cfRule>
  </conditionalFormatting>
  <conditionalFormatting sqref="G84">
    <cfRule type="expression" dxfId="10" priority="32" stopIfTrue="1">
      <formula>+$B84&lt;&gt;#REF!</formula>
    </cfRule>
  </conditionalFormatting>
  <dataValidations count="6">
    <dataValidation type="list" allowBlank="1" showInputMessage="1" showErrorMessage="1" sqref="A15:A27">
      <formula1>Schedule_List</formula1>
    </dataValidation>
    <dataValidation type="list" allowBlank="1" showInputMessage="1" showErrorMessage="1" sqref="B15:B27">
      <formula1>Insured_List</formula1>
    </dataValidation>
    <dataValidation type="list" allowBlank="1" showInputMessage="1" showErrorMessage="1" sqref="K15:K27 F15:F27">
      <formula1>Currency_List</formula1>
    </dataValidation>
    <dataValidation type="list" allowBlank="1" showInputMessage="1" showErrorMessage="1" sqref="Q15:Q20 Q22:Q27">
      <formula1>Reg_List</formula1>
    </dataValidation>
    <dataValidation type="date" operator="greaterThan" allowBlank="1" showInputMessage="1" showErrorMessage="1" errorTitle="Date prior to inception" error="Expiry date must be after inception date." sqref="D41 D15:D27">
      <formula1>C15</formula1>
    </dataValidation>
    <dataValidation type="list" allowBlank="1" showInputMessage="1" showErrorMessage="1" sqref="O21 P15:P20 J15:J27 P22:P27">
      <formula1>Status_List</formula1>
    </dataValidation>
  </dataValidations>
  <printOptions horizontalCentered="1"/>
  <pageMargins left="0.15748031496062992" right="0.15748031496062992" top="0.62992125984251968" bottom="0.61" header="0.19685039370078741" footer="0.15748031496062992"/>
  <pageSetup paperSize="9" scale="85" fitToHeight="3" orientation="landscape" r:id="rId1"/>
  <headerFooter alignWithMargins="0">
    <oddFooter>&amp;CPage &amp;P of  &amp;N&amp;R&amp;F</oddFooter>
  </headerFooter>
  <colBreaks count="1" manualBreakCount="1">
    <brk id="17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ReformatAll">
                <anchor moveWithCells="1" sizeWithCells="1">
                  <from>
                    <xdr:col>17</xdr:col>
                    <xdr:colOff>0</xdr:colOff>
                    <xdr:row>3</xdr:row>
                    <xdr:rowOff>12700</xdr:rowOff>
                  </from>
                  <to>
                    <xdr:col>19</xdr:col>
                    <xdr:colOff>0</xdr:colOff>
                    <xdr:row>4</xdr:row>
                    <xdr:rowOff>12700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stopIfTrue="1" id="{D5D4399A-E161-4BD1-8763-F3B7CE34CC41}">
            <xm:f>AND('\\eu.ad.guycarp.com\UK_Home\AVN\reinsur\CLIENT\HANNOVER\1st Dec 21 Renewal\2 - Analytics\2 - Data Out\New Model\Fac &amp; Tty\[Hannover Re ABC Input 2021.xlsx]HR A,B,C COMBINED 010721'!#REF!&lt;&gt;OFFSET('\\eu.ad.guycarp.com\UK_Home\AVN\reinsur\CLIENT\HANNOVER\1st Dec 21 Renewal\2 - Analytics\2 - Data Out\New Model\Fac &amp; Tty\[Hannover Re ABC Input 2021.xlsx]HR A,B,C COMBINED 010721'!#REF!,1,0),VLOOKUP('\\eu.ad.guycarp.com\UK_Home\AVN\reinsur\CLIENT\HANNOVER\1st Dec 21 Renewal\2 - Analytics\2 - Data Out\New Model\Fac &amp; Tty\[Hannover Re ABC Input 2021.xlsx]HR A,B,C COMBINED 010721'!#REF!,AN_List,1,FALSE)='\\eu.ad.guycarp.com\UK_Home\AVN\reinsur\CLIENT\HANNOVER\1st Dec 21 Renewal\2 - Analytics\2 - Data Out\New Model\Fac &amp; Tty\[Hannover Re ABC Input 2021.xlsx]HR A,B,C COMBINED 010721'!#REF!)</xm:f>
            <x14:dxf>
              <font>
                <b/>
                <i/>
                <condense val="0"/>
                <extend val="0"/>
                <color indexed="12"/>
              </font>
              <border>
                <bottom style="thin">
                  <color indexed="64"/>
                </bottom>
              </border>
            </x14:dxf>
          </x14:cfRule>
          <x14:cfRule type="expression" priority="14" stopIfTrue="1" id="{A6AD2E72-03BE-4D1B-A808-C5D56ACBF4A7}">
            <xm:f>'\\eu.ad.guycarp.com\UK_Home\AVN\reinsur\CLIENT\HANNOVER\1st Dec 21 Renewal\2 - Analytics\2 - Data Out\New Model\Fac &amp; Tty\[Hannover Re ABC Input 2021.xlsx]HR A,B,C COMBINED 010721'!#REF!&lt;&gt;'\\eu.ad.guycarp.com\UK_Home\AVN\reinsur\CLIENT\HANNOVER\1st Dec 21 Renewal\2 - Analytics\2 - Data Out\New Model\Fac &amp; Tty\[Hannover Re ABC Input 2021.xlsx]HR A,B,C COMBINED 010721'!#REF!</xm:f>
            <x14:dxf>
              <font>
                <b val="0"/>
                <i val="0"/>
                <condense val="0"/>
                <extend val="0"/>
                <color auto="1"/>
              </font>
              <border>
                <bottom style="thin">
                  <color indexed="64"/>
                </bottom>
              </border>
            </x14:dxf>
          </x14:cfRule>
          <x14:cfRule type="expression" priority="15" stopIfTrue="1" id="{35113B11-5A57-421A-848C-9283FD94684C}">
            <xm:f>VLOOKUP('\\eu.ad.guycarp.com\UK_Home\AVN\reinsur\CLIENT\HANNOVER\1st Dec 21 Renewal\2 - Analytics\2 - Data Out\New Model\Fac &amp; Tty\[Hannover Re ABC Input 2021.xlsx]HR A,B,C COMBINED 010721'!#REF!,AN_List,1,FALSE)='\\eu.ad.guycarp.com\UK_Home\AVN\reinsur\CLIENT\HANNOVER\1st Dec 21 Renewal\2 - Analytics\2 - Data Out\New Model\Fac &amp; Tty\[Hannover Re ABC Input 2021.xlsx]HR A,B,C COMBINED 010721'!#REF!</xm:f>
            <x14:dxf>
              <font>
                <b/>
                <i/>
                <condense val="0"/>
                <extend val="0"/>
                <color indexed="12"/>
              </font>
            </x14:dxf>
          </x14:cfRule>
          <xm:sqref>B84</xm:sqref>
        </x14:conditionalFormatting>
        <x14:conditionalFormatting xmlns:xm="http://schemas.microsoft.com/office/excel/2006/main">
          <x14:cfRule type="expression" priority="16" stopIfTrue="1" id="{5FD8D99F-1BFA-408E-B321-34980A1E6BB3}">
            <xm:f>AND('\\eu.ad.guycarp.com\UK_Home\AVN\reinsur\CLIENT\HANNOVER\1st Dec 21 Renewal\2 - Analytics\2 - Data Out\New Model\Fac &amp; Tty\[Hannover Re ABC Input 2021.xlsx]HR A,B,C COMBINED 010721'!#REF!&lt;&gt;OFFSET('\\eu.ad.guycarp.com\UK_Home\AVN\reinsur\CLIENT\HANNOVER\1st Dec 21 Renewal\2 - Analytics\2 - Data Out\New Model\Fac &amp; Tty\[Hannover Re ABC Input 2021.xlsx]HR A,B,C COMBINED 010721'!#REF!,1,0),VLOOKUP('\\eu.ad.guycarp.com\UK_Home\AVN\reinsur\CLIENT\HANNOVER\1st Dec 21 Renewal\2 - Analytics\2 - Data Out\New Model\Fac &amp; Tty\[Hannover Re ABC Input 2021.xlsx]HR A,B,C COMBINED 010721'!#REF!,AN_List,1,FALSE)='\\eu.ad.guycarp.com\UK_Home\AVN\reinsur\CLIENT\HANNOVER\1st Dec 21 Renewal\2 - Analytics\2 - Data Out\New Model\Fac &amp; Tty\[Hannover Re ABC Input 2021.xlsx]HR A,B,C COMBINED 010721'!#REF!)</xm:f>
            <x14:dxf>
              <font>
                <b/>
                <i/>
                <condense val="0"/>
                <extend val="0"/>
                <color indexed="12"/>
              </font>
              <border>
                <bottom style="thin">
                  <color indexed="64"/>
                </bottom>
              </border>
            </x14:dxf>
          </x14:cfRule>
          <x14:cfRule type="expression" priority="17" stopIfTrue="1" id="{E0095EA0-2B6A-461D-964D-1B75B9DE4234}">
            <xm:f>'\\eu.ad.guycarp.com\UK_Home\AVN\reinsur\CLIENT\HANNOVER\1st Dec 21 Renewal\2 - Analytics\2 - Data Out\New Model\Fac &amp; Tty\[Hannover Re ABC Input 2021.xlsx]HR A,B,C COMBINED 010721'!#REF!&lt;&gt;'\\eu.ad.guycarp.com\UK_Home\AVN\reinsur\CLIENT\HANNOVER\1st Dec 21 Renewal\2 - Analytics\2 - Data Out\New Model\Fac &amp; Tty\[Hannover Re ABC Input 2021.xlsx]HR A,B,C COMBINED 010721'!#REF!</xm:f>
            <x14:dxf>
              <font>
                <b val="0"/>
                <i val="0"/>
                <condense val="0"/>
                <extend val="0"/>
                <color auto="1"/>
              </font>
              <border>
                <bottom style="thin">
                  <color indexed="64"/>
                </bottom>
              </border>
            </x14:dxf>
          </x14:cfRule>
          <x14:cfRule type="expression" priority="18" stopIfTrue="1" id="{54965BA5-BB37-4811-95E3-20C6FD244860}">
            <xm:f>VLOOKUP('\\eu.ad.guycarp.com\UK_Home\AVN\reinsur\CLIENT\HANNOVER\1st Dec 21 Renewal\2 - Analytics\2 - Data Out\New Model\Fac &amp; Tty\[Hannover Re ABC Input 2021.xlsx]HR A,B,C COMBINED 010721'!#REF!,AN_List,1,FALSE)='\\eu.ad.guycarp.com\UK_Home\AVN\reinsur\CLIENT\HANNOVER\1st Dec 21 Renewal\2 - Analytics\2 - Data Out\New Model\Fac &amp; Tty\[Hannover Re ABC Input 2021.xlsx]HR A,B,C COMBINED 010721'!#REF!</xm:f>
            <x14:dxf>
              <font>
                <b/>
                <i/>
                <condense val="0"/>
                <extend val="0"/>
                <color indexed="12"/>
              </font>
            </x14:dxf>
          </x14:cfRule>
          <xm:sqref>B84</xm:sqref>
        </x14:conditionalFormatting>
        <x14:conditionalFormatting xmlns:xm="http://schemas.microsoft.com/office/excel/2006/main">
          <x14:cfRule type="expression" priority="30" stopIfTrue="1" id="{61305713-FA6D-4591-A5A6-D23E298B1B1B}">
            <xm:f>+'\\eu.ad.guycarp.com\UK_Home\AVN\reinsur\CLIENT\HANNOVER\1st Dec 21 Renewal\2 - Analytics\2 - Data Out\New Model\Fac &amp; Tty\[Hannover Re ABC Input 2021.xlsx]HR A,B,C COMBINED 010721'!#REF!&lt;&gt;'\\eu.ad.guycarp.com\UK_Home\AVN\reinsur\CLIENT\HANNOVER\1st Dec 21 Renewal\2 - Analytics\2 - Data Out\New Model\Fac &amp; Tty\[Hannover Re ABC Input 2021.xlsx]HR A,B,C COMBINED 010721'!#REF!</xm:f>
            <x14:dxf>
              <border>
                <bottom style="thin">
                  <color indexed="64"/>
                </bottom>
              </border>
            </x14:dxf>
          </x14:cfRule>
          <xm:sqref>A85 C85:F85 H85 J85:M85 O85</xm:sqref>
        </x14:conditionalFormatting>
        <x14:conditionalFormatting xmlns:xm="http://schemas.microsoft.com/office/excel/2006/main">
          <x14:cfRule type="expression" priority="31" stopIfTrue="1" id="{08488F34-D969-473B-82F4-949FEE8E8A66}">
            <xm:f>+'\\eu.ad.guycarp.com\UK_Home\AVN\reinsur\CLIENT\HANNOVER\1st Dec 21 Renewal\2 - Analytics\2 - Data Out\New Model\Fac &amp; Tty\[Hannover Re ABC Input 2021.xlsx]HR A,B,C COMBINED 010721'!#REF!&lt;&gt;'\\eu.ad.guycarp.com\UK_Home\AVN\reinsur\CLIENT\HANNOVER\1st Dec 21 Renewal\2 - Analytics\2 - Data Out\New Model\Fac &amp; Tty\[Hannover Re ABC Input 2021.xlsx]HR A,B,C COMBINED 010721'!#REF!</xm:f>
            <x14:dxf>
              <border>
                <bottom style="thin">
                  <color indexed="64"/>
                </bottom>
              </border>
            </x14:dxf>
          </x14:cfRule>
          <xm:sqref>C85:F85 H85 J85:M85 O85:Q85 A85</xm:sqref>
        </x14:conditionalFormatting>
        <x14:conditionalFormatting xmlns:xm="http://schemas.microsoft.com/office/excel/2006/main">
          <x14:cfRule type="expression" priority="33" stopIfTrue="1" id="{E6394A82-8E56-4B7A-A2C5-0D76FEB18C02}">
            <xm:f>+'\\eu.ad.guycarp.com\UK_Home\AVN\reinsur\CLIENT\HANNOVER\1st Dec 21 Renewal\2 - Analytics\2 - Data Out\New Model\Fac &amp; Tty\[Hannover Re ABC Input 2021.xlsx]HR A,B,C COMBINED 010721'!#REF!&lt;&gt;'\\eu.ad.guycarp.com\UK_Home\AVN\reinsur\CLIENT\HANNOVER\1st Dec 21 Renewal\2 - Analytics\2 - Data Out\New Model\Fac &amp; Tty\[Hannover Re ABC Input 2021.xlsx]HR A,B,C COMBINED 010721'!#REF!</xm:f>
            <x14:dxf>
              <border>
                <bottom style="thin">
                  <color indexed="64"/>
                </bottom>
              </border>
            </x14:dxf>
          </x14:cfRule>
          <xm:sqref>A84 C84:F84 H84 J84:M84 O84</xm:sqref>
        </x14:conditionalFormatting>
        <x14:conditionalFormatting xmlns:xm="http://schemas.microsoft.com/office/excel/2006/main">
          <x14:cfRule type="expression" priority="34" stopIfTrue="1" id="{31C81D30-0201-4F1D-9490-BB7E6D3F0E17}">
            <xm:f>+'\\eu.ad.guycarp.com\UK_Home\AVN\reinsur\CLIENT\HANNOVER\1st Dec 21 Renewal\2 - Analytics\2 - Data Out\New Model\Fac &amp; Tty\[Hannover Re ABC Input 2021.xlsx]HR A,B,C COMBINED 010721'!#REF!&lt;&gt;'\\eu.ad.guycarp.com\UK_Home\AVN\reinsur\CLIENT\HANNOVER\1st Dec 21 Renewal\2 - Analytics\2 - Data Out\New Model\Fac &amp; Tty\[Hannover Re ABC Input 2021.xlsx]HR A,B,C COMBINED 010721'!#REF!</xm:f>
            <x14:dxf>
              <border>
                <bottom style="thin">
                  <color indexed="64"/>
                </bottom>
              </border>
            </x14:dxf>
          </x14:cfRule>
          <xm:sqref>C84:F84 H84 J84:M84 O84:Q84 A84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A,B,C COMB 010721 FOR INPUT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Leyland</dc:creator>
  <cp:lastModifiedBy>Jon Leyland</cp:lastModifiedBy>
  <dcterms:created xsi:type="dcterms:W3CDTF">2021-09-13T13:04:13Z</dcterms:created>
  <dcterms:modified xsi:type="dcterms:W3CDTF">2021-10-29T12:55:08Z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2021-10-22T15:11:52Z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b6b58f7e-b629-443e-affc-95f34c71417f</vt:lpwstr>
  </property>
  <property fmtid="{D5CDD505-2E9C-101B-9397-08002B2CF9AE}" pid="8" name="MSIP_Label_38f1469a-2c2a-4aee-b92b-090d4c5468ff_ContentBits">
    <vt:lpwstr>0</vt:lpwstr>
  </property>
</Properties>
</file>