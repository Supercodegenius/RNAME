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S:\4. REINSURANCE\3. Specialty\~Miscellaneous\ALPS\ALPS Data\Schedules ABC &amp; Loss Ladders\"/>
    </mc:Choice>
  </mc:AlternateContent>
  <xr:revisionPtr revIDLastSave="0" documentId="13_ncr:1_{0EA88E1A-4BA5-4A4C-A74B-892BA54B7F57}" xr6:coauthVersionLast="47" xr6:coauthVersionMax="47" xr10:uidLastSave="{00000000-0000-0000-0000-000000000000}"/>
  <bookViews>
    <workbookView xWindow="28680" yWindow="-120" windowWidth="29040" windowHeight="15840" tabRatio="744" xr2:uid="{00000000-000D-0000-FFFF-FFFF00000000}"/>
  </bookViews>
  <sheets>
    <sheet name="Schedule ABC" sheetId="244" r:id="rId1"/>
    <sheet name="Audit Notes" sheetId="245" r:id="rId2"/>
    <sheet name="Sample Non Quest Exposures" sheetId="227" r:id="rId3"/>
  </sheets>
  <externalReferences>
    <externalReference r:id="rId4"/>
  </externalReferences>
  <definedNames>
    <definedName name="_xlnm._FilterDatabase" localSheetId="2" hidden="1">'Sample Non Quest Exposures'!$A$7:$L$59</definedName>
    <definedName name="AN_List">#REF!</definedName>
    <definedName name="Currency_List">'[1]Audit Notes'!$C$251:$C$353</definedName>
    <definedName name="_xlnm.Database" localSheetId="2">#REF!</definedName>
    <definedName name="Insured_List">'[1]Audit Notes'!$C$79:$C$241</definedName>
    <definedName name="_xlnm.Print_Area" localSheetId="1">'Audit Notes'!$A$1:$I$32</definedName>
    <definedName name="_xlnm.Print_Area" localSheetId="2">'Sample Non Quest Exposures'!$A$1:$K$94</definedName>
    <definedName name="_xlnm.Print_Area" localSheetId="0">'Schedule ABC'!$A$1:$Q$325</definedName>
    <definedName name="_xlnm.Print_Titles" localSheetId="2">'Sample Non Quest Exposures'!$1:$4</definedName>
    <definedName name="_xlnm.Print_Titles" localSheetId="0">'Schedule ABC'!$13:$13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4" i="227" l="1"/>
  <c r="K85" i="227"/>
  <c r="K83" i="227"/>
  <c r="K77" i="227"/>
  <c r="K78" i="227"/>
  <c r="K76" i="227"/>
  <c r="K66" i="227"/>
  <c r="K67" i="227"/>
  <c r="K68" i="227"/>
  <c r="K69" i="227"/>
  <c r="K70" i="227"/>
  <c r="K71" i="227"/>
  <c r="K65" i="227"/>
  <c r="K54" i="227"/>
  <c r="K55" i="227"/>
  <c r="K56" i="227"/>
  <c r="K57" i="227"/>
  <c r="K58" i="227"/>
  <c r="K59" i="227"/>
  <c r="K60" i="227"/>
  <c r="K53" i="227"/>
  <c r="K9" i="227"/>
  <c r="K10" i="227"/>
  <c r="K11" i="227"/>
  <c r="K12" i="227"/>
  <c r="K13" i="227"/>
  <c r="K14" i="227"/>
  <c r="K15" i="227"/>
  <c r="K16" i="227"/>
  <c r="K17" i="227"/>
  <c r="K18" i="227"/>
  <c r="K19" i="227"/>
  <c r="K20" i="227"/>
  <c r="K21" i="227"/>
  <c r="K22" i="227"/>
  <c r="K23" i="227"/>
  <c r="K24" i="227"/>
  <c r="K25" i="227"/>
  <c r="K26" i="227"/>
  <c r="K27" i="227"/>
  <c r="K28" i="227"/>
  <c r="K29" i="227"/>
  <c r="K30" i="227"/>
  <c r="K31" i="227"/>
  <c r="K32" i="227"/>
  <c r="K33" i="227"/>
  <c r="K34" i="227"/>
  <c r="K35" i="227"/>
  <c r="K36" i="227"/>
  <c r="K37" i="227"/>
  <c r="K38" i="227"/>
  <c r="K39" i="227"/>
  <c r="K40" i="227"/>
  <c r="K41" i="227"/>
  <c r="K42" i="227"/>
  <c r="K43" i="227"/>
  <c r="K44" i="227"/>
  <c r="K45" i="227"/>
  <c r="K46" i="227"/>
  <c r="K47" i="227"/>
  <c r="K48" i="227"/>
  <c r="K8" i="227"/>
  <c r="J85" i="227" l="1"/>
  <c r="J84" i="227"/>
  <c r="J83" i="227"/>
  <c r="J78" i="227"/>
  <c r="J77" i="227"/>
  <c r="J76" i="227"/>
  <c r="J71" i="227"/>
  <c r="J70" i="227"/>
  <c r="J69" i="227"/>
  <c r="J68" i="227"/>
  <c r="J67" i="227"/>
  <c r="J66" i="227"/>
  <c r="J65" i="227"/>
  <c r="J60" i="227"/>
  <c r="J59" i="227"/>
  <c r="J58" i="227"/>
  <c r="J57" i="227"/>
  <c r="J56" i="227"/>
  <c r="J55" i="227"/>
  <c r="J54" i="227"/>
  <c r="J53" i="227"/>
  <c r="J48" i="227"/>
  <c r="J47" i="227"/>
  <c r="J46" i="227"/>
  <c r="J45" i="227"/>
  <c r="J44" i="227"/>
  <c r="J43" i="227"/>
  <c r="J42" i="227"/>
  <c r="J41" i="227"/>
  <c r="J40" i="227"/>
  <c r="J39" i="227"/>
  <c r="J38" i="227"/>
  <c r="J37" i="227"/>
  <c r="J36" i="227"/>
  <c r="J35" i="227"/>
  <c r="J34" i="227"/>
  <c r="J33" i="227"/>
  <c r="J32" i="227"/>
  <c r="J31" i="227"/>
  <c r="J30" i="227"/>
  <c r="J29" i="227"/>
  <c r="J28" i="227"/>
  <c r="J27" i="227"/>
  <c r="J26" i="227"/>
  <c r="J25" i="227"/>
  <c r="J24" i="227"/>
  <c r="J23" i="227"/>
  <c r="J22" i="227"/>
  <c r="J21" i="227"/>
  <c r="J20" i="227"/>
  <c r="J19" i="227"/>
  <c r="J18" i="227"/>
  <c r="J17" i="227"/>
  <c r="J16" i="227"/>
  <c r="J15" i="227"/>
  <c r="J14" i="227"/>
  <c r="J13" i="227"/>
  <c r="J12" i="227"/>
  <c r="J11" i="227"/>
  <c r="J10" i="227"/>
  <c r="J9" i="227"/>
  <c r="J8" i="227"/>
</calcChain>
</file>

<file path=xl/sharedStrings.xml><?xml version="1.0" encoding="utf-8"?>
<sst xmlns="http://schemas.openxmlformats.org/spreadsheetml/2006/main" count="2145" uniqueCount="305">
  <si>
    <t>Nordwind Airlines</t>
  </si>
  <si>
    <t>Tunis Air</t>
  </si>
  <si>
    <t>Air France</t>
  </si>
  <si>
    <t>American Airlines</t>
  </si>
  <si>
    <t>Garuda Indonesia</t>
  </si>
  <si>
    <t>Singapore Airlines</t>
  </si>
  <si>
    <t>Expiring limits shown. Please provide up to date renewal information where necessary.</t>
  </si>
  <si>
    <t>GBP</t>
  </si>
  <si>
    <t>EUR</t>
  </si>
  <si>
    <t>CAD</t>
  </si>
  <si>
    <t>Schedule A  - Non U.S.A. Airlines;  Schedule B - U.S.A. Airlines;  Schedule C - Products / Manufacturers / Liabilities.</t>
  </si>
  <si>
    <t>Schedule</t>
  </si>
  <si>
    <t>Insured</t>
  </si>
  <si>
    <t>Inception</t>
  </si>
  <si>
    <t>Expiry</t>
  </si>
  <si>
    <t>Ccy</t>
  </si>
  <si>
    <t>Hull Limit</t>
  </si>
  <si>
    <t>Hull Excess</t>
  </si>
  <si>
    <t>Client % Line</t>
  </si>
  <si>
    <t>Signed (S) or Estimated (E)</t>
  </si>
  <si>
    <t>Liability Limit</t>
  </si>
  <si>
    <t>Liability Excess</t>
  </si>
  <si>
    <t>Sched</t>
  </si>
  <si>
    <t>A</t>
  </si>
  <si>
    <t>Aeroflot</t>
  </si>
  <si>
    <t>USD</t>
  </si>
  <si>
    <t>Air Algerie</t>
  </si>
  <si>
    <t>Air Canada</t>
  </si>
  <si>
    <t>Air New Zealand</t>
  </si>
  <si>
    <t>Air Transat</t>
  </si>
  <si>
    <t>All Nippon Airways</t>
  </si>
  <si>
    <t>Asiana Airlines</t>
  </si>
  <si>
    <t>CAAC</t>
  </si>
  <si>
    <t>Cathay Pacific</t>
  </si>
  <si>
    <t>China Airlines (Taiwan)</t>
  </si>
  <si>
    <t>China Hainan Airlines</t>
  </si>
  <si>
    <t>easyJet</t>
  </si>
  <si>
    <t>Egypt Air</t>
  </si>
  <si>
    <t>El Al Israel Airlines</t>
  </si>
  <si>
    <t>Eva Airways Corp</t>
  </si>
  <si>
    <t>Japan Airlines Corp</t>
  </si>
  <si>
    <t>Korean Air Lines</t>
  </si>
  <si>
    <t>Malaysian Airlines System</t>
  </si>
  <si>
    <t>Pakistan International Airlines Corp</t>
  </si>
  <si>
    <t>Philippine Airlines</t>
  </si>
  <si>
    <t>Qantas Airways</t>
  </si>
  <si>
    <t>Royal Air Maroc</t>
  </si>
  <si>
    <t>Royal Jordanian</t>
  </si>
  <si>
    <t>Ryanair</t>
  </si>
  <si>
    <t>South African Airways</t>
  </si>
  <si>
    <t>Thai Airways International</t>
  </si>
  <si>
    <t>TUI AG</t>
  </si>
  <si>
    <t>Virgin Atlantic Airways</t>
  </si>
  <si>
    <t>Westjet Airlines</t>
  </si>
  <si>
    <t>B</t>
  </si>
  <si>
    <t>Alaska Air Group</t>
  </si>
  <si>
    <t>DHL International</t>
  </si>
  <si>
    <t>Fedex Corp</t>
  </si>
  <si>
    <t>Hawaiian Airlines</t>
  </si>
  <si>
    <t>Jetblue Airways Corp</t>
  </si>
  <si>
    <t>Mesa Air Group</t>
  </si>
  <si>
    <t>SkyWest Airlines</t>
  </si>
  <si>
    <t>Southwest Airlines Company</t>
  </si>
  <si>
    <t>Spirit Airlines</t>
  </si>
  <si>
    <t>United Parcel Service</t>
  </si>
  <si>
    <t>C</t>
  </si>
  <si>
    <t>BAE Systems</t>
  </si>
  <si>
    <t>Bombardier/Canadair/Learjet</t>
  </si>
  <si>
    <t>Dassault Aviation</t>
  </si>
  <si>
    <t>EADS</t>
  </si>
  <si>
    <t>Embraer</t>
  </si>
  <si>
    <t>Honeywell</t>
  </si>
  <si>
    <t>Israel Aircraft Industrie</t>
  </si>
  <si>
    <t>Lockheed Martin Corp</t>
  </si>
  <si>
    <t>Northrop Grumman Corp</t>
  </si>
  <si>
    <t>Parker Hannifin Corp</t>
  </si>
  <si>
    <t>Rolls Royce</t>
  </si>
  <si>
    <t>Textron</t>
  </si>
  <si>
    <t>United Technologies</t>
  </si>
  <si>
    <t>JPY</t>
  </si>
  <si>
    <t>Safran</t>
  </si>
  <si>
    <t>Name</t>
  </si>
  <si>
    <t>AsAt</t>
  </si>
  <si>
    <t>Air Asia</t>
  </si>
  <si>
    <t>Air Tahiti Nui</t>
  </si>
  <si>
    <t>Vietnam Airlines</t>
  </si>
  <si>
    <t>Aeromexico</t>
  </si>
  <si>
    <t>Caribbean Airlines</t>
  </si>
  <si>
    <t>Gol Transportes Aereo</t>
  </si>
  <si>
    <t>Republic Airways</t>
  </si>
  <si>
    <t>Boeing/MDC</t>
  </si>
  <si>
    <t>Attachment</t>
  </si>
  <si>
    <t>Aerolineas Argentinas</t>
  </si>
  <si>
    <t>S</t>
  </si>
  <si>
    <t>Aegean Airlines</t>
  </si>
  <si>
    <t>Emirates</t>
  </si>
  <si>
    <t>Etihad Airways</t>
  </si>
  <si>
    <t>Gulf Air</t>
  </si>
  <si>
    <t>Kuwait Airways</t>
  </si>
  <si>
    <t>Oman Air</t>
  </si>
  <si>
    <t>Qatar Airways</t>
  </si>
  <si>
    <t>Saudi Arabian Airlines</t>
  </si>
  <si>
    <t>United Continental Holdings</t>
  </si>
  <si>
    <t>Lines not yet signed may vary slightly from those stated.</t>
  </si>
  <si>
    <t>E</t>
  </si>
  <si>
    <t>Bangkok Airways</t>
  </si>
  <si>
    <t>Schedules A, B and C</t>
  </si>
  <si>
    <t>Audit Notes</t>
  </si>
  <si>
    <t>Hccy</t>
  </si>
  <si>
    <t>Hlimit</t>
  </si>
  <si>
    <t>Hexcess</t>
  </si>
  <si>
    <t>HLinePer</t>
  </si>
  <si>
    <t>Hstatus</t>
  </si>
  <si>
    <t>Lccy</t>
  </si>
  <si>
    <t>Llimit</t>
  </si>
  <si>
    <t>Lexcess</t>
  </si>
  <si>
    <t>LLinePer</t>
  </si>
  <si>
    <t>Lstatus</t>
  </si>
  <si>
    <t>Country</t>
  </si>
  <si>
    <t>Venezuela</t>
  </si>
  <si>
    <t>Colombia</t>
  </si>
  <si>
    <t>French Polynesia</t>
  </si>
  <si>
    <t>Allegiant Air WestJet Express</t>
  </si>
  <si>
    <t>United States</t>
  </si>
  <si>
    <t>Thailand</t>
  </si>
  <si>
    <t>Italy</t>
  </si>
  <si>
    <t>Cebu Air Inc.</t>
  </si>
  <si>
    <t>Philippines</t>
  </si>
  <si>
    <t>Turkey</t>
  </si>
  <si>
    <t>Mexico</t>
  </si>
  <si>
    <t>Russia</t>
  </si>
  <si>
    <t>Onur Air</t>
  </si>
  <si>
    <t>Pegasus Airlines</t>
  </si>
  <si>
    <t>Japan</t>
  </si>
  <si>
    <t>Singapore</t>
  </si>
  <si>
    <t>Taiwan</t>
  </si>
  <si>
    <t>WIZZ AIR Limited</t>
  </si>
  <si>
    <t>Hungary</t>
  </si>
  <si>
    <t>ALL</t>
  </si>
  <si>
    <t>whether these participations are subject to US Regulated Surplus Line and/or Reinsurance obligations).</t>
  </si>
  <si>
    <t xml:space="preserve">Please enter any comments in the Audit Notes. Indicate any Aggregate Deductibles as an Audit Note rather than as a Hull or Liability Excess. </t>
  </si>
  <si>
    <t>Please enter Hull values excluding TLO. Insureds with Audit Notes will be highlighted italic bold.</t>
  </si>
  <si>
    <t>Avianca Taca Holdings</t>
  </si>
  <si>
    <t>Delta Air Lines</t>
  </si>
  <si>
    <t>Frontier Airlines</t>
  </si>
  <si>
    <t xml:space="preserve">Insured </t>
  </si>
  <si>
    <t>Limit Hull (USDm)</t>
  </si>
  <si>
    <t>Limit Liabs (USDm)</t>
  </si>
  <si>
    <t>Air Arabia</t>
  </si>
  <si>
    <t>United Arab Emirates</t>
  </si>
  <si>
    <t>SriLankan Airlines</t>
  </si>
  <si>
    <t>Sri Lanka</t>
  </si>
  <si>
    <t>+/- % Inv. Movement</t>
  </si>
  <si>
    <t>Line</t>
  </si>
  <si>
    <t>Pakistan</t>
  </si>
  <si>
    <t>Bangladesh</t>
  </si>
  <si>
    <t>Far Eastern Air Transport</t>
  </si>
  <si>
    <t>Linhas Aereas de Angola</t>
  </si>
  <si>
    <t>Angola</t>
  </si>
  <si>
    <t>Saudi Arabia</t>
  </si>
  <si>
    <t>Viva Aerobus</t>
  </si>
  <si>
    <t>Yemen</t>
  </si>
  <si>
    <t>Hull Policy No</t>
  </si>
  <si>
    <t>Liability Policy No</t>
  </si>
  <si>
    <t>US Reg Line Obligation (Lloyd's only)</t>
  </si>
  <si>
    <t>HPolicyNo</t>
  </si>
  <si>
    <t>LPolicyNo</t>
  </si>
  <si>
    <t>Airbus Group N.V.</t>
  </si>
  <si>
    <t>Chubb Global Markets Gross Line</t>
  </si>
  <si>
    <t>Air Methods Corporation</t>
  </si>
  <si>
    <t>Changi Airport Group</t>
  </si>
  <si>
    <t>Chicago Airport</t>
  </si>
  <si>
    <t>Dubai Airport</t>
  </si>
  <si>
    <t>Fiji Airways</t>
  </si>
  <si>
    <t>German Airports</t>
  </si>
  <si>
    <t>Hong Kong Airport Authority</t>
  </si>
  <si>
    <t>Indigo</t>
  </si>
  <si>
    <t>Paris Airports</t>
  </si>
  <si>
    <t>Port Authority of New York and New Jersey</t>
  </si>
  <si>
    <t>Porter Aviation Holdings</t>
  </si>
  <si>
    <t>Sun Country Airlines</t>
  </si>
  <si>
    <t>Malta</t>
  </si>
  <si>
    <t>Israel</t>
  </si>
  <si>
    <t>United Kingdom</t>
  </si>
  <si>
    <t>Canada</t>
  </si>
  <si>
    <t>Dubai</t>
  </si>
  <si>
    <t>Switzerland</t>
  </si>
  <si>
    <t>Fiji</t>
  </si>
  <si>
    <t>Germany</t>
  </si>
  <si>
    <t>Hong Kong</t>
  </si>
  <si>
    <t>Spain</t>
  </si>
  <si>
    <t>India</t>
  </si>
  <si>
    <t>South Korea</t>
  </si>
  <si>
    <t>France</t>
  </si>
  <si>
    <t>Luxembourg</t>
  </si>
  <si>
    <t>Please advise GROSS SIGNED LINE</t>
  </si>
  <si>
    <t>HAH (Heathrow Airport Holdings Ltd)</t>
  </si>
  <si>
    <t>Airblue Limited</t>
  </si>
  <si>
    <t>GA - Rotor Wing</t>
  </si>
  <si>
    <t>Airline</t>
  </si>
  <si>
    <t>Airports</t>
  </si>
  <si>
    <t>GA - Industrial Aid</t>
  </si>
  <si>
    <t>GA - Offshore Rotor Wing</t>
  </si>
  <si>
    <t>Non Questionnaire Risk Sample- Gross Line</t>
  </si>
  <si>
    <t>Madagascar</t>
  </si>
  <si>
    <t>Air Malta p.l.c</t>
  </si>
  <si>
    <t>ARKIA Israeli Airlines Ltd.</t>
  </si>
  <si>
    <t>Bangladesh Airlines Corporation</t>
  </si>
  <si>
    <t>Trinidad and Tobago</t>
  </si>
  <si>
    <t>COPA AL</t>
  </si>
  <si>
    <t>Endeavor Air</t>
  </si>
  <si>
    <t>Interjet ABC lineas aereas</t>
  </si>
  <si>
    <t>Jeju Air Company Limited</t>
  </si>
  <si>
    <t>Meridiana Fly S.p.A.</t>
  </si>
  <si>
    <t>National Air Services</t>
  </si>
  <si>
    <t>Royal Brunei Airlines</t>
  </si>
  <si>
    <t>Brunei</t>
  </si>
  <si>
    <t>Silver Airways Corp</t>
  </si>
  <si>
    <t>Sky Airline</t>
  </si>
  <si>
    <t>Chile</t>
  </si>
  <si>
    <t>Skymark Airlines</t>
  </si>
  <si>
    <t>Turkmenistan Airlines</t>
  </si>
  <si>
    <t>Turkmenistan</t>
  </si>
  <si>
    <t>Yemen Airways Corporation</t>
  </si>
  <si>
    <t xml:space="preserve">ExecuJet Aviation Group </t>
  </si>
  <si>
    <t xml:space="preserve">Jet Alliance </t>
  </si>
  <si>
    <t xml:space="preserve">Netjets </t>
  </si>
  <si>
    <t xml:space="preserve">PrivatAir </t>
  </si>
  <si>
    <t>TAG Aviation SA/ Citation Shares</t>
  </si>
  <si>
    <t xml:space="preserve">CHC Helicopter Incorporation </t>
  </si>
  <si>
    <t xml:space="preserve">PHI Inc </t>
  </si>
  <si>
    <t>Bristow Group Inc</t>
  </si>
  <si>
    <t>¹</t>
  </si>
  <si>
    <t>Aserca Airlines - ceased operations</t>
  </si>
  <si>
    <t>²</t>
  </si>
  <si>
    <t>Champlain Enterprises, Inc - under United Airlines</t>
  </si>
  <si>
    <t>³</t>
  </si>
  <si>
    <t>Hawaii Island Air Inc. - ceased operations</t>
  </si>
  <si>
    <t>⁴</t>
  </si>
  <si>
    <t>Tiger Airways - ceased operations (07/2017)</t>
  </si>
  <si>
    <t>⁵</t>
  </si>
  <si>
    <t>TransAsia Airways - ceased operations 2016</t>
  </si>
  <si>
    <t>*</t>
  </si>
  <si>
    <t>Air India Limited</t>
  </si>
  <si>
    <t>Azul Linhas Aereas</t>
  </si>
  <si>
    <t>Deutsche Lufthansa - Segment A</t>
  </si>
  <si>
    <t>Deutsche Lufthansa - Segment B</t>
  </si>
  <si>
    <t>Deutsche Lufthansa - Segment C</t>
  </si>
  <si>
    <t>Ethiopian Airlines</t>
  </si>
  <si>
    <t>FIN Group</t>
  </si>
  <si>
    <t>International Airlines Group</t>
  </si>
  <si>
    <t>PT Lion Mentari</t>
  </si>
  <si>
    <t>SAS</t>
  </si>
  <si>
    <t>TAP</t>
  </si>
  <si>
    <t>Virgin Australia</t>
  </si>
  <si>
    <t>Trans States Holdings</t>
  </si>
  <si>
    <t>General Dynamics/Gulfstream</t>
  </si>
  <si>
    <t>General Electric/Gecas</t>
  </si>
  <si>
    <t>L3 Communications</t>
  </si>
  <si>
    <t>Leonardo</t>
  </si>
  <si>
    <t>Thales</t>
  </si>
  <si>
    <t>Air Madagascar now placed under Air Tahiti / Tahiti Nui</t>
  </si>
  <si>
    <t>Not Involved</t>
  </si>
  <si>
    <t>Ceased Ops</t>
  </si>
  <si>
    <t>**</t>
  </si>
  <si>
    <t>Aserca Airlines ¹</t>
  </si>
  <si>
    <t>Champlain Enterprises, Inc ²</t>
  </si>
  <si>
    <t>Non-Renewed</t>
  </si>
  <si>
    <t>Hawaii Island Air Inc. ³</t>
  </si>
  <si>
    <t>Extended to 31/05/2021</t>
  </si>
  <si>
    <t>Tiger Airways ⁴</t>
  </si>
  <si>
    <t>TransAsia Airways ⁵</t>
  </si>
  <si>
    <t>Not involved</t>
  </si>
  <si>
    <t xml:space="preserve">GAMA Aviation </t>
  </si>
  <si>
    <t>Jet Aviation Holdings AG***</t>
  </si>
  <si>
    <t>Era Helicopters*</t>
  </si>
  <si>
    <t>See Bristow Group Inc</t>
  </si>
  <si>
    <t>Inaer**</t>
  </si>
  <si>
    <t>ERA now part of Bristow</t>
  </si>
  <si>
    <t>Inaer hasn't existed for a number of years</t>
  </si>
  <si>
    <t>***</t>
  </si>
  <si>
    <t>25/06/21 Hull policy USD5m TLO in addition.</t>
  </si>
  <si>
    <t>01/12/21 Hull policy USD27.5m TLO in addition.</t>
  </si>
  <si>
    <t>01/11/21 Hull policy USD25m TLO in addition.</t>
  </si>
  <si>
    <t>31/12/21 Hull policy USD20m TLO in addition.</t>
  </si>
  <si>
    <t>01/06/21 policy USD50m SIR (2.5% Chubb involvement).</t>
  </si>
  <si>
    <t>01/05/21 Hull policy USD15m TLO in addition.  01/05/21 policy USD5m Aggregate Retention.</t>
  </si>
  <si>
    <t>21/12/21 Hull policy USD35m TLO in addition.</t>
  </si>
  <si>
    <t>15/07/21 policy USD50m SIR (7.5% Chubb involvement).</t>
  </si>
  <si>
    <t>10/10/21 Hull policy USD15m TLO in addition.</t>
  </si>
  <si>
    <t>15/12/21 Hull policy USD35m TLO in addition.</t>
  </si>
  <si>
    <t>01/12/21 Hull policy USD25m TLO in addition.</t>
  </si>
  <si>
    <t>01/12/21 policy USD35m SIR (1.95% Chubb involvement).  01/12/21 policy USD2.5m SIR (2.00% Chubb involvement).</t>
  </si>
  <si>
    <t>01/07/21 Hull policy USD35m TLO in addition.</t>
  </si>
  <si>
    <t>01/12/21 Hull policy USD15m TLO in addition.</t>
  </si>
  <si>
    <t>01/01/21 Hull policy USD20m SIR.  01/01/21 Liabilty policy USD50m SIR.</t>
  </si>
  <si>
    <t>15/12/2021 policy 36 month USD750m Agg Limit (7% Chubb involvement).</t>
  </si>
  <si>
    <t>Under Air Tahiti Nui</t>
  </si>
  <si>
    <t>ceased ops</t>
  </si>
  <si>
    <t>Under Indigo Group - Not involved</t>
  </si>
  <si>
    <t>Under Delta - Not Involved</t>
  </si>
  <si>
    <t xml:space="preserve"> 01/04/2021</t>
  </si>
  <si>
    <t>Under Bristow Group</t>
  </si>
  <si>
    <t>Jet Aviation Holdings AG, in addition to main jet fleet 10% line on A330 limits H:250m and L:2bn</t>
  </si>
  <si>
    <t>2/2/2022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</si>
</sst>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0.0000"/>
    <numFmt numFmtId="167" formatCode="_-* #,##0.00\ _D_M_-;\-* #,##0.00\ _D_M_-;_-* &quot;-&quot;??\ _D_M_-;_-@_-"/>
    <numFmt numFmtId="168" formatCode="&quot;Sample Current Lines As At: &quot;@"/>
    <numFmt numFmtId="171" formatCode="&quot;Current Lines Advised On: &quot;@"/>
    <numFmt numFmtId="172" formatCode="&quot;Please advise NETT SIGNED LINE participation on all&quot;\ @\ &quot;acceptances (for Reinsureds who are Lloyd's Syndicates please advise&quot;"/>
    <numFmt numFmtId="174" formatCode="[Blue]&quot;▲&quot;;[Red]&quot;▼&quot;;[Green]&quot;↔&quot;;@"/>
  </numFmts>
  <fonts count="62">
    <font>
      <sz val="10"/>
      <color indexed="8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 New Roman"/>
      <family val="1"/>
    </font>
    <font>
      <sz val="8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12"/>
      <color indexed="39"/>
      <name val="Arial"/>
      <family val="2"/>
    </font>
    <font>
      <sz val="12"/>
      <name val="Arial"/>
      <family val="2"/>
    </font>
    <font>
      <b/>
      <sz val="10"/>
      <color indexed="9"/>
      <name val="Arial"/>
      <family val="2"/>
    </font>
    <font>
      <sz val="11"/>
      <color theme="1"/>
      <name val="SwissReSans"/>
      <family val="2"/>
    </font>
    <font>
      <b/>
      <sz val="11"/>
      <name val="Arial"/>
      <family val="2"/>
    </font>
    <font>
      <sz val="11"/>
      <name val="Arial"/>
      <family val="2"/>
    </font>
    <font>
      <sz val="16"/>
      <color indexed="8"/>
      <name val="Arial MT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4"/>
      <color theme="0"/>
      <name val="Arial"/>
      <family val="2"/>
    </font>
    <font>
      <sz val="11"/>
      <name val="돋움"/>
      <family val="3"/>
      <charset val="129"/>
    </font>
    <font>
      <u/>
      <sz val="24"/>
      <name val="Arial"/>
      <family val="2"/>
    </font>
    <font>
      <b/>
      <sz val="11"/>
      <color indexed="9"/>
      <name val="Arial"/>
      <family val="2"/>
    </font>
    <font>
      <sz val="11"/>
      <color indexed="8"/>
      <name val="Arial"/>
      <family val="2"/>
    </font>
    <font>
      <b/>
      <sz val="11"/>
      <color theme="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24"/>
      <color indexed="8"/>
      <name val="Arial MT"/>
    </font>
    <font>
      <b/>
      <sz val="18"/>
      <color theme="0"/>
      <name val="Arial"/>
      <family val="2"/>
    </font>
    <font>
      <sz val="10"/>
      <color theme="0"/>
      <name val="MS Sans Serif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6"/>
      <color indexed="8"/>
      <name val="Arial MT"/>
    </font>
    <font>
      <sz val="10"/>
      <name val="Arial"/>
      <family val="2"/>
    </font>
    <font>
      <sz val="10"/>
      <color indexed="8"/>
      <name val="Arial MT"/>
    </font>
    <font>
      <sz val="10"/>
      <color theme="1"/>
      <name val="Arial"/>
      <family val="2"/>
    </font>
    <font>
      <sz val="10"/>
      <color theme="1"/>
      <name val="Tahoma"/>
      <family val="2"/>
    </font>
    <font>
      <b/>
      <sz val="16"/>
      <color theme="0"/>
      <name val="Arial MT"/>
    </font>
    <font>
      <sz val="10"/>
      <name val="MS Sans Serif"/>
    </font>
    <font>
      <sz val="11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/>
      <bottom style="medium">
        <color theme="0" tint="-0.24994659260841701"/>
      </bottom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ashed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dashed">
        <color theme="0" tint="-0.24994659260841701"/>
      </right>
      <top/>
      <bottom/>
      <diagonal/>
    </border>
    <border>
      <left style="thin">
        <color theme="0" tint="-0.24994659260841701"/>
      </left>
      <right style="dashed">
        <color theme="0" tint="-0.24994659260841701"/>
      </right>
      <top/>
      <bottom style="medium">
        <color theme="0" tint="-0.24994659260841701"/>
      </bottom>
      <diagonal/>
    </border>
    <border>
      <left/>
      <right style="thin">
        <color theme="0" tint="-0.24994659260841701"/>
      </right>
      <top/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medium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medium">
        <color theme="0" tint="-0.24994659260841701"/>
      </right>
      <top style="thin">
        <color theme="0" tint="-0.24994659260841701"/>
      </top>
      <bottom/>
      <diagonal/>
    </border>
  </borders>
  <cellStyleXfs count="139">
    <xf numFmtId="1" fontId="0" fillId="0" borderId="0"/>
    <xf numFmtId="167" fontId="7" fillId="0" borderId="0" applyFont="0" applyFill="0" applyBorder="0" applyAlignment="0" applyProtection="0"/>
    <xf numFmtId="0" fontId="9" fillId="0" borderId="0"/>
    <xf numFmtId="0" fontId="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8" fillId="0" borderId="0"/>
    <xf numFmtId="1" fontId="21" fillId="0" borderId="0"/>
    <xf numFmtId="1" fontId="21" fillId="0" borderId="0"/>
    <xf numFmtId="0" fontId="1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0" fontId="25" fillId="0" borderId="0"/>
    <xf numFmtId="0" fontId="25" fillId="0" borderId="0"/>
    <xf numFmtId="0" fontId="6" fillId="0" borderId="0"/>
    <xf numFmtId="164" fontId="7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32" fillId="3" borderId="0" applyNumberFormat="0" applyBorder="0" applyAlignment="0" applyProtection="0"/>
    <xf numFmtId="0" fontId="33" fillId="20" borderId="25" applyNumberFormat="0" applyAlignment="0" applyProtection="0"/>
    <xf numFmtId="0" fontId="34" fillId="21" borderId="26" applyNumberFormat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4" borderId="0" applyNumberFormat="0" applyBorder="0" applyAlignment="0" applyProtection="0"/>
    <xf numFmtId="0" fontId="37" fillId="0" borderId="27" applyNumberFormat="0" applyFill="0" applyAlignment="0" applyProtection="0"/>
    <xf numFmtId="0" fontId="38" fillId="0" borderId="28" applyNumberFormat="0" applyFill="0" applyAlignment="0" applyProtection="0"/>
    <xf numFmtId="0" fontId="39" fillId="0" borderId="29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25" applyNumberFormat="0" applyAlignment="0" applyProtection="0"/>
    <xf numFmtId="0" fontId="41" fillId="0" borderId="30" applyNumberFormat="0" applyFill="0" applyAlignment="0" applyProtection="0"/>
    <xf numFmtId="0" fontId="42" fillId="22" borderId="0" applyNumberFormat="0" applyBorder="0" applyAlignment="0" applyProtection="0"/>
    <xf numFmtId="0" fontId="30" fillId="23" borderId="31" applyNumberFormat="0" applyFont="0" applyAlignment="0" applyProtection="0"/>
    <xf numFmtId="0" fontId="43" fillId="20" borderId="32" applyNumberFormat="0" applyAlignment="0" applyProtection="0"/>
    <xf numFmtId="0" fontId="44" fillId="0" borderId="0" applyNumberFormat="0" applyFill="0" applyBorder="0" applyAlignment="0" applyProtection="0"/>
    <xf numFmtId="0" fontId="45" fillId="0" borderId="33" applyNumberFormat="0" applyFill="0" applyAlignment="0" applyProtection="0"/>
    <xf numFmtId="0" fontId="46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164" fontId="5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55" fillId="0" borderId="0" applyFont="0" applyFill="0" applyBorder="0" applyAlignment="0" applyProtection="0"/>
    <xf numFmtId="43" fontId="55" fillId="0" borderId="0" applyFont="0" applyFill="0" applyBorder="0" applyAlignment="0" applyProtection="0"/>
    <xf numFmtId="164" fontId="56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55" fillId="0" borderId="0" applyFont="0" applyFill="0" applyBorder="0" applyAlignment="0" applyProtection="0"/>
    <xf numFmtId="43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56" fillId="0" borderId="0"/>
    <xf numFmtId="0" fontId="4" fillId="0" borderId="0"/>
    <xf numFmtId="0" fontId="55" fillId="0" borderId="0"/>
    <xf numFmtId="0" fontId="55" fillId="0" borderId="0"/>
    <xf numFmtId="0" fontId="55" fillId="0" borderId="0"/>
    <xf numFmtId="0" fontId="4" fillId="0" borderId="0"/>
    <xf numFmtId="0" fontId="55" fillId="0" borderId="0"/>
    <xf numFmtId="0" fontId="55" fillId="0" borderId="0"/>
    <xf numFmtId="0" fontId="4" fillId="0" borderId="0"/>
    <xf numFmtId="0" fontId="4" fillId="0" borderId="0"/>
    <xf numFmtId="0" fontId="4" fillId="0" borderId="0"/>
    <xf numFmtId="9" fontId="5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5" fillId="0" borderId="0"/>
    <xf numFmtId="1" fontId="21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" fontId="21" fillId="0" borderId="0"/>
    <xf numFmtId="0" fontId="58" fillId="0" borderId="0"/>
    <xf numFmtId="0" fontId="9" fillId="0" borderId="0"/>
    <xf numFmtId="164" fontId="58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59" fillId="0" borderId="0"/>
    <xf numFmtId="0" fontId="2" fillId="0" borderId="0"/>
    <xf numFmtId="0" fontId="2" fillId="0" borderId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9" fillId="0" borderId="0"/>
    <xf numFmtId="0" fontId="60" fillId="0" borderId="0"/>
    <xf numFmtId="1" fontId="61" fillId="0" borderId="0"/>
    <xf numFmtId="1" fontId="21" fillId="0" borderId="0"/>
    <xf numFmtId="1" fontId="21" fillId="0" borderId="0"/>
    <xf numFmtId="0" fontId="1" fillId="0" borderId="0"/>
  </cellStyleXfs>
  <cellXfs count="148">
    <xf numFmtId="1" fontId="0" fillId="0" borderId="0" xfId="0" applyNumberFormat="1" applyFill="1"/>
    <xf numFmtId="0" fontId="9" fillId="0" borderId="0" xfId="2" applyFill="1"/>
    <xf numFmtId="49" fontId="11" fillId="0" borderId="0" xfId="2" applyNumberFormat="1" applyFont="1" applyFill="1" applyBorder="1" applyAlignment="1">
      <alignment horizontal="centerContinuous"/>
    </xf>
    <xf numFmtId="49" fontId="15" fillId="0" borderId="1" xfId="2" applyNumberFormat="1" applyFont="1" applyFill="1" applyBorder="1" applyAlignment="1">
      <alignment horizontal="centerContinuous"/>
    </xf>
    <xf numFmtId="49" fontId="9" fillId="0" borderId="0" xfId="2" applyNumberFormat="1" applyFont="1" applyFill="1" applyAlignment="1">
      <alignment horizontal="centerContinuous"/>
    </xf>
    <xf numFmtId="49" fontId="7" fillId="0" borderId="0" xfId="2" applyNumberFormat="1" applyFont="1" applyFill="1" applyBorder="1" applyAlignment="1">
      <alignment horizontal="centerContinuous"/>
    </xf>
    <xf numFmtId="0" fontId="9" fillId="0" borderId="0" xfId="2" applyFill="1" applyProtection="1"/>
    <xf numFmtId="0" fontId="9" fillId="0" borderId="0" xfId="2" applyFill="1" applyAlignment="1" applyProtection="1">
      <alignment horizontal="right"/>
    </xf>
    <xf numFmtId="0" fontId="7" fillId="0" borderId="0" xfId="2" applyFont="1" applyFill="1" applyBorder="1" applyProtection="1"/>
    <xf numFmtId="0" fontId="7" fillId="0" borderId="5" xfId="2" applyFont="1" applyFill="1" applyBorder="1" applyProtection="1"/>
    <xf numFmtId="49" fontId="7" fillId="0" borderId="0" xfId="2" applyNumberFormat="1" applyFont="1" applyFill="1" applyBorder="1" applyProtection="1"/>
    <xf numFmtId="0" fontId="7" fillId="0" borderId="13" xfId="2" applyFont="1" applyFill="1" applyBorder="1" applyAlignment="1" applyProtection="1">
      <alignment horizontal="right"/>
    </xf>
    <xf numFmtId="1" fontId="21" fillId="0" borderId="0" xfId="17" applyNumberFormat="1" applyFont="1" applyFill="1" applyAlignment="1"/>
    <xf numFmtId="1" fontId="21" fillId="0" borderId="0" xfId="18" applyNumberFormat="1" applyFont="1" applyFill="1"/>
    <xf numFmtId="1" fontId="21" fillId="0" borderId="0" xfId="17" applyNumberFormat="1" applyFont="1" applyFill="1"/>
    <xf numFmtId="1" fontId="26" fillId="0" borderId="0" xfId="17" applyNumberFormat="1" applyFont="1" applyAlignment="1">
      <alignment horizontal="center" vertical="center"/>
    </xf>
    <xf numFmtId="1" fontId="21" fillId="0" borderId="0" xfId="17" applyNumberFormat="1" applyFont="1" applyFill="1" applyAlignment="1">
      <alignment horizontal="center"/>
    </xf>
    <xf numFmtId="1" fontId="28" fillId="0" borderId="0" xfId="17" applyNumberFormat="1" applyFont="1" applyFill="1"/>
    <xf numFmtId="1" fontId="0" fillId="0" borderId="0" xfId="0" applyNumberFormat="1" applyFill="1" applyAlignment="1">
      <alignment horizontal="center"/>
    </xf>
    <xf numFmtId="1" fontId="29" fillId="0" borderId="0" xfId="17" applyNumberFormat="1" applyFont="1" applyFill="1"/>
    <xf numFmtId="1" fontId="47" fillId="0" borderId="0" xfId="17" applyNumberFormat="1" applyFont="1" applyFill="1"/>
    <xf numFmtId="1" fontId="47" fillId="0" borderId="0" xfId="0" applyNumberFormat="1" applyFont="1" applyFill="1"/>
    <xf numFmtId="1" fontId="52" fillId="0" borderId="0" xfId="17" applyNumberFormat="1" applyFont="1" applyFill="1" applyAlignment="1">
      <alignment vertical="center"/>
    </xf>
    <xf numFmtId="1" fontId="52" fillId="0" borderId="0" xfId="0" applyNumberFormat="1" applyFont="1" applyFill="1" applyAlignment="1">
      <alignment vertical="center"/>
    </xf>
    <xf numFmtId="49" fontId="9" fillId="0" borderId="0" xfId="2" applyNumberFormat="1" applyFont="1" applyFill="1"/>
    <xf numFmtId="168" fontId="15" fillId="0" borderId="0" xfId="2" applyNumberFormat="1" applyFont="1" applyFill="1" applyBorder="1" applyAlignment="1">
      <alignment horizontal="center"/>
    </xf>
    <xf numFmtId="10" fontId="28" fillId="24" borderId="19" xfId="18" applyNumberFormat="1" applyFont="1" applyFill="1" applyBorder="1"/>
    <xf numFmtId="10" fontId="28" fillId="24" borderId="20" xfId="18" applyNumberFormat="1" applyFont="1" applyFill="1" applyBorder="1"/>
    <xf numFmtId="49" fontId="17" fillId="25" borderId="0" xfId="2" applyNumberFormat="1" applyFont="1" applyFill="1" applyBorder="1" applyAlignment="1">
      <alignment horizontal="center" wrapText="1"/>
    </xf>
    <xf numFmtId="49" fontId="17" fillId="25" borderId="40" xfId="2" applyNumberFormat="1" applyFont="1" applyFill="1" applyBorder="1" applyAlignment="1">
      <alignment horizontal="center" wrapText="1"/>
    </xf>
    <xf numFmtId="49" fontId="17" fillId="25" borderId="40" xfId="2" applyNumberFormat="1" applyFont="1" applyFill="1" applyBorder="1" applyAlignment="1">
      <alignment horizontal="right" wrapText="1"/>
    </xf>
    <xf numFmtId="49" fontId="7" fillId="0" borderId="41" xfId="2" applyNumberFormat="1" applyFont="1" applyFill="1" applyBorder="1" applyAlignment="1">
      <alignment horizontal="center"/>
    </xf>
    <xf numFmtId="49" fontId="7" fillId="0" borderId="41" xfId="2" applyNumberFormat="1" applyFont="1" applyFill="1" applyBorder="1" applyAlignment="1">
      <alignment horizontal="left"/>
    </xf>
    <xf numFmtId="0" fontId="7" fillId="0" borderId="41" xfId="2" applyNumberFormat="1" applyFont="1" applyFill="1" applyBorder="1" applyAlignment="1">
      <alignment horizontal="center"/>
    </xf>
    <xf numFmtId="165" fontId="7" fillId="0" borderId="41" xfId="2" applyNumberFormat="1" applyFont="1" applyFill="1" applyBorder="1" applyAlignment="1">
      <alignment horizontal="center"/>
    </xf>
    <xf numFmtId="0" fontId="12" fillId="0" borderId="3" xfId="2" applyFont="1" applyFill="1" applyBorder="1" applyAlignment="1" applyProtection="1">
      <alignment horizontal="right"/>
    </xf>
    <xf numFmtId="0" fontId="7" fillId="0" borderId="4" xfId="2" applyFont="1" applyFill="1" applyBorder="1" applyProtection="1"/>
    <xf numFmtId="0" fontId="7" fillId="0" borderId="9" xfId="2" applyFont="1" applyFill="1" applyBorder="1" applyProtection="1"/>
    <xf numFmtId="49" fontId="7" fillId="0" borderId="13" xfId="2" applyNumberFormat="1" applyFont="1" applyFill="1" applyBorder="1" applyAlignment="1" applyProtection="1">
      <alignment horizontal="left" indent="1"/>
    </xf>
    <xf numFmtId="0" fontId="7" fillId="0" borderId="0" xfId="2" applyFont="1" applyFill="1" applyBorder="1" applyAlignment="1" applyProtection="1">
      <protection locked="0"/>
    </xf>
    <xf numFmtId="0" fontId="7" fillId="0" borderId="6" xfId="2" applyFont="1" applyFill="1" applyBorder="1" applyAlignment="1" applyProtection="1">
      <alignment horizontal="right"/>
    </xf>
    <xf numFmtId="0" fontId="7" fillId="0" borderId="1" xfId="2" applyFont="1" applyFill="1" applyBorder="1" applyProtection="1"/>
    <xf numFmtId="0" fontId="7" fillId="0" borderId="7" xfId="2" applyFont="1" applyFill="1" applyBorder="1" applyProtection="1"/>
    <xf numFmtId="0" fontId="7" fillId="0" borderId="0" xfId="16" applyFont="1" applyBorder="1" applyAlignment="1" applyProtection="1">
      <alignment horizontal="left" indent="1"/>
    </xf>
    <xf numFmtId="1" fontId="0" fillId="0" borderId="0" xfId="0" applyNumberFormat="1" applyFill="1"/>
    <xf numFmtId="1" fontId="21" fillId="0" borderId="0" xfId="17" applyNumberFormat="1" applyFont="1" applyFill="1" applyAlignment="1">
      <alignment horizontal="left"/>
    </xf>
    <xf numFmtId="1" fontId="0" fillId="0" borderId="0" xfId="0" applyNumberFormat="1" applyFill="1" applyAlignment="1">
      <alignment horizontal="left"/>
    </xf>
    <xf numFmtId="1" fontId="29" fillId="0" borderId="0" xfId="17" applyNumberFormat="1" applyFont="1" applyFill="1" applyAlignment="1">
      <alignment horizontal="left"/>
    </xf>
    <xf numFmtId="49" fontId="49" fillId="27" borderId="45" xfId="2" applyNumberFormat="1" applyFont="1" applyFill="1" applyBorder="1"/>
    <xf numFmtId="49" fontId="49" fillId="27" borderId="0" xfId="2" applyNumberFormat="1" applyFont="1" applyFill="1" applyBorder="1"/>
    <xf numFmtId="49" fontId="50" fillId="27" borderId="0" xfId="2" applyNumberFormat="1" applyFont="1" applyFill="1" applyBorder="1" applyAlignment="1">
      <alignment horizontal="centerContinuous"/>
    </xf>
    <xf numFmtId="49" fontId="51" fillId="27" borderId="0" xfId="2" applyNumberFormat="1" applyFont="1" applyFill="1" applyBorder="1" applyAlignment="1">
      <alignment horizontal="centerContinuous"/>
    </xf>
    <xf numFmtId="0" fontId="49" fillId="27" borderId="46" xfId="2" applyFont="1" applyFill="1" applyBorder="1"/>
    <xf numFmtId="49" fontId="17" fillId="27" borderId="8" xfId="2" applyNumberFormat="1" applyFont="1" applyFill="1" applyBorder="1" applyAlignment="1">
      <alignment horizontal="center" textRotation="90" wrapText="1"/>
    </xf>
    <xf numFmtId="49" fontId="17" fillId="27" borderId="8" xfId="2" applyNumberFormat="1" applyFont="1" applyFill="1" applyBorder="1" applyAlignment="1">
      <alignment horizontal="left" wrapText="1"/>
    </xf>
    <xf numFmtId="49" fontId="17" fillId="27" borderId="2" xfId="2" applyNumberFormat="1" applyFont="1" applyFill="1" applyBorder="1" applyAlignment="1">
      <alignment horizontal="center" wrapText="1"/>
    </xf>
    <xf numFmtId="49" fontId="17" fillId="27" borderId="2" xfId="2" applyNumberFormat="1" applyFont="1" applyFill="1" applyBorder="1" applyAlignment="1">
      <alignment horizontal="center" textRotation="90" wrapText="1"/>
    </xf>
    <xf numFmtId="49" fontId="51" fillId="27" borderId="45" xfId="2" applyNumberFormat="1" applyFont="1" applyFill="1" applyBorder="1" applyAlignment="1" applyProtection="1">
      <alignment horizontal="right"/>
    </xf>
    <xf numFmtId="49" fontId="51" fillId="27" borderId="0" xfId="2" applyNumberFormat="1" applyFont="1" applyFill="1" applyBorder="1" applyProtection="1"/>
    <xf numFmtId="49" fontId="50" fillId="27" borderId="0" xfId="2" applyNumberFormat="1" applyFont="1" applyFill="1" applyBorder="1" applyProtection="1"/>
    <xf numFmtId="49" fontId="51" fillId="27" borderId="0" xfId="2" applyNumberFormat="1" applyFont="1" applyFill="1" applyBorder="1" applyAlignment="1" applyProtection="1">
      <alignment horizontal="center"/>
    </xf>
    <xf numFmtId="0" fontId="49" fillId="27" borderId="46" xfId="2" applyFont="1" applyFill="1" applyBorder="1" applyProtection="1"/>
    <xf numFmtId="15" fontId="54" fillId="0" borderId="41" xfId="0" quotePrefix="1" applyNumberFormat="1" applyFont="1" applyBorder="1"/>
    <xf numFmtId="3" fontId="54" fillId="0" borderId="41" xfId="0" quotePrefix="1" applyNumberFormat="1" applyFont="1" applyBorder="1"/>
    <xf numFmtId="166" fontId="54" fillId="0" borderId="41" xfId="0" applyNumberFormat="1" applyFont="1" applyBorder="1"/>
    <xf numFmtId="0" fontId="54" fillId="0" borderId="41" xfId="0" applyNumberFormat="1" applyFont="1" applyBorder="1"/>
    <xf numFmtId="0" fontId="54" fillId="0" borderId="41" xfId="0" quotePrefix="1" applyNumberFormat="1" applyFont="1" applyBorder="1"/>
    <xf numFmtId="166" fontId="54" fillId="0" borderId="41" xfId="0" quotePrefix="1" applyNumberFormat="1" applyFont="1" applyBorder="1"/>
    <xf numFmtId="0" fontId="7" fillId="0" borderId="0" xfId="16" applyFont="1" applyFill="1" applyBorder="1" applyAlignment="1" applyProtection="1">
      <alignment horizontal="left" indent="1"/>
    </xf>
    <xf numFmtId="0" fontId="7" fillId="0" borderId="0" xfId="67" applyFont="1" applyFill="1" applyBorder="1" applyAlignment="1" applyProtection="1">
      <protection locked="0"/>
    </xf>
    <xf numFmtId="0" fontId="7" fillId="0" borderId="0" xfId="77" applyFont="1" applyBorder="1" applyAlignment="1" applyProtection="1">
      <protection locked="0"/>
    </xf>
    <xf numFmtId="0" fontId="7" fillId="0" borderId="1" xfId="16" applyFont="1" applyBorder="1" applyAlignment="1" applyProtection="1">
      <alignment horizontal="left" indent="1"/>
    </xf>
    <xf numFmtId="0" fontId="7" fillId="0" borderId="1" xfId="77" applyFont="1" applyBorder="1" applyAlignment="1" applyProtection="1">
      <protection locked="0"/>
    </xf>
    <xf numFmtId="1" fontId="20" fillId="24" borderId="0" xfId="116" applyNumberFormat="1" applyFont="1" applyFill="1"/>
    <xf numFmtId="49" fontId="19" fillId="0" borderId="0" xfId="2" applyNumberFormat="1" applyFont="1" applyFill="1" applyBorder="1" applyAlignment="1">
      <alignment horizontal="left"/>
    </xf>
    <xf numFmtId="1" fontId="27" fillId="27" borderId="35" xfId="116" applyNumberFormat="1" applyFont="1" applyFill="1" applyBorder="1" applyAlignment="1">
      <alignment horizontal="center" vertical="center" wrapText="1"/>
    </xf>
    <xf numFmtId="1" fontId="27" fillId="27" borderId="36" xfId="116" applyNumberFormat="1" applyFont="1" applyFill="1" applyBorder="1" applyAlignment="1">
      <alignment horizontal="right" vertical="center" wrapText="1"/>
    </xf>
    <xf numFmtId="1" fontId="20" fillId="24" borderId="21" xfId="116" applyNumberFormat="1" applyFont="1" applyFill="1" applyBorder="1" applyAlignment="1">
      <alignment horizontal="left"/>
    </xf>
    <xf numFmtId="1" fontId="20" fillId="0" borderId="34" xfId="116" applyNumberFormat="1" applyFont="1" applyBorder="1"/>
    <xf numFmtId="3" fontId="28" fillId="24" borderId="17" xfId="116" applyNumberFormat="1" applyFont="1" applyFill="1" applyBorder="1"/>
    <xf numFmtId="3" fontId="28" fillId="24" borderId="17" xfId="116" applyNumberFormat="1" applyFont="1" applyFill="1" applyBorder="1" applyAlignment="1">
      <alignment horizontal="center"/>
    </xf>
    <xf numFmtId="14" fontId="28" fillId="24" borderId="37" xfId="116" applyNumberFormat="1" applyFont="1" applyFill="1" applyBorder="1" applyAlignment="1">
      <alignment horizontal="center"/>
    </xf>
    <xf numFmtId="10" fontId="28" fillId="24" borderId="34" xfId="116" applyNumberFormat="1" applyFont="1" applyFill="1" applyBorder="1"/>
    <xf numFmtId="14" fontId="28" fillId="26" borderId="37" xfId="116" applyNumberFormat="1" applyFont="1" applyFill="1" applyBorder="1" applyAlignment="1">
      <alignment horizontal="center"/>
    </xf>
    <xf numFmtId="10" fontId="28" fillId="26" borderId="34" xfId="116" applyNumberFormat="1" applyFont="1" applyFill="1" applyBorder="1"/>
    <xf numFmtId="1" fontId="20" fillId="24" borderId="34" xfId="116" applyNumberFormat="1" applyFont="1" applyFill="1" applyBorder="1"/>
    <xf numFmtId="1" fontId="20" fillId="24" borderId="15" xfId="116" applyNumberFormat="1" applyFont="1" applyFill="1" applyBorder="1" applyAlignment="1">
      <alignment horizontal="left"/>
    </xf>
    <xf numFmtId="1" fontId="20" fillId="24" borderId="39" xfId="116" applyNumberFormat="1" applyFont="1" applyFill="1" applyBorder="1"/>
    <xf numFmtId="3" fontId="28" fillId="24" borderId="18" xfId="116" applyNumberFormat="1" applyFont="1" applyFill="1" applyBorder="1"/>
    <xf numFmtId="3" fontId="28" fillId="24" borderId="18" xfId="116" applyNumberFormat="1" applyFont="1" applyFill="1" applyBorder="1" applyAlignment="1">
      <alignment horizontal="center"/>
    </xf>
    <xf numFmtId="14" fontId="28" fillId="24" borderId="38" xfId="116" applyNumberFormat="1" applyFont="1" applyFill="1" applyBorder="1" applyAlignment="1">
      <alignment horizontal="center"/>
    </xf>
    <xf numFmtId="10" fontId="28" fillId="24" borderId="39" xfId="116" applyNumberFormat="1" applyFont="1" applyFill="1" applyBorder="1"/>
    <xf numFmtId="14" fontId="28" fillId="26" borderId="38" xfId="116" applyNumberFormat="1" applyFont="1" applyFill="1" applyBorder="1" applyAlignment="1">
      <alignment horizontal="center"/>
    </xf>
    <xf numFmtId="1" fontId="21" fillId="0" borderId="0" xfId="116" applyNumberFormat="1" applyFont="1" applyAlignment="1">
      <alignment horizontal="left"/>
    </xf>
    <xf numFmtId="1" fontId="21" fillId="0" borderId="0" xfId="116" applyNumberFormat="1" applyFont="1"/>
    <xf numFmtId="1" fontId="21" fillId="0" borderId="0" xfId="116" applyNumberFormat="1" applyFont="1" applyAlignment="1">
      <alignment horizontal="center"/>
    </xf>
    <xf numFmtId="1" fontId="21" fillId="0" borderId="0" xfId="18" applyNumberFormat="1" applyFont="1"/>
    <xf numFmtId="1" fontId="20" fillId="24" borderId="14" xfId="116" applyNumberFormat="1" applyFont="1" applyFill="1" applyBorder="1" applyAlignment="1">
      <alignment horizontal="left"/>
    </xf>
    <xf numFmtId="1" fontId="20" fillId="0" borderId="55" xfId="116" applyNumberFormat="1" applyFont="1" applyBorder="1"/>
    <xf numFmtId="1" fontId="20" fillId="0" borderId="39" xfId="116" applyNumberFormat="1" applyFont="1" applyBorder="1"/>
    <xf numFmtId="10" fontId="28" fillId="26" borderId="39" xfId="116" applyNumberFormat="1" applyFont="1" applyFill="1" applyBorder="1"/>
    <xf numFmtId="1" fontId="20" fillId="24" borderId="55" xfId="116" applyNumberFormat="1" applyFont="1" applyFill="1" applyBorder="1"/>
    <xf numFmtId="1" fontId="28" fillId="0" borderId="0" xfId="136" applyFont="1" applyAlignment="1">
      <alignment horizontal="left"/>
    </xf>
    <xf numFmtId="1" fontId="28" fillId="0" borderId="0" xfId="116" applyNumberFormat="1" applyFont="1"/>
    <xf numFmtId="1" fontId="26" fillId="0" borderId="0" xfId="116" applyNumberFormat="1" applyFont="1" applyAlignment="1">
      <alignment horizontal="center" vertical="center"/>
    </xf>
    <xf numFmtId="1" fontId="14" fillId="0" borderId="0" xfId="116" applyNumberFormat="1" applyFont="1"/>
    <xf numFmtId="2" fontId="14" fillId="0" borderId="0" xfId="116" applyNumberFormat="1" applyFont="1"/>
    <xf numFmtId="1" fontId="54" fillId="0" borderId="0" xfId="116" applyNumberFormat="1" applyFont="1" applyAlignment="1">
      <alignment horizontal="center"/>
    </xf>
    <xf numFmtId="2" fontId="54" fillId="0" borderId="0" xfId="116" applyNumberFormat="1" applyFont="1" applyAlignment="1">
      <alignment horizontal="center"/>
    </xf>
    <xf numFmtId="1" fontId="28" fillId="0" borderId="0" xfId="116" applyNumberFormat="1" applyFont="1" applyAlignment="1">
      <alignment horizontal="left"/>
    </xf>
    <xf numFmtId="1" fontId="20" fillId="24" borderId="0" xfId="116" applyNumberFormat="1" applyFont="1" applyFill="1" applyAlignment="1">
      <alignment horizontal="left"/>
    </xf>
    <xf numFmtId="174" fontId="13" fillId="0" borderId="24" xfId="11" applyNumberFormat="1" applyFont="1" applyBorder="1" applyAlignment="1">
      <alignment horizontal="center"/>
    </xf>
    <xf numFmtId="1" fontId="20" fillId="0" borderId="0" xfId="116" applyNumberFormat="1" applyFont="1" applyFill="1"/>
    <xf numFmtId="49" fontId="19" fillId="0" borderId="0" xfId="2" applyNumberFormat="1" applyFont="1" applyFill="1" applyBorder="1" applyAlignment="1">
      <alignment horizontal="left"/>
    </xf>
    <xf numFmtId="49" fontId="22" fillId="27" borderId="42" xfId="2" applyNumberFormat="1" applyFont="1" applyFill="1" applyBorder="1" applyAlignment="1">
      <alignment horizontal="center"/>
    </xf>
    <xf numFmtId="49" fontId="22" fillId="27" borderId="43" xfId="2" applyNumberFormat="1" applyFont="1" applyFill="1" applyBorder="1" applyAlignment="1">
      <alignment horizontal="center"/>
    </xf>
    <xf numFmtId="49" fontId="22" fillId="27" borderId="44" xfId="2" applyNumberFormat="1" applyFont="1" applyFill="1" applyBorder="1" applyAlignment="1">
      <alignment horizontal="center"/>
    </xf>
    <xf numFmtId="171" fontId="24" fillId="27" borderId="47" xfId="2" applyNumberFormat="1" applyFont="1" applyFill="1" applyBorder="1" applyAlignment="1">
      <alignment horizontal="center"/>
    </xf>
    <xf numFmtId="171" fontId="24" fillId="27" borderId="48" xfId="2" applyNumberFormat="1" applyFont="1" applyFill="1" applyBorder="1" applyAlignment="1">
      <alignment horizontal="center"/>
    </xf>
    <xf numFmtId="171" fontId="24" fillId="27" borderId="49" xfId="2" applyNumberFormat="1" applyFont="1" applyFill="1" applyBorder="1" applyAlignment="1">
      <alignment horizontal="center"/>
    </xf>
    <xf numFmtId="172" fontId="19" fillId="0" borderId="0" xfId="2" applyNumberFormat="1" applyFont="1" applyFill="1" applyBorder="1" applyAlignment="1">
      <alignment horizontal="left"/>
    </xf>
    <xf numFmtId="2" fontId="24" fillId="27" borderId="42" xfId="2" applyNumberFormat="1" applyFont="1" applyFill="1" applyBorder="1" applyAlignment="1" applyProtection="1">
      <alignment horizontal="center"/>
    </xf>
    <xf numFmtId="2" fontId="24" fillId="27" borderId="43" xfId="2" applyNumberFormat="1" applyFont="1" applyFill="1" applyBorder="1" applyAlignment="1" applyProtection="1">
      <alignment horizontal="center"/>
    </xf>
    <xf numFmtId="2" fontId="24" fillId="27" borderId="44" xfId="2" applyNumberFormat="1" applyFont="1" applyFill="1" applyBorder="1" applyAlignment="1" applyProtection="1">
      <alignment horizontal="center"/>
    </xf>
    <xf numFmtId="49" fontId="23" fillId="27" borderId="45" xfId="2" applyNumberFormat="1" applyFont="1" applyFill="1" applyBorder="1" applyAlignment="1" applyProtection="1">
      <alignment horizontal="center"/>
    </xf>
    <xf numFmtId="49" fontId="23" fillId="27" borderId="0" xfId="2" applyNumberFormat="1" applyFont="1" applyFill="1" applyBorder="1" applyAlignment="1" applyProtection="1">
      <alignment horizontal="center"/>
    </xf>
    <xf numFmtId="49" fontId="23" fillId="27" borderId="46" xfId="2" applyNumberFormat="1" applyFont="1" applyFill="1" applyBorder="1" applyAlignment="1" applyProtection="1">
      <alignment horizontal="center"/>
    </xf>
    <xf numFmtId="49" fontId="23" fillId="27" borderId="47" xfId="2" applyNumberFormat="1" applyFont="1" applyFill="1" applyBorder="1" applyAlignment="1" applyProtection="1">
      <alignment horizontal="center"/>
    </xf>
    <xf numFmtId="49" fontId="23" fillId="27" borderId="48" xfId="2" applyNumberFormat="1" applyFont="1" applyFill="1" applyBorder="1" applyAlignment="1" applyProtection="1">
      <alignment horizontal="center"/>
    </xf>
    <xf numFmtId="49" fontId="23" fillId="27" borderId="49" xfId="2" applyNumberFormat="1" applyFont="1" applyFill="1" applyBorder="1" applyAlignment="1" applyProtection="1">
      <alignment horizontal="center"/>
    </xf>
    <xf numFmtId="1" fontId="57" fillId="27" borderId="50" xfId="116" applyNumberFormat="1" applyFont="1" applyFill="1" applyBorder="1" applyAlignment="1">
      <alignment horizontal="center"/>
    </xf>
    <xf numFmtId="1" fontId="57" fillId="27" borderId="51" xfId="116" applyNumberFormat="1" applyFont="1" applyFill="1" applyBorder="1" applyAlignment="1">
      <alignment horizontal="center"/>
    </xf>
    <xf numFmtId="1" fontId="57" fillId="27" borderId="52" xfId="116" applyNumberFormat="1" applyFont="1" applyFill="1" applyBorder="1" applyAlignment="1">
      <alignment horizontal="center"/>
    </xf>
    <xf numFmtId="1" fontId="27" fillId="27" borderId="56" xfId="18" quotePrefix="1" applyNumberFormat="1" applyFont="1" applyFill="1" applyBorder="1" applyAlignment="1">
      <alignment horizontal="center" vertical="center" wrapText="1"/>
    </xf>
    <xf numFmtId="1" fontId="27" fillId="27" borderId="57" xfId="18" quotePrefix="1" applyNumberFormat="1" applyFont="1" applyFill="1" applyBorder="1" applyAlignment="1">
      <alignment horizontal="center" vertical="center" wrapText="1"/>
    </xf>
    <xf numFmtId="1" fontId="27" fillId="27" borderId="20" xfId="18" quotePrefix="1" applyNumberFormat="1" applyFont="1" applyFill="1" applyBorder="1" applyAlignment="1">
      <alignment horizontal="center" vertical="center" wrapText="1"/>
    </xf>
    <xf numFmtId="1" fontId="27" fillId="27" borderId="16" xfId="18" quotePrefix="1" applyNumberFormat="1" applyFont="1" applyFill="1" applyBorder="1" applyAlignment="1">
      <alignment horizontal="center" vertical="center" wrapText="1"/>
    </xf>
    <xf numFmtId="1" fontId="27" fillId="27" borderId="53" xfId="116" applyNumberFormat="1" applyFont="1" applyFill="1" applyBorder="1" applyAlignment="1">
      <alignment horizontal="left" vertical="center"/>
    </xf>
    <xf numFmtId="1" fontId="27" fillId="27" borderId="54" xfId="116" applyNumberFormat="1" applyFont="1" applyFill="1" applyBorder="1" applyAlignment="1">
      <alignment horizontal="left" vertical="center"/>
    </xf>
    <xf numFmtId="1" fontId="27" fillId="27" borderId="15" xfId="116" applyNumberFormat="1" applyFont="1" applyFill="1" applyBorder="1" applyAlignment="1">
      <alignment horizontal="left" vertical="center"/>
    </xf>
    <xf numFmtId="1" fontId="27" fillId="27" borderId="39" xfId="116" applyNumberFormat="1" applyFont="1" applyFill="1" applyBorder="1" applyAlignment="1">
      <alignment horizontal="left" vertical="center"/>
    </xf>
    <xf numFmtId="1" fontId="27" fillId="27" borderId="23" xfId="116" applyNumberFormat="1" applyFont="1" applyFill="1" applyBorder="1" applyAlignment="1">
      <alignment horizontal="center" vertical="center" wrapText="1"/>
    </xf>
    <xf numFmtId="1" fontId="27" fillId="27" borderId="24" xfId="116" applyNumberFormat="1" applyFont="1" applyFill="1" applyBorder="1" applyAlignment="1">
      <alignment horizontal="center" vertical="center" wrapText="1"/>
    </xf>
    <xf numFmtId="1" fontId="27" fillId="27" borderId="22" xfId="116" applyNumberFormat="1" applyFont="1" applyFill="1" applyBorder="1" applyAlignment="1">
      <alignment horizontal="center" vertical="center" wrapText="1"/>
    </xf>
    <xf numFmtId="1" fontId="27" fillId="27" borderId="18" xfId="116" applyNumberFormat="1" applyFont="1" applyFill="1" applyBorder="1" applyAlignment="1">
      <alignment horizontal="center" vertical="center" wrapText="1"/>
    </xf>
    <xf numFmtId="1" fontId="48" fillId="27" borderId="10" xfId="17" applyNumberFormat="1" applyFont="1" applyFill="1" applyBorder="1" applyAlignment="1">
      <alignment horizontal="center"/>
    </xf>
    <xf numFmtId="1" fontId="48" fillId="27" borderId="11" xfId="17" applyNumberFormat="1" applyFont="1" applyFill="1" applyBorder="1" applyAlignment="1">
      <alignment horizontal="center"/>
    </xf>
    <xf numFmtId="1" fontId="48" fillId="27" borderId="12" xfId="17" applyNumberFormat="1" applyFont="1" applyFill="1" applyBorder="1" applyAlignment="1">
      <alignment horizontal="center"/>
    </xf>
  </cellXfs>
  <cellStyles count="139">
    <cellStyle name="20% - Accent1 2" xfId="22" xr:uid="{00000000-0005-0000-0000-000000000000}"/>
    <cellStyle name="20% - Accent2 2" xfId="23" xr:uid="{00000000-0005-0000-0000-000001000000}"/>
    <cellStyle name="20% - Accent3 2" xfId="24" xr:uid="{00000000-0005-0000-0000-000002000000}"/>
    <cellStyle name="20% - Accent4 2" xfId="25" xr:uid="{00000000-0005-0000-0000-000003000000}"/>
    <cellStyle name="20% - Accent5 2" xfId="26" xr:uid="{00000000-0005-0000-0000-000004000000}"/>
    <cellStyle name="20% - Accent6 2" xfId="27" xr:uid="{00000000-0005-0000-0000-000005000000}"/>
    <cellStyle name="40% - Accent1 2" xfId="28" xr:uid="{00000000-0005-0000-0000-000006000000}"/>
    <cellStyle name="40% - Accent2 2" xfId="29" xr:uid="{00000000-0005-0000-0000-000007000000}"/>
    <cellStyle name="40% - Accent3 2" xfId="30" xr:uid="{00000000-0005-0000-0000-000008000000}"/>
    <cellStyle name="40% - Accent4 2" xfId="31" xr:uid="{00000000-0005-0000-0000-000009000000}"/>
    <cellStyle name="40% - Accent5 2" xfId="32" xr:uid="{00000000-0005-0000-0000-00000A000000}"/>
    <cellStyle name="40% - Accent6 2" xfId="33" xr:uid="{00000000-0005-0000-0000-00000B000000}"/>
    <cellStyle name="60% - Accent1 2" xfId="34" xr:uid="{00000000-0005-0000-0000-00000C000000}"/>
    <cellStyle name="60% - Accent2 2" xfId="35" xr:uid="{00000000-0005-0000-0000-00000D000000}"/>
    <cellStyle name="60% - Accent3 2" xfId="36" xr:uid="{00000000-0005-0000-0000-00000E000000}"/>
    <cellStyle name="60% - Accent4 2" xfId="37" xr:uid="{00000000-0005-0000-0000-00000F000000}"/>
    <cellStyle name="60% - Accent5 2" xfId="38" xr:uid="{00000000-0005-0000-0000-000010000000}"/>
    <cellStyle name="60% - Accent6 2" xfId="39" xr:uid="{00000000-0005-0000-0000-000011000000}"/>
    <cellStyle name="Accent1 2" xfId="40" xr:uid="{00000000-0005-0000-0000-000012000000}"/>
    <cellStyle name="Accent2 2" xfId="41" xr:uid="{00000000-0005-0000-0000-000013000000}"/>
    <cellStyle name="Accent3 2" xfId="42" xr:uid="{00000000-0005-0000-0000-000014000000}"/>
    <cellStyle name="Accent4 2" xfId="43" xr:uid="{00000000-0005-0000-0000-000015000000}"/>
    <cellStyle name="Accent5 2" xfId="44" xr:uid="{00000000-0005-0000-0000-000016000000}"/>
    <cellStyle name="Accent6 2" xfId="45" xr:uid="{00000000-0005-0000-0000-000017000000}"/>
    <cellStyle name="Bad 2" xfId="46" xr:uid="{00000000-0005-0000-0000-000018000000}"/>
    <cellStyle name="Calculation 2" xfId="47" xr:uid="{00000000-0005-0000-0000-000019000000}"/>
    <cellStyle name="Check Cell 2" xfId="48" xr:uid="{00000000-0005-0000-0000-00001A000000}"/>
    <cellStyle name="Comma 2" xfId="20" xr:uid="{00000000-0005-0000-0000-00001C000000}"/>
    <cellStyle name="Comma 2 2" xfId="79" xr:uid="{00000000-0005-0000-0000-00001D000000}"/>
    <cellStyle name="Comma 2 2 2" xfId="80" xr:uid="{00000000-0005-0000-0000-00001E000000}"/>
    <cellStyle name="Comma 2 2 3" xfId="131" xr:uid="{F7D26375-A10C-40CB-97BF-841C53AA91D0}"/>
    <cellStyle name="Comma 2 3" xfId="81" xr:uid="{00000000-0005-0000-0000-00001F000000}"/>
    <cellStyle name="Comma 2 3 2" xfId="82" xr:uid="{00000000-0005-0000-0000-000020000000}"/>
    <cellStyle name="Comma 2 4" xfId="83" xr:uid="{00000000-0005-0000-0000-000021000000}"/>
    <cellStyle name="Comma 2 5" xfId="78" xr:uid="{00000000-0005-0000-0000-000022000000}"/>
    <cellStyle name="Comma 2 6" xfId="125" xr:uid="{A49B008A-9C2C-4B94-91FF-642F7D7DD37C}"/>
    <cellStyle name="Comma 3" xfId="21" xr:uid="{00000000-0005-0000-0000-000023000000}"/>
    <cellStyle name="Comma 3 2" xfId="76" xr:uid="{00000000-0005-0000-0000-000024000000}"/>
    <cellStyle name="Comma 3 2 2" xfId="85" xr:uid="{00000000-0005-0000-0000-000025000000}"/>
    <cellStyle name="Comma 3 2 3" xfId="119" xr:uid="{CC35C74B-A204-42D5-847E-248F1AE2708D}"/>
    <cellStyle name="Comma 3 2 3 2" xfId="132" xr:uid="{25EA4803-61E1-4B4D-8A2E-69EBEBF6CA09}"/>
    <cellStyle name="Comma 3 3" xfId="86" xr:uid="{00000000-0005-0000-0000-000026000000}"/>
    <cellStyle name="Comma 3 4" xfId="84" xr:uid="{00000000-0005-0000-0000-000027000000}"/>
    <cellStyle name="Comma 4" xfId="49" xr:uid="{00000000-0005-0000-0000-000028000000}"/>
    <cellStyle name="Comma 4 2" xfId="88" xr:uid="{00000000-0005-0000-0000-000029000000}"/>
    <cellStyle name="Comma 4 3" xfId="89" xr:uid="{00000000-0005-0000-0000-00002A000000}"/>
    <cellStyle name="Comma 4 4" xfId="87" xr:uid="{00000000-0005-0000-0000-00002B000000}"/>
    <cellStyle name="Comma 5" xfId="50" xr:uid="{00000000-0005-0000-0000-00002C000000}"/>
    <cellStyle name="Comma 5 2" xfId="90" xr:uid="{00000000-0005-0000-0000-00002D000000}"/>
    <cellStyle name="Comma 5 3" xfId="91" xr:uid="{00000000-0005-0000-0000-00002E000000}"/>
    <cellStyle name="Comma 6" xfId="51" xr:uid="{00000000-0005-0000-0000-00002F000000}"/>
    <cellStyle name="Comma 6 2" xfId="93" xr:uid="{00000000-0005-0000-0000-000030000000}"/>
    <cellStyle name="Comma 6 3" xfId="92" xr:uid="{00000000-0005-0000-0000-000031000000}"/>
    <cellStyle name="Comma 7" xfId="94" xr:uid="{00000000-0005-0000-0000-000032000000}"/>
    <cellStyle name="Comma 8" xfId="95" xr:uid="{00000000-0005-0000-0000-000033000000}"/>
    <cellStyle name="Comma 9" xfId="124" xr:uid="{00000000-0005-0000-0000-0000B9000000}"/>
    <cellStyle name="Dezimal_XL Questionnaire_2002_July-10" xfId="1" xr:uid="{00000000-0005-0000-0000-000034000000}"/>
    <cellStyle name="Explanatory Text 2" xfId="52" xr:uid="{00000000-0005-0000-0000-000035000000}"/>
    <cellStyle name="EY House" xfId="13" xr:uid="{00000000-0005-0000-0000-000036000000}"/>
    <cellStyle name="Good 2" xfId="53" xr:uid="{00000000-0005-0000-0000-000037000000}"/>
    <cellStyle name="Heading 1 2" xfId="54" xr:uid="{00000000-0005-0000-0000-000038000000}"/>
    <cellStyle name="Heading 2 2" xfId="55" xr:uid="{00000000-0005-0000-0000-000039000000}"/>
    <cellStyle name="Heading 3 2" xfId="56" xr:uid="{00000000-0005-0000-0000-00003A000000}"/>
    <cellStyle name="Heading 4 2" xfId="57" xr:uid="{00000000-0005-0000-0000-00003B000000}"/>
    <cellStyle name="Input 2" xfId="58" xr:uid="{00000000-0005-0000-0000-00003C000000}"/>
    <cellStyle name="Linked Cell 2" xfId="59" xr:uid="{00000000-0005-0000-0000-000043000000}"/>
    <cellStyle name="Neutral 2" xfId="60" xr:uid="{00000000-0005-0000-0000-000044000000}"/>
    <cellStyle name="Normal" xfId="0" builtinId="0" customBuiltin="1"/>
    <cellStyle name="Normal 14" xfId="96" xr:uid="{00000000-0005-0000-0000-000046000000}"/>
    <cellStyle name="Normal 17" xfId="117" xr:uid="{9B238092-6CA8-437E-977B-F8DF3A90891E}"/>
    <cellStyle name="Normal 17 2" xfId="136" xr:uid="{E371BAF6-8DB3-42E4-AFD8-F7429EAE0F0A}"/>
    <cellStyle name="Normal 2" xfId="10" xr:uid="{00000000-0005-0000-0000-000047000000}"/>
    <cellStyle name="Normal 2 2" xfId="12" xr:uid="{00000000-0005-0000-0000-000048000000}"/>
    <cellStyle name="Normal 2 2 2" xfId="18" xr:uid="{00000000-0005-0000-0000-000049000000}"/>
    <cellStyle name="Normal 2 2 5" xfId="137" xr:uid="{1A7FD05D-2D80-4F59-8C39-200A1711121B}"/>
    <cellStyle name="Normal 2 3" xfId="17" xr:uid="{00000000-0005-0000-0000-00004A000000}"/>
    <cellStyle name="Normal 2 3 3" xfId="116" xr:uid="{054D0AFB-3D79-40AC-8DE6-99BE74BCF25A}"/>
    <cellStyle name="Normal 2 4" xfId="97" xr:uid="{00000000-0005-0000-0000-00004B000000}"/>
    <cellStyle name="Normal 2 5" xfId="123" xr:uid="{00000000-0005-0000-0000-000001000000}"/>
    <cellStyle name="Normal 2 6" xfId="133" xr:uid="{CE9C3124-D94B-48DF-BDB4-5D28078A9A39}"/>
    <cellStyle name="Normal 3" xfId="15" xr:uid="{00000000-0005-0000-0000-00004C000000}"/>
    <cellStyle name="Normal 3 12" xfId="99" xr:uid="{00000000-0005-0000-0000-00004D000000}"/>
    <cellStyle name="Normal 3 2" xfId="100" xr:uid="{00000000-0005-0000-0000-00004E000000}"/>
    <cellStyle name="Normal 3 2 3" xfId="120" xr:uid="{F885CCDA-424D-4D8D-AA97-BFACAB07FA26}"/>
    <cellStyle name="Normal 3 2 3 2" xfId="129" xr:uid="{3239367B-B31D-4F76-AAD5-40CF72C0D904}"/>
    <cellStyle name="Normal 3 3" xfId="101" xr:uid="{00000000-0005-0000-0000-00004F000000}"/>
    <cellStyle name="Normal 3 4" xfId="102" xr:uid="{00000000-0005-0000-0000-000050000000}"/>
    <cellStyle name="Normal 3 5" xfId="98" xr:uid="{00000000-0005-0000-0000-000051000000}"/>
    <cellStyle name="Normal 3 6" xfId="121" xr:uid="{E8FEA198-A733-4261-BDBA-5EB9DC9BE962}"/>
    <cellStyle name="Normal 3 7" xfId="128" xr:uid="{770036AE-AB66-4627-B048-271C6E23476A}"/>
    <cellStyle name="Normal 4" xfId="19" xr:uid="{00000000-0005-0000-0000-000052000000}"/>
    <cellStyle name="Normal 4 2" xfId="75" xr:uid="{00000000-0005-0000-0000-000053000000}"/>
    <cellStyle name="Normal 4 2 2" xfId="104" xr:uid="{00000000-0005-0000-0000-000054000000}"/>
    <cellStyle name="Normal 4 2 3" xfId="118" xr:uid="{F76AF9CF-7495-433D-9C76-BA4009B53E36}"/>
    <cellStyle name="Normal 4 2 3 2" xfId="130" xr:uid="{FF2CA6AF-AF57-4DA7-B6C6-86690710CC0F}"/>
    <cellStyle name="Normal 4 2 3 3" xfId="138" xr:uid="{808FC50C-BD35-4F13-ADBB-B3E9972C4835}"/>
    <cellStyle name="Normal 4 3" xfId="105" xr:uid="{00000000-0005-0000-0000-000055000000}"/>
    <cellStyle name="Normal 4 4" xfId="103" xr:uid="{00000000-0005-0000-0000-000056000000}"/>
    <cellStyle name="Normal 5" xfId="68" xr:uid="{00000000-0005-0000-0000-000057000000}"/>
    <cellStyle name="Normal 5 2" xfId="77" xr:uid="{00000000-0005-0000-0000-000058000000}"/>
    <cellStyle name="Normal 5 2 2" xfId="107" xr:uid="{00000000-0005-0000-0000-000059000000}"/>
    <cellStyle name="Normal 5 3" xfId="106" xr:uid="{00000000-0005-0000-0000-00005A000000}"/>
    <cellStyle name="Normal 6" xfId="108" xr:uid="{00000000-0005-0000-0000-00005B000000}"/>
    <cellStyle name="Normal 6 2" xfId="127" xr:uid="{B5C6CBD8-B383-4C72-A1DE-0601CD418BFE}"/>
    <cellStyle name="Normal 7" xfId="122" xr:uid="{00000000-0005-0000-0000-0000BD000000}"/>
    <cellStyle name="Normal 8" xfId="134" xr:uid="{00000000-0005-0000-0000-0000C5000000}"/>
    <cellStyle name="Normal_Export from alps" xfId="67" xr:uid="{00000000-0005-0000-0000-00005F000000}"/>
    <cellStyle name="Normal_Losses For Testing" xfId="2" xr:uid="{00000000-0005-0000-0000-000061000000}"/>
    <cellStyle name="Normal_Questionnaire Scheds A,B &amp; C (Landscape) V3 2" xfId="16" xr:uid="{00000000-0005-0000-0000-000064000000}"/>
    <cellStyle name="Normal_sch g 2488 july 2011" xfId="11" xr:uid="{00000000-0005-0000-0000-000066000000}"/>
    <cellStyle name="Note 2" xfId="61" xr:uid="{00000000-0005-0000-0000-000067000000}"/>
    <cellStyle name="Output 2" xfId="62" xr:uid="{00000000-0005-0000-0000-000068000000}"/>
    <cellStyle name="Percent 2" xfId="66" xr:uid="{00000000-0005-0000-0000-000069000000}"/>
    <cellStyle name="Percent 2 2" xfId="109" xr:uid="{00000000-0005-0000-0000-00006A000000}"/>
    <cellStyle name="Percent 2 2 2" xfId="110" xr:uid="{00000000-0005-0000-0000-00006B000000}"/>
    <cellStyle name="Percent 2 3" xfId="126" xr:uid="{8495AAF9-3A65-4F87-ABAA-4231CF79B7F6}"/>
    <cellStyle name="Percent 2 4" xfId="111" xr:uid="{00000000-0005-0000-0000-00006C000000}"/>
    <cellStyle name="Percent 3" xfId="112" xr:uid="{00000000-0005-0000-0000-00006D000000}"/>
    <cellStyle name="Percent 3 2" xfId="113" xr:uid="{00000000-0005-0000-0000-00006E000000}"/>
    <cellStyle name="Standard_XL Questionnaire_2002_July-10" xfId="3" xr:uid="{00000000-0005-0000-0000-00006F000000}"/>
    <cellStyle name="Style 1" xfId="14" xr:uid="{00000000-0005-0000-0000-000070000000}"/>
    <cellStyle name="Style 1 2" xfId="114" xr:uid="{00000000-0005-0000-0000-000071000000}"/>
    <cellStyle name="Style 1 3" xfId="115" xr:uid="{00000000-0005-0000-0000-000072000000}"/>
    <cellStyle name="Style 2" xfId="135" xr:uid="{A3B4B216-55F6-471A-8AAD-F39EF89E611F}"/>
    <cellStyle name="STYLE1 - Style1" xfId="4" xr:uid="{00000000-0005-0000-0000-000073000000}"/>
    <cellStyle name="STYLE1 - Style1 2" xfId="69" xr:uid="{00000000-0005-0000-0000-000074000000}"/>
    <cellStyle name="STYLE2 - Style2" xfId="5" xr:uid="{00000000-0005-0000-0000-000075000000}"/>
    <cellStyle name="STYLE2 - Style2 2" xfId="70" xr:uid="{00000000-0005-0000-0000-000076000000}"/>
    <cellStyle name="STYLE3 - Style3" xfId="6" xr:uid="{00000000-0005-0000-0000-000077000000}"/>
    <cellStyle name="STYLE3 - Style3 2" xfId="71" xr:uid="{00000000-0005-0000-0000-000078000000}"/>
    <cellStyle name="STYLE4 - Style4" xfId="7" xr:uid="{00000000-0005-0000-0000-000079000000}"/>
    <cellStyle name="STYLE4 - Style4 2" xfId="72" xr:uid="{00000000-0005-0000-0000-00007A000000}"/>
    <cellStyle name="STYLE5 - Style5" xfId="8" xr:uid="{00000000-0005-0000-0000-00007B000000}"/>
    <cellStyle name="STYLE5 - Style5 2" xfId="73" xr:uid="{00000000-0005-0000-0000-00007C000000}"/>
    <cellStyle name="STYLE6 - Style6" xfId="9" xr:uid="{00000000-0005-0000-0000-00007D000000}"/>
    <cellStyle name="STYLE6 - Style6 2" xfId="74" xr:uid="{00000000-0005-0000-0000-00007E000000}"/>
    <cellStyle name="Title 2" xfId="63" xr:uid="{00000000-0005-0000-0000-00007F000000}"/>
    <cellStyle name="Total 2" xfId="64" xr:uid="{00000000-0005-0000-0000-000080000000}"/>
    <cellStyle name="Warning Text 2" xfId="65" xr:uid="{00000000-0005-0000-0000-00008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5F5F5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006699"/>
      <rgbColor rgb="00CC99FF"/>
      <rgbColor rgb="0099CC00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CC00"/>
      <color rgb="FF0083A9"/>
      <color rgb="FF008000"/>
      <color rgb="FF0000FF"/>
      <color rgb="FFCCFFCC"/>
      <color rgb="FFFFFF99"/>
      <color rgb="FF36484C"/>
      <color rgb="FF00FF00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TECH\Ace%20Global%20Markets\2020\Core%20XOL%20&amp;%20QS\Questionnaire\2020.01.10%20Chubb%20Reinsurance%20A%20B%20C%2010%2001%202020%20(Alps%20Expor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ules A,B,C"/>
      <sheetName val="Audit Notes"/>
      <sheetName val="Mandatory Fields"/>
    </sheetNames>
    <sheetDataSet>
      <sheetData sheetId="0"/>
      <sheetData sheetId="1">
        <row r="79">
          <cell r="C79"/>
        </row>
        <row r="80">
          <cell r="C80" t="str">
            <v>Aegean Airlines</v>
          </cell>
        </row>
        <row r="81">
          <cell r="C81" t="str">
            <v>Aeroflot</v>
          </cell>
        </row>
        <row r="82">
          <cell r="C82" t="str">
            <v>Aerolineas Argentinas</v>
          </cell>
        </row>
        <row r="83">
          <cell r="C83" t="str">
            <v>Aeromexico</v>
          </cell>
        </row>
        <row r="84">
          <cell r="C84" t="str">
            <v>Air Algerie</v>
          </cell>
        </row>
        <row r="85">
          <cell r="C85" t="str">
            <v>Air Asia</v>
          </cell>
        </row>
        <row r="86">
          <cell r="C86" t="str">
            <v>Air Berlin</v>
          </cell>
        </row>
        <row r="87">
          <cell r="C87" t="str">
            <v>Air Canada</v>
          </cell>
        </row>
        <row r="88">
          <cell r="C88" t="str">
            <v>Air Europa</v>
          </cell>
        </row>
        <row r="89">
          <cell r="C89" t="str">
            <v>Air France</v>
          </cell>
        </row>
        <row r="90">
          <cell r="C90" t="str">
            <v>Air India</v>
          </cell>
        </row>
        <row r="91">
          <cell r="C91" t="str">
            <v>Air Jamaica</v>
          </cell>
        </row>
        <row r="92">
          <cell r="C92" t="str">
            <v>Air New Zealand</v>
          </cell>
        </row>
        <row r="93">
          <cell r="C93" t="str">
            <v>Air Plus Comet</v>
          </cell>
        </row>
        <row r="94">
          <cell r="C94" t="str">
            <v>Air Transat</v>
          </cell>
        </row>
        <row r="95">
          <cell r="C95" t="str">
            <v>Alianza Summa</v>
          </cell>
        </row>
        <row r="96">
          <cell r="C96" t="str">
            <v>Alitalia</v>
          </cell>
        </row>
        <row r="97">
          <cell r="C97" t="str">
            <v>All Nippon Airways</v>
          </cell>
        </row>
        <row r="98">
          <cell r="C98" t="str">
            <v>Asiana Airlines</v>
          </cell>
        </row>
        <row r="99">
          <cell r="C99" t="str">
            <v>Avianca Taca Holdings</v>
          </cell>
        </row>
        <row r="100">
          <cell r="C100" t="str">
            <v>British Airways</v>
          </cell>
        </row>
        <row r="101">
          <cell r="C101" t="str">
            <v>BWIA</v>
          </cell>
        </row>
        <row r="102">
          <cell r="C102" t="str">
            <v>CAAC</v>
          </cell>
        </row>
        <row r="103">
          <cell r="C103" t="str">
            <v>Caribbean Airlines</v>
          </cell>
        </row>
        <row r="104">
          <cell r="C104" t="str">
            <v>Cathay Pacific</v>
          </cell>
        </row>
        <row r="105">
          <cell r="C105" t="str">
            <v>China Airlines (Taiwan)</v>
          </cell>
        </row>
        <row r="106">
          <cell r="C106" t="str">
            <v>China Hainan Airlines</v>
          </cell>
        </row>
        <row r="107">
          <cell r="C107" t="str">
            <v>CINTRA</v>
          </cell>
        </row>
        <row r="108">
          <cell r="C108" t="str">
            <v>Compagnia Aerea Italiana</v>
          </cell>
        </row>
        <row r="109">
          <cell r="C109" t="str">
            <v>Deutsche Lufthansa</v>
          </cell>
        </row>
        <row r="110">
          <cell r="C110" t="str">
            <v>easyJet</v>
          </cell>
        </row>
        <row r="111">
          <cell r="C111" t="str">
            <v>Egypt Air</v>
          </cell>
        </row>
        <row r="112">
          <cell r="C112" t="str">
            <v>El Al Israel Airlines</v>
          </cell>
        </row>
        <row r="113">
          <cell r="C113" t="str">
            <v>Emirates</v>
          </cell>
        </row>
        <row r="114">
          <cell r="C114" t="str">
            <v>Etihad Airways</v>
          </cell>
        </row>
        <row r="115">
          <cell r="C115" t="str">
            <v>Eva Airways Corp</v>
          </cell>
        </row>
        <row r="116">
          <cell r="C116" t="str">
            <v>Far Eastern Air Transport Corp</v>
          </cell>
        </row>
        <row r="117">
          <cell r="C117" t="str">
            <v>FIN Group (Air Europa only)</v>
          </cell>
        </row>
        <row r="118">
          <cell r="C118" t="str">
            <v>FIN Group (other than Air Europa)</v>
          </cell>
        </row>
        <row r="119">
          <cell r="C119" t="str">
            <v>First Choice Airways</v>
          </cell>
        </row>
        <row r="120">
          <cell r="C120" t="str">
            <v>Garuda Indonesia</v>
          </cell>
        </row>
        <row r="121">
          <cell r="C121" t="str">
            <v>Gol Transportes Aereo</v>
          </cell>
        </row>
        <row r="122">
          <cell r="C122" t="str">
            <v>Gulf Air</v>
          </cell>
        </row>
        <row r="123">
          <cell r="C123" t="str">
            <v>Gulf Co-operation Council</v>
          </cell>
        </row>
        <row r="124">
          <cell r="C124" t="str">
            <v>Iberia</v>
          </cell>
        </row>
        <row r="125">
          <cell r="C125" t="str">
            <v>Indian Airlines</v>
          </cell>
        </row>
        <row r="126">
          <cell r="C126" t="str">
            <v>Japan Airlines Corp</v>
          </cell>
        </row>
        <row r="127">
          <cell r="C127" t="str">
            <v>Jet Airways (India)</v>
          </cell>
        </row>
        <row r="128">
          <cell r="C128" t="str">
            <v>Kingfisher Airlines</v>
          </cell>
        </row>
        <row r="129">
          <cell r="C129" t="str">
            <v>Korean Air Lines</v>
          </cell>
        </row>
        <row r="130">
          <cell r="C130" t="str">
            <v>Kuwait Airways</v>
          </cell>
        </row>
        <row r="131">
          <cell r="C131" t="str">
            <v>LAN - Chile</v>
          </cell>
        </row>
        <row r="132">
          <cell r="C132" t="str">
            <v>Malaysian Airlines System</v>
          </cell>
        </row>
        <row r="133">
          <cell r="C133" t="str">
            <v>Mexicana/Click Mexicana</v>
          </cell>
        </row>
        <row r="134">
          <cell r="C134" t="str">
            <v>Monarch Airlines</v>
          </cell>
        </row>
        <row r="135">
          <cell r="C135" t="str">
            <v>Mytravel Group</v>
          </cell>
        </row>
        <row r="136">
          <cell r="C136" t="str">
            <v>NACIL</v>
          </cell>
        </row>
        <row r="137">
          <cell r="C137" t="str">
            <v>Olympic Airlines</v>
          </cell>
        </row>
        <row r="138">
          <cell r="C138" t="str">
            <v>Oman Air</v>
          </cell>
        </row>
        <row r="139">
          <cell r="C139" t="str">
            <v>Pakistan International Airlines Corp</v>
          </cell>
        </row>
        <row r="140">
          <cell r="C140" t="str">
            <v>Philippine Airlines</v>
          </cell>
        </row>
        <row r="141">
          <cell r="C141" t="str">
            <v>Qantas Airways</v>
          </cell>
        </row>
        <row r="142">
          <cell r="C142" t="str">
            <v>Qatar Airways</v>
          </cell>
        </row>
        <row r="143">
          <cell r="C143" t="str">
            <v>QLP</v>
          </cell>
        </row>
        <row r="144">
          <cell r="C144" t="str">
            <v>Royal Air Maroc</v>
          </cell>
        </row>
        <row r="145">
          <cell r="C145" t="str">
            <v>Royal Jordanian</v>
          </cell>
        </row>
        <row r="146">
          <cell r="C146" t="str">
            <v>Ryanair</v>
          </cell>
        </row>
        <row r="147">
          <cell r="C147" t="str">
            <v>SAF</v>
          </cell>
        </row>
        <row r="148">
          <cell r="C148" t="str">
            <v>SASTRAP</v>
          </cell>
        </row>
        <row r="149">
          <cell r="C149" t="str">
            <v>Saudi Arabian Airlines</v>
          </cell>
        </row>
        <row r="150">
          <cell r="C150" t="str">
            <v>SFIT</v>
          </cell>
        </row>
        <row r="151">
          <cell r="C151" t="str">
            <v>Singapore Airlines</v>
          </cell>
        </row>
        <row r="152">
          <cell r="C152" t="str">
            <v>South African Airways</v>
          </cell>
        </row>
        <row r="153">
          <cell r="C153" t="str">
            <v>Synergy</v>
          </cell>
        </row>
        <row r="154">
          <cell r="C154" t="str">
            <v>TACA International Airlines</v>
          </cell>
        </row>
        <row r="155">
          <cell r="C155" t="str">
            <v>Tam Brasil</v>
          </cell>
        </row>
        <row r="156">
          <cell r="C156" t="str">
            <v>Thai Airways International</v>
          </cell>
        </row>
        <row r="157">
          <cell r="C157" t="str">
            <v>Thomas Cook</v>
          </cell>
        </row>
        <row r="158">
          <cell r="C158" t="str">
            <v>TUI AG</v>
          </cell>
        </row>
        <row r="159">
          <cell r="C159" t="str">
            <v>Tunis Air</v>
          </cell>
        </row>
        <row r="160">
          <cell r="C160" t="str">
            <v>Turk Hava Yollari</v>
          </cell>
        </row>
        <row r="161">
          <cell r="C161" t="str">
            <v>Varig</v>
          </cell>
        </row>
        <row r="162">
          <cell r="C162" t="str">
            <v>VASP</v>
          </cell>
        </row>
        <row r="163">
          <cell r="C163" t="str">
            <v>Vietnam Airlines</v>
          </cell>
        </row>
        <row r="164">
          <cell r="C164" t="str">
            <v>Virgin Atlantic Airways</v>
          </cell>
        </row>
        <row r="165">
          <cell r="C165" t="str">
            <v>Virgin Blue</v>
          </cell>
        </row>
        <row r="166">
          <cell r="C166" t="str">
            <v>Westjet Airlines</v>
          </cell>
        </row>
        <row r="167">
          <cell r="C167" t="str">
            <v>Air Wisconsin Airlines Corp</v>
          </cell>
        </row>
        <row r="168">
          <cell r="C168" t="str">
            <v>Airborne Express</v>
          </cell>
        </row>
        <row r="169">
          <cell r="C169" t="str">
            <v>AirTran Airways</v>
          </cell>
        </row>
        <row r="170">
          <cell r="C170" t="str">
            <v>Alaska Air Group</v>
          </cell>
        </row>
        <row r="171">
          <cell r="C171" t="str">
            <v>Aloha Airlines</v>
          </cell>
        </row>
        <row r="172">
          <cell r="C172" t="str">
            <v>America West Airlines</v>
          </cell>
        </row>
        <row r="173">
          <cell r="C173" t="str">
            <v>American Airlines</v>
          </cell>
        </row>
        <row r="174">
          <cell r="C174" t="str">
            <v>American Trans Air</v>
          </cell>
        </row>
        <row r="175">
          <cell r="C175" t="str">
            <v>Atlas Air</v>
          </cell>
        </row>
        <row r="176">
          <cell r="C176" t="str">
            <v>BAX Global</v>
          </cell>
        </row>
        <row r="177">
          <cell r="C177" t="str">
            <v>Chautauqua Airlines</v>
          </cell>
        </row>
        <row r="178">
          <cell r="C178" t="str">
            <v>Continental Airlines</v>
          </cell>
        </row>
        <row r="179">
          <cell r="C179" t="str">
            <v>Delta Air Lines</v>
          </cell>
        </row>
        <row r="180">
          <cell r="C180" t="str">
            <v>DHL International</v>
          </cell>
        </row>
        <row r="181">
          <cell r="C181" t="str">
            <v>Evergreen International Aviation</v>
          </cell>
        </row>
        <row r="182">
          <cell r="C182" t="str">
            <v>Fedex Corp</v>
          </cell>
        </row>
        <row r="183">
          <cell r="C183" t="str">
            <v>Frontier Airlines</v>
          </cell>
        </row>
        <row r="184">
          <cell r="C184" t="str">
            <v>Global Aviation Holdings</v>
          </cell>
        </row>
        <row r="185">
          <cell r="C185" t="str">
            <v>Hawaiian Airlines</v>
          </cell>
        </row>
        <row r="186">
          <cell r="C186" t="str">
            <v>Independence Air</v>
          </cell>
        </row>
        <row r="187">
          <cell r="C187" t="str">
            <v>Jetblue Airways Corp</v>
          </cell>
        </row>
        <row r="188">
          <cell r="C188" t="str">
            <v>Kitty Hawk</v>
          </cell>
        </row>
        <row r="189">
          <cell r="C189" t="str">
            <v>Mesa Air Group</v>
          </cell>
        </row>
        <row r="190">
          <cell r="C190" t="str">
            <v>Midwest Airlines</v>
          </cell>
        </row>
        <row r="191">
          <cell r="C191" t="str">
            <v>MN Airlines</v>
          </cell>
        </row>
        <row r="192">
          <cell r="C192" t="str">
            <v>Northwest/Continental Group</v>
          </cell>
        </row>
        <row r="193">
          <cell r="C193" t="str">
            <v>Pinnacle Airlines &amp; Colgan Air</v>
          </cell>
        </row>
        <row r="194">
          <cell r="C194" t="str">
            <v>Republic Airways</v>
          </cell>
        </row>
        <row r="195">
          <cell r="C195" t="str">
            <v>Ryan International Airlines</v>
          </cell>
        </row>
        <row r="196">
          <cell r="C196" t="str">
            <v>SkyWest Airlines</v>
          </cell>
        </row>
        <row r="197">
          <cell r="C197" t="str">
            <v>Southwest Airlines Company</v>
          </cell>
        </row>
        <row r="198">
          <cell r="C198" t="str">
            <v>Spirit Airlines</v>
          </cell>
        </row>
        <row r="199">
          <cell r="C199" t="str">
            <v>United Air Lines</v>
          </cell>
        </row>
        <row r="200">
          <cell r="C200" t="str">
            <v>United Continental Holdings</v>
          </cell>
        </row>
        <row r="201">
          <cell r="C201" t="str">
            <v>United Parcel Service</v>
          </cell>
        </row>
        <row r="202">
          <cell r="C202" t="str">
            <v>US Airways</v>
          </cell>
        </row>
        <row r="203">
          <cell r="C203" t="str">
            <v>Virgin America</v>
          </cell>
        </row>
        <row r="204">
          <cell r="C204" t="str">
            <v>World Airways</v>
          </cell>
        </row>
        <row r="205">
          <cell r="C205" t="str">
            <v>ABC Scheme</v>
          </cell>
        </row>
        <row r="206">
          <cell r="C206" t="str">
            <v>Aermacchi</v>
          </cell>
        </row>
        <row r="207">
          <cell r="C207" t="str">
            <v>Agusta/Westland</v>
          </cell>
        </row>
        <row r="208">
          <cell r="C208" t="str">
            <v>Alenia</v>
          </cell>
        </row>
        <row r="209">
          <cell r="C209" t="str">
            <v>ATR</v>
          </cell>
        </row>
        <row r="210">
          <cell r="C210" t="str">
            <v>Avio</v>
          </cell>
        </row>
        <row r="211">
          <cell r="C211" t="str">
            <v>BAA</v>
          </cell>
        </row>
        <row r="212">
          <cell r="C212" t="str">
            <v>BAE Systems</v>
          </cell>
        </row>
        <row r="213">
          <cell r="C213" t="str">
            <v>Boeing / MDC</v>
          </cell>
        </row>
        <row r="214">
          <cell r="C214" t="str">
            <v>Bombardier/Canadair/Learjet</v>
          </cell>
        </row>
        <row r="215">
          <cell r="C215" t="str">
            <v>Dassault Aviation</v>
          </cell>
        </row>
        <row r="216">
          <cell r="C216" t="str">
            <v>EADS</v>
          </cell>
        </row>
        <row r="217">
          <cell r="C217" t="str">
            <v>Embraer</v>
          </cell>
        </row>
        <row r="218">
          <cell r="C218" t="str">
            <v>Fairchild Corp</v>
          </cell>
        </row>
        <row r="219">
          <cell r="C219" t="str">
            <v>Finmeccanica</v>
          </cell>
        </row>
        <row r="220">
          <cell r="C220" t="str">
            <v>General Dynamics/ Gulfstream</v>
          </cell>
        </row>
        <row r="221">
          <cell r="C221" t="str">
            <v>General Electric / Gecas</v>
          </cell>
        </row>
        <row r="222">
          <cell r="C222" t="str">
            <v>General Motors</v>
          </cell>
        </row>
        <row r="223">
          <cell r="C223" t="str">
            <v>Goodrich Corp</v>
          </cell>
        </row>
        <row r="224">
          <cell r="C224" t="str">
            <v>Honeywell</v>
          </cell>
        </row>
        <row r="225">
          <cell r="C225" t="str">
            <v>Israel Aircraft Industrie</v>
          </cell>
        </row>
        <row r="226">
          <cell r="C226" t="str">
            <v>Labinal / Turbomecca</v>
          </cell>
        </row>
        <row r="227">
          <cell r="C227" t="str">
            <v>Lockheed Martin Corp</v>
          </cell>
        </row>
        <row r="228">
          <cell r="C228" t="str">
            <v>NATS</v>
          </cell>
        </row>
        <row r="229">
          <cell r="C229" t="str">
            <v>Northrop Grumman Corp</v>
          </cell>
        </row>
        <row r="230">
          <cell r="C230" t="str">
            <v>PANNJ</v>
          </cell>
        </row>
        <row r="231">
          <cell r="C231" t="str">
            <v>Parker Hannifin Corp</v>
          </cell>
        </row>
        <row r="232">
          <cell r="C232" t="str">
            <v>Raytheon Company</v>
          </cell>
        </row>
        <row r="233">
          <cell r="C233" t="str">
            <v>Rockwell Collins</v>
          </cell>
        </row>
        <row r="234">
          <cell r="C234" t="str">
            <v>Rolls Royce</v>
          </cell>
        </row>
        <row r="235">
          <cell r="C235" t="str">
            <v>Saab</v>
          </cell>
        </row>
        <row r="236">
          <cell r="C236" t="str">
            <v>Safran</v>
          </cell>
        </row>
        <row r="237">
          <cell r="C237" t="str">
            <v>SNECMA</v>
          </cell>
        </row>
        <row r="238">
          <cell r="C238" t="str">
            <v>Stork NV</v>
          </cell>
        </row>
        <row r="239">
          <cell r="C239" t="str">
            <v>Teledyne Technologies</v>
          </cell>
        </row>
        <row r="240">
          <cell r="C240" t="str">
            <v>Textron</v>
          </cell>
        </row>
        <row r="241">
          <cell r="C241" t="str">
            <v>United Technologies</v>
          </cell>
        </row>
        <row r="251">
          <cell r="C251" t="str">
            <v>AED</v>
          </cell>
        </row>
        <row r="252">
          <cell r="C252" t="str">
            <v>AFN</v>
          </cell>
        </row>
        <row r="253">
          <cell r="C253" t="str">
            <v>ALL</v>
          </cell>
        </row>
        <row r="254">
          <cell r="C254" t="str">
            <v>AMD</v>
          </cell>
        </row>
        <row r="255">
          <cell r="C255" t="str">
            <v>ARS</v>
          </cell>
        </row>
        <row r="256">
          <cell r="C256" t="str">
            <v>AUD</v>
          </cell>
        </row>
        <row r="257">
          <cell r="C257" t="str">
            <v>AZN</v>
          </cell>
        </row>
        <row r="258">
          <cell r="C258" t="str">
            <v>BBD</v>
          </cell>
        </row>
        <row r="259">
          <cell r="C259" t="str">
            <v>BDT</v>
          </cell>
        </row>
        <row r="260">
          <cell r="C260" t="str">
            <v>BGN</v>
          </cell>
        </row>
        <row r="261">
          <cell r="C261" t="str">
            <v>BHD</v>
          </cell>
        </row>
        <row r="262">
          <cell r="C262" t="str">
            <v>BMD</v>
          </cell>
        </row>
        <row r="263">
          <cell r="C263" t="str">
            <v>BND</v>
          </cell>
        </row>
        <row r="264">
          <cell r="C264" t="str">
            <v>BRL</v>
          </cell>
        </row>
        <row r="265">
          <cell r="C265" t="str">
            <v>BSD</v>
          </cell>
        </row>
        <row r="266">
          <cell r="C266" t="str">
            <v>BWP</v>
          </cell>
        </row>
        <row r="267">
          <cell r="C267" t="str">
            <v>BZD</v>
          </cell>
        </row>
        <row r="268">
          <cell r="C268" t="str">
            <v>CAD</v>
          </cell>
        </row>
        <row r="269">
          <cell r="C269" t="str">
            <v>CHF</v>
          </cell>
        </row>
        <row r="270">
          <cell r="C270" t="str">
            <v>CLP</v>
          </cell>
        </row>
        <row r="271">
          <cell r="C271" t="str">
            <v>CNY</v>
          </cell>
        </row>
        <row r="272">
          <cell r="C272" t="str">
            <v>COP</v>
          </cell>
        </row>
        <row r="273">
          <cell r="C273" t="str">
            <v>CRC</v>
          </cell>
        </row>
        <row r="274">
          <cell r="C274" t="str">
            <v>CZK</v>
          </cell>
        </row>
        <row r="275">
          <cell r="C275" t="str">
            <v>DKK</v>
          </cell>
        </row>
        <row r="276">
          <cell r="C276" t="str">
            <v>DOP</v>
          </cell>
        </row>
        <row r="277">
          <cell r="C277" t="str">
            <v>DZD</v>
          </cell>
        </row>
        <row r="278">
          <cell r="C278" t="str">
            <v>EGP</v>
          </cell>
        </row>
        <row r="279">
          <cell r="C279" t="str">
            <v>EUR</v>
          </cell>
        </row>
        <row r="280">
          <cell r="C280" t="str">
            <v>FJD</v>
          </cell>
        </row>
        <row r="281">
          <cell r="C281" t="str">
            <v>GBP</v>
          </cell>
        </row>
        <row r="282">
          <cell r="C282" t="str">
            <v>GEL</v>
          </cell>
        </row>
        <row r="283">
          <cell r="C283" t="str">
            <v>GTQ</v>
          </cell>
        </row>
        <row r="284">
          <cell r="C284" t="str">
            <v>HKD</v>
          </cell>
        </row>
        <row r="285">
          <cell r="C285" t="str">
            <v>HRK</v>
          </cell>
        </row>
        <row r="286">
          <cell r="C286" t="str">
            <v>HUF</v>
          </cell>
        </row>
        <row r="287">
          <cell r="C287" t="str">
            <v>IDR</v>
          </cell>
        </row>
        <row r="288">
          <cell r="C288" t="str">
            <v>ILS</v>
          </cell>
        </row>
        <row r="289">
          <cell r="C289" t="str">
            <v>INR</v>
          </cell>
        </row>
        <row r="290">
          <cell r="C290" t="str">
            <v>IQD</v>
          </cell>
        </row>
        <row r="291">
          <cell r="C291" t="str">
            <v>IRR</v>
          </cell>
        </row>
        <row r="292">
          <cell r="C292" t="str">
            <v>ISK</v>
          </cell>
        </row>
        <row r="293">
          <cell r="C293" t="str">
            <v>JMD</v>
          </cell>
        </row>
        <row r="294">
          <cell r="C294" t="str">
            <v>JOD</v>
          </cell>
        </row>
        <row r="295">
          <cell r="C295" t="str">
            <v>JPY</v>
          </cell>
        </row>
        <row r="296">
          <cell r="C296" t="str">
            <v>KES</v>
          </cell>
        </row>
        <row r="297">
          <cell r="C297" t="str">
            <v>KRW</v>
          </cell>
        </row>
        <row r="298">
          <cell r="C298" t="str">
            <v>KWD</v>
          </cell>
        </row>
        <row r="299">
          <cell r="C299" t="str">
            <v>KYD</v>
          </cell>
        </row>
        <row r="300">
          <cell r="C300" t="str">
            <v>KZT</v>
          </cell>
        </row>
        <row r="301">
          <cell r="C301" t="str">
            <v>LAK</v>
          </cell>
        </row>
        <row r="302">
          <cell r="C302" t="str">
            <v>LBP</v>
          </cell>
        </row>
        <row r="303">
          <cell r="C303" t="str">
            <v>LKR</v>
          </cell>
        </row>
        <row r="304">
          <cell r="C304" t="str">
            <v>LSL</v>
          </cell>
        </row>
        <row r="305">
          <cell r="C305" t="str">
            <v>LVL</v>
          </cell>
        </row>
        <row r="306">
          <cell r="C306" t="str">
            <v>MAD</v>
          </cell>
        </row>
        <row r="307">
          <cell r="C307" t="str">
            <v>MNT</v>
          </cell>
        </row>
        <row r="308">
          <cell r="C308" t="str">
            <v>MOP</v>
          </cell>
        </row>
        <row r="309">
          <cell r="C309" t="str">
            <v>MRO</v>
          </cell>
        </row>
        <row r="310">
          <cell r="C310" t="str">
            <v>MUR</v>
          </cell>
        </row>
        <row r="311">
          <cell r="C311" t="str">
            <v>MXN</v>
          </cell>
        </row>
        <row r="312">
          <cell r="C312" t="str">
            <v>MYR</v>
          </cell>
        </row>
        <row r="313">
          <cell r="C313" t="str">
            <v>NAD</v>
          </cell>
        </row>
        <row r="314">
          <cell r="C314" t="str">
            <v>NOK</v>
          </cell>
        </row>
        <row r="315">
          <cell r="C315" t="str">
            <v>NPR</v>
          </cell>
        </row>
        <row r="316">
          <cell r="C316" t="str">
            <v>NZD</v>
          </cell>
        </row>
        <row r="317">
          <cell r="C317" t="str">
            <v>OMR</v>
          </cell>
        </row>
        <row r="318">
          <cell r="C318" t="str">
            <v>PAB</v>
          </cell>
        </row>
        <row r="319">
          <cell r="C319" t="str">
            <v>PEN</v>
          </cell>
        </row>
        <row r="320">
          <cell r="C320" t="str">
            <v>PGK</v>
          </cell>
        </row>
        <row r="321">
          <cell r="C321" t="str">
            <v>PHP</v>
          </cell>
        </row>
        <row r="322">
          <cell r="C322" t="str">
            <v>PKR</v>
          </cell>
        </row>
        <row r="323">
          <cell r="C323" t="str">
            <v>PLN</v>
          </cell>
        </row>
        <row r="324">
          <cell r="C324" t="str">
            <v>QAR</v>
          </cell>
        </row>
        <row r="325">
          <cell r="C325" t="str">
            <v>RON</v>
          </cell>
        </row>
        <row r="326">
          <cell r="C326" t="str">
            <v>RUB</v>
          </cell>
        </row>
        <row r="327">
          <cell r="C327" t="str">
            <v>SAR</v>
          </cell>
        </row>
        <row r="328">
          <cell r="C328" t="str">
            <v>SDG</v>
          </cell>
        </row>
        <row r="329">
          <cell r="C329" t="str">
            <v>SEK</v>
          </cell>
        </row>
        <row r="330">
          <cell r="C330" t="str">
            <v>SGD</v>
          </cell>
        </row>
        <row r="331">
          <cell r="C331" t="str">
            <v>SZL</v>
          </cell>
        </row>
        <row r="332">
          <cell r="C332" t="str">
            <v>THB</v>
          </cell>
        </row>
        <row r="333">
          <cell r="C333" t="str">
            <v>TND</v>
          </cell>
        </row>
        <row r="334">
          <cell r="C334" t="str">
            <v>TRY</v>
          </cell>
        </row>
        <row r="335">
          <cell r="C335" t="str">
            <v>TTD</v>
          </cell>
        </row>
        <row r="336">
          <cell r="C336" t="str">
            <v>TWD</v>
          </cell>
        </row>
        <row r="337">
          <cell r="C337" t="str">
            <v>UAH</v>
          </cell>
        </row>
        <row r="338">
          <cell r="C338" t="str">
            <v>UGX</v>
          </cell>
        </row>
        <row r="339">
          <cell r="C339" t="str">
            <v>USD</v>
          </cell>
        </row>
        <row r="340">
          <cell r="C340" t="str">
            <v>UZS</v>
          </cell>
        </row>
        <row r="341">
          <cell r="C341" t="str">
            <v>VEB</v>
          </cell>
        </row>
        <row r="342">
          <cell r="C342" t="str">
            <v>VEF</v>
          </cell>
        </row>
        <row r="343">
          <cell r="C343" t="str">
            <v>VND</v>
          </cell>
        </row>
        <row r="344">
          <cell r="C344" t="str">
            <v>XAF</v>
          </cell>
        </row>
        <row r="345">
          <cell r="C345" t="str">
            <v>XAG</v>
          </cell>
        </row>
        <row r="346">
          <cell r="C346" t="str">
            <v>XAU</v>
          </cell>
        </row>
        <row r="347">
          <cell r="C347" t="str">
            <v>XCD</v>
          </cell>
        </row>
        <row r="348">
          <cell r="C348" t="str">
            <v>XDR</v>
          </cell>
        </row>
        <row r="349">
          <cell r="C349" t="str">
            <v>XOF</v>
          </cell>
        </row>
        <row r="350">
          <cell r="C350" t="str">
            <v>XPD</v>
          </cell>
        </row>
        <row r="351">
          <cell r="C351" t="str">
            <v>XPF</v>
          </cell>
        </row>
        <row r="352">
          <cell r="C352" t="str">
            <v>XPT</v>
          </cell>
        </row>
        <row r="353">
          <cell r="C353" t="str">
            <v>ZAR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Template">
      <a:dk1>
        <a:srgbClr val="000000"/>
      </a:dk1>
      <a:lt1>
        <a:srgbClr val="FFFFFF"/>
      </a:lt1>
      <a:dk2>
        <a:srgbClr val="E11B22"/>
      </a:dk2>
      <a:lt2>
        <a:srgbClr val="4D4F53"/>
      </a:lt2>
      <a:accent1>
        <a:srgbClr val="F0AB00"/>
      </a:accent1>
      <a:accent2>
        <a:srgbClr val="7AB800"/>
      </a:accent2>
      <a:accent3>
        <a:srgbClr val="5EB6E4"/>
      </a:accent3>
      <a:accent4>
        <a:srgbClr val="0083A9"/>
      </a:accent4>
      <a:accent5>
        <a:srgbClr val="6E267B"/>
      </a:accent5>
      <a:accent6>
        <a:srgbClr val="D3CD8B"/>
      </a:accent6>
      <a:hlink>
        <a:srgbClr val="0083A9"/>
      </a:hlink>
      <a:folHlink>
        <a:srgbClr val="E11B2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6CC06-C178-42AA-8AC6-9C4324DB8111}">
  <sheetPr>
    <pageSetUpPr fitToPage="1"/>
  </sheetPr>
  <dimension ref="A1:R326"/>
  <sheetViews>
    <sheetView showGridLines="0" tabSelected="1" view="pageBreakPreview" zoomScale="70" zoomScaleNormal="60" zoomScaleSheetLayoutView="70" workbookViewId="0">
      <selection sqref="A1:R1"/>
    </sheetView>
  </sheetViews>
  <sheetFormatPr defaultRowHeight="13.2"/>
  <cols>
    <col min="1" max="1" width="3.33203125" customWidth="1"/>
    <col min="2" max="2" width="32.33203125" bestFit="1" customWidth="1"/>
    <col min="3" max="4" width="10.33203125" bestFit="1" customWidth="1"/>
    <col min="5" max="5" width="11.33203125" customWidth="1"/>
    <col min="6" max="6" width="5.33203125" bestFit="1" customWidth="1"/>
    <col min="7" max="7" width="14.88671875" bestFit="1" customWidth="1"/>
    <col min="8" max="8" width="7.88671875" bestFit="1" customWidth="1"/>
    <col min="9" max="9" width="9" bestFit="1" customWidth="1"/>
    <col min="10" max="10" width="0" hidden="1" customWidth="1"/>
    <col min="11" max="11" width="5.6640625" bestFit="1" customWidth="1"/>
    <col min="12" max="12" width="5.33203125" bestFit="1" customWidth="1"/>
    <col min="13" max="14" width="13.5546875" bestFit="1" customWidth="1"/>
    <col min="15" max="15" width="9.109375" customWidth="1"/>
    <col min="16" max="16" width="8.88671875" hidden="1" customWidth="1"/>
    <col min="17" max="17" width="5.6640625" bestFit="1" customWidth="1"/>
    <col min="18" max="18" width="6.109375" customWidth="1"/>
  </cols>
  <sheetData>
    <row r="1" spans="1:18" ht="21">
      <c r="A1" s="114" t="s">
        <v>168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6"/>
    </row>
    <row r="2" spans="1:18" hidden="1">
      <c r="A2" s="48" t="s">
        <v>82</v>
      </c>
      <c r="B2" s="49"/>
      <c r="C2" s="50"/>
      <c r="D2" s="50"/>
      <c r="E2" s="50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2"/>
    </row>
    <row r="3" spans="1:18" ht="18" thickBot="1">
      <c r="A3" s="117" t="s">
        <v>304</v>
      </c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9"/>
    </row>
    <row r="4" spans="1:18" ht="15.6">
      <c r="A4" s="24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</row>
    <row r="5" spans="1:18" ht="15.6" hidden="1">
      <c r="A5" s="24" t="s">
        <v>81</v>
      </c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</row>
    <row r="6" spans="1:18" ht="13.8">
      <c r="A6" s="120" t="s">
        <v>138</v>
      </c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</row>
    <row r="7" spans="1:18" ht="13.8">
      <c r="A7" s="113" t="s">
        <v>139</v>
      </c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</row>
    <row r="8" spans="1:18" ht="13.8">
      <c r="A8" s="113" t="s">
        <v>6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</row>
    <row r="9" spans="1:18" ht="13.8">
      <c r="A9" s="113" t="s">
        <v>140</v>
      </c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</row>
    <row r="10" spans="1:18" ht="13.8">
      <c r="A10" s="74" t="s">
        <v>141</v>
      </c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</row>
    <row r="11" spans="1:18" ht="13.8">
      <c r="A11" s="113" t="s">
        <v>10</v>
      </c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</row>
    <row r="12" spans="1:18" ht="15.6">
      <c r="A12" s="3"/>
      <c r="B12" s="4"/>
      <c r="C12" s="5"/>
      <c r="D12" s="5"/>
      <c r="E12" s="5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1"/>
    </row>
    <row r="13" spans="1:18" ht="79.95" customHeight="1">
      <c r="A13" s="53" t="s">
        <v>11</v>
      </c>
      <c r="B13" s="54" t="s">
        <v>12</v>
      </c>
      <c r="C13" s="55" t="s">
        <v>13</v>
      </c>
      <c r="D13" s="55" t="s">
        <v>14</v>
      </c>
      <c r="E13" s="55" t="s">
        <v>91</v>
      </c>
      <c r="F13" s="55" t="s">
        <v>15</v>
      </c>
      <c r="G13" s="55" t="s">
        <v>16</v>
      </c>
      <c r="H13" s="55" t="s">
        <v>17</v>
      </c>
      <c r="I13" s="55" t="s">
        <v>18</v>
      </c>
      <c r="J13" s="55" t="s">
        <v>162</v>
      </c>
      <c r="K13" s="56" t="s">
        <v>19</v>
      </c>
      <c r="L13" s="55" t="s">
        <v>15</v>
      </c>
      <c r="M13" s="55" t="s">
        <v>20</v>
      </c>
      <c r="N13" s="55" t="s">
        <v>21</v>
      </c>
      <c r="O13" s="55" t="s">
        <v>18</v>
      </c>
      <c r="P13" s="55" t="s">
        <v>163</v>
      </c>
      <c r="Q13" s="56" t="s">
        <v>19</v>
      </c>
      <c r="R13" s="56" t="s">
        <v>164</v>
      </c>
    </row>
    <row r="14" spans="1:18" ht="39.6" hidden="1">
      <c r="A14" s="28" t="s">
        <v>22</v>
      </c>
      <c r="B14" s="28" t="s">
        <v>12</v>
      </c>
      <c r="C14" s="29" t="s">
        <v>13</v>
      </c>
      <c r="D14" s="29" t="s">
        <v>14</v>
      </c>
      <c r="E14" s="29" t="s">
        <v>91</v>
      </c>
      <c r="F14" s="29" t="s">
        <v>108</v>
      </c>
      <c r="G14" s="30" t="s">
        <v>109</v>
      </c>
      <c r="H14" s="30" t="s">
        <v>110</v>
      </c>
      <c r="I14" s="29" t="s">
        <v>111</v>
      </c>
      <c r="J14" s="29" t="s">
        <v>165</v>
      </c>
      <c r="K14" s="29" t="s">
        <v>112</v>
      </c>
      <c r="L14" s="29" t="s">
        <v>113</v>
      </c>
      <c r="M14" s="29" t="s">
        <v>114</v>
      </c>
      <c r="N14" s="29" t="s">
        <v>115</v>
      </c>
      <c r="O14" s="29" t="s">
        <v>116</v>
      </c>
      <c r="P14" s="28" t="s">
        <v>166</v>
      </c>
      <c r="Q14" s="28" t="s">
        <v>117</v>
      </c>
      <c r="R14" s="1"/>
    </row>
    <row r="15" spans="1:18">
      <c r="A15" s="31" t="s">
        <v>23</v>
      </c>
      <c r="B15" s="32" t="s">
        <v>94</v>
      </c>
      <c r="C15" s="62">
        <v>43641</v>
      </c>
      <c r="D15" s="62">
        <v>44006</v>
      </c>
      <c r="E15" s="62">
        <v>43641</v>
      </c>
      <c r="F15" s="33" t="s">
        <v>25</v>
      </c>
      <c r="G15" s="63">
        <v>85000000</v>
      </c>
      <c r="H15" s="63">
        <v>0</v>
      </c>
      <c r="I15" s="64">
        <v>10</v>
      </c>
      <c r="J15" s="65"/>
      <c r="K15" s="66" t="s">
        <v>93</v>
      </c>
      <c r="L15" s="31" t="s">
        <v>25</v>
      </c>
      <c r="M15" s="63">
        <v>750000000</v>
      </c>
      <c r="N15" s="63">
        <v>0</v>
      </c>
      <c r="O15" s="67">
        <v>10</v>
      </c>
      <c r="P15" s="66"/>
      <c r="Q15" s="66" t="s">
        <v>93</v>
      </c>
      <c r="R15" s="34"/>
    </row>
    <row r="16" spans="1:18">
      <c r="A16" s="31" t="s">
        <v>23</v>
      </c>
      <c r="B16" s="32" t="s">
        <v>94</v>
      </c>
      <c r="C16" s="62">
        <v>44007</v>
      </c>
      <c r="D16" s="62">
        <v>44371</v>
      </c>
      <c r="E16" s="62">
        <v>44007</v>
      </c>
      <c r="F16" s="33" t="s">
        <v>25</v>
      </c>
      <c r="G16" s="63">
        <v>110000000</v>
      </c>
      <c r="H16" s="63">
        <v>0</v>
      </c>
      <c r="I16" s="64">
        <v>10</v>
      </c>
      <c r="J16" s="65"/>
      <c r="K16" s="66" t="s">
        <v>93</v>
      </c>
      <c r="L16" s="31" t="s">
        <v>25</v>
      </c>
      <c r="M16" s="63">
        <v>750000000</v>
      </c>
      <c r="N16" s="63">
        <v>0</v>
      </c>
      <c r="O16" s="67">
        <v>10</v>
      </c>
      <c r="P16" s="66"/>
      <c r="Q16" s="66" t="s">
        <v>93</v>
      </c>
      <c r="R16" s="34"/>
    </row>
    <row r="17" spans="1:18">
      <c r="A17" s="31" t="s">
        <v>23</v>
      </c>
      <c r="B17" s="32" t="s">
        <v>94</v>
      </c>
      <c r="C17" s="62">
        <v>44372</v>
      </c>
      <c r="D17" s="62">
        <v>44736</v>
      </c>
      <c r="E17" s="62">
        <v>44372</v>
      </c>
      <c r="F17" s="33" t="s">
        <v>25</v>
      </c>
      <c r="G17" s="63">
        <v>110000000</v>
      </c>
      <c r="H17" s="63">
        <v>0</v>
      </c>
      <c r="I17" s="64">
        <v>12.5</v>
      </c>
      <c r="J17" s="65"/>
      <c r="K17" s="66" t="s">
        <v>93</v>
      </c>
      <c r="L17" s="31" t="s">
        <v>25</v>
      </c>
      <c r="M17" s="63">
        <v>750000000</v>
      </c>
      <c r="N17" s="63">
        <v>0</v>
      </c>
      <c r="O17" s="67">
        <v>12.5</v>
      </c>
      <c r="P17" s="66"/>
      <c r="Q17" s="66" t="s">
        <v>93</v>
      </c>
      <c r="R17" s="34"/>
    </row>
    <row r="18" spans="1:18">
      <c r="A18" s="31" t="s">
        <v>23</v>
      </c>
      <c r="B18" s="32" t="s">
        <v>24</v>
      </c>
      <c r="C18" s="62">
        <v>43648</v>
      </c>
      <c r="D18" s="62">
        <v>44013</v>
      </c>
      <c r="E18" s="62">
        <v>43648</v>
      </c>
      <c r="F18" s="33" t="s">
        <v>25</v>
      </c>
      <c r="G18" s="63">
        <v>175000000</v>
      </c>
      <c r="H18" s="63">
        <v>0</v>
      </c>
      <c r="I18" s="64">
        <v>0</v>
      </c>
      <c r="J18" s="65"/>
      <c r="K18" s="66" t="s">
        <v>93</v>
      </c>
      <c r="L18" s="31" t="s">
        <v>25</v>
      </c>
      <c r="M18" s="63">
        <v>1000000000</v>
      </c>
      <c r="N18" s="63">
        <v>0</v>
      </c>
      <c r="O18" s="67">
        <v>0</v>
      </c>
      <c r="P18" s="66"/>
      <c r="Q18" s="66" t="s">
        <v>93</v>
      </c>
      <c r="R18" s="34"/>
    </row>
    <row r="19" spans="1:18">
      <c r="A19" s="31" t="s">
        <v>23</v>
      </c>
      <c r="B19" s="32" t="s">
        <v>24</v>
      </c>
      <c r="C19" s="62">
        <v>44014</v>
      </c>
      <c r="D19" s="62">
        <v>44470</v>
      </c>
      <c r="E19" s="62">
        <v>44014</v>
      </c>
      <c r="F19" s="33" t="s">
        <v>25</v>
      </c>
      <c r="G19" s="63">
        <v>250000000</v>
      </c>
      <c r="H19" s="63">
        <v>0</v>
      </c>
      <c r="I19" s="64">
        <v>7.57</v>
      </c>
      <c r="J19" s="65"/>
      <c r="K19" s="66" t="s">
        <v>93</v>
      </c>
      <c r="L19" s="31" t="s">
        <v>25</v>
      </c>
      <c r="M19" s="63">
        <v>1250000000</v>
      </c>
      <c r="N19" s="63">
        <v>0</v>
      </c>
      <c r="O19" s="67">
        <v>7.57</v>
      </c>
      <c r="P19" s="66"/>
      <c r="Q19" s="66" t="s">
        <v>93</v>
      </c>
      <c r="R19" s="34"/>
    </row>
    <row r="20" spans="1:18">
      <c r="A20" s="31" t="s">
        <v>23</v>
      </c>
      <c r="B20" s="32" t="s">
        <v>24</v>
      </c>
      <c r="C20" s="62">
        <v>44471</v>
      </c>
      <c r="D20" s="62">
        <v>44742</v>
      </c>
      <c r="E20" s="62">
        <v>44471</v>
      </c>
      <c r="F20" s="33" t="s">
        <v>25</v>
      </c>
      <c r="G20" s="63">
        <v>250000000</v>
      </c>
      <c r="H20" s="63">
        <v>0</v>
      </c>
      <c r="I20" s="64">
        <v>7.57</v>
      </c>
      <c r="J20" s="65"/>
      <c r="K20" s="66" t="s">
        <v>93</v>
      </c>
      <c r="L20" s="31" t="s">
        <v>25</v>
      </c>
      <c r="M20" s="63">
        <v>1250000000</v>
      </c>
      <c r="N20" s="63">
        <v>0</v>
      </c>
      <c r="O20" s="67">
        <v>7.57</v>
      </c>
      <c r="P20" s="66"/>
      <c r="Q20" s="66" t="s">
        <v>93</v>
      </c>
      <c r="R20" s="34"/>
    </row>
    <row r="21" spans="1:18">
      <c r="A21" s="31" t="s">
        <v>23</v>
      </c>
      <c r="B21" s="32" t="s">
        <v>92</v>
      </c>
      <c r="C21" s="62">
        <v>43739</v>
      </c>
      <c r="D21" s="62">
        <v>44104</v>
      </c>
      <c r="E21" s="62">
        <v>43739</v>
      </c>
      <c r="F21" s="33" t="s">
        <v>25</v>
      </c>
      <c r="G21" s="63">
        <v>155000000</v>
      </c>
      <c r="H21" s="63">
        <v>0</v>
      </c>
      <c r="I21" s="64">
        <v>5.2489999999999997</v>
      </c>
      <c r="J21" s="65"/>
      <c r="K21" s="66" t="s">
        <v>93</v>
      </c>
      <c r="L21" s="31" t="s">
        <v>25</v>
      </c>
      <c r="M21" s="63">
        <v>1750000000</v>
      </c>
      <c r="N21" s="63">
        <v>0</v>
      </c>
      <c r="O21" s="67">
        <v>5.2489999999999997</v>
      </c>
      <c r="P21" s="66"/>
      <c r="Q21" s="66" t="s">
        <v>93</v>
      </c>
      <c r="R21" s="34"/>
    </row>
    <row r="22" spans="1:18">
      <c r="A22" s="31" t="s">
        <v>23</v>
      </c>
      <c r="B22" s="32" t="s">
        <v>92</v>
      </c>
      <c r="C22" s="62">
        <v>44105</v>
      </c>
      <c r="D22" s="62">
        <v>44469</v>
      </c>
      <c r="E22" s="62">
        <v>44105</v>
      </c>
      <c r="F22" s="33" t="s">
        <v>25</v>
      </c>
      <c r="G22" s="63">
        <v>155000000</v>
      </c>
      <c r="H22" s="63">
        <v>0</v>
      </c>
      <c r="I22" s="64">
        <v>5.24</v>
      </c>
      <c r="J22" s="65"/>
      <c r="K22" s="66" t="s">
        <v>93</v>
      </c>
      <c r="L22" s="31" t="s">
        <v>25</v>
      </c>
      <c r="M22" s="63">
        <v>1750000000</v>
      </c>
      <c r="N22" s="63">
        <v>0</v>
      </c>
      <c r="O22" s="67">
        <v>5.24</v>
      </c>
      <c r="P22" s="66"/>
      <c r="Q22" s="66" t="s">
        <v>93</v>
      </c>
      <c r="R22" s="34"/>
    </row>
    <row r="23" spans="1:18">
      <c r="A23" s="31" t="s">
        <v>23</v>
      </c>
      <c r="B23" s="32" t="s">
        <v>92</v>
      </c>
      <c r="C23" s="62">
        <v>44470</v>
      </c>
      <c r="D23" s="62">
        <v>44834</v>
      </c>
      <c r="E23" s="62">
        <v>44470</v>
      </c>
      <c r="F23" s="33" t="s">
        <v>25</v>
      </c>
      <c r="G23" s="63">
        <v>155000000</v>
      </c>
      <c r="H23" s="63">
        <v>0</v>
      </c>
      <c r="I23" s="64">
        <v>7.24</v>
      </c>
      <c r="J23" s="65"/>
      <c r="K23" s="66" t="s">
        <v>93</v>
      </c>
      <c r="L23" s="31" t="s">
        <v>25</v>
      </c>
      <c r="M23" s="63">
        <v>1750000000</v>
      </c>
      <c r="N23" s="63">
        <v>0</v>
      </c>
      <c r="O23" s="67">
        <v>7.24</v>
      </c>
      <c r="P23" s="66"/>
      <c r="Q23" s="66" t="s">
        <v>93</v>
      </c>
      <c r="R23" s="34"/>
    </row>
    <row r="24" spans="1:18">
      <c r="A24" s="31" t="s">
        <v>23</v>
      </c>
      <c r="B24" s="32" t="s">
        <v>86</v>
      </c>
      <c r="C24" s="62">
        <v>43800</v>
      </c>
      <c r="D24" s="62">
        <v>44165</v>
      </c>
      <c r="E24" s="62">
        <v>43800</v>
      </c>
      <c r="F24" s="33" t="s">
        <v>25</v>
      </c>
      <c r="G24" s="63">
        <v>252000000</v>
      </c>
      <c r="H24" s="63">
        <v>0</v>
      </c>
      <c r="I24" s="64">
        <v>4</v>
      </c>
      <c r="J24" s="65"/>
      <c r="K24" s="66" t="s">
        <v>93</v>
      </c>
      <c r="L24" s="31" t="s">
        <v>25</v>
      </c>
      <c r="M24" s="63">
        <v>1500000000</v>
      </c>
      <c r="N24" s="63">
        <v>0</v>
      </c>
      <c r="O24" s="67">
        <v>4</v>
      </c>
      <c r="P24" s="66"/>
      <c r="Q24" s="66" t="s">
        <v>93</v>
      </c>
      <c r="R24" s="34"/>
    </row>
    <row r="25" spans="1:18">
      <c r="A25" s="31" t="s">
        <v>23</v>
      </c>
      <c r="B25" s="32" t="s">
        <v>86</v>
      </c>
      <c r="C25" s="62">
        <v>44166</v>
      </c>
      <c r="D25" s="62">
        <v>44530</v>
      </c>
      <c r="E25" s="62">
        <v>44166</v>
      </c>
      <c r="F25" s="33" t="s">
        <v>25</v>
      </c>
      <c r="G25" s="63">
        <v>252000000</v>
      </c>
      <c r="H25" s="63">
        <v>0</v>
      </c>
      <c r="I25" s="64">
        <v>5.15</v>
      </c>
      <c r="J25" s="65"/>
      <c r="K25" s="66" t="s">
        <v>93</v>
      </c>
      <c r="L25" s="31" t="s">
        <v>25</v>
      </c>
      <c r="M25" s="63">
        <v>1500000000</v>
      </c>
      <c r="N25" s="63">
        <v>0</v>
      </c>
      <c r="O25" s="67">
        <v>5.15</v>
      </c>
      <c r="P25" s="66"/>
      <c r="Q25" s="66" t="s">
        <v>93</v>
      </c>
      <c r="R25" s="34"/>
    </row>
    <row r="26" spans="1:18">
      <c r="A26" s="31" t="s">
        <v>23</v>
      </c>
      <c r="B26" s="32" t="s">
        <v>86</v>
      </c>
      <c r="C26" s="62">
        <v>44531</v>
      </c>
      <c r="D26" s="62">
        <v>44895</v>
      </c>
      <c r="E26" s="62">
        <v>44531</v>
      </c>
      <c r="F26" s="33" t="s">
        <v>25</v>
      </c>
      <c r="G26" s="63">
        <v>247500000</v>
      </c>
      <c r="H26" s="63">
        <v>0</v>
      </c>
      <c r="I26" s="64">
        <v>7.15</v>
      </c>
      <c r="J26" s="65"/>
      <c r="K26" s="66" t="s">
        <v>93</v>
      </c>
      <c r="L26" s="31" t="s">
        <v>25</v>
      </c>
      <c r="M26" s="63">
        <v>1500000000</v>
      </c>
      <c r="N26" s="63">
        <v>0</v>
      </c>
      <c r="O26" s="67">
        <v>7.15</v>
      </c>
      <c r="P26" s="66"/>
      <c r="Q26" s="66" t="s">
        <v>93</v>
      </c>
      <c r="R26" s="34"/>
    </row>
    <row r="27" spans="1:18">
      <c r="A27" s="31" t="s">
        <v>23</v>
      </c>
      <c r="B27" s="32" t="s">
        <v>26</v>
      </c>
      <c r="C27" s="62">
        <v>43800</v>
      </c>
      <c r="D27" s="62">
        <v>44165</v>
      </c>
      <c r="E27" s="62">
        <v>43800</v>
      </c>
      <c r="F27" s="33" t="s">
        <v>25</v>
      </c>
      <c r="G27" s="63">
        <v>200000000</v>
      </c>
      <c r="H27" s="63">
        <v>0</v>
      </c>
      <c r="I27" s="64">
        <v>5</v>
      </c>
      <c r="J27" s="65"/>
      <c r="K27" s="66" t="s">
        <v>93</v>
      </c>
      <c r="L27" s="31" t="s">
        <v>25</v>
      </c>
      <c r="M27" s="63">
        <v>1000000000</v>
      </c>
      <c r="N27" s="63">
        <v>0</v>
      </c>
      <c r="O27" s="67">
        <v>5</v>
      </c>
      <c r="P27" s="66"/>
      <c r="Q27" s="66" t="s">
        <v>93</v>
      </c>
      <c r="R27" s="34"/>
    </row>
    <row r="28" spans="1:18">
      <c r="A28" s="31" t="s">
        <v>23</v>
      </c>
      <c r="B28" s="32" t="s">
        <v>26</v>
      </c>
      <c r="C28" s="62">
        <v>44166</v>
      </c>
      <c r="D28" s="62">
        <v>44530</v>
      </c>
      <c r="E28" s="62">
        <v>44166</v>
      </c>
      <c r="F28" s="33" t="s">
        <v>25</v>
      </c>
      <c r="G28" s="63">
        <v>200000000</v>
      </c>
      <c r="H28" s="63">
        <v>0</v>
      </c>
      <c r="I28" s="64">
        <v>5</v>
      </c>
      <c r="J28" s="65"/>
      <c r="K28" s="66" t="s">
        <v>93</v>
      </c>
      <c r="L28" s="31" t="s">
        <v>25</v>
      </c>
      <c r="M28" s="63">
        <v>1000000000</v>
      </c>
      <c r="N28" s="63">
        <v>0</v>
      </c>
      <c r="O28" s="67">
        <v>5</v>
      </c>
      <c r="P28" s="66"/>
      <c r="Q28" s="66" t="s">
        <v>93</v>
      </c>
      <c r="R28" s="34"/>
    </row>
    <row r="29" spans="1:18">
      <c r="A29" s="31" t="s">
        <v>23</v>
      </c>
      <c r="B29" s="32" t="s">
        <v>26</v>
      </c>
      <c r="C29" s="62">
        <v>44531</v>
      </c>
      <c r="D29" s="62">
        <v>44895</v>
      </c>
      <c r="E29" s="62">
        <v>44531</v>
      </c>
      <c r="F29" s="33" t="s">
        <v>25</v>
      </c>
      <c r="G29" s="63">
        <v>200000000</v>
      </c>
      <c r="H29" s="63">
        <v>0</v>
      </c>
      <c r="I29" s="64">
        <v>0</v>
      </c>
      <c r="J29" s="65"/>
      <c r="K29" s="66" t="s">
        <v>93</v>
      </c>
      <c r="L29" s="31" t="s">
        <v>25</v>
      </c>
      <c r="M29" s="63">
        <v>1000000000</v>
      </c>
      <c r="N29" s="63">
        <v>0</v>
      </c>
      <c r="O29" s="67">
        <v>0</v>
      </c>
      <c r="P29" s="66"/>
      <c r="Q29" s="66" t="s">
        <v>93</v>
      </c>
      <c r="R29" s="34"/>
    </row>
    <row r="30" spans="1:18">
      <c r="A30" s="31" t="s">
        <v>23</v>
      </c>
      <c r="B30" s="32" t="s">
        <v>83</v>
      </c>
      <c r="C30" s="62">
        <v>43600</v>
      </c>
      <c r="D30" s="62">
        <v>43965</v>
      </c>
      <c r="E30" s="62">
        <v>43600</v>
      </c>
      <c r="F30" s="33" t="s">
        <v>25</v>
      </c>
      <c r="G30" s="63">
        <v>175000000</v>
      </c>
      <c r="H30" s="63">
        <v>0</v>
      </c>
      <c r="I30" s="64">
        <v>3.3</v>
      </c>
      <c r="J30" s="65"/>
      <c r="K30" s="66" t="s">
        <v>93</v>
      </c>
      <c r="L30" s="31" t="s">
        <v>25</v>
      </c>
      <c r="M30" s="63">
        <v>1000000000</v>
      </c>
      <c r="N30" s="63">
        <v>0</v>
      </c>
      <c r="O30" s="67">
        <v>3.3</v>
      </c>
      <c r="P30" s="66"/>
      <c r="Q30" s="66" t="s">
        <v>93</v>
      </c>
      <c r="R30" s="34"/>
    </row>
    <row r="31" spans="1:18">
      <c r="A31" s="31" t="s">
        <v>23</v>
      </c>
      <c r="B31" s="32" t="s">
        <v>83</v>
      </c>
      <c r="C31" s="62">
        <v>43966</v>
      </c>
      <c r="D31" s="62">
        <v>44330</v>
      </c>
      <c r="E31" s="62">
        <v>43966</v>
      </c>
      <c r="F31" s="33" t="s">
        <v>25</v>
      </c>
      <c r="G31" s="63">
        <v>175000000</v>
      </c>
      <c r="H31" s="63">
        <v>0</v>
      </c>
      <c r="I31" s="64">
        <v>4</v>
      </c>
      <c r="J31" s="65"/>
      <c r="K31" s="66" t="s">
        <v>93</v>
      </c>
      <c r="L31" s="31" t="s">
        <v>25</v>
      </c>
      <c r="M31" s="63">
        <v>1000000000</v>
      </c>
      <c r="N31" s="63">
        <v>0</v>
      </c>
      <c r="O31" s="67">
        <v>4</v>
      </c>
      <c r="P31" s="66"/>
      <c r="Q31" s="66" t="s">
        <v>93</v>
      </c>
      <c r="R31" s="34"/>
    </row>
    <row r="32" spans="1:18">
      <c r="A32" s="31" t="s">
        <v>23</v>
      </c>
      <c r="B32" s="32" t="s">
        <v>83</v>
      </c>
      <c r="C32" s="62">
        <v>44331</v>
      </c>
      <c r="D32" s="62">
        <v>44695</v>
      </c>
      <c r="E32" s="62">
        <v>44331</v>
      </c>
      <c r="F32" s="33" t="s">
        <v>25</v>
      </c>
      <c r="G32" s="63">
        <v>175000000</v>
      </c>
      <c r="H32" s="63">
        <v>0</v>
      </c>
      <c r="I32" s="64">
        <v>5.25</v>
      </c>
      <c r="J32" s="65"/>
      <c r="K32" s="66" t="s">
        <v>93</v>
      </c>
      <c r="L32" s="31" t="s">
        <v>25</v>
      </c>
      <c r="M32" s="63">
        <v>1000000000</v>
      </c>
      <c r="N32" s="63">
        <v>0</v>
      </c>
      <c r="O32" s="67">
        <v>5.25</v>
      </c>
      <c r="P32" s="66"/>
      <c r="Q32" s="66" t="s">
        <v>93</v>
      </c>
      <c r="R32" s="34"/>
    </row>
    <row r="33" spans="1:18">
      <c r="A33" s="31" t="s">
        <v>23</v>
      </c>
      <c r="B33" s="32" t="s">
        <v>27</v>
      </c>
      <c r="C33" s="62">
        <v>43814</v>
      </c>
      <c r="D33" s="62">
        <v>44179</v>
      </c>
      <c r="E33" s="62">
        <v>43814</v>
      </c>
      <c r="F33" s="33" t="s">
        <v>25</v>
      </c>
      <c r="G33" s="63">
        <v>250000000</v>
      </c>
      <c r="H33" s="63">
        <v>0</v>
      </c>
      <c r="I33" s="64">
        <v>6.25</v>
      </c>
      <c r="J33" s="65"/>
      <c r="K33" s="66" t="s">
        <v>93</v>
      </c>
      <c r="L33" s="31" t="s">
        <v>25</v>
      </c>
      <c r="M33" s="63">
        <v>1750000000</v>
      </c>
      <c r="N33" s="63">
        <v>0</v>
      </c>
      <c r="O33" s="67">
        <v>6.25</v>
      </c>
      <c r="P33" s="66"/>
      <c r="Q33" s="66" t="s">
        <v>93</v>
      </c>
      <c r="R33" s="34"/>
    </row>
    <row r="34" spans="1:18">
      <c r="A34" s="31" t="s">
        <v>23</v>
      </c>
      <c r="B34" s="32" t="s">
        <v>27</v>
      </c>
      <c r="C34" s="62">
        <v>44180</v>
      </c>
      <c r="D34" s="62">
        <v>44544</v>
      </c>
      <c r="E34" s="62">
        <v>44180</v>
      </c>
      <c r="F34" s="33" t="s">
        <v>25</v>
      </c>
      <c r="G34" s="63">
        <v>250000000</v>
      </c>
      <c r="H34" s="63">
        <v>0</v>
      </c>
      <c r="I34" s="64">
        <v>6.25</v>
      </c>
      <c r="J34" s="65"/>
      <c r="K34" s="66" t="s">
        <v>93</v>
      </c>
      <c r="L34" s="31" t="s">
        <v>25</v>
      </c>
      <c r="M34" s="63">
        <v>1750000000</v>
      </c>
      <c r="N34" s="63">
        <v>0</v>
      </c>
      <c r="O34" s="67">
        <v>6.25</v>
      </c>
      <c r="P34" s="66"/>
      <c r="Q34" s="66" t="s">
        <v>93</v>
      </c>
      <c r="R34" s="34"/>
    </row>
    <row r="35" spans="1:18">
      <c r="A35" s="31" t="s">
        <v>23</v>
      </c>
      <c r="B35" s="32" t="s">
        <v>27</v>
      </c>
      <c r="C35" s="62">
        <v>44545</v>
      </c>
      <c r="D35" s="62">
        <v>44909</v>
      </c>
      <c r="E35" s="62">
        <v>44545</v>
      </c>
      <c r="F35" s="33" t="s">
        <v>25</v>
      </c>
      <c r="G35" s="63">
        <v>250000000</v>
      </c>
      <c r="H35" s="63">
        <v>0</v>
      </c>
      <c r="I35" s="64">
        <v>6.25</v>
      </c>
      <c r="J35" s="65"/>
      <c r="K35" s="66" t="s">
        <v>93</v>
      </c>
      <c r="L35" s="31" t="s">
        <v>25</v>
      </c>
      <c r="M35" s="63">
        <v>1750000000</v>
      </c>
      <c r="N35" s="63">
        <v>0</v>
      </c>
      <c r="O35" s="67">
        <v>6.25</v>
      </c>
      <c r="P35" s="66"/>
      <c r="Q35" s="66" t="s">
        <v>93</v>
      </c>
      <c r="R35" s="34"/>
    </row>
    <row r="36" spans="1:18">
      <c r="A36" s="31" t="s">
        <v>23</v>
      </c>
      <c r="B36" s="32" t="s">
        <v>2</v>
      </c>
      <c r="C36" s="62">
        <v>43800</v>
      </c>
      <c r="D36" s="62">
        <v>44165</v>
      </c>
      <c r="E36" s="62">
        <v>43800</v>
      </c>
      <c r="F36" s="33" t="s">
        <v>25</v>
      </c>
      <c r="G36" s="63">
        <v>300000000</v>
      </c>
      <c r="H36" s="63">
        <v>0</v>
      </c>
      <c r="I36" s="64">
        <v>3.75</v>
      </c>
      <c r="J36" s="65"/>
      <c r="K36" s="66" t="s">
        <v>93</v>
      </c>
      <c r="L36" s="31" t="s">
        <v>25</v>
      </c>
      <c r="M36" s="63">
        <v>2250000000</v>
      </c>
      <c r="N36" s="63">
        <v>0</v>
      </c>
      <c r="O36" s="67">
        <v>3.75</v>
      </c>
      <c r="P36" s="66"/>
      <c r="Q36" s="66" t="s">
        <v>93</v>
      </c>
      <c r="R36" s="34"/>
    </row>
    <row r="37" spans="1:18">
      <c r="A37" s="31" t="s">
        <v>23</v>
      </c>
      <c r="B37" s="32" t="s">
        <v>2</v>
      </c>
      <c r="C37" s="62">
        <v>44166</v>
      </c>
      <c r="D37" s="62">
        <v>44530</v>
      </c>
      <c r="E37" s="62">
        <v>44166</v>
      </c>
      <c r="F37" s="33" t="s">
        <v>25</v>
      </c>
      <c r="G37" s="63">
        <v>300000000</v>
      </c>
      <c r="H37" s="63">
        <v>0</v>
      </c>
      <c r="I37" s="64">
        <v>4.75</v>
      </c>
      <c r="J37" s="65"/>
      <c r="K37" s="66" t="s">
        <v>93</v>
      </c>
      <c r="L37" s="31" t="s">
        <v>25</v>
      </c>
      <c r="M37" s="63">
        <v>2250000000</v>
      </c>
      <c r="N37" s="63">
        <v>0</v>
      </c>
      <c r="O37" s="67">
        <v>4.75</v>
      </c>
      <c r="P37" s="66"/>
      <c r="Q37" s="66" t="s">
        <v>93</v>
      </c>
      <c r="R37" s="34"/>
    </row>
    <row r="38" spans="1:18">
      <c r="A38" s="31" t="s">
        <v>23</v>
      </c>
      <c r="B38" s="32" t="s">
        <v>2</v>
      </c>
      <c r="C38" s="62">
        <v>44531</v>
      </c>
      <c r="D38" s="62">
        <v>44895</v>
      </c>
      <c r="E38" s="62">
        <v>44531</v>
      </c>
      <c r="F38" s="33" t="s">
        <v>25</v>
      </c>
      <c r="G38" s="63">
        <v>300000000</v>
      </c>
      <c r="H38" s="63">
        <v>0</v>
      </c>
      <c r="I38" s="64">
        <v>4.5</v>
      </c>
      <c r="J38" s="65"/>
      <c r="K38" s="66" t="s">
        <v>93</v>
      </c>
      <c r="L38" s="31" t="s">
        <v>25</v>
      </c>
      <c r="M38" s="63">
        <v>2250000000</v>
      </c>
      <c r="N38" s="63">
        <v>0</v>
      </c>
      <c r="O38" s="67">
        <v>4.5</v>
      </c>
      <c r="P38" s="66"/>
      <c r="Q38" s="66" t="s">
        <v>93</v>
      </c>
      <c r="R38" s="34"/>
    </row>
    <row r="39" spans="1:18">
      <c r="A39" s="31" t="s">
        <v>23</v>
      </c>
      <c r="B39" s="32" t="s">
        <v>243</v>
      </c>
      <c r="C39" s="62">
        <v>43556</v>
      </c>
      <c r="D39" s="62">
        <v>43921</v>
      </c>
      <c r="E39" s="62">
        <v>43556</v>
      </c>
      <c r="F39" s="33" t="s">
        <v>25</v>
      </c>
      <c r="G39" s="63">
        <v>275000000</v>
      </c>
      <c r="H39" s="63">
        <v>0</v>
      </c>
      <c r="I39" s="64">
        <v>7</v>
      </c>
      <c r="J39" s="65"/>
      <c r="K39" s="66" t="s">
        <v>93</v>
      </c>
      <c r="L39" s="31" t="s">
        <v>25</v>
      </c>
      <c r="M39" s="63">
        <v>1500000000</v>
      </c>
      <c r="N39" s="63">
        <v>0</v>
      </c>
      <c r="O39" s="67">
        <v>7</v>
      </c>
      <c r="P39" s="66"/>
      <c r="Q39" s="66" t="s">
        <v>93</v>
      </c>
      <c r="R39" s="34"/>
    </row>
    <row r="40" spans="1:18">
      <c r="A40" s="31" t="s">
        <v>23</v>
      </c>
      <c r="B40" s="32" t="s">
        <v>243</v>
      </c>
      <c r="C40" s="62">
        <v>43922</v>
      </c>
      <c r="D40" s="62">
        <v>44286</v>
      </c>
      <c r="E40" s="62">
        <v>43922</v>
      </c>
      <c r="F40" s="33" t="s">
        <v>25</v>
      </c>
      <c r="G40" s="63">
        <v>275000000</v>
      </c>
      <c r="H40" s="63">
        <v>0</v>
      </c>
      <c r="I40" s="64">
        <v>6.25</v>
      </c>
      <c r="J40" s="65"/>
      <c r="K40" s="66" t="s">
        <v>93</v>
      </c>
      <c r="L40" s="31" t="s">
        <v>25</v>
      </c>
      <c r="M40" s="63">
        <v>1500000000</v>
      </c>
      <c r="N40" s="63">
        <v>0</v>
      </c>
      <c r="O40" s="67">
        <v>6.25</v>
      </c>
      <c r="P40" s="66"/>
      <c r="Q40" s="66" t="s">
        <v>93</v>
      </c>
      <c r="R40" s="34"/>
    </row>
    <row r="41" spans="1:18">
      <c r="A41" s="31" t="s">
        <v>23</v>
      </c>
      <c r="B41" s="32" t="s">
        <v>243</v>
      </c>
      <c r="C41" s="62">
        <v>44287</v>
      </c>
      <c r="D41" s="62">
        <v>44651</v>
      </c>
      <c r="E41" s="62">
        <v>44287</v>
      </c>
      <c r="F41" s="33" t="s">
        <v>25</v>
      </c>
      <c r="G41" s="63">
        <v>275000000</v>
      </c>
      <c r="H41" s="63">
        <v>0</v>
      </c>
      <c r="I41" s="64">
        <v>6.25</v>
      </c>
      <c r="J41" s="65"/>
      <c r="K41" s="66" t="s">
        <v>93</v>
      </c>
      <c r="L41" s="31" t="s">
        <v>25</v>
      </c>
      <c r="M41" s="63">
        <v>1500000000</v>
      </c>
      <c r="N41" s="63">
        <v>0</v>
      </c>
      <c r="O41" s="67">
        <v>6.25</v>
      </c>
      <c r="P41" s="66"/>
      <c r="Q41" s="66" t="s">
        <v>93</v>
      </c>
      <c r="R41" s="34"/>
    </row>
    <row r="42" spans="1:18">
      <c r="A42" s="31" t="s">
        <v>23</v>
      </c>
      <c r="B42" s="32" t="s">
        <v>28</v>
      </c>
      <c r="C42" s="62">
        <v>43770</v>
      </c>
      <c r="D42" s="62">
        <v>44135</v>
      </c>
      <c r="E42" s="62">
        <v>43770</v>
      </c>
      <c r="F42" s="33" t="s">
        <v>25</v>
      </c>
      <c r="G42" s="63">
        <v>350000000</v>
      </c>
      <c r="H42" s="63">
        <v>0</v>
      </c>
      <c r="I42" s="64">
        <v>4</v>
      </c>
      <c r="J42" s="65"/>
      <c r="K42" s="66" t="s">
        <v>93</v>
      </c>
      <c r="L42" s="31" t="s">
        <v>25</v>
      </c>
      <c r="M42" s="63">
        <v>2250000000</v>
      </c>
      <c r="N42" s="63">
        <v>0</v>
      </c>
      <c r="O42" s="67">
        <v>4</v>
      </c>
      <c r="P42" s="66"/>
      <c r="Q42" s="66" t="s">
        <v>93</v>
      </c>
      <c r="R42" s="34"/>
    </row>
    <row r="43" spans="1:18">
      <c r="A43" s="31" t="s">
        <v>23</v>
      </c>
      <c r="B43" s="32" t="s">
        <v>28</v>
      </c>
      <c r="C43" s="62">
        <v>44136</v>
      </c>
      <c r="D43" s="62">
        <v>44500</v>
      </c>
      <c r="E43" s="62">
        <v>44136</v>
      </c>
      <c r="F43" s="33" t="s">
        <v>25</v>
      </c>
      <c r="G43" s="63">
        <v>350000000</v>
      </c>
      <c r="H43" s="63">
        <v>0</v>
      </c>
      <c r="I43" s="64">
        <v>4</v>
      </c>
      <c r="J43" s="65"/>
      <c r="K43" s="66" t="s">
        <v>93</v>
      </c>
      <c r="L43" s="31" t="s">
        <v>25</v>
      </c>
      <c r="M43" s="63">
        <v>2250000000</v>
      </c>
      <c r="N43" s="63">
        <v>0</v>
      </c>
      <c r="O43" s="67">
        <v>4</v>
      </c>
      <c r="P43" s="66"/>
      <c r="Q43" s="66" t="s">
        <v>93</v>
      </c>
      <c r="R43" s="34"/>
    </row>
    <row r="44" spans="1:18">
      <c r="A44" s="31" t="s">
        <v>23</v>
      </c>
      <c r="B44" s="32" t="s">
        <v>28</v>
      </c>
      <c r="C44" s="62">
        <v>44501</v>
      </c>
      <c r="D44" s="62">
        <v>44865</v>
      </c>
      <c r="E44" s="62">
        <v>44501</v>
      </c>
      <c r="F44" s="33" t="s">
        <v>25</v>
      </c>
      <c r="G44" s="63">
        <v>265000000</v>
      </c>
      <c r="H44" s="63">
        <v>0</v>
      </c>
      <c r="I44" s="64">
        <v>3</v>
      </c>
      <c r="J44" s="65"/>
      <c r="K44" s="66" t="s">
        <v>93</v>
      </c>
      <c r="L44" s="31" t="s">
        <v>25</v>
      </c>
      <c r="M44" s="63">
        <v>2250000000</v>
      </c>
      <c r="N44" s="63">
        <v>0</v>
      </c>
      <c r="O44" s="67">
        <v>3</v>
      </c>
      <c r="P44" s="66"/>
      <c r="Q44" s="66" t="s">
        <v>93</v>
      </c>
      <c r="R44" s="34"/>
    </row>
    <row r="45" spans="1:18">
      <c r="A45" s="31" t="s">
        <v>23</v>
      </c>
      <c r="B45" s="32" t="s">
        <v>29</v>
      </c>
      <c r="C45" s="62">
        <v>43617</v>
      </c>
      <c r="D45" s="62">
        <v>43982</v>
      </c>
      <c r="E45" s="62">
        <v>43617</v>
      </c>
      <c r="F45" s="33" t="s">
        <v>25</v>
      </c>
      <c r="G45" s="63">
        <v>158000000</v>
      </c>
      <c r="H45" s="63">
        <v>0</v>
      </c>
      <c r="I45" s="64">
        <v>0</v>
      </c>
      <c r="J45" s="65"/>
      <c r="K45" s="66" t="s">
        <v>93</v>
      </c>
      <c r="L45" s="31" t="s">
        <v>25</v>
      </c>
      <c r="M45" s="63">
        <v>1250000000</v>
      </c>
      <c r="N45" s="63">
        <v>0</v>
      </c>
      <c r="O45" s="67">
        <v>0</v>
      </c>
      <c r="P45" s="66"/>
      <c r="Q45" s="66" t="s">
        <v>93</v>
      </c>
      <c r="R45" s="34"/>
    </row>
    <row r="46" spans="1:18">
      <c r="A46" s="31" t="s">
        <v>23</v>
      </c>
      <c r="B46" s="32" t="s">
        <v>29</v>
      </c>
      <c r="C46" s="62">
        <v>43983</v>
      </c>
      <c r="D46" s="62">
        <v>44347</v>
      </c>
      <c r="E46" s="62">
        <v>43983</v>
      </c>
      <c r="F46" s="33" t="s">
        <v>25</v>
      </c>
      <c r="G46" s="63">
        <v>158000000</v>
      </c>
      <c r="H46" s="63">
        <v>0</v>
      </c>
      <c r="I46" s="64">
        <v>0</v>
      </c>
      <c r="J46" s="65"/>
      <c r="K46" s="66" t="s">
        <v>93</v>
      </c>
      <c r="L46" s="31" t="s">
        <v>25</v>
      </c>
      <c r="M46" s="63">
        <v>1250000000</v>
      </c>
      <c r="N46" s="63">
        <v>0</v>
      </c>
      <c r="O46" s="67">
        <v>0</v>
      </c>
      <c r="P46" s="66"/>
      <c r="Q46" s="66" t="s">
        <v>93</v>
      </c>
      <c r="R46" s="34"/>
    </row>
    <row r="47" spans="1:18">
      <c r="A47" s="31" t="s">
        <v>23</v>
      </c>
      <c r="B47" s="32" t="s">
        <v>29</v>
      </c>
      <c r="C47" s="62">
        <v>44348</v>
      </c>
      <c r="D47" s="62">
        <v>44712</v>
      </c>
      <c r="E47" s="62">
        <v>44348</v>
      </c>
      <c r="F47" s="33" t="s">
        <v>25</v>
      </c>
      <c r="G47" s="63">
        <v>158000000</v>
      </c>
      <c r="H47" s="63">
        <v>0</v>
      </c>
      <c r="I47" s="64">
        <v>0</v>
      </c>
      <c r="J47" s="65"/>
      <c r="K47" s="66" t="s">
        <v>93</v>
      </c>
      <c r="L47" s="31" t="s">
        <v>25</v>
      </c>
      <c r="M47" s="63">
        <v>1250000000</v>
      </c>
      <c r="N47" s="63">
        <v>0</v>
      </c>
      <c r="O47" s="67">
        <v>0</v>
      </c>
      <c r="P47" s="66"/>
      <c r="Q47" s="66" t="s">
        <v>93</v>
      </c>
      <c r="R47" s="34"/>
    </row>
    <row r="48" spans="1:18">
      <c r="A48" s="31" t="s">
        <v>23</v>
      </c>
      <c r="B48" s="32" t="s">
        <v>30</v>
      </c>
      <c r="C48" s="62">
        <v>43617</v>
      </c>
      <c r="D48" s="62">
        <v>43982</v>
      </c>
      <c r="E48" s="62">
        <v>43617</v>
      </c>
      <c r="F48" s="33" t="s">
        <v>79</v>
      </c>
      <c r="G48" s="63">
        <v>46500000000</v>
      </c>
      <c r="H48" s="63">
        <v>0</v>
      </c>
      <c r="I48" s="64">
        <v>0.11</v>
      </c>
      <c r="J48" s="65"/>
      <c r="K48" s="66" t="s">
        <v>104</v>
      </c>
      <c r="L48" s="31" t="s">
        <v>25</v>
      </c>
      <c r="M48" s="63">
        <v>2250000000</v>
      </c>
      <c r="N48" s="63">
        <v>0</v>
      </c>
      <c r="O48" s="67">
        <v>0.11</v>
      </c>
      <c r="P48" s="66"/>
      <c r="Q48" s="66" t="s">
        <v>104</v>
      </c>
      <c r="R48" s="34"/>
    </row>
    <row r="49" spans="1:18">
      <c r="A49" s="31" t="s">
        <v>23</v>
      </c>
      <c r="B49" s="32" t="s">
        <v>30</v>
      </c>
      <c r="C49" s="62">
        <v>43800</v>
      </c>
      <c r="D49" s="62">
        <v>44165</v>
      </c>
      <c r="E49" s="62">
        <v>43800</v>
      </c>
      <c r="F49" s="33" t="s">
        <v>79</v>
      </c>
      <c r="G49" s="63">
        <v>46500000000</v>
      </c>
      <c r="H49" s="63">
        <v>0</v>
      </c>
      <c r="I49" s="64">
        <v>2.7120000000000002</v>
      </c>
      <c r="J49" s="65"/>
      <c r="K49" s="66" t="s">
        <v>93</v>
      </c>
      <c r="L49" s="31" t="s">
        <v>25</v>
      </c>
      <c r="M49" s="63">
        <v>2250000000</v>
      </c>
      <c r="N49" s="63">
        <v>0</v>
      </c>
      <c r="O49" s="67">
        <v>0.34039999999999998</v>
      </c>
      <c r="P49" s="66"/>
      <c r="Q49" s="66" t="s">
        <v>104</v>
      </c>
      <c r="R49" s="34"/>
    </row>
    <row r="50" spans="1:18">
      <c r="A50" s="31" t="s">
        <v>23</v>
      </c>
      <c r="B50" s="32" t="s">
        <v>30</v>
      </c>
      <c r="C50" s="62">
        <v>43800</v>
      </c>
      <c r="D50" s="62">
        <v>44165</v>
      </c>
      <c r="E50" s="62">
        <v>43800</v>
      </c>
      <c r="F50" s="33" t="s">
        <v>79</v>
      </c>
      <c r="G50" s="63">
        <v>46500000000</v>
      </c>
      <c r="H50" s="63">
        <v>0</v>
      </c>
      <c r="I50" s="64">
        <v>0.34039999999999998</v>
      </c>
      <c r="J50" s="65"/>
      <c r="K50" s="66" t="s">
        <v>104</v>
      </c>
      <c r="L50" s="31" t="s">
        <v>25</v>
      </c>
      <c r="M50" s="63">
        <v>2250000000</v>
      </c>
      <c r="N50" s="63">
        <v>0</v>
      </c>
      <c r="O50" s="67">
        <v>2.7120000000000002</v>
      </c>
      <c r="P50" s="66"/>
      <c r="Q50" s="66" t="s">
        <v>93</v>
      </c>
      <c r="R50" s="34"/>
    </row>
    <row r="51" spans="1:18">
      <c r="A51" s="31" t="s">
        <v>23</v>
      </c>
      <c r="B51" s="32" t="s">
        <v>30</v>
      </c>
      <c r="C51" s="62">
        <v>44166</v>
      </c>
      <c r="D51" s="62">
        <v>44530</v>
      </c>
      <c r="E51" s="62">
        <v>44166</v>
      </c>
      <c r="F51" s="33" t="s">
        <v>79</v>
      </c>
      <c r="G51" s="63">
        <v>46500000000</v>
      </c>
      <c r="H51" s="63">
        <v>0</v>
      </c>
      <c r="I51" s="64">
        <v>0.34039999999999998</v>
      </c>
      <c r="J51" s="65"/>
      <c r="K51" s="66" t="s">
        <v>104</v>
      </c>
      <c r="L51" s="31" t="s">
        <v>25</v>
      </c>
      <c r="M51" s="63">
        <v>2250000000</v>
      </c>
      <c r="N51" s="63">
        <v>0</v>
      </c>
      <c r="O51" s="67">
        <v>3.1019999999999999</v>
      </c>
      <c r="P51" s="66"/>
      <c r="Q51" s="66" t="s">
        <v>93</v>
      </c>
      <c r="R51" s="34"/>
    </row>
    <row r="52" spans="1:18">
      <c r="A52" s="31" t="s">
        <v>23</v>
      </c>
      <c r="B52" s="32" t="s">
        <v>30</v>
      </c>
      <c r="C52" s="62">
        <v>44166</v>
      </c>
      <c r="D52" s="62">
        <v>44530</v>
      </c>
      <c r="E52" s="62">
        <v>44166</v>
      </c>
      <c r="F52" s="33" t="s">
        <v>79</v>
      </c>
      <c r="G52" s="63">
        <v>50000000000</v>
      </c>
      <c r="H52" s="63">
        <v>0</v>
      </c>
      <c r="I52" s="64">
        <v>3.1019999999999999</v>
      </c>
      <c r="J52" s="65"/>
      <c r="K52" s="66" t="s">
        <v>104</v>
      </c>
      <c r="L52" s="31" t="s">
        <v>25</v>
      </c>
      <c r="M52" s="63">
        <v>2250000000</v>
      </c>
      <c r="N52" s="63">
        <v>0</v>
      </c>
      <c r="O52" s="67">
        <v>0.34039999999999998</v>
      </c>
      <c r="P52" s="66"/>
      <c r="Q52" s="66" t="s">
        <v>104</v>
      </c>
      <c r="R52" s="34"/>
    </row>
    <row r="53" spans="1:18">
      <c r="A53" s="31" t="s">
        <v>23</v>
      </c>
      <c r="B53" s="32" t="s">
        <v>30</v>
      </c>
      <c r="C53" s="62">
        <v>44348</v>
      </c>
      <c r="D53" s="62">
        <v>44530</v>
      </c>
      <c r="E53" s="62">
        <v>44348</v>
      </c>
      <c r="F53" s="33" t="s">
        <v>79</v>
      </c>
      <c r="G53" s="63">
        <v>50000000000</v>
      </c>
      <c r="H53" s="63">
        <v>0</v>
      </c>
      <c r="I53" s="64">
        <v>3</v>
      </c>
      <c r="J53" s="65"/>
      <c r="K53" s="66" t="s">
        <v>93</v>
      </c>
      <c r="L53" s="31" t="s">
        <v>25</v>
      </c>
      <c r="M53" s="63">
        <v>2250000000</v>
      </c>
      <c r="N53" s="63">
        <v>0</v>
      </c>
      <c r="O53" s="67">
        <v>3</v>
      </c>
      <c r="P53" s="66"/>
      <c r="Q53" s="66" t="s">
        <v>93</v>
      </c>
      <c r="R53" s="34"/>
    </row>
    <row r="54" spans="1:18">
      <c r="A54" s="31" t="s">
        <v>23</v>
      </c>
      <c r="B54" s="32" t="s">
        <v>30</v>
      </c>
      <c r="C54" s="62">
        <v>44531</v>
      </c>
      <c r="D54" s="62">
        <v>44895</v>
      </c>
      <c r="E54" s="62">
        <v>44531</v>
      </c>
      <c r="F54" s="33" t="s">
        <v>79</v>
      </c>
      <c r="G54" s="63">
        <v>46000000000</v>
      </c>
      <c r="H54" s="63">
        <v>0</v>
      </c>
      <c r="I54" s="64">
        <v>6</v>
      </c>
      <c r="J54" s="65"/>
      <c r="K54" s="66" t="s">
        <v>93</v>
      </c>
      <c r="L54" s="31" t="s">
        <v>25</v>
      </c>
      <c r="M54" s="63">
        <v>2250000000</v>
      </c>
      <c r="N54" s="63">
        <v>0</v>
      </c>
      <c r="O54" s="64">
        <v>6</v>
      </c>
      <c r="P54" s="65"/>
      <c r="Q54" s="66" t="s">
        <v>93</v>
      </c>
      <c r="R54" s="34"/>
    </row>
    <row r="55" spans="1:18">
      <c r="A55" s="31" t="s">
        <v>23</v>
      </c>
      <c r="B55" s="32" t="s">
        <v>30</v>
      </c>
      <c r="C55" s="62">
        <v>44531</v>
      </c>
      <c r="D55" s="62">
        <v>44895</v>
      </c>
      <c r="E55" s="62">
        <v>44531</v>
      </c>
      <c r="F55" s="33" t="s">
        <v>79</v>
      </c>
      <c r="G55" s="63">
        <v>46000000000</v>
      </c>
      <c r="H55" s="63">
        <v>0</v>
      </c>
      <c r="I55" s="64">
        <v>0.34039999999999998</v>
      </c>
      <c r="J55" s="65"/>
      <c r="K55" s="66" t="s">
        <v>104</v>
      </c>
      <c r="L55" s="31" t="s">
        <v>25</v>
      </c>
      <c r="M55" s="63">
        <v>2250000000</v>
      </c>
      <c r="N55" s="63">
        <v>0</v>
      </c>
      <c r="O55" s="64">
        <v>0.34039999999999998</v>
      </c>
      <c r="P55" s="65"/>
      <c r="Q55" s="66" t="s">
        <v>104</v>
      </c>
      <c r="R55" s="34"/>
    </row>
    <row r="56" spans="1:18" s="44" customFormat="1">
      <c r="A56" s="31" t="s">
        <v>23</v>
      </c>
      <c r="B56" s="32" t="s">
        <v>31</v>
      </c>
      <c r="C56" s="62">
        <v>43800</v>
      </c>
      <c r="D56" s="62">
        <v>44165</v>
      </c>
      <c r="E56" s="62">
        <v>43800</v>
      </c>
      <c r="F56" s="33" t="s">
        <v>25</v>
      </c>
      <c r="G56" s="63">
        <v>375000000</v>
      </c>
      <c r="H56" s="63">
        <v>0</v>
      </c>
      <c r="I56" s="64">
        <v>10</v>
      </c>
      <c r="J56" s="65"/>
      <c r="K56" s="66" t="s">
        <v>93</v>
      </c>
      <c r="L56" s="31" t="s">
        <v>25</v>
      </c>
      <c r="M56" s="63">
        <v>2250000000</v>
      </c>
      <c r="N56" s="63">
        <v>0</v>
      </c>
      <c r="O56" s="64">
        <v>10</v>
      </c>
      <c r="P56" s="65"/>
      <c r="Q56" s="66" t="s">
        <v>93</v>
      </c>
      <c r="R56" s="34"/>
    </row>
    <row r="57" spans="1:18">
      <c r="A57" s="31" t="s">
        <v>23</v>
      </c>
      <c r="B57" s="32" t="s">
        <v>31</v>
      </c>
      <c r="C57" s="62">
        <v>44166</v>
      </c>
      <c r="D57" s="62">
        <v>44530</v>
      </c>
      <c r="E57" s="62">
        <v>44166</v>
      </c>
      <c r="F57" s="33" t="s">
        <v>25</v>
      </c>
      <c r="G57" s="63">
        <v>375000000</v>
      </c>
      <c r="H57" s="63">
        <v>0</v>
      </c>
      <c r="I57" s="64">
        <v>8.5500000000000007</v>
      </c>
      <c r="J57" s="65"/>
      <c r="K57" s="66" t="s">
        <v>93</v>
      </c>
      <c r="L57" s="31" t="s">
        <v>25</v>
      </c>
      <c r="M57" s="63">
        <v>2250000000</v>
      </c>
      <c r="N57" s="63">
        <v>0</v>
      </c>
      <c r="O57" s="64">
        <v>8.5500000000000007</v>
      </c>
      <c r="P57" s="65"/>
      <c r="Q57" s="66" t="s">
        <v>93</v>
      </c>
      <c r="R57" s="34"/>
    </row>
    <row r="58" spans="1:18">
      <c r="A58" s="31" t="s">
        <v>23</v>
      </c>
      <c r="B58" s="32" t="s">
        <v>31</v>
      </c>
      <c r="C58" s="62">
        <v>44531</v>
      </c>
      <c r="D58" s="62">
        <v>44895</v>
      </c>
      <c r="E58" s="62">
        <v>44531</v>
      </c>
      <c r="F58" s="33" t="s">
        <v>25</v>
      </c>
      <c r="G58" s="63">
        <v>375000000</v>
      </c>
      <c r="H58" s="63">
        <v>0</v>
      </c>
      <c r="I58" s="64">
        <v>0</v>
      </c>
      <c r="J58" s="65"/>
      <c r="K58" s="66" t="s">
        <v>93</v>
      </c>
      <c r="L58" s="31" t="s">
        <v>25</v>
      </c>
      <c r="M58" s="63">
        <v>2250000000</v>
      </c>
      <c r="N58" s="63">
        <v>0</v>
      </c>
      <c r="O58" s="67">
        <v>0</v>
      </c>
      <c r="P58" s="66"/>
      <c r="Q58" s="66" t="s">
        <v>93</v>
      </c>
      <c r="R58" s="34"/>
    </row>
    <row r="59" spans="1:18">
      <c r="A59" s="31" t="s">
        <v>23</v>
      </c>
      <c r="B59" s="32" t="s">
        <v>142</v>
      </c>
      <c r="C59" s="62">
        <v>43905</v>
      </c>
      <c r="D59" s="62">
        <v>44195</v>
      </c>
      <c r="E59" s="62">
        <v>43905</v>
      </c>
      <c r="F59" s="33" t="s">
        <v>25</v>
      </c>
      <c r="G59" s="63">
        <v>245000000</v>
      </c>
      <c r="H59" s="63">
        <v>0</v>
      </c>
      <c r="I59" s="64">
        <v>7.5</v>
      </c>
      <c r="J59" s="65"/>
      <c r="K59" s="66" t="s">
        <v>93</v>
      </c>
      <c r="L59" s="31" t="s">
        <v>25</v>
      </c>
      <c r="M59" s="63">
        <v>1250000000</v>
      </c>
      <c r="N59" s="63">
        <v>0</v>
      </c>
      <c r="O59" s="67">
        <v>7.5</v>
      </c>
      <c r="P59" s="66"/>
      <c r="Q59" s="66" t="s">
        <v>93</v>
      </c>
      <c r="R59" s="34"/>
    </row>
    <row r="60" spans="1:18">
      <c r="A60" s="31" t="s">
        <v>23</v>
      </c>
      <c r="B60" s="32" t="s">
        <v>142</v>
      </c>
      <c r="C60" s="62">
        <v>44196</v>
      </c>
      <c r="D60" s="62">
        <v>44560</v>
      </c>
      <c r="E60" s="62">
        <v>44196</v>
      </c>
      <c r="F60" s="33" t="s">
        <v>25</v>
      </c>
      <c r="G60" s="63">
        <v>245000000</v>
      </c>
      <c r="H60" s="63">
        <v>0</v>
      </c>
      <c r="I60" s="64">
        <v>7.5</v>
      </c>
      <c r="J60" s="65"/>
      <c r="K60" s="66" t="s">
        <v>93</v>
      </c>
      <c r="L60" s="31" t="s">
        <v>25</v>
      </c>
      <c r="M60" s="63">
        <v>1250000000</v>
      </c>
      <c r="N60" s="63">
        <v>0</v>
      </c>
      <c r="O60" s="67">
        <v>7.5</v>
      </c>
      <c r="P60" s="66"/>
      <c r="Q60" s="66" t="s">
        <v>93</v>
      </c>
      <c r="R60" s="34"/>
    </row>
    <row r="61" spans="1:18">
      <c r="A61" s="31" t="s">
        <v>23</v>
      </c>
      <c r="B61" s="32" t="s">
        <v>142</v>
      </c>
      <c r="C61" s="62">
        <v>44561</v>
      </c>
      <c r="D61" s="62">
        <v>44925</v>
      </c>
      <c r="E61" s="62">
        <v>44561</v>
      </c>
      <c r="F61" s="33" t="s">
        <v>25</v>
      </c>
      <c r="G61" s="63">
        <v>225000000</v>
      </c>
      <c r="H61" s="63">
        <v>0</v>
      </c>
      <c r="I61" s="64">
        <v>5</v>
      </c>
      <c r="J61" s="65"/>
      <c r="K61" s="66" t="s">
        <v>93</v>
      </c>
      <c r="L61" s="31" t="s">
        <v>25</v>
      </c>
      <c r="M61" s="63">
        <v>1250000000</v>
      </c>
      <c r="N61" s="63">
        <v>0</v>
      </c>
      <c r="O61" s="67">
        <v>5</v>
      </c>
      <c r="P61" s="66"/>
      <c r="Q61" s="66" t="s">
        <v>93</v>
      </c>
      <c r="R61" s="34"/>
    </row>
    <row r="62" spans="1:18">
      <c r="A62" s="31" t="s">
        <v>23</v>
      </c>
      <c r="B62" s="32" t="s">
        <v>244</v>
      </c>
      <c r="C62" s="62">
        <v>43800</v>
      </c>
      <c r="D62" s="62">
        <v>44165</v>
      </c>
      <c r="E62" s="62">
        <v>43800</v>
      </c>
      <c r="F62" s="33" t="s">
        <v>25</v>
      </c>
      <c r="G62" s="63">
        <v>105000000</v>
      </c>
      <c r="H62" s="63">
        <v>0</v>
      </c>
      <c r="I62" s="64">
        <v>0</v>
      </c>
      <c r="J62" s="65"/>
      <c r="K62" s="66" t="s">
        <v>93</v>
      </c>
      <c r="L62" s="31" t="s">
        <v>25</v>
      </c>
      <c r="M62" s="63">
        <v>1500000000</v>
      </c>
      <c r="N62" s="63">
        <v>0</v>
      </c>
      <c r="O62" s="67">
        <v>0</v>
      </c>
      <c r="P62" s="66"/>
      <c r="Q62" s="66" t="s">
        <v>93</v>
      </c>
      <c r="R62" s="34"/>
    </row>
    <row r="63" spans="1:18">
      <c r="A63" s="31" t="s">
        <v>23</v>
      </c>
      <c r="B63" s="32" t="s">
        <v>244</v>
      </c>
      <c r="C63" s="62">
        <v>44166</v>
      </c>
      <c r="D63" s="62">
        <v>44530</v>
      </c>
      <c r="E63" s="62">
        <v>44166</v>
      </c>
      <c r="F63" s="33" t="s">
        <v>25</v>
      </c>
      <c r="G63" s="63">
        <v>105000000</v>
      </c>
      <c r="H63" s="63">
        <v>0</v>
      </c>
      <c r="I63" s="64">
        <v>0</v>
      </c>
      <c r="J63" s="65"/>
      <c r="K63" s="66" t="s">
        <v>93</v>
      </c>
      <c r="L63" s="31" t="s">
        <v>25</v>
      </c>
      <c r="M63" s="63">
        <v>1500000000</v>
      </c>
      <c r="N63" s="63">
        <v>0</v>
      </c>
      <c r="O63" s="67">
        <v>0</v>
      </c>
      <c r="P63" s="66"/>
      <c r="Q63" s="66" t="s">
        <v>93</v>
      </c>
      <c r="R63" s="34"/>
    </row>
    <row r="64" spans="1:18">
      <c r="A64" s="31" t="s">
        <v>23</v>
      </c>
      <c r="B64" s="32" t="s">
        <v>244</v>
      </c>
      <c r="C64" s="62">
        <v>44531</v>
      </c>
      <c r="D64" s="62">
        <v>44895</v>
      </c>
      <c r="E64" s="62">
        <v>44531</v>
      </c>
      <c r="F64" s="33" t="s">
        <v>25</v>
      </c>
      <c r="G64" s="63">
        <v>105000000</v>
      </c>
      <c r="H64" s="63">
        <v>0</v>
      </c>
      <c r="I64" s="64">
        <v>0</v>
      </c>
      <c r="J64" s="65"/>
      <c r="K64" s="66" t="s">
        <v>93</v>
      </c>
      <c r="L64" s="31" t="s">
        <v>25</v>
      </c>
      <c r="M64" s="63">
        <v>1500000000</v>
      </c>
      <c r="N64" s="63">
        <v>0</v>
      </c>
      <c r="O64" s="67">
        <v>0</v>
      </c>
      <c r="P64" s="66"/>
      <c r="Q64" s="66" t="s">
        <v>93</v>
      </c>
      <c r="R64" s="34"/>
    </row>
    <row r="65" spans="1:18">
      <c r="A65" s="31" t="s">
        <v>23</v>
      </c>
      <c r="B65" s="32" t="s">
        <v>32</v>
      </c>
      <c r="C65" s="62">
        <v>43800</v>
      </c>
      <c r="D65" s="62">
        <v>44165</v>
      </c>
      <c r="E65" s="62">
        <v>43800</v>
      </c>
      <c r="F65" s="33" t="s">
        <v>25</v>
      </c>
      <c r="G65" s="63">
        <v>400000000</v>
      </c>
      <c r="H65" s="63">
        <v>0</v>
      </c>
      <c r="I65" s="64">
        <v>2.5</v>
      </c>
      <c r="J65" s="65"/>
      <c r="K65" s="66" t="s">
        <v>93</v>
      </c>
      <c r="L65" s="31" t="s">
        <v>25</v>
      </c>
      <c r="M65" s="63">
        <v>2250000000</v>
      </c>
      <c r="N65" s="63">
        <v>0</v>
      </c>
      <c r="O65" s="67">
        <v>2.5</v>
      </c>
      <c r="P65" s="66"/>
      <c r="Q65" s="66" t="s">
        <v>93</v>
      </c>
      <c r="R65" s="34"/>
    </row>
    <row r="66" spans="1:18">
      <c r="A66" s="31" t="s">
        <v>23</v>
      </c>
      <c r="B66" s="32" t="s">
        <v>32</v>
      </c>
      <c r="C66" s="62">
        <v>44166</v>
      </c>
      <c r="D66" s="62">
        <v>44530</v>
      </c>
      <c r="E66" s="62">
        <v>44166</v>
      </c>
      <c r="F66" s="33" t="s">
        <v>25</v>
      </c>
      <c r="G66" s="63">
        <v>400000000</v>
      </c>
      <c r="H66" s="63">
        <v>0</v>
      </c>
      <c r="I66" s="64">
        <v>4.68</v>
      </c>
      <c r="J66" s="65"/>
      <c r="K66" s="66" t="s">
        <v>93</v>
      </c>
      <c r="L66" s="31" t="s">
        <v>25</v>
      </c>
      <c r="M66" s="63">
        <v>2250000000</v>
      </c>
      <c r="N66" s="63">
        <v>0</v>
      </c>
      <c r="O66" s="67">
        <v>4.68</v>
      </c>
      <c r="P66" s="66"/>
      <c r="Q66" s="66" t="s">
        <v>93</v>
      </c>
      <c r="R66" s="34"/>
    </row>
    <row r="67" spans="1:18">
      <c r="A67" s="31" t="s">
        <v>23</v>
      </c>
      <c r="B67" s="32" t="s">
        <v>32</v>
      </c>
      <c r="C67" s="62">
        <v>44531</v>
      </c>
      <c r="D67" s="62">
        <v>44895</v>
      </c>
      <c r="E67" s="62">
        <v>44531</v>
      </c>
      <c r="F67" s="33" t="s">
        <v>25</v>
      </c>
      <c r="G67" s="63">
        <v>400000000</v>
      </c>
      <c r="H67" s="63">
        <v>0</v>
      </c>
      <c r="I67" s="64">
        <v>4.68</v>
      </c>
      <c r="J67" s="65"/>
      <c r="K67" s="66" t="s">
        <v>93</v>
      </c>
      <c r="L67" s="31" t="s">
        <v>25</v>
      </c>
      <c r="M67" s="63">
        <v>2250000000</v>
      </c>
      <c r="N67" s="63">
        <v>0</v>
      </c>
      <c r="O67" s="67">
        <v>4.68</v>
      </c>
      <c r="P67" s="66"/>
      <c r="Q67" s="66" t="s">
        <v>93</v>
      </c>
      <c r="R67" s="34"/>
    </row>
    <row r="68" spans="1:18">
      <c r="A68" s="31" t="s">
        <v>23</v>
      </c>
      <c r="B68" s="32" t="s">
        <v>33</v>
      </c>
      <c r="C68" s="62">
        <v>43814</v>
      </c>
      <c r="D68" s="62">
        <v>44179</v>
      </c>
      <c r="E68" s="62">
        <v>43814</v>
      </c>
      <c r="F68" s="33" t="s">
        <v>25</v>
      </c>
      <c r="G68" s="63">
        <v>350000000</v>
      </c>
      <c r="H68" s="63">
        <v>0</v>
      </c>
      <c r="I68" s="64">
        <v>6.5</v>
      </c>
      <c r="J68" s="65"/>
      <c r="K68" s="66" t="s">
        <v>93</v>
      </c>
      <c r="L68" s="31" t="s">
        <v>25</v>
      </c>
      <c r="M68" s="63">
        <v>2250000000</v>
      </c>
      <c r="N68" s="63">
        <v>0</v>
      </c>
      <c r="O68" s="67">
        <v>6.5</v>
      </c>
      <c r="P68" s="66"/>
      <c r="Q68" s="66" t="s">
        <v>93</v>
      </c>
      <c r="R68" s="34"/>
    </row>
    <row r="69" spans="1:18">
      <c r="A69" s="31" t="s">
        <v>23</v>
      </c>
      <c r="B69" s="32" t="s">
        <v>33</v>
      </c>
      <c r="C69" s="62">
        <v>44180</v>
      </c>
      <c r="D69" s="62">
        <v>44544</v>
      </c>
      <c r="E69" s="62">
        <v>44180</v>
      </c>
      <c r="F69" s="33" t="s">
        <v>25</v>
      </c>
      <c r="G69" s="63">
        <v>350000000</v>
      </c>
      <c r="H69" s="63">
        <v>0</v>
      </c>
      <c r="I69" s="64">
        <v>10</v>
      </c>
      <c r="J69" s="65"/>
      <c r="K69" s="66" t="s">
        <v>93</v>
      </c>
      <c r="L69" s="31" t="s">
        <v>25</v>
      </c>
      <c r="M69" s="63">
        <v>2250000000</v>
      </c>
      <c r="N69" s="63">
        <v>0</v>
      </c>
      <c r="O69" s="67">
        <v>10</v>
      </c>
      <c r="P69" s="66"/>
      <c r="Q69" s="66" t="s">
        <v>93</v>
      </c>
      <c r="R69" s="34"/>
    </row>
    <row r="70" spans="1:18">
      <c r="A70" s="31" t="s">
        <v>23</v>
      </c>
      <c r="B70" s="32" t="s">
        <v>33</v>
      </c>
      <c r="C70" s="62">
        <v>44545</v>
      </c>
      <c r="D70" s="62">
        <v>44909</v>
      </c>
      <c r="E70" s="62">
        <v>44545</v>
      </c>
      <c r="F70" s="33" t="s">
        <v>25</v>
      </c>
      <c r="G70" s="63">
        <v>350000000</v>
      </c>
      <c r="H70" s="63">
        <v>0</v>
      </c>
      <c r="I70" s="64">
        <v>10</v>
      </c>
      <c r="J70" s="65"/>
      <c r="K70" s="66" t="s">
        <v>93</v>
      </c>
      <c r="L70" s="31" t="s">
        <v>25</v>
      </c>
      <c r="M70" s="63">
        <v>2250000000</v>
      </c>
      <c r="N70" s="63">
        <v>0</v>
      </c>
      <c r="O70" s="67">
        <v>10</v>
      </c>
      <c r="P70" s="66"/>
      <c r="Q70" s="66" t="s">
        <v>93</v>
      </c>
      <c r="R70" s="34"/>
    </row>
    <row r="71" spans="1:18">
      <c r="A71" s="31" t="s">
        <v>23</v>
      </c>
      <c r="B71" s="32" t="s">
        <v>34</v>
      </c>
      <c r="C71" s="62">
        <v>43982</v>
      </c>
      <c r="D71" s="62">
        <v>44347</v>
      </c>
      <c r="E71" s="62">
        <v>43982</v>
      </c>
      <c r="F71" s="33" t="s">
        <v>25</v>
      </c>
      <c r="G71" s="63">
        <v>305000000</v>
      </c>
      <c r="H71" s="63">
        <v>0</v>
      </c>
      <c r="I71" s="64">
        <v>3.25</v>
      </c>
      <c r="J71" s="65"/>
      <c r="K71" s="66" t="s">
        <v>93</v>
      </c>
      <c r="L71" s="31" t="s">
        <v>25</v>
      </c>
      <c r="M71" s="63">
        <v>1750000000</v>
      </c>
      <c r="N71" s="63">
        <v>0</v>
      </c>
      <c r="O71" s="67">
        <v>3.25</v>
      </c>
      <c r="P71" s="66"/>
      <c r="Q71" s="66" t="s">
        <v>93</v>
      </c>
      <c r="R71" s="34"/>
    </row>
    <row r="72" spans="1:18">
      <c r="A72" s="31" t="s">
        <v>23</v>
      </c>
      <c r="B72" s="32" t="s">
        <v>34</v>
      </c>
      <c r="C72" s="62">
        <v>44348</v>
      </c>
      <c r="D72" s="62">
        <v>44712</v>
      </c>
      <c r="E72" s="62">
        <v>44348</v>
      </c>
      <c r="F72" s="33" t="s">
        <v>25</v>
      </c>
      <c r="G72" s="63">
        <v>305000000</v>
      </c>
      <c r="H72" s="63">
        <v>0</v>
      </c>
      <c r="I72" s="64">
        <v>2.5</v>
      </c>
      <c r="J72" s="65"/>
      <c r="K72" s="66" t="s">
        <v>93</v>
      </c>
      <c r="L72" s="31" t="s">
        <v>25</v>
      </c>
      <c r="M72" s="63">
        <v>1750000000</v>
      </c>
      <c r="N72" s="63">
        <v>0</v>
      </c>
      <c r="O72" s="67">
        <v>2.5</v>
      </c>
      <c r="P72" s="66"/>
      <c r="Q72" s="66" t="s">
        <v>93</v>
      </c>
      <c r="R72" s="34"/>
    </row>
    <row r="73" spans="1:18">
      <c r="A73" s="31" t="s">
        <v>23</v>
      </c>
      <c r="B73" s="32" t="s">
        <v>34</v>
      </c>
      <c r="C73" s="62">
        <v>44348</v>
      </c>
      <c r="D73" s="62">
        <v>44712</v>
      </c>
      <c r="E73" s="62">
        <v>44348</v>
      </c>
      <c r="F73" s="33" t="s">
        <v>25</v>
      </c>
      <c r="G73" s="63">
        <v>305000000</v>
      </c>
      <c r="H73" s="63">
        <v>0</v>
      </c>
      <c r="I73" s="64">
        <v>2.5</v>
      </c>
      <c r="J73" s="65"/>
      <c r="K73" s="66" t="s">
        <v>93</v>
      </c>
      <c r="L73" s="31" t="s">
        <v>25</v>
      </c>
      <c r="M73" s="63">
        <v>1750000000</v>
      </c>
      <c r="N73" s="63">
        <v>0</v>
      </c>
      <c r="O73" s="67">
        <v>2.5</v>
      </c>
      <c r="P73" s="66"/>
      <c r="Q73" s="66" t="s">
        <v>93</v>
      </c>
      <c r="R73" s="34"/>
    </row>
    <row r="74" spans="1:18">
      <c r="A74" s="31" t="s">
        <v>23</v>
      </c>
      <c r="B74" s="32" t="s">
        <v>35</v>
      </c>
      <c r="C74" s="62">
        <v>43563</v>
      </c>
      <c r="D74" s="62">
        <v>43928</v>
      </c>
      <c r="E74" s="62">
        <v>43563</v>
      </c>
      <c r="F74" s="33" t="s">
        <v>25</v>
      </c>
      <c r="G74" s="63">
        <v>200000000</v>
      </c>
      <c r="H74" s="63">
        <v>0</v>
      </c>
      <c r="I74" s="64">
        <v>0</v>
      </c>
      <c r="J74" s="65"/>
      <c r="K74" s="66" t="s">
        <v>93</v>
      </c>
      <c r="L74" s="31" t="s">
        <v>25</v>
      </c>
      <c r="M74" s="63">
        <v>1000000000</v>
      </c>
      <c r="N74" s="63">
        <v>0</v>
      </c>
      <c r="O74" s="67">
        <v>0</v>
      </c>
      <c r="P74" s="66"/>
      <c r="Q74" s="66" t="s">
        <v>93</v>
      </c>
      <c r="R74" s="34"/>
    </row>
    <row r="75" spans="1:18">
      <c r="A75" s="31" t="s">
        <v>23</v>
      </c>
      <c r="B75" s="32" t="s">
        <v>35</v>
      </c>
      <c r="C75" s="62">
        <v>43929</v>
      </c>
      <c r="D75" s="62">
        <v>44293</v>
      </c>
      <c r="E75" s="62">
        <v>43929</v>
      </c>
      <c r="F75" s="33" t="s">
        <v>25</v>
      </c>
      <c r="G75" s="63">
        <v>200000000</v>
      </c>
      <c r="H75" s="63">
        <v>0</v>
      </c>
      <c r="I75" s="64">
        <v>0</v>
      </c>
      <c r="J75" s="65"/>
      <c r="K75" s="66" t="s">
        <v>93</v>
      </c>
      <c r="L75" s="31" t="s">
        <v>25</v>
      </c>
      <c r="M75" s="63">
        <v>1000000000</v>
      </c>
      <c r="N75" s="63">
        <v>0</v>
      </c>
      <c r="O75" s="67">
        <v>0</v>
      </c>
      <c r="P75" s="66"/>
      <c r="Q75" s="66" t="s">
        <v>93</v>
      </c>
      <c r="R75" s="34"/>
    </row>
    <row r="76" spans="1:18">
      <c r="A76" s="31" t="s">
        <v>23</v>
      </c>
      <c r="B76" s="32" t="s">
        <v>35</v>
      </c>
      <c r="C76" s="62">
        <v>44294</v>
      </c>
      <c r="D76" s="62">
        <v>44658</v>
      </c>
      <c r="E76" s="62">
        <v>44294</v>
      </c>
      <c r="F76" s="33" t="s">
        <v>25</v>
      </c>
      <c r="G76" s="63">
        <v>200000000</v>
      </c>
      <c r="H76" s="63">
        <v>0</v>
      </c>
      <c r="I76" s="64">
        <v>0</v>
      </c>
      <c r="J76" s="65"/>
      <c r="K76" s="66" t="s">
        <v>93</v>
      </c>
      <c r="L76" s="31" t="s">
        <v>25</v>
      </c>
      <c r="M76" s="63">
        <v>1000000000</v>
      </c>
      <c r="N76" s="63">
        <v>0</v>
      </c>
      <c r="O76" s="67">
        <v>0</v>
      </c>
      <c r="P76" s="66"/>
      <c r="Q76" s="66" t="s">
        <v>93</v>
      </c>
      <c r="R76" s="34"/>
    </row>
    <row r="77" spans="1:18">
      <c r="A77" s="31" t="s">
        <v>23</v>
      </c>
      <c r="B77" s="32" t="s">
        <v>245</v>
      </c>
      <c r="C77" s="62">
        <v>43784</v>
      </c>
      <c r="D77" s="62">
        <v>44149</v>
      </c>
      <c r="E77" s="62">
        <v>43784</v>
      </c>
      <c r="F77" s="33" t="s">
        <v>25</v>
      </c>
      <c r="G77" s="63">
        <v>320000000</v>
      </c>
      <c r="H77" s="63">
        <v>0</v>
      </c>
      <c r="I77" s="64">
        <v>0</v>
      </c>
      <c r="J77" s="65"/>
      <c r="K77" s="66" t="s">
        <v>93</v>
      </c>
      <c r="L77" s="31" t="s">
        <v>25</v>
      </c>
      <c r="M77" s="63">
        <v>2250000000</v>
      </c>
      <c r="N77" s="63">
        <v>0</v>
      </c>
      <c r="O77" s="67">
        <v>0</v>
      </c>
      <c r="P77" s="66"/>
      <c r="Q77" s="66" t="s">
        <v>93</v>
      </c>
      <c r="R77" s="34"/>
    </row>
    <row r="78" spans="1:18">
      <c r="A78" s="31" t="s">
        <v>23</v>
      </c>
      <c r="B78" s="32" t="s">
        <v>245</v>
      </c>
      <c r="C78" s="62">
        <v>44150</v>
      </c>
      <c r="D78" s="62">
        <v>44514</v>
      </c>
      <c r="E78" s="62">
        <v>44150</v>
      </c>
      <c r="F78" s="33" t="s">
        <v>25</v>
      </c>
      <c r="G78" s="63">
        <v>320000000</v>
      </c>
      <c r="H78" s="63">
        <v>0</v>
      </c>
      <c r="I78" s="64">
        <v>0</v>
      </c>
      <c r="J78" s="65"/>
      <c r="K78" s="66" t="s">
        <v>93</v>
      </c>
      <c r="L78" s="31" t="s">
        <v>25</v>
      </c>
      <c r="M78" s="63">
        <v>2250000000</v>
      </c>
      <c r="N78" s="63">
        <v>0</v>
      </c>
      <c r="O78" s="67">
        <v>0</v>
      </c>
      <c r="P78" s="66"/>
      <c r="Q78" s="66" t="s">
        <v>93</v>
      </c>
      <c r="R78" s="34"/>
    </row>
    <row r="79" spans="1:18">
      <c r="A79" s="31" t="s">
        <v>23</v>
      </c>
      <c r="B79" s="32" t="s">
        <v>245</v>
      </c>
      <c r="C79" s="62">
        <v>44515</v>
      </c>
      <c r="D79" s="62">
        <v>44879</v>
      </c>
      <c r="E79" s="62">
        <v>44515</v>
      </c>
      <c r="F79" s="33" t="s">
        <v>25</v>
      </c>
      <c r="G79" s="63">
        <v>320000000</v>
      </c>
      <c r="H79" s="63">
        <v>0</v>
      </c>
      <c r="I79" s="64">
        <v>0</v>
      </c>
      <c r="J79" s="65"/>
      <c r="K79" s="66" t="s">
        <v>93</v>
      </c>
      <c r="L79" s="31" t="s">
        <v>25</v>
      </c>
      <c r="M79" s="63">
        <v>2250000000</v>
      </c>
      <c r="N79" s="63">
        <v>0</v>
      </c>
      <c r="O79" s="67">
        <v>0</v>
      </c>
      <c r="P79" s="66"/>
      <c r="Q79" s="66" t="s">
        <v>93</v>
      </c>
      <c r="R79" s="34"/>
    </row>
    <row r="80" spans="1:18">
      <c r="A80" s="31" t="s">
        <v>23</v>
      </c>
      <c r="B80" s="32" t="s">
        <v>246</v>
      </c>
      <c r="C80" s="62">
        <v>43784</v>
      </c>
      <c r="D80" s="62">
        <v>44149</v>
      </c>
      <c r="E80" s="62">
        <v>43784</v>
      </c>
      <c r="F80" s="33" t="s">
        <v>25</v>
      </c>
      <c r="G80" s="63">
        <v>320000000</v>
      </c>
      <c r="H80" s="63">
        <v>0</v>
      </c>
      <c r="I80" s="64">
        <v>0</v>
      </c>
      <c r="J80" s="65"/>
      <c r="K80" s="66" t="s">
        <v>93</v>
      </c>
      <c r="L80" s="31" t="s">
        <v>25</v>
      </c>
      <c r="M80" s="63">
        <v>1500000000</v>
      </c>
      <c r="N80" s="63">
        <v>0</v>
      </c>
      <c r="O80" s="67">
        <v>0</v>
      </c>
      <c r="P80" s="66"/>
      <c r="Q80" s="66" t="s">
        <v>93</v>
      </c>
      <c r="R80" s="34"/>
    </row>
    <row r="81" spans="1:18">
      <c r="A81" s="31" t="s">
        <v>23</v>
      </c>
      <c r="B81" s="32" t="s">
        <v>246</v>
      </c>
      <c r="C81" s="62">
        <v>44150</v>
      </c>
      <c r="D81" s="62">
        <v>44514</v>
      </c>
      <c r="E81" s="62">
        <v>44150</v>
      </c>
      <c r="F81" s="33" t="s">
        <v>25</v>
      </c>
      <c r="G81" s="63">
        <v>320000000</v>
      </c>
      <c r="H81" s="63">
        <v>0</v>
      </c>
      <c r="I81" s="64">
        <v>0</v>
      </c>
      <c r="J81" s="65"/>
      <c r="K81" s="66" t="s">
        <v>93</v>
      </c>
      <c r="L81" s="31" t="s">
        <v>25</v>
      </c>
      <c r="M81" s="63">
        <v>1500000000</v>
      </c>
      <c r="N81" s="63">
        <v>0</v>
      </c>
      <c r="O81" s="67">
        <v>0</v>
      </c>
      <c r="P81" s="66"/>
      <c r="Q81" s="66" t="s">
        <v>93</v>
      </c>
      <c r="R81" s="34"/>
    </row>
    <row r="82" spans="1:18">
      <c r="A82" s="31" t="s">
        <v>23</v>
      </c>
      <c r="B82" s="32" t="s">
        <v>246</v>
      </c>
      <c r="C82" s="62">
        <v>44515</v>
      </c>
      <c r="D82" s="62">
        <v>44879</v>
      </c>
      <c r="E82" s="62">
        <v>44515</v>
      </c>
      <c r="F82" s="33" t="s">
        <v>25</v>
      </c>
      <c r="G82" s="63">
        <v>320000000</v>
      </c>
      <c r="H82" s="63">
        <v>0</v>
      </c>
      <c r="I82" s="64">
        <v>0</v>
      </c>
      <c r="J82" s="65"/>
      <c r="K82" s="66" t="s">
        <v>93</v>
      </c>
      <c r="L82" s="31" t="s">
        <v>25</v>
      </c>
      <c r="M82" s="63">
        <v>1500000000</v>
      </c>
      <c r="N82" s="63">
        <v>0</v>
      </c>
      <c r="O82" s="67">
        <v>0</v>
      </c>
      <c r="P82" s="66"/>
      <c r="Q82" s="66" t="s">
        <v>93</v>
      </c>
      <c r="R82" s="34"/>
    </row>
    <row r="83" spans="1:18">
      <c r="A83" s="31" t="s">
        <v>23</v>
      </c>
      <c r="B83" s="32" t="s">
        <v>247</v>
      </c>
      <c r="C83" s="62">
        <v>43784</v>
      </c>
      <c r="D83" s="62">
        <v>44149</v>
      </c>
      <c r="E83" s="62">
        <v>43784</v>
      </c>
      <c r="F83" s="33" t="s">
        <v>25</v>
      </c>
      <c r="G83" s="63">
        <v>320000000</v>
      </c>
      <c r="H83" s="63">
        <v>0</v>
      </c>
      <c r="I83" s="64">
        <v>0</v>
      </c>
      <c r="J83" s="65"/>
      <c r="K83" s="66" t="s">
        <v>93</v>
      </c>
      <c r="L83" s="31" t="s">
        <v>25</v>
      </c>
      <c r="M83" s="63">
        <v>850000000</v>
      </c>
      <c r="N83" s="63">
        <v>0</v>
      </c>
      <c r="O83" s="67">
        <v>0</v>
      </c>
      <c r="P83" s="66"/>
      <c r="Q83" s="66" t="s">
        <v>93</v>
      </c>
      <c r="R83" s="34"/>
    </row>
    <row r="84" spans="1:18">
      <c r="A84" s="31" t="s">
        <v>23</v>
      </c>
      <c r="B84" s="32" t="s">
        <v>247</v>
      </c>
      <c r="C84" s="62">
        <v>44150</v>
      </c>
      <c r="D84" s="62">
        <v>44514</v>
      </c>
      <c r="E84" s="62">
        <v>44150</v>
      </c>
      <c r="F84" s="33" t="s">
        <v>25</v>
      </c>
      <c r="G84" s="63">
        <v>320000000</v>
      </c>
      <c r="H84" s="63">
        <v>0</v>
      </c>
      <c r="I84" s="64">
        <v>0</v>
      </c>
      <c r="J84" s="65"/>
      <c r="K84" s="66" t="s">
        <v>93</v>
      </c>
      <c r="L84" s="31" t="s">
        <v>25</v>
      </c>
      <c r="M84" s="63">
        <v>850000000</v>
      </c>
      <c r="N84" s="63">
        <v>0</v>
      </c>
      <c r="O84" s="67">
        <v>0</v>
      </c>
      <c r="P84" s="66"/>
      <c r="Q84" s="66" t="s">
        <v>93</v>
      </c>
      <c r="R84" s="34"/>
    </row>
    <row r="85" spans="1:18">
      <c r="A85" s="31" t="s">
        <v>23</v>
      </c>
      <c r="B85" s="32" t="s">
        <v>247</v>
      </c>
      <c r="C85" s="62">
        <v>44515</v>
      </c>
      <c r="D85" s="62">
        <v>44879</v>
      </c>
      <c r="E85" s="62">
        <v>44515</v>
      </c>
      <c r="F85" s="33" t="s">
        <v>25</v>
      </c>
      <c r="G85" s="63">
        <v>320000000</v>
      </c>
      <c r="H85" s="63">
        <v>0</v>
      </c>
      <c r="I85" s="64">
        <v>0</v>
      </c>
      <c r="J85" s="65"/>
      <c r="K85" s="66" t="s">
        <v>93</v>
      </c>
      <c r="L85" s="31" t="s">
        <v>25</v>
      </c>
      <c r="M85" s="63">
        <v>850000000</v>
      </c>
      <c r="N85" s="63">
        <v>0</v>
      </c>
      <c r="O85" s="67">
        <v>0</v>
      </c>
      <c r="P85" s="66"/>
      <c r="Q85" s="66" t="s">
        <v>93</v>
      </c>
      <c r="R85" s="34"/>
    </row>
    <row r="86" spans="1:18">
      <c r="A86" s="31" t="s">
        <v>23</v>
      </c>
      <c r="B86" s="32" t="s">
        <v>56</v>
      </c>
      <c r="C86" s="62">
        <v>43770</v>
      </c>
      <c r="D86" s="62">
        <v>44135</v>
      </c>
      <c r="E86" s="62">
        <v>43770</v>
      </c>
      <c r="F86" s="33" t="s">
        <v>25</v>
      </c>
      <c r="G86" s="63">
        <v>302500000</v>
      </c>
      <c r="H86" s="63">
        <v>0</v>
      </c>
      <c r="I86" s="64">
        <v>10</v>
      </c>
      <c r="J86" s="65"/>
      <c r="K86" s="66" t="s">
        <v>93</v>
      </c>
      <c r="L86" s="31" t="s">
        <v>25</v>
      </c>
      <c r="M86" s="63">
        <v>1500000000</v>
      </c>
      <c r="N86" s="63">
        <v>0</v>
      </c>
      <c r="O86" s="67">
        <v>10</v>
      </c>
      <c r="P86" s="66"/>
      <c r="Q86" s="66" t="s">
        <v>93</v>
      </c>
      <c r="R86" s="34"/>
    </row>
    <row r="87" spans="1:18">
      <c r="A87" s="31" t="s">
        <v>23</v>
      </c>
      <c r="B87" s="32" t="s">
        <v>56</v>
      </c>
      <c r="C87" s="62">
        <v>44136</v>
      </c>
      <c r="D87" s="62">
        <v>44500</v>
      </c>
      <c r="E87" s="62">
        <v>44136</v>
      </c>
      <c r="F87" s="33" t="s">
        <v>25</v>
      </c>
      <c r="G87" s="63">
        <v>275000000</v>
      </c>
      <c r="H87" s="63">
        <v>0</v>
      </c>
      <c r="I87" s="64">
        <v>12.5</v>
      </c>
      <c r="J87" s="65"/>
      <c r="K87" s="66" t="s">
        <v>93</v>
      </c>
      <c r="L87" s="31" t="s">
        <v>25</v>
      </c>
      <c r="M87" s="63">
        <v>1500000000</v>
      </c>
      <c r="N87" s="63">
        <v>0</v>
      </c>
      <c r="O87" s="67">
        <v>12.5</v>
      </c>
      <c r="P87" s="66"/>
      <c r="Q87" s="66" t="s">
        <v>93</v>
      </c>
      <c r="R87" s="34"/>
    </row>
    <row r="88" spans="1:18">
      <c r="A88" s="31" t="s">
        <v>23</v>
      </c>
      <c r="B88" s="32" t="s">
        <v>56</v>
      </c>
      <c r="C88" s="62">
        <v>44501</v>
      </c>
      <c r="D88" s="62">
        <v>44865</v>
      </c>
      <c r="E88" s="62">
        <v>44501</v>
      </c>
      <c r="F88" s="33" t="s">
        <v>25</v>
      </c>
      <c r="G88" s="63">
        <v>275000000</v>
      </c>
      <c r="H88" s="63">
        <v>0</v>
      </c>
      <c r="I88" s="64">
        <v>12.5</v>
      </c>
      <c r="J88" s="65"/>
      <c r="K88" s="66" t="s">
        <v>93</v>
      </c>
      <c r="L88" s="31" t="s">
        <v>25</v>
      </c>
      <c r="M88" s="63">
        <v>1500000000</v>
      </c>
      <c r="N88" s="63">
        <v>0</v>
      </c>
      <c r="O88" s="67">
        <v>12.5</v>
      </c>
      <c r="P88" s="66"/>
      <c r="Q88" s="66" t="s">
        <v>93</v>
      </c>
      <c r="R88" s="34"/>
    </row>
    <row r="89" spans="1:18">
      <c r="A89" s="31" t="s">
        <v>23</v>
      </c>
      <c r="B89" s="32" t="s">
        <v>36</v>
      </c>
      <c r="C89" s="62">
        <v>43586</v>
      </c>
      <c r="D89" s="62">
        <v>43951</v>
      </c>
      <c r="E89" s="62">
        <v>43586</v>
      </c>
      <c r="F89" s="33" t="s">
        <v>25</v>
      </c>
      <c r="G89" s="63">
        <v>70000000</v>
      </c>
      <c r="H89" s="63">
        <v>0</v>
      </c>
      <c r="I89" s="64">
        <v>7</v>
      </c>
      <c r="J89" s="65"/>
      <c r="K89" s="66" t="s">
        <v>93</v>
      </c>
      <c r="L89" s="31" t="s">
        <v>25</v>
      </c>
      <c r="M89" s="63">
        <v>1000000000</v>
      </c>
      <c r="N89" s="63">
        <v>0</v>
      </c>
      <c r="O89" s="67">
        <v>7</v>
      </c>
      <c r="P89" s="66"/>
      <c r="Q89" s="66" t="s">
        <v>93</v>
      </c>
      <c r="R89" s="34"/>
    </row>
    <row r="90" spans="1:18">
      <c r="A90" s="31" t="s">
        <v>23</v>
      </c>
      <c r="B90" s="32" t="s">
        <v>36</v>
      </c>
      <c r="C90" s="62">
        <v>43952</v>
      </c>
      <c r="D90" s="62">
        <v>44316</v>
      </c>
      <c r="E90" s="62">
        <v>43952</v>
      </c>
      <c r="F90" s="33" t="s">
        <v>25</v>
      </c>
      <c r="G90" s="63">
        <v>70000000</v>
      </c>
      <c r="H90" s="63">
        <v>0</v>
      </c>
      <c r="I90" s="64">
        <v>7</v>
      </c>
      <c r="J90" s="65"/>
      <c r="K90" s="66" t="s">
        <v>93</v>
      </c>
      <c r="L90" s="31" t="s">
        <v>25</v>
      </c>
      <c r="M90" s="63">
        <v>1000000000</v>
      </c>
      <c r="N90" s="63">
        <v>0</v>
      </c>
      <c r="O90" s="67">
        <v>7</v>
      </c>
      <c r="P90" s="66"/>
      <c r="Q90" s="66" t="s">
        <v>93</v>
      </c>
      <c r="R90" s="34"/>
    </row>
    <row r="91" spans="1:18">
      <c r="A91" s="31" t="s">
        <v>23</v>
      </c>
      <c r="B91" s="32" t="s">
        <v>36</v>
      </c>
      <c r="C91" s="62">
        <v>44317</v>
      </c>
      <c r="D91" s="62">
        <v>44681</v>
      </c>
      <c r="E91" s="62">
        <v>44317</v>
      </c>
      <c r="F91" s="33" t="s">
        <v>25</v>
      </c>
      <c r="G91" s="63">
        <v>100000000</v>
      </c>
      <c r="H91" s="63">
        <v>0</v>
      </c>
      <c r="I91" s="64">
        <v>3</v>
      </c>
      <c r="J91" s="65"/>
      <c r="K91" s="66" t="s">
        <v>93</v>
      </c>
      <c r="L91" s="31" t="s">
        <v>25</v>
      </c>
      <c r="M91" s="63">
        <v>1000000000</v>
      </c>
      <c r="N91" s="63">
        <v>0</v>
      </c>
      <c r="O91" s="67">
        <v>3</v>
      </c>
      <c r="P91" s="66"/>
      <c r="Q91" s="66" t="s">
        <v>93</v>
      </c>
      <c r="R91" s="34"/>
    </row>
    <row r="92" spans="1:18">
      <c r="A92" s="31" t="s">
        <v>23</v>
      </c>
      <c r="B92" s="32" t="s">
        <v>37</v>
      </c>
      <c r="C92" s="62">
        <v>43785</v>
      </c>
      <c r="D92" s="62">
        <v>44150</v>
      </c>
      <c r="E92" s="62">
        <v>43785</v>
      </c>
      <c r="F92" s="33" t="s">
        <v>25</v>
      </c>
      <c r="G92" s="63">
        <v>175000000</v>
      </c>
      <c r="H92" s="63">
        <v>0</v>
      </c>
      <c r="I92" s="64">
        <v>0</v>
      </c>
      <c r="J92" s="65"/>
      <c r="K92" s="66" t="s">
        <v>93</v>
      </c>
      <c r="L92" s="31" t="s">
        <v>25</v>
      </c>
      <c r="M92" s="63">
        <v>1250000000</v>
      </c>
      <c r="N92" s="63">
        <v>0</v>
      </c>
      <c r="O92" s="67">
        <v>0</v>
      </c>
      <c r="P92" s="66"/>
      <c r="Q92" s="66" t="s">
        <v>93</v>
      </c>
      <c r="R92" s="34"/>
    </row>
    <row r="93" spans="1:18">
      <c r="A93" s="31" t="s">
        <v>23</v>
      </c>
      <c r="B93" s="32" t="s">
        <v>37</v>
      </c>
      <c r="C93" s="62">
        <v>44151</v>
      </c>
      <c r="D93" s="62">
        <v>44515</v>
      </c>
      <c r="E93" s="62">
        <v>44151</v>
      </c>
      <c r="F93" s="33" t="s">
        <v>25</v>
      </c>
      <c r="G93" s="63">
        <v>175000000</v>
      </c>
      <c r="H93" s="63">
        <v>0</v>
      </c>
      <c r="I93" s="64">
        <v>0</v>
      </c>
      <c r="J93" s="65"/>
      <c r="K93" s="66" t="s">
        <v>93</v>
      </c>
      <c r="L93" s="31" t="s">
        <v>25</v>
      </c>
      <c r="M93" s="63">
        <v>1250000000</v>
      </c>
      <c r="N93" s="63">
        <v>0</v>
      </c>
      <c r="O93" s="67">
        <v>0</v>
      </c>
      <c r="P93" s="66"/>
      <c r="Q93" s="66" t="s">
        <v>93</v>
      </c>
      <c r="R93" s="34"/>
    </row>
    <row r="94" spans="1:18">
      <c r="A94" s="31" t="s">
        <v>23</v>
      </c>
      <c r="B94" s="32" t="s">
        <v>37</v>
      </c>
      <c r="C94" s="62">
        <v>44516</v>
      </c>
      <c r="D94" s="62">
        <v>44880</v>
      </c>
      <c r="E94" s="62">
        <v>44516</v>
      </c>
      <c r="F94" s="33" t="s">
        <v>25</v>
      </c>
      <c r="G94" s="63">
        <v>175000000</v>
      </c>
      <c r="H94" s="63">
        <v>0</v>
      </c>
      <c r="I94" s="64">
        <v>0</v>
      </c>
      <c r="J94" s="65"/>
      <c r="K94" s="66" t="s">
        <v>93</v>
      </c>
      <c r="L94" s="31" t="s">
        <v>25</v>
      </c>
      <c r="M94" s="63">
        <v>1250000000</v>
      </c>
      <c r="N94" s="63">
        <v>0</v>
      </c>
      <c r="O94" s="67">
        <v>0</v>
      </c>
      <c r="P94" s="66"/>
      <c r="Q94" s="66" t="s">
        <v>93</v>
      </c>
      <c r="R94" s="34"/>
    </row>
    <row r="95" spans="1:18">
      <c r="A95" s="31" t="s">
        <v>23</v>
      </c>
      <c r="B95" s="32" t="s">
        <v>38</v>
      </c>
      <c r="C95" s="62">
        <v>43829</v>
      </c>
      <c r="D95" s="62">
        <v>44285</v>
      </c>
      <c r="E95" s="62">
        <v>43829</v>
      </c>
      <c r="F95" s="33" t="s">
        <v>25</v>
      </c>
      <c r="G95" s="63">
        <v>280000000</v>
      </c>
      <c r="H95" s="63">
        <v>0</v>
      </c>
      <c r="I95" s="64">
        <v>5.75</v>
      </c>
      <c r="J95" s="65"/>
      <c r="K95" s="66" t="s">
        <v>93</v>
      </c>
      <c r="L95" s="31" t="s">
        <v>25</v>
      </c>
      <c r="M95" s="63">
        <v>2000000000</v>
      </c>
      <c r="N95" s="63">
        <v>0</v>
      </c>
      <c r="O95" s="67">
        <v>5.75</v>
      </c>
      <c r="P95" s="66"/>
      <c r="Q95" s="66" t="s">
        <v>93</v>
      </c>
      <c r="R95" s="34"/>
    </row>
    <row r="96" spans="1:18">
      <c r="A96" s="31" t="s">
        <v>23</v>
      </c>
      <c r="B96" s="32" t="s">
        <v>38</v>
      </c>
      <c r="C96" s="62">
        <v>44286</v>
      </c>
      <c r="D96" s="62">
        <v>44650</v>
      </c>
      <c r="E96" s="62">
        <v>44286</v>
      </c>
      <c r="F96" s="33" t="s">
        <v>25</v>
      </c>
      <c r="G96" s="63">
        <v>280000000</v>
      </c>
      <c r="H96" s="63">
        <v>0</v>
      </c>
      <c r="I96" s="64">
        <v>5.75</v>
      </c>
      <c r="J96" s="65"/>
      <c r="K96" s="66" t="s">
        <v>93</v>
      </c>
      <c r="L96" s="31" t="s">
        <v>25</v>
      </c>
      <c r="M96" s="63">
        <v>2000000000</v>
      </c>
      <c r="N96" s="63">
        <v>0</v>
      </c>
      <c r="O96" s="67">
        <v>5.75</v>
      </c>
      <c r="P96" s="66"/>
      <c r="Q96" s="66" t="s">
        <v>93</v>
      </c>
      <c r="R96" s="34"/>
    </row>
    <row r="97" spans="1:18">
      <c r="A97" s="31" t="s">
        <v>23</v>
      </c>
      <c r="B97" s="32" t="s">
        <v>95</v>
      </c>
      <c r="C97" s="62">
        <v>43785</v>
      </c>
      <c r="D97" s="62">
        <v>44150</v>
      </c>
      <c r="E97" s="62">
        <v>43785</v>
      </c>
      <c r="F97" s="33" t="s">
        <v>25</v>
      </c>
      <c r="G97" s="63">
        <v>450000000</v>
      </c>
      <c r="H97" s="63">
        <v>0</v>
      </c>
      <c r="I97" s="64">
        <v>10</v>
      </c>
      <c r="J97" s="65"/>
      <c r="K97" s="66" t="s">
        <v>93</v>
      </c>
      <c r="L97" s="31" t="s">
        <v>25</v>
      </c>
      <c r="M97" s="63">
        <v>2250000000</v>
      </c>
      <c r="N97" s="63">
        <v>0</v>
      </c>
      <c r="O97" s="67">
        <v>10</v>
      </c>
      <c r="P97" s="66"/>
      <c r="Q97" s="66" t="s">
        <v>93</v>
      </c>
      <c r="R97" s="34"/>
    </row>
    <row r="98" spans="1:18">
      <c r="A98" s="31" t="s">
        <v>23</v>
      </c>
      <c r="B98" s="32" t="s">
        <v>95</v>
      </c>
      <c r="C98" s="62">
        <v>44151</v>
      </c>
      <c r="D98" s="62">
        <v>44515</v>
      </c>
      <c r="E98" s="62">
        <v>44151</v>
      </c>
      <c r="F98" s="33" t="s">
        <v>25</v>
      </c>
      <c r="G98" s="63">
        <v>450000000</v>
      </c>
      <c r="H98" s="63">
        <v>0</v>
      </c>
      <c r="I98" s="64">
        <v>10</v>
      </c>
      <c r="J98" s="65"/>
      <c r="K98" s="66" t="s">
        <v>93</v>
      </c>
      <c r="L98" s="31" t="s">
        <v>25</v>
      </c>
      <c r="M98" s="63">
        <v>2250000000</v>
      </c>
      <c r="N98" s="63">
        <v>0</v>
      </c>
      <c r="O98" s="67">
        <v>10</v>
      </c>
      <c r="P98" s="66"/>
      <c r="Q98" s="66" t="s">
        <v>93</v>
      </c>
      <c r="R98" s="34"/>
    </row>
    <row r="99" spans="1:18">
      <c r="A99" s="31" t="s">
        <v>23</v>
      </c>
      <c r="B99" s="32" t="s">
        <v>95</v>
      </c>
      <c r="C99" s="62">
        <v>44516</v>
      </c>
      <c r="D99" s="62">
        <v>44880</v>
      </c>
      <c r="E99" s="62">
        <v>44516</v>
      </c>
      <c r="F99" s="33" t="s">
        <v>25</v>
      </c>
      <c r="G99" s="63">
        <v>450000000</v>
      </c>
      <c r="H99" s="63">
        <v>0</v>
      </c>
      <c r="I99" s="64">
        <v>10</v>
      </c>
      <c r="J99" s="65"/>
      <c r="K99" s="66" t="s">
        <v>93</v>
      </c>
      <c r="L99" s="31" t="s">
        <v>25</v>
      </c>
      <c r="M99" s="63">
        <v>2250000000</v>
      </c>
      <c r="N99" s="63">
        <v>0</v>
      </c>
      <c r="O99" s="67">
        <v>10</v>
      </c>
      <c r="P99" s="66"/>
      <c r="Q99" s="66" t="s">
        <v>93</v>
      </c>
      <c r="R99" s="34"/>
    </row>
    <row r="100" spans="1:18">
      <c r="A100" s="31" t="s">
        <v>23</v>
      </c>
      <c r="B100" s="32" t="s">
        <v>248</v>
      </c>
      <c r="C100" s="62">
        <v>43820</v>
      </c>
      <c r="D100" s="62">
        <v>44185</v>
      </c>
      <c r="E100" s="62">
        <v>43820</v>
      </c>
      <c r="F100" s="33" t="s">
        <v>25</v>
      </c>
      <c r="G100" s="63">
        <v>275000000</v>
      </c>
      <c r="H100" s="63">
        <v>0</v>
      </c>
      <c r="I100" s="64">
        <v>10</v>
      </c>
      <c r="J100" s="65"/>
      <c r="K100" s="66" t="s">
        <v>93</v>
      </c>
      <c r="L100" s="31" t="s">
        <v>25</v>
      </c>
      <c r="M100" s="63">
        <v>1500000000</v>
      </c>
      <c r="N100" s="63">
        <v>0</v>
      </c>
      <c r="O100" s="67">
        <v>10</v>
      </c>
      <c r="P100" s="66"/>
      <c r="Q100" s="66" t="s">
        <v>93</v>
      </c>
      <c r="R100" s="34"/>
    </row>
    <row r="101" spans="1:18">
      <c r="A101" s="31" t="s">
        <v>23</v>
      </c>
      <c r="B101" s="32" t="s">
        <v>248</v>
      </c>
      <c r="C101" s="62">
        <v>44186</v>
      </c>
      <c r="D101" s="62">
        <v>44550</v>
      </c>
      <c r="E101" s="62">
        <v>44186</v>
      </c>
      <c r="F101" s="33" t="s">
        <v>25</v>
      </c>
      <c r="G101" s="63">
        <v>275000000</v>
      </c>
      <c r="H101" s="63">
        <v>0</v>
      </c>
      <c r="I101" s="64">
        <v>10</v>
      </c>
      <c r="J101" s="65"/>
      <c r="K101" s="66" t="s">
        <v>93</v>
      </c>
      <c r="L101" s="31" t="s">
        <v>25</v>
      </c>
      <c r="M101" s="63">
        <v>1500000000</v>
      </c>
      <c r="N101" s="63">
        <v>0</v>
      </c>
      <c r="O101" s="67">
        <v>10</v>
      </c>
      <c r="P101" s="66"/>
      <c r="Q101" s="66" t="s">
        <v>93</v>
      </c>
      <c r="R101" s="34"/>
    </row>
    <row r="102" spans="1:18">
      <c r="A102" s="31" t="s">
        <v>23</v>
      </c>
      <c r="B102" s="32" t="s">
        <v>248</v>
      </c>
      <c r="C102" s="62">
        <v>44551</v>
      </c>
      <c r="D102" s="62">
        <v>44915</v>
      </c>
      <c r="E102" s="62">
        <v>44551</v>
      </c>
      <c r="F102" s="33" t="s">
        <v>25</v>
      </c>
      <c r="G102" s="63">
        <v>275000000</v>
      </c>
      <c r="H102" s="63">
        <v>0</v>
      </c>
      <c r="I102" s="64">
        <v>11</v>
      </c>
      <c r="J102" s="65"/>
      <c r="K102" s="66" t="s">
        <v>93</v>
      </c>
      <c r="L102" s="31" t="s">
        <v>25</v>
      </c>
      <c r="M102" s="63">
        <v>1500000000</v>
      </c>
      <c r="N102" s="63">
        <v>0</v>
      </c>
      <c r="O102" s="67">
        <v>11</v>
      </c>
      <c r="P102" s="66"/>
      <c r="Q102" s="66" t="s">
        <v>93</v>
      </c>
      <c r="R102" s="34"/>
    </row>
    <row r="103" spans="1:18">
      <c r="A103" s="31" t="s">
        <v>23</v>
      </c>
      <c r="B103" s="32" t="s">
        <v>96</v>
      </c>
      <c r="C103" s="62">
        <v>43662</v>
      </c>
      <c r="D103" s="62">
        <v>44027</v>
      </c>
      <c r="E103" s="62">
        <v>43662</v>
      </c>
      <c r="F103" s="33" t="s">
        <v>25</v>
      </c>
      <c r="G103" s="63">
        <v>450000000</v>
      </c>
      <c r="H103" s="63">
        <v>0</v>
      </c>
      <c r="I103" s="64">
        <v>10</v>
      </c>
      <c r="J103" s="65"/>
      <c r="K103" s="66" t="s">
        <v>93</v>
      </c>
      <c r="L103" s="31" t="s">
        <v>25</v>
      </c>
      <c r="M103" s="63">
        <v>2250000000</v>
      </c>
      <c r="N103" s="63">
        <v>0</v>
      </c>
      <c r="O103" s="67">
        <v>10</v>
      </c>
      <c r="P103" s="66"/>
      <c r="Q103" s="66" t="s">
        <v>93</v>
      </c>
      <c r="R103" s="34"/>
    </row>
    <row r="104" spans="1:18">
      <c r="A104" s="31" t="s">
        <v>23</v>
      </c>
      <c r="B104" s="32" t="s">
        <v>96</v>
      </c>
      <c r="C104" s="62">
        <v>44028</v>
      </c>
      <c r="D104" s="62">
        <v>44392</v>
      </c>
      <c r="E104" s="62">
        <v>44028</v>
      </c>
      <c r="F104" s="33" t="s">
        <v>25</v>
      </c>
      <c r="G104" s="63">
        <v>350000000</v>
      </c>
      <c r="H104" s="63">
        <v>0</v>
      </c>
      <c r="I104" s="64">
        <v>10</v>
      </c>
      <c r="J104" s="65"/>
      <c r="K104" s="66" t="s">
        <v>93</v>
      </c>
      <c r="L104" s="31" t="s">
        <v>25</v>
      </c>
      <c r="M104" s="63">
        <v>2250000000</v>
      </c>
      <c r="N104" s="63">
        <v>0</v>
      </c>
      <c r="O104" s="67">
        <v>10</v>
      </c>
      <c r="P104" s="66"/>
      <c r="Q104" s="66" t="s">
        <v>93</v>
      </c>
      <c r="R104" s="34"/>
    </row>
    <row r="105" spans="1:18">
      <c r="A105" s="31" t="s">
        <v>23</v>
      </c>
      <c r="B105" s="32" t="s">
        <v>96</v>
      </c>
      <c r="C105" s="62">
        <v>44393</v>
      </c>
      <c r="D105" s="62">
        <v>44757</v>
      </c>
      <c r="E105" s="62">
        <v>44393</v>
      </c>
      <c r="F105" s="33" t="s">
        <v>25</v>
      </c>
      <c r="G105" s="63">
        <v>350000000</v>
      </c>
      <c r="H105" s="63">
        <v>0</v>
      </c>
      <c r="I105" s="64">
        <v>10.25</v>
      </c>
      <c r="J105" s="65"/>
      <c r="K105" s="66" t="s">
        <v>93</v>
      </c>
      <c r="L105" s="31" t="s">
        <v>25</v>
      </c>
      <c r="M105" s="63">
        <v>2250000000</v>
      </c>
      <c r="N105" s="63">
        <v>0</v>
      </c>
      <c r="O105" s="67">
        <v>10.25</v>
      </c>
      <c r="P105" s="66"/>
      <c r="Q105" s="66" t="s">
        <v>93</v>
      </c>
      <c r="R105" s="34"/>
    </row>
    <row r="106" spans="1:18">
      <c r="A106" s="31" t="s">
        <v>23</v>
      </c>
      <c r="B106" s="32" t="s">
        <v>39</v>
      </c>
      <c r="C106" s="62">
        <v>43617</v>
      </c>
      <c r="D106" s="62">
        <v>43982</v>
      </c>
      <c r="E106" s="62">
        <v>43617</v>
      </c>
      <c r="F106" s="33" t="s">
        <v>25</v>
      </c>
      <c r="G106" s="63">
        <v>275000000</v>
      </c>
      <c r="H106" s="63">
        <v>0</v>
      </c>
      <c r="I106" s="64">
        <v>7</v>
      </c>
      <c r="J106" s="65"/>
      <c r="K106" s="66" t="s">
        <v>93</v>
      </c>
      <c r="L106" s="31" t="s">
        <v>25</v>
      </c>
      <c r="M106" s="63">
        <v>2000000000</v>
      </c>
      <c r="N106" s="63">
        <v>0</v>
      </c>
      <c r="O106" s="67">
        <v>7</v>
      </c>
      <c r="P106" s="66"/>
      <c r="Q106" s="66" t="s">
        <v>93</v>
      </c>
      <c r="R106" s="34"/>
    </row>
    <row r="107" spans="1:18">
      <c r="A107" s="31" t="s">
        <v>23</v>
      </c>
      <c r="B107" s="32" t="s">
        <v>39</v>
      </c>
      <c r="C107" s="62">
        <v>43983</v>
      </c>
      <c r="D107" s="62">
        <v>44391</v>
      </c>
      <c r="E107" s="62">
        <v>43983</v>
      </c>
      <c r="F107" s="33" t="s">
        <v>25</v>
      </c>
      <c r="G107" s="63">
        <v>300000000</v>
      </c>
      <c r="H107" s="63">
        <v>0</v>
      </c>
      <c r="I107" s="64">
        <v>10</v>
      </c>
      <c r="J107" s="65"/>
      <c r="K107" s="66" t="s">
        <v>93</v>
      </c>
      <c r="L107" s="31" t="s">
        <v>25</v>
      </c>
      <c r="M107" s="63">
        <v>2000000000</v>
      </c>
      <c r="N107" s="63">
        <v>0</v>
      </c>
      <c r="O107" s="67">
        <v>10</v>
      </c>
      <c r="P107" s="66"/>
      <c r="Q107" s="66" t="s">
        <v>93</v>
      </c>
      <c r="R107" s="34"/>
    </row>
    <row r="108" spans="1:18">
      <c r="A108" s="31" t="s">
        <v>23</v>
      </c>
      <c r="B108" s="32" t="s">
        <v>39</v>
      </c>
      <c r="C108" s="62">
        <v>44392</v>
      </c>
      <c r="D108" s="62">
        <v>44756</v>
      </c>
      <c r="E108" s="62">
        <v>44392</v>
      </c>
      <c r="F108" s="33" t="s">
        <v>25</v>
      </c>
      <c r="G108" s="63">
        <v>300000000</v>
      </c>
      <c r="H108" s="63">
        <v>0</v>
      </c>
      <c r="I108" s="64">
        <v>7.5</v>
      </c>
      <c r="J108" s="65"/>
      <c r="K108" s="66" t="s">
        <v>93</v>
      </c>
      <c r="L108" s="31" t="s">
        <v>25</v>
      </c>
      <c r="M108" s="63">
        <v>2000000000</v>
      </c>
      <c r="N108" s="63">
        <v>0</v>
      </c>
      <c r="O108" s="67">
        <v>5</v>
      </c>
      <c r="P108" s="66"/>
      <c r="Q108" s="66" t="s">
        <v>93</v>
      </c>
      <c r="R108" s="34"/>
    </row>
    <row r="109" spans="1:18">
      <c r="A109" s="31" t="s">
        <v>23</v>
      </c>
      <c r="B109" s="32" t="s">
        <v>39</v>
      </c>
      <c r="C109" s="62">
        <v>44392</v>
      </c>
      <c r="D109" s="62">
        <v>44756</v>
      </c>
      <c r="E109" s="62">
        <v>44392</v>
      </c>
      <c r="F109" s="33" t="s">
        <v>25</v>
      </c>
      <c r="G109" s="63">
        <v>300000000</v>
      </c>
      <c r="H109" s="63">
        <v>0</v>
      </c>
      <c r="I109" s="64">
        <v>5</v>
      </c>
      <c r="J109" s="65"/>
      <c r="K109" s="66" t="s">
        <v>93</v>
      </c>
      <c r="L109" s="31" t="s">
        <v>25</v>
      </c>
      <c r="M109" s="63">
        <v>2000000000</v>
      </c>
      <c r="N109" s="63">
        <v>0</v>
      </c>
      <c r="O109" s="67">
        <v>7.5</v>
      </c>
      <c r="P109" s="66"/>
      <c r="Q109" s="66" t="s">
        <v>93</v>
      </c>
      <c r="R109" s="34"/>
    </row>
    <row r="110" spans="1:18">
      <c r="A110" s="31" t="s">
        <v>23</v>
      </c>
      <c r="B110" s="32" t="s">
        <v>249</v>
      </c>
      <c r="C110" s="62">
        <v>43800</v>
      </c>
      <c r="D110" s="62">
        <v>44165</v>
      </c>
      <c r="E110" s="62">
        <v>43800</v>
      </c>
      <c r="F110" s="33" t="s">
        <v>25</v>
      </c>
      <c r="G110" s="63">
        <v>250000000</v>
      </c>
      <c r="H110" s="63">
        <v>0</v>
      </c>
      <c r="I110" s="64">
        <v>7.5</v>
      </c>
      <c r="J110" s="65"/>
      <c r="K110" s="66" t="s">
        <v>93</v>
      </c>
      <c r="L110" s="31" t="s">
        <v>25</v>
      </c>
      <c r="M110" s="63">
        <v>1500000000</v>
      </c>
      <c r="N110" s="63">
        <v>0</v>
      </c>
      <c r="O110" s="67">
        <v>7.5</v>
      </c>
      <c r="P110" s="66"/>
      <c r="Q110" s="66" t="s">
        <v>93</v>
      </c>
      <c r="R110" s="34"/>
    </row>
    <row r="111" spans="1:18">
      <c r="A111" s="31" t="s">
        <v>23</v>
      </c>
      <c r="B111" s="32" t="s">
        <v>249</v>
      </c>
      <c r="C111" s="62">
        <v>44166</v>
      </c>
      <c r="D111" s="62">
        <v>44530</v>
      </c>
      <c r="E111" s="62">
        <v>44166</v>
      </c>
      <c r="F111" s="33" t="s">
        <v>25</v>
      </c>
      <c r="G111" s="63">
        <v>250000000</v>
      </c>
      <c r="H111" s="63">
        <v>0</v>
      </c>
      <c r="I111" s="64">
        <v>7.5</v>
      </c>
      <c r="J111" s="65"/>
      <c r="K111" s="66" t="s">
        <v>93</v>
      </c>
      <c r="L111" s="31" t="s">
        <v>25</v>
      </c>
      <c r="M111" s="63">
        <v>1500000000</v>
      </c>
      <c r="N111" s="63">
        <v>0</v>
      </c>
      <c r="O111" s="67">
        <v>7.5</v>
      </c>
      <c r="P111" s="66"/>
      <c r="Q111" s="66" t="s">
        <v>93</v>
      </c>
      <c r="R111" s="34"/>
    </row>
    <row r="112" spans="1:18">
      <c r="A112" s="31" t="s">
        <v>23</v>
      </c>
      <c r="B112" s="32" t="s">
        <v>249</v>
      </c>
      <c r="C112" s="62">
        <v>44531</v>
      </c>
      <c r="D112" s="62">
        <v>44895</v>
      </c>
      <c r="E112" s="62">
        <v>44531</v>
      </c>
      <c r="F112" s="33" t="s">
        <v>25</v>
      </c>
      <c r="G112" s="63">
        <v>250000000</v>
      </c>
      <c r="H112" s="63">
        <v>0</v>
      </c>
      <c r="I112" s="64">
        <v>7.5</v>
      </c>
      <c r="J112" s="65"/>
      <c r="K112" s="66" t="s">
        <v>93</v>
      </c>
      <c r="L112" s="31" t="s">
        <v>25</v>
      </c>
      <c r="M112" s="63">
        <v>1500000000</v>
      </c>
      <c r="N112" s="63">
        <v>0</v>
      </c>
      <c r="O112" s="67">
        <v>7.5</v>
      </c>
      <c r="P112" s="66"/>
      <c r="Q112" s="66" t="s">
        <v>93</v>
      </c>
      <c r="R112" s="34"/>
    </row>
    <row r="113" spans="1:18">
      <c r="A113" s="31" t="s">
        <v>23</v>
      </c>
      <c r="B113" s="32" t="s">
        <v>4</v>
      </c>
      <c r="C113" s="62">
        <v>43800</v>
      </c>
      <c r="D113" s="62">
        <v>44165</v>
      </c>
      <c r="E113" s="62">
        <v>43800</v>
      </c>
      <c r="F113" s="33" t="s">
        <v>25</v>
      </c>
      <c r="G113" s="63">
        <v>275000000</v>
      </c>
      <c r="H113" s="63">
        <v>0</v>
      </c>
      <c r="I113" s="64">
        <v>7.5</v>
      </c>
      <c r="J113" s="65"/>
      <c r="K113" s="66" t="s">
        <v>93</v>
      </c>
      <c r="L113" s="31" t="s">
        <v>25</v>
      </c>
      <c r="M113" s="63">
        <v>1750000000</v>
      </c>
      <c r="N113" s="63">
        <v>0</v>
      </c>
      <c r="O113" s="67">
        <v>7.5</v>
      </c>
      <c r="P113" s="66"/>
      <c r="Q113" s="66" t="s">
        <v>93</v>
      </c>
      <c r="R113" s="34"/>
    </row>
    <row r="114" spans="1:18">
      <c r="A114" s="31" t="s">
        <v>23</v>
      </c>
      <c r="B114" s="32" t="s">
        <v>4</v>
      </c>
      <c r="C114" s="62">
        <v>44166</v>
      </c>
      <c r="D114" s="62">
        <v>44530</v>
      </c>
      <c r="E114" s="62">
        <v>44166</v>
      </c>
      <c r="F114" s="33" t="s">
        <v>25</v>
      </c>
      <c r="G114" s="63">
        <v>275000000</v>
      </c>
      <c r="H114" s="63">
        <v>0</v>
      </c>
      <c r="I114" s="64">
        <v>7.5</v>
      </c>
      <c r="J114" s="65"/>
      <c r="K114" s="66" t="s">
        <v>93</v>
      </c>
      <c r="L114" s="31" t="s">
        <v>25</v>
      </c>
      <c r="M114" s="63">
        <v>1750000000</v>
      </c>
      <c r="N114" s="63">
        <v>0</v>
      </c>
      <c r="O114" s="67">
        <v>7.5</v>
      </c>
      <c r="P114" s="66"/>
      <c r="Q114" s="66" t="s">
        <v>93</v>
      </c>
      <c r="R114" s="34"/>
    </row>
    <row r="115" spans="1:18">
      <c r="A115" s="31" t="s">
        <v>23</v>
      </c>
      <c r="B115" s="32" t="s">
        <v>4</v>
      </c>
      <c r="C115" s="62">
        <v>44531</v>
      </c>
      <c r="D115" s="62">
        <v>44895</v>
      </c>
      <c r="E115" s="62">
        <v>44531</v>
      </c>
      <c r="F115" s="33" t="s">
        <v>25</v>
      </c>
      <c r="G115" s="63">
        <v>275000000</v>
      </c>
      <c r="H115" s="63">
        <v>0</v>
      </c>
      <c r="I115" s="64">
        <v>7.5</v>
      </c>
      <c r="J115" s="65"/>
      <c r="K115" s="66" t="s">
        <v>93</v>
      </c>
      <c r="L115" s="31" t="s">
        <v>25</v>
      </c>
      <c r="M115" s="63">
        <v>1750000000</v>
      </c>
      <c r="N115" s="63">
        <v>0</v>
      </c>
      <c r="O115" s="67">
        <v>7.5</v>
      </c>
      <c r="P115" s="66"/>
      <c r="Q115" s="66" t="s">
        <v>93</v>
      </c>
      <c r="R115" s="34"/>
    </row>
    <row r="116" spans="1:18">
      <c r="A116" s="31" t="s">
        <v>23</v>
      </c>
      <c r="B116" s="32" t="s">
        <v>88</v>
      </c>
      <c r="C116" s="62">
        <v>43475</v>
      </c>
      <c r="D116" s="62">
        <v>43839</v>
      </c>
      <c r="E116" s="62">
        <v>43475</v>
      </c>
      <c r="F116" s="33" t="s">
        <v>25</v>
      </c>
      <c r="G116" s="63">
        <v>100000000</v>
      </c>
      <c r="H116" s="63">
        <v>0</v>
      </c>
      <c r="I116" s="64">
        <v>7.5</v>
      </c>
      <c r="J116" s="65"/>
      <c r="K116" s="66" t="s">
        <v>93</v>
      </c>
      <c r="L116" s="31" t="s">
        <v>25</v>
      </c>
      <c r="M116" s="63">
        <v>750000000</v>
      </c>
      <c r="N116" s="63">
        <v>0</v>
      </c>
      <c r="O116" s="67">
        <v>7.5</v>
      </c>
      <c r="P116" s="66"/>
      <c r="Q116" s="66" t="s">
        <v>93</v>
      </c>
      <c r="R116" s="34"/>
    </row>
    <row r="117" spans="1:18">
      <c r="A117" s="31" t="s">
        <v>23</v>
      </c>
      <c r="B117" s="32" t="s">
        <v>88</v>
      </c>
      <c r="C117" s="62">
        <v>43840</v>
      </c>
      <c r="D117" s="62">
        <v>44113</v>
      </c>
      <c r="E117" s="62">
        <v>43840</v>
      </c>
      <c r="F117" s="33" t="s">
        <v>25</v>
      </c>
      <c r="G117" s="63">
        <v>100000000</v>
      </c>
      <c r="H117" s="63">
        <v>0</v>
      </c>
      <c r="I117" s="64">
        <v>7.5</v>
      </c>
      <c r="J117" s="65"/>
      <c r="K117" s="66" t="s">
        <v>93</v>
      </c>
      <c r="L117" s="31" t="s">
        <v>25</v>
      </c>
      <c r="M117" s="63">
        <v>750000000</v>
      </c>
      <c r="N117" s="63">
        <v>0</v>
      </c>
      <c r="O117" s="67">
        <v>7.5</v>
      </c>
      <c r="P117" s="66"/>
      <c r="Q117" s="66" t="s">
        <v>93</v>
      </c>
      <c r="R117" s="34"/>
    </row>
    <row r="118" spans="1:18">
      <c r="A118" s="31" t="s">
        <v>23</v>
      </c>
      <c r="B118" s="32" t="s">
        <v>88</v>
      </c>
      <c r="C118" s="62">
        <v>44114</v>
      </c>
      <c r="D118" s="62">
        <v>44478</v>
      </c>
      <c r="E118" s="62">
        <v>44114</v>
      </c>
      <c r="F118" s="33" t="s">
        <v>25</v>
      </c>
      <c r="G118" s="63">
        <v>100000000</v>
      </c>
      <c r="H118" s="63">
        <v>0</v>
      </c>
      <c r="I118" s="64">
        <v>7.5</v>
      </c>
      <c r="J118" s="65"/>
      <c r="K118" s="66" t="s">
        <v>93</v>
      </c>
      <c r="L118" s="31" t="s">
        <v>25</v>
      </c>
      <c r="M118" s="63">
        <v>750000000</v>
      </c>
      <c r="N118" s="63">
        <v>0</v>
      </c>
      <c r="O118" s="67">
        <v>7.5</v>
      </c>
      <c r="P118" s="66"/>
      <c r="Q118" s="66" t="s">
        <v>93</v>
      </c>
      <c r="R118" s="34"/>
    </row>
    <row r="119" spans="1:18">
      <c r="A119" s="31" t="s">
        <v>23</v>
      </c>
      <c r="B119" s="32" t="s">
        <v>88</v>
      </c>
      <c r="C119" s="62">
        <v>44479</v>
      </c>
      <c r="D119" s="62">
        <v>44843</v>
      </c>
      <c r="E119" s="62">
        <v>44479</v>
      </c>
      <c r="F119" s="33" t="s">
        <v>25</v>
      </c>
      <c r="G119" s="63">
        <v>85000000</v>
      </c>
      <c r="H119" s="63">
        <v>0</v>
      </c>
      <c r="I119" s="64">
        <v>5</v>
      </c>
      <c r="J119" s="65"/>
      <c r="K119" s="66" t="s">
        <v>93</v>
      </c>
      <c r="L119" s="31" t="s">
        <v>25</v>
      </c>
      <c r="M119" s="63">
        <v>750000000</v>
      </c>
      <c r="N119" s="63">
        <v>0</v>
      </c>
      <c r="O119" s="67">
        <v>5</v>
      </c>
      <c r="P119" s="66"/>
      <c r="Q119" s="66" t="s">
        <v>93</v>
      </c>
      <c r="R119" s="34"/>
    </row>
    <row r="120" spans="1:18">
      <c r="A120" s="31" t="s">
        <v>23</v>
      </c>
      <c r="B120" s="32" t="s">
        <v>97</v>
      </c>
      <c r="C120" s="62">
        <v>43785</v>
      </c>
      <c r="D120" s="62">
        <v>44150</v>
      </c>
      <c r="E120" s="62">
        <v>43785</v>
      </c>
      <c r="F120" s="33" t="s">
        <v>25</v>
      </c>
      <c r="G120" s="63">
        <v>275000000</v>
      </c>
      <c r="H120" s="63">
        <v>0</v>
      </c>
      <c r="I120" s="64">
        <v>10</v>
      </c>
      <c r="J120" s="65"/>
      <c r="K120" s="66" t="s">
        <v>93</v>
      </c>
      <c r="L120" s="31" t="s">
        <v>25</v>
      </c>
      <c r="M120" s="63">
        <v>1500000000</v>
      </c>
      <c r="N120" s="63">
        <v>0</v>
      </c>
      <c r="O120" s="67">
        <v>10</v>
      </c>
      <c r="P120" s="66"/>
      <c r="Q120" s="66" t="s">
        <v>93</v>
      </c>
      <c r="R120" s="34"/>
    </row>
    <row r="121" spans="1:18">
      <c r="A121" s="31" t="s">
        <v>23</v>
      </c>
      <c r="B121" s="32" t="s">
        <v>97</v>
      </c>
      <c r="C121" s="62">
        <v>44151</v>
      </c>
      <c r="D121" s="62">
        <v>44515</v>
      </c>
      <c r="E121" s="62">
        <v>44151</v>
      </c>
      <c r="F121" s="33" t="s">
        <v>25</v>
      </c>
      <c r="G121" s="63">
        <v>275000000</v>
      </c>
      <c r="H121" s="63">
        <v>0</v>
      </c>
      <c r="I121" s="64">
        <v>10</v>
      </c>
      <c r="J121" s="65"/>
      <c r="K121" s="66" t="s">
        <v>93</v>
      </c>
      <c r="L121" s="31" t="s">
        <v>25</v>
      </c>
      <c r="M121" s="63">
        <v>1500000000</v>
      </c>
      <c r="N121" s="63">
        <v>0</v>
      </c>
      <c r="O121" s="67">
        <v>10</v>
      </c>
      <c r="P121" s="66"/>
      <c r="Q121" s="66" t="s">
        <v>93</v>
      </c>
      <c r="R121" s="34"/>
    </row>
    <row r="122" spans="1:18">
      <c r="A122" s="31" t="s">
        <v>23</v>
      </c>
      <c r="B122" s="32" t="s">
        <v>97</v>
      </c>
      <c r="C122" s="62">
        <v>44516</v>
      </c>
      <c r="D122" s="62">
        <v>44880</v>
      </c>
      <c r="E122" s="62">
        <v>44516</v>
      </c>
      <c r="F122" s="33" t="s">
        <v>25</v>
      </c>
      <c r="G122" s="63">
        <v>275000000</v>
      </c>
      <c r="H122" s="63">
        <v>0</v>
      </c>
      <c r="I122" s="64">
        <v>11.5</v>
      </c>
      <c r="J122" s="65"/>
      <c r="K122" s="66" t="s">
        <v>93</v>
      </c>
      <c r="L122" s="31" t="s">
        <v>25</v>
      </c>
      <c r="M122" s="63">
        <v>1500000000</v>
      </c>
      <c r="N122" s="63">
        <v>0</v>
      </c>
      <c r="O122" s="67">
        <v>11.5</v>
      </c>
      <c r="P122" s="66"/>
      <c r="Q122" s="66" t="s">
        <v>93</v>
      </c>
      <c r="R122" s="34"/>
    </row>
    <row r="123" spans="1:18">
      <c r="A123" s="31" t="s">
        <v>23</v>
      </c>
      <c r="B123" s="32" t="s">
        <v>250</v>
      </c>
      <c r="C123" s="62">
        <v>43556</v>
      </c>
      <c r="D123" s="62">
        <v>43921</v>
      </c>
      <c r="E123" s="62">
        <v>43556</v>
      </c>
      <c r="F123" s="33" t="s">
        <v>25</v>
      </c>
      <c r="G123" s="63">
        <v>340000000</v>
      </c>
      <c r="H123" s="63">
        <v>0</v>
      </c>
      <c r="I123" s="64">
        <v>2.5</v>
      </c>
      <c r="J123" s="65"/>
      <c r="K123" s="66" t="s">
        <v>93</v>
      </c>
      <c r="L123" s="31" t="s">
        <v>25</v>
      </c>
      <c r="M123" s="63">
        <v>2250000000</v>
      </c>
      <c r="N123" s="63">
        <v>0</v>
      </c>
      <c r="O123" s="67">
        <v>2.5</v>
      </c>
      <c r="P123" s="66"/>
      <c r="Q123" s="66" t="s">
        <v>93</v>
      </c>
      <c r="R123" s="34"/>
    </row>
    <row r="124" spans="1:18">
      <c r="A124" s="31" t="s">
        <v>23</v>
      </c>
      <c r="B124" s="32" t="s">
        <v>250</v>
      </c>
      <c r="C124" s="62">
        <v>43922</v>
      </c>
      <c r="D124" s="62">
        <v>44377</v>
      </c>
      <c r="E124" s="62">
        <v>43922</v>
      </c>
      <c r="F124" s="33" t="s">
        <v>25</v>
      </c>
      <c r="G124" s="63">
        <v>340000000</v>
      </c>
      <c r="H124" s="63">
        <v>0</v>
      </c>
      <c r="I124" s="64">
        <v>4.4749999999999996</v>
      </c>
      <c r="J124" s="65"/>
      <c r="K124" s="66" t="s">
        <v>93</v>
      </c>
      <c r="L124" s="31" t="s">
        <v>25</v>
      </c>
      <c r="M124" s="63">
        <v>2250000000</v>
      </c>
      <c r="N124" s="63">
        <v>0</v>
      </c>
      <c r="O124" s="67">
        <v>4.4749999999999996</v>
      </c>
      <c r="P124" s="66"/>
      <c r="Q124" s="66" t="s">
        <v>93</v>
      </c>
      <c r="R124" s="34"/>
    </row>
    <row r="125" spans="1:18">
      <c r="A125" s="31" t="s">
        <v>23</v>
      </c>
      <c r="B125" s="32" t="s">
        <v>250</v>
      </c>
      <c r="C125" s="62">
        <v>44378</v>
      </c>
      <c r="D125" s="62">
        <v>44742</v>
      </c>
      <c r="E125" s="62">
        <v>44378</v>
      </c>
      <c r="F125" s="33" t="s">
        <v>25</v>
      </c>
      <c r="G125" s="63">
        <v>340000000</v>
      </c>
      <c r="H125" s="63">
        <v>0</v>
      </c>
      <c r="I125" s="64">
        <v>5.625</v>
      </c>
      <c r="J125" s="65"/>
      <c r="K125" s="66" t="s">
        <v>93</v>
      </c>
      <c r="L125" s="31" t="s">
        <v>25</v>
      </c>
      <c r="M125" s="63">
        <v>2250000000</v>
      </c>
      <c r="N125" s="63">
        <v>0</v>
      </c>
      <c r="O125" s="67">
        <v>5.625</v>
      </c>
      <c r="P125" s="66"/>
      <c r="Q125" s="66" t="s">
        <v>93</v>
      </c>
      <c r="R125" s="34"/>
    </row>
    <row r="126" spans="1:18">
      <c r="A126" s="31" t="s">
        <v>23</v>
      </c>
      <c r="B126" s="32" t="s">
        <v>40</v>
      </c>
      <c r="C126" s="62">
        <v>43800</v>
      </c>
      <c r="D126" s="62">
        <v>44165</v>
      </c>
      <c r="E126" s="62">
        <v>43800</v>
      </c>
      <c r="F126" s="33" t="s">
        <v>25</v>
      </c>
      <c r="G126" s="63">
        <v>200000000</v>
      </c>
      <c r="H126" s="63">
        <v>0</v>
      </c>
      <c r="I126" s="64">
        <v>2.5</v>
      </c>
      <c r="J126" s="65"/>
      <c r="K126" s="66" t="s">
        <v>93</v>
      </c>
      <c r="L126" s="31" t="s">
        <v>25</v>
      </c>
      <c r="M126" s="63">
        <v>2000000000</v>
      </c>
      <c r="N126" s="63">
        <v>0</v>
      </c>
      <c r="O126" s="67">
        <v>0.56810000000000005</v>
      </c>
      <c r="P126" s="66"/>
      <c r="Q126" s="66" t="s">
        <v>104</v>
      </c>
      <c r="R126" s="34"/>
    </row>
    <row r="127" spans="1:18">
      <c r="A127" s="31" t="s">
        <v>23</v>
      </c>
      <c r="B127" s="32" t="s">
        <v>40</v>
      </c>
      <c r="C127" s="62">
        <v>43800</v>
      </c>
      <c r="D127" s="62">
        <v>44165</v>
      </c>
      <c r="E127" s="62">
        <v>43800</v>
      </c>
      <c r="F127" s="33" t="s">
        <v>25</v>
      </c>
      <c r="G127" s="63">
        <v>200000000</v>
      </c>
      <c r="H127" s="63">
        <v>0</v>
      </c>
      <c r="I127" s="64">
        <v>0.56810000000000005</v>
      </c>
      <c r="J127" s="65"/>
      <c r="K127" s="66" t="s">
        <v>104</v>
      </c>
      <c r="L127" s="31" t="s">
        <v>25</v>
      </c>
      <c r="M127" s="63">
        <v>2000000000</v>
      </c>
      <c r="N127" s="63">
        <v>0</v>
      </c>
      <c r="O127" s="67">
        <v>2.5</v>
      </c>
      <c r="P127" s="66"/>
      <c r="Q127" s="66" t="s">
        <v>93</v>
      </c>
      <c r="R127" s="34"/>
    </row>
    <row r="128" spans="1:18">
      <c r="A128" s="31" t="s">
        <v>23</v>
      </c>
      <c r="B128" s="32" t="s">
        <v>40</v>
      </c>
      <c r="C128" s="62">
        <v>44166</v>
      </c>
      <c r="D128" s="62">
        <v>44530</v>
      </c>
      <c r="E128" s="62">
        <v>44166</v>
      </c>
      <c r="F128" s="33" t="s">
        <v>25</v>
      </c>
      <c r="G128" s="63">
        <v>200000000</v>
      </c>
      <c r="H128" s="63">
        <v>0</v>
      </c>
      <c r="I128" s="64">
        <v>2.5667</v>
      </c>
      <c r="J128" s="65"/>
      <c r="K128" s="66" t="s">
        <v>104</v>
      </c>
      <c r="L128" s="31" t="s">
        <v>25</v>
      </c>
      <c r="M128" s="63">
        <v>2000000000</v>
      </c>
      <c r="N128" s="63">
        <v>0</v>
      </c>
      <c r="O128" s="67">
        <v>0.56810000000000005</v>
      </c>
      <c r="P128" s="66"/>
      <c r="Q128" s="66" t="s">
        <v>104</v>
      </c>
      <c r="R128" s="34"/>
    </row>
    <row r="129" spans="1:18">
      <c r="A129" s="31" t="s">
        <v>23</v>
      </c>
      <c r="B129" s="32" t="s">
        <v>40</v>
      </c>
      <c r="C129" s="62">
        <v>44166</v>
      </c>
      <c r="D129" s="62">
        <v>44530</v>
      </c>
      <c r="E129" s="62">
        <v>44166</v>
      </c>
      <c r="F129" s="33" t="s">
        <v>25</v>
      </c>
      <c r="G129" s="63">
        <v>200000000</v>
      </c>
      <c r="H129" s="63">
        <v>0</v>
      </c>
      <c r="I129" s="67">
        <v>0.56810000000000005</v>
      </c>
      <c r="J129" s="66"/>
      <c r="K129" s="66" t="s">
        <v>104</v>
      </c>
      <c r="L129" s="31" t="s">
        <v>25</v>
      </c>
      <c r="M129" s="63">
        <v>2000000000</v>
      </c>
      <c r="N129" s="63">
        <v>0</v>
      </c>
      <c r="O129" s="67">
        <v>2.5667</v>
      </c>
      <c r="P129" s="66"/>
      <c r="Q129" s="66" t="s">
        <v>93</v>
      </c>
      <c r="R129" s="34"/>
    </row>
    <row r="130" spans="1:18">
      <c r="A130" s="31" t="s">
        <v>23</v>
      </c>
      <c r="B130" s="32" t="s">
        <v>40</v>
      </c>
      <c r="C130" s="62">
        <v>44531</v>
      </c>
      <c r="D130" s="62">
        <v>44895</v>
      </c>
      <c r="E130" s="62">
        <v>44531</v>
      </c>
      <c r="F130" s="33" t="s">
        <v>25</v>
      </c>
      <c r="G130" s="63">
        <v>220000000</v>
      </c>
      <c r="H130" s="63">
        <v>0</v>
      </c>
      <c r="I130" s="67">
        <v>0.56810000000000005</v>
      </c>
      <c r="J130" s="66"/>
      <c r="K130" s="66" t="s">
        <v>104</v>
      </c>
      <c r="L130" s="31" t="s">
        <v>25</v>
      </c>
      <c r="M130" s="63">
        <v>2000000000</v>
      </c>
      <c r="N130" s="63">
        <v>0</v>
      </c>
      <c r="O130" s="67">
        <v>0.56810000000000005</v>
      </c>
      <c r="P130" s="66"/>
      <c r="Q130" s="66" t="s">
        <v>104</v>
      </c>
      <c r="R130" s="34"/>
    </row>
    <row r="131" spans="1:18">
      <c r="A131" s="31" t="s">
        <v>23</v>
      </c>
      <c r="B131" s="32" t="s">
        <v>40</v>
      </c>
      <c r="C131" s="62">
        <v>44531</v>
      </c>
      <c r="D131" s="62">
        <v>44895</v>
      </c>
      <c r="E131" s="62">
        <v>44531</v>
      </c>
      <c r="F131" s="33" t="s">
        <v>25</v>
      </c>
      <c r="G131" s="63">
        <v>220000000</v>
      </c>
      <c r="H131" s="63">
        <v>0</v>
      </c>
      <c r="I131" s="64">
        <v>2.5667</v>
      </c>
      <c r="J131" s="65"/>
      <c r="K131" s="66" t="s">
        <v>93</v>
      </c>
      <c r="L131" s="31" t="s">
        <v>25</v>
      </c>
      <c r="M131" s="63">
        <v>2000000000</v>
      </c>
      <c r="N131" s="63">
        <v>0</v>
      </c>
      <c r="O131" s="67">
        <v>2.5667</v>
      </c>
      <c r="P131" s="66"/>
      <c r="Q131" s="66" t="s">
        <v>93</v>
      </c>
      <c r="R131" s="34"/>
    </row>
    <row r="132" spans="1:18" s="44" customFormat="1">
      <c r="A132" s="31" t="s">
        <v>23</v>
      </c>
      <c r="B132" s="32" t="s">
        <v>41</v>
      </c>
      <c r="C132" s="62">
        <v>43800</v>
      </c>
      <c r="D132" s="62">
        <v>44165</v>
      </c>
      <c r="E132" s="62">
        <v>43800</v>
      </c>
      <c r="F132" s="33" t="s">
        <v>25</v>
      </c>
      <c r="G132" s="63">
        <v>400000000</v>
      </c>
      <c r="H132" s="63">
        <v>0</v>
      </c>
      <c r="I132" s="64">
        <v>5</v>
      </c>
      <c r="J132" s="65"/>
      <c r="K132" s="66" t="s">
        <v>93</v>
      </c>
      <c r="L132" s="31" t="s">
        <v>25</v>
      </c>
      <c r="M132" s="63">
        <v>2250000000</v>
      </c>
      <c r="N132" s="63">
        <v>0</v>
      </c>
      <c r="O132" s="67">
        <v>5</v>
      </c>
      <c r="P132" s="66"/>
      <c r="Q132" s="66" t="s">
        <v>93</v>
      </c>
      <c r="R132" s="34"/>
    </row>
    <row r="133" spans="1:18">
      <c r="A133" s="31" t="s">
        <v>23</v>
      </c>
      <c r="B133" s="32" t="s">
        <v>41</v>
      </c>
      <c r="C133" s="62">
        <v>44166</v>
      </c>
      <c r="D133" s="62">
        <v>44530</v>
      </c>
      <c r="E133" s="62">
        <v>44166</v>
      </c>
      <c r="F133" s="33" t="s">
        <v>25</v>
      </c>
      <c r="G133" s="63">
        <v>400000000</v>
      </c>
      <c r="H133" s="63">
        <v>0</v>
      </c>
      <c r="I133" s="64">
        <v>8</v>
      </c>
      <c r="J133" s="65"/>
      <c r="K133" s="66" t="s">
        <v>93</v>
      </c>
      <c r="L133" s="31" t="s">
        <v>25</v>
      </c>
      <c r="M133" s="63">
        <v>2250000000</v>
      </c>
      <c r="N133" s="63">
        <v>0</v>
      </c>
      <c r="O133" s="67">
        <v>8</v>
      </c>
      <c r="P133" s="66"/>
      <c r="Q133" s="66" t="s">
        <v>93</v>
      </c>
      <c r="R133" s="34"/>
    </row>
    <row r="134" spans="1:18">
      <c r="A134" s="31" t="s">
        <v>23</v>
      </c>
      <c r="B134" s="32" t="s">
        <v>41</v>
      </c>
      <c r="C134" s="62">
        <v>44531</v>
      </c>
      <c r="D134" s="62">
        <v>44895</v>
      </c>
      <c r="E134" s="62">
        <v>44531</v>
      </c>
      <c r="F134" s="33" t="s">
        <v>25</v>
      </c>
      <c r="G134" s="63">
        <v>400000000</v>
      </c>
      <c r="H134" s="63">
        <v>0</v>
      </c>
      <c r="I134" s="64">
        <v>8</v>
      </c>
      <c r="J134" s="65"/>
      <c r="K134" s="66" t="s">
        <v>93</v>
      </c>
      <c r="L134" s="31" t="s">
        <v>25</v>
      </c>
      <c r="M134" s="63">
        <v>2250000000</v>
      </c>
      <c r="N134" s="63">
        <v>0</v>
      </c>
      <c r="O134" s="67">
        <v>8</v>
      </c>
      <c r="P134" s="66"/>
      <c r="Q134" s="66" t="s">
        <v>93</v>
      </c>
      <c r="R134" s="34"/>
    </row>
    <row r="135" spans="1:18">
      <c r="A135" s="31" t="s">
        <v>23</v>
      </c>
      <c r="B135" s="32" t="s">
        <v>98</v>
      </c>
      <c r="C135" s="62">
        <v>43800</v>
      </c>
      <c r="D135" s="62">
        <v>44165</v>
      </c>
      <c r="E135" s="62">
        <v>43800</v>
      </c>
      <c r="F135" s="33" t="s">
        <v>25</v>
      </c>
      <c r="G135" s="63">
        <v>275000000</v>
      </c>
      <c r="H135" s="63">
        <v>0</v>
      </c>
      <c r="I135" s="64">
        <v>10</v>
      </c>
      <c r="J135" s="65"/>
      <c r="K135" s="66" t="s">
        <v>93</v>
      </c>
      <c r="L135" s="31" t="s">
        <v>25</v>
      </c>
      <c r="M135" s="63">
        <v>1750000000</v>
      </c>
      <c r="N135" s="63">
        <v>0</v>
      </c>
      <c r="O135" s="67">
        <v>10</v>
      </c>
      <c r="P135" s="66"/>
      <c r="Q135" s="66" t="s">
        <v>93</v>
      </c>
      <c r="R135" s="34"/>
    </row>
    <row r="136" spans="1:18">
      <c r="A136" s="31" t="s">
        <v>23</v>
      </c>
      <c r="B136" s="32" t="s">
        <v>98</v>
      </c>
      <c r="C136" s="62">
        <v>44166</v>
      </c>
      <c r="D136" s="62">
        <v>44530</v>
      </c>
      <c r="E136" s="62">
        <v>44166</v>
      </c>
      <c r="F136" s="33" t="s">
        <v>25</v>
      </c>
      <c r="G136" s="63">
        <v>275000000</v>
      </c>
      <c r="H136" s="63">
        <v>0</v>
      </c>
      <c r="I136" s="64">
        <v>10</v>
      </c>
      <c r="J136" s="65"/>
      <c r="K136" s="66" t="s">
        <v>93</v>
      </c>
      <c r="L136" s="31" t="s">
        <v>25</v>
      </c>
      <c r="M136" s="63">
        <v>1750000000</v>
      </c>
      <c r="N136" s="63">
        <v>0</v>
      </c>
      <c r="O136" s="67">
        <v>10</v>
      </c>
      <c r="P136" s="66"/>
      <c r="Q136" s="66" t="s">
        <v>93</v>
      </c>
      <c r="R136" s="34"/>
    </row>
    <row r="137" spans="1:18">
      <c r="A137" s="31" t="s">
        <v>23</v>
      </c>
      <c r="B137" s="32" t="s">
        <v>98</v>
      </c>
      <c r="C137" s="62">
        <v>44531</v>
      </c>
      <c r="D137" s="62">
        <v>44895</v>
      </c>
      <c r="E137" s="62">
        <v>44531</v>
      </c>
      <c r="F137" s="33" t="s">
        <v>25</v>
      </c>
      <c r="G137" s="63">
        <v>275000000</v>
      </c>
      <c r="H137" s="63">
        <v>0</v>
      </c>
      <c r="I137" s="64">
        <v>10</v>
      </c>
      <c r="J137" s="65"/>
      <c r="K137" s="66" t="s">
        <v>93</v>
      </c>
      <c r="L137" s="31" t="s">
        <v>25</v>
      </c>
      <c r="M137" s="63">
        <v>1750000000</v>
      </c>
      <c r="N137" s="63">
        <v>0</v>
      </c>
      <c r="O137" s="67">
        <v>10</v>
      </c>
      <c r="P137" s="66"/>
      <c r="Q137" s="66" t="s">
        <v>93</v>
      </c>
      <c r="R137" s="34"/>
    </row>
    <row r="138" spans="1:18">
      <c r="A138" s="31" t="s">
        <v>23</v>
      </c>
      <c r="B138" s="32" t="s">
        <v>42</v>
      </c>
      <c r="C138" s="62">
        <v>43800</v>
      </c>
      <c r="D138" s="62">
        <v>44165</v>
      </c>
      <c r="E138" s="62">
        <v>43800</v>
      </c>
      <c r="F138" s="33" t="s">
        <v>25</v>
      </c>
      <c r="G138" s="63">
        <v>350000000</v>
      </c>
      <c r="H138" s="63">
        <v>0</v>
      </c>
      <c r="I138" s="64">
        <v>10</v>
      </c>
      <c r="J138" s="65"/>
      <c r="K138" s="66" t="s">
        <v>93</v>
      </c>
      <c r="L138" s="31" t="s">
        <v>25</v>
      </c>
      <c r="M138" s="63">
        <v>2250000000</v>
      </c>
      <c r="N138" s="63">
        <v>0</v>
      </c>
      <c r="O138" s="67">
        <v>10</v>
      </c>
      <c r="P138" s="66"/>
      <c r="Q138" s="66" t="s">
        <v>93</v>
      </c>
      <c r="R138" s="34"/>
    </row>
    <row r="139" spans="1:18">
      <c r="A139" s="31" t="s">
        <v>23</v>
      </c>
      <c r="B139" s="32" t="s">
        <v>42</v>
      </c>
      <c r="C139" s="62">
        <v>44166</v>
      </c>
      <c r="D139" s="62">
        <v>44530</v>
      </c>
      <c r="E139" s="62">
        <v>44166</v>
      </c>
      <c r="F139" s="33" t="s">
        <v>25</v>
      </c>
      <c r="G139" s="63">
        <v>350000000</v>
      </c>
      <c r="H139" s="63">
        <v>0</v>
      </c>
      <c r="I139" s="64">
        <v>10</v>
      </c>
      <c r="J139" s="65"/>
      <c r="K139" s="66" t="s">
        <v>93</v>
      </c>
      <c r="L139" s="31" t="s">
        <v>25</v>
      </c>
      <c r="M139" s="63">
        <v>2250000000</v>
      </c>
      <c r="N139" s="63">
        <v>0</v>
      </c>
      <c r="O139" s="67">
        <v>10</v>
      </c>
      <c r="P139" s="66"/>
      <c r="Q139" s="66" t="s">
        <v>93</v>
      </c>
      <c r="R139" s="34"/>
    </row>
    <row r="140" spans="1:18">
      <c r="A140" s="31" t="s">
        <v>23</v>
      </c>
      <c r="B140" s="32" t="s">
        <v>42</v>
      </c>
      <c r="C140" s="62">
        <v>44531</v>
      </c>
      <c r="D140" s="62">
        <v>44895</v>
      </c>
      <c r="E140" s="62">
        <v>44531</v>
      </c>
      <c r="F140" s="33" t="s">
        <v>25</v>
      </c>
      <c r="G140" s="63">
        <v>350000000</v>
      </c>
      <c r="H140" s="63">
        <v>0</v>
      </c>
      <c r="I140" s="64">
        <v>0</v>
      </c>
      <c r="J140" s="65"/>
      <c r="K140" s="66" t="s">
        <v>93</v>
      </c>
      <c r="L140" s="31" t="s">
        <v>25</v>
      </c>
      <c r="M140" s="63">
        <v>2250000000</v>
      </c>
      <c r="N140" s="63">
        <v>0</v>
      </c>
      <c r="O140" s="67">
        <v>0</v>
      </c>
      <c r="P140" s="66"/>
      <c r="Q140" s="66" t="s">
        <v>93</v>
      </c>
      <c r="R140" s="34"/>
    </row>
    <row r="141" spans="1:18">
      <c r="A141" s="31" t="s">
        <v>23</v>
      </c>
      <c r="B141" s="32" t="s">
        <v>99</v>
      </c>
      <c r="C141" s="62">
        <v>43785</v>
      </c>
      <c r="D141" s="62">
        <v>44150</v>
      </c>
      <c r="E141" s="62">
        <v>43785</v>
      </c>
      <c r="F141" s="33" t="s">
        <v>25</v>
      </c>
      <c r="G141" s="63">
        <v>300000000</v>
      </c>
      <c r="H141" s="63">
        <v>0</v>
      </c>
      <c r="I141" s="64">
        <v>10</v>
      </c>
      <c r="J141" s="65"/>
      <c r="K141" s="66" t="s">
        <v>93</v>
      </c>
      <c r="L141" s="31" t="s">
        <v>25</v>
      </c>
      <c r="M141" s="63">
        <v>1750000000</v>
      </c>
      <c r="N141" s="63">
        <v>0</v>
      </c>
      <c r="O141" s="67">
        <v>10</v>
      </c>
      <c r="P141" s="66"/>
      <c r="Q141" s="66" t="s">
        <v>93</v>
      </c>
      <c r="R141" s="34"/>
    </row>
    <row r="142" spans="1:18">
      <c r="A142" s="31" t="s">
        <v>23</v>
      </c>
      <c r="B142" s="32" t="s">
        <v>99</v>
      </c>
      <c r="C142" s="62">
        <v>44151</v>
      </c>
      <c r="D142" s="62">
        <v>44515</v>
      </c>
      <c r="E142" s="62">
        <v>44151</v>
      </c>
      <c r="F142" s="33" t="s">
        <v>25</v>
      </c>
      <c r="G142" s="63">
        <v>300000000</v>
      </c>
      <c r="H142" s="63">
        <v>0</v>
      </c>
      <c r="I142" s="64">
        <v>10</v>
      </c>
      <c r="J142" s="65"/>
      <c r="K142" s="66" t="s">
        <v>93</v>
      </c>
      <c r="L142" s="31" t="s">
        <v>25</v>
      </c>
      <c r="M142" s="63">
        <v>1750000000</v>
      </c>
      <c r="N142" s="63">
        <v>0</v>
      </c>
      <c r="O142" s="67">
        <v>10</v>
      </c>
      <c r="P142" s="66"/>
      <c r="Q142" s="66" t="s">
        <v>93</v>
      </c>
      <c r="R142" s="34"/>
    </row>
    <row r="143" spans="1:18">
      <c r="A143" s="31" t="s">
        <v>23</v>
      </c>
      <c r="B143" s="32" t="s">
        <v>99</v>
      </c>
      <c r="C143" s="62">
        <v>44516</v>
      </c>
      <c r="D143" s="62">
        <v>44880</v>
      </c>
      <c r="E143" s="62">
        <v>44516</v>
      </c>
      <c r="F143" s="33" t="s">
        <v>25</v>
      </c>
      <c r="G143" s="63">
        <v>300000000</v>
      </c>
      <c r="H143" s="63">
        <v>0</v>
      </c>
      <c r="I143" s="64">
        <v>12.5</v>
      </c>
      <c r="J143" s="65"/>
      <c r="K143" s="66" t="s">
        <v>93</v>
      </c>
      <c r="L143" s="31" t="s">
        <v>25</v>
      </c>
      <c r="M143" s="63">
        <v>1750000000</v>
      </c>
      <c r="N143" s="63">
        <v>0</v>
      </c>
      <c r="O143" s="67">
        <v>12.5</v>
      </c>
      <c r="P143" s="66"/>
      <c r="Q143" s="66" t="s">
        <v>93</v>
      </c>
      <c r="R143" s="34"/>
    </row>
    <row r="144" spans="1:18">
      <c r="A144" s="31" t="s">
        <v>23</v>
      </c>
      <c r="B144" s="32" t="s">
        <v>43</v>
      </c>
      <c r="C144" s="62">
        <v>43829</v>
      </c>
      <c r="D144" s="62">
        <v>44194</v>
      </c>
      <c r="E144" s="62">
        <v>43829</v>
      </c>
      <c r="F144" s="33" t="s">
        <v>25</v>
      </c>
      <c r="G144" s="63">
        <v>250000000</v>
      </c>
      <c r="H144" s="63">
        <v>0</v>
      </c>
      <c r="I144" s="64">
        <v>0</v>
      </c>
      <c r="J144" s="65"/>
      <c r="K144" s="66" t="s">
        <v>93</v>
      </c>
      <c r="L144" s="31" t="s">
        <v>25</v>
      </c>
      <c r="M144" s="63">
        <v>1000000000</v>
      </c>
      <c r="N144" s="63">
        <v>0</v>
      </c>
      <c r="O144" s="67">
        <v>0</v>
      </c>
      <c r="P144" s="66"/>
      <c r="Q144" s="66" t="s">
        <v>93</v>
      </c>
      <c r="R144" s="34"/>
    </row>
    <row r="145" spans="1:18">
      <c r="A145" s="31" t="s">
        <v>23</v>
      </c>
      <c r="B145" s="32" t="s">
        <v>43</v>
      </c>
      <c r="C145" s="62">
        <v>44195</v>
      </c>
      <c r="D145" s="62">
        <v>44559</v>
      </c>
      <c r="E145" s="62">
        <v>44195</v>
      </c>
      <c r="F145" s="33" t="s">
        <v>25</v>
      </c>
      <c r="G145" s="63">
        <v>250000000</v>
      </c>
      <c r="H145" s="63">
        <v>0</v>
      </c>
      <c r="I145" s="64">
        <v>0</v>
      </c>
      <c r="J145" s="65"/>
      <c r="K145" s="66" t="s">
        <v>93</v>
      </c>
      <c r="L145" s="31" t="s">
        <v>25</v>
      </c>
      <c r="M145" s="63">
        <v>1000000000</v>
      </c>
      <c r="N145" s="63">
        <v>0</v>
      </c>
      <c r="O145" s="67">
        <v>0</v>
      </c>
      <c r="P145" s="66"/>
      <c r="Q145" s="66" t="s">
        <v>93</v>
      </c>
      <c r="R145" s="34"/>
    </row>
    <row r="146" spans="1:18">
      <c r="A146" s="31" t="s">
        <v>23</v>
      </c>
      <c r="B146" s="32" t="s">
        <v>43</v>
      </c>
      <c r="C146" s="62">
        <v>44560</v>
      </c>
      <c r="D146" s="62">
        <v>44924</v>
      </c>
      <c r="E146" s="62">
        <v>44560</v>
      </c>
      <c r="F146" s="33" t="s">
        <v>25</v>
      </c>
      <c r="G146" s="63">
        <v>250000000</v>
      </c>
      <c r="H146" s="63">
        <v>0</v>
      </c>
      <c r="I146" s="64">
        <v>0</v>
      </c>
      <c r="J146" s="65"/>
      <c r="K146" s="66" t="s">
        <v>93</v>
      </c>
      <c r="L146" s="31" t="s">
        <v>25</v>
      </c>
      <c r="M146" s="63">
        <v>1000000000</v>
      </c>
      <c r="N146" s="63">
        <v>0</v>
      </c>
      <c r="O146" s="67">
        <v>0</v>
      </c>
      <c r="P146" s="66"/>
      <c r="Q146" s="66" t="s">
        <v>93</v>
      </c>
      <c r="R146" s="34"/>
    </row>
    <row r="147" spans="1:18">
      <c r="A147" s="31" t="s">
        <v>23</v>
      </c>
      <c r="B147" s="32" t="s">
        <v>44</v>
      </c>
      <c r="C147" s="62">
        <v>43814</v>
      </c>
      <c r="D147" s="62">
        <v>44179</v>
      </c>
      <c r="E147" s="62">
        <v>43814</v>
      </c>
      <c r="F147" s="33" t="s">
        <v>25</v>
      </c>
      <c r="G147" s="63">
        <v>325000000</v>
      </c>
      <c r="H147" s="63">
        <v>0</v>
      </c>
      <c r="I147" s="64">
        <v>4</v>
      </c>
      <c r="J147" s="65"/>
      <c r="K147" s="66" t="s">
        <v>93</v>
      </c>
      <c r="L147" s="31" t="s">
        <v>25</v>
      </c>
      <c r="M147" s="63">
        <v>2000000000</v>
      </c>
      <c r="N147" s="63">
        <v>0</v>
      </c>
      <c r="O147" s="67">
        <v>4</v>
      </c>
      <c r="P147" s="66"/>
      <c r="Q147" s="66" t="s">
        <v>93</v>
      </c>
      <c r="R147" s="34"/>
    </row>
    <row r="148" spans="1:18">
      <c r="A148" s="31" t="s">
        <v>23</v>
      </c>
      <c r="B148" s="32" t="s">
        <v>44</v>
      </c>
      <c r="C148" s="62">
        <v>44180</v>
      </c>
      <c r="D148" s="62">
        <v>44544</v>
      </c>
      <c r="E148" s="62">
        <v>44180</v>
      </c>
      <c r="F148" s="33" t="s">
        <v>25</v>
      </c>
      <c r="G148" s="63">
        <v>325000000</v>
      </c>
      <c r="H148" s="63">
        <v>0</v>
      </c>
      <c r="I148" s="64">
        <v>4</v>
      </c>
      <c r="J148" s="65"/>
      <c r="K148" s="66" t="s">
        <v>93</v>
      </c>
      <c r="L148" s="31" t="s">
        <v>25</v>
      </c>
      <c r="M148" s="63">
        <v>2000000000</v>
      </c>
      <c r="N148" s="63">
        <v>0</v>
      </c>
      <c r="O148" s="67">
        <v>4</v>
      </c>
      <c r="P148" s="66"/>
      <c r="Q148" s="66" t="s">
        <v>93</v>
      </c>
      <c r="R148" s="34"/>
    </row>
    <row r="149" spans="1:18">
      <c r="A149" s="31" t="s">
        <v>23</v>
      </c>
      <c r="B149" s="32" t="s">
        <v>44</v>
      </c>
      <c r="C149" s="62">
        <v>44545</v>
      </c>
      <c r="D149" s="62">
        <v>44909</v>
      </c>
      <c r="E149" s="62">
        <v>44545</v>
      </c>
      <c r="F149" s="33" t="s">
        <v>25</v>
      </c>
      <c r="G149" s="63">
        <v>290000000</v>
      </c>
      <c r="H149" s="63">
        <v>0</v>
      </c>
      <c r="I149" s="64">
        <v>4</v>
      </c>
      <c r="J149" s="65"/>
      <c r="K149" s="66" t="s">
        <v>93</v>
      </c>
      <c r="L149" s="31" t="s">
        <v>25</v>
      </c>
      <c r="M149" s="63">
        <v>2000000000</v>
      </c>
      <c r="N149" s="63">
        <v>0</v>
      </c>
      <c r="O149" s="67">
        <v>4</v>
      </c>
      <c r="P149" s="66"/>
      <c r="Q149" s="66" t="s">
        <v>93</v>
      </c>
      <c r="R149" s="34"/>
    </row>
    <row r="150" spans="1:18">
      <c r="A150" s="31" t="s">
        <v>23</v>
      </c>
      <c r="B150" s="32" t="s">
        <v>251</v>
      </c>
      <c r="C150" s="62">
        <v>43623</v>
      </c>
      <c r="D150" s="62">
        <v>44001</v>
      </c>
      <c r="E150" s="62">
        <v>43623</v>
      </c>
      <c r="F150" s="33" t="s">
        <v>25</v>
      </c>
      <c r="G150" s="63">
        <v>150000000</v>
      </c>
      <c r="H150" s="63">
        <v>0</v>
      </c>
      <c r="I150" s="64">
        <v>10</v>
      </c>
      <c r="J150" s="65"/>
      <c r="K150" s="66" t="s">
        <v>93</v>
      </c>
      <c r="L150" s="31" t="s">
        <v>25</v>
      </c>
      <c r="M150" s="63">
        <v>1000000000</v>
      </c>
      <c r="N150" s="63">
        <v>0</v>
      </c>
      <c r="O150" s="67">
        <v>10</v>
      </c>
      <c r="P150" s="66"/>
      <c r="Q150" s="66" t="s">
        <v>93</v>
      </c>
      <c r="R150" s="34"/>
    </row>
    <row r="151" spans="1:18">
      <c r="A151" s="31" t="s">
        <v>23</v>
      </c>
      <c r="B151" s="32" t="s">
        <v>251</v>
      </c>
      <c r="C151" s="62">
        <v>44002</v>
      </c>
      <c r="D151" s="62">
        <v>44428</v>
      </c>
      <c r="E151" s="62">
        <v>44002</v>
      </c>
      <c r="F151" s="33" t="s">
        <v>25</v>
      </c>
      <c r="G151" s="63">
        <v>165000000</v>
      </c>
      <c r="H151" s="63">
        <v>0</v>
      </c>
      <c r="I151" s="64">
        <v>5.16</v>
      </c>
      <c r="J151" s="65"/>
      <c r="K151" s="66" t="s">
        <v>93</v>
      </c>
      <c r="L151" s="31" t="s">
        <v>25</v>
      </c>
      <c r="M151" s="63">
        <v>1000000000</v>
      </c>
      <c r="N151" s="63">
        <v>0</v>
      </c>
      <c r="O151" s="67">
        <v>5.16</v>
      </c>
      <c r="P151" s="66"/>
      <c r="Q151" s="66" t="s">
        <v>93</v>
      </c>
      <c r="R151" s="34"/>
    </row>
    <row r="152" spans="1:18">
      <c r="A152" s="31" t="s">
        <v>23</v>
      </c>
      <c r="B152" s="32" t="s">
        <v>251</v>
      </c>
      <c r="C152" s="62">
        <v>44429</v>
      </c>
      <c r="D152" s="62">
        <v>44895</v>
      </c>
      <c r="E152" s="62">
        <v>44429</v>
      </c>
      <c r="F152" s="33" t="s">
        <v>25</v>
      </c>
      <c r="G152" s="63">
        <v>165000000</v>
      </c>
      <c r="H152" s="63">
        <v>0</v>
      </c>
      <c r="I152" s="64">
        <v>7</v>
      </c>
      <c r="J152" s="65"/>
      <c r="K152" s="66" t="s">
        <v>93</v>
      </c>
      <c r="L152" s="31" t="s">
        <v>25</v>
      </c>
      <c r="M152" s="63">
        <v>1000000000</v>
      </c>
      <c r="N152" s="63">
        <v>0</v>
      </c>
      <c r="O152" s="67">
        <v>7</v>
      </c>
      <c r="P152" s="66"/>
      <c r="Q152" s="66" t="s">
        <v>93</v>
      </c>
      <c r="R152" s="34"/>
    </row>
    <row r="153" spans="1:18">
      <c r="A153" s="31" t="s">
        <v>23</v>
      </c>
      <c r="B153" s="32" t="s">
        <v>45</v>
      </c>
      <c r="C153" s="62">
        <v>43800</v>
      </c>
      <c r="D153" s="62">
        <v>44165</v>
      </c>
      <c r="E153" s="62">
        <v>43800</v>
      </c>
      <c r="F153" s="33" t="s">
        <v>25</v>
      </c>
      <c r="G153" s="63">
        <v>290000000</v>
      </c>
      <c r="H153" s="63">
        <v>0</v>
      </c>
      <c r="I153" s="64">
        <v>6</v>
      </c>
      <c r="J153" s="65"/>
      <c r="K153" s="66" t="s">
        <v>93</v>
      </c>
      <c r="L153" s="31" t="s">
        <v>25</v>
      </c>
      <c r="M153" s="63">
        <v>2250000000</v>
      </c>
      <c r="N153" s="63">
        <v>0</v>
      </c>
      <c r="O153" s="67">
        <v>6</v>
      </c>
      <c r="P153" s="66"/>
      <c r="Q153" s="66" t="s">
        <v>93</v>
      </c>
      <c r="R153" s="34"/>
    </row>
    <row r="154" spans="1:18">
      <c r="A154" s="31" t="s">
        <v>23</v>
      </c>
      <c r="B154" s="32" t="s">
        <v>45</v>
      </c>
      <c r="C154" s="62">
        <v>44166</v>
      </c>
      <c r="D154" s="62">
        <v>44530</v>
      </c>
      <c r="E154" s="62">
        <v>44166</v>
      </c>
      <c r="F154" s="33" t="s">
        <v>25</v>
      </c>
      <c r="G154" s="63">
        <v>290000000</v>
      </c>
      <c r="H154" s="63">
        <v>0</v>
      </c>
      <c r="I154" s="64">
        <v>6</v>
      </c>
      <c r="J154" s="65"/>
      <c r="K154" s="66" t="s">
        <v>93</v>
      </c>
      <c r="L154" s="31" t="s">
        <v>25</v>
      </c>
      <c r="M154" s="63">
        <v>2250000000</v>
      </c>
      <c r="N154" s="63">
        <v>0</v>
      </c>
      <c r="O154" s="67">
        <v>6</v>
      </c>
      <c r="P154" s="66"/>
      <c r="Q154" s="66" t="s">
        <v>93</v>
      </c>
      <c r="R154" s="34"/>
    </row>
    <row r="155" spans="1:18">
      <c r="A155" s="31" t="s">
        <v>23</v>
      </c>
      <c r="B155" s="32" t="s">
        <v>45</v>
      </c>
      <c r="C155" s="62">
        <v>44531</v>
      </c>
      <c r="D155" s="62">
        <v>44895</v>
      </c>
      <c r="E155" s="62">
        <v>44531</v>
      </c>
      <c r="F155" s="33" t="s">
        <v>25</v>
      </c>
      <c r="G155" s="63">
        <v>265000000</v>
      </c>
      <c r="H155" s="63">
        <v>0</v>
      </c>
      <c r="I155" s="64">
        <v>8</v>
      </c>
      <c r="J155" s="65"/>
      <c r="K155" s="66" t="s">
        <v>93</v>
      </c>
      <c r="L155" s="31" t="s">
        <v>25</v>
      </c>
      <c r="M155" s="63">
        <v>2250000000</v>
      </c>
      <c r="N155" s="63">
        <v>0</v>
      </c>
      <c r="O155" s="67">
        <v>8</v>
      </c>
      <c r="P155" s="66"/>
      <c r="Q155" s="66" t="s">
        <v>93</v>
      </c>
      <c r="R155" s="34"/>
    </row>
    <row r="156" spans="1:18">
      <c r="A156" s="31" t="s">
        <v>23</v>
      </c>
      <c r="B156" s="32" t="s">
        <v>100</v>
      </c>
      <c r="C156" s="62">
        <v>43739</v>
      </c>
      <c r="D156" s="62">
        <v>44104</v>
      </c>
      <c r="E156" s="62">
        <v>43739</v>
      </c>
      <c r="F156" s="33" t="s">
        <v>25</v>
      </c>
      <c r="G156" s="63">
        <v>450000000</v>
      </c>
      <c r="H156" s="63">
        <v>0</v>
      </c>
      <c r="I156" s="64">
        <v>10</v>
      </c>
      <c r="J156" s="65"/>
      <c r="K156" s="66" t="s">
        <v>93</v>
      </c>
      <c r="L156" s="31" t="s">
        <v>25</v>
      </c>
      <c r="M156" s="63">
        <v>2250000000</v>
      </c>
      <c r="N156" s="63">
        <v>0</v>
      </c>
      <c r="O156" s="67">
        <v>10</v>
      </c>
      <c r="P156" s="66"/>
      <c r="Q156" s="66" t="s">
        <v>93</v>
      </c>
      <c r="R156" s="34"/>
    </row>
    <row r="157" spans="1:18">
      <c r="A157" s="31" t="s">
        <v>23</v>
      </c>
      <c r="B157" s="32" t="s">
        <v>100</v>
      </c>
      <c r="C157" s="62">
        <v>44105</v>
      </c>
      <c r="D157" s="62">
        <v>44469</v>
      </c>
      <c r="E157" s="62">
        <v>44105</v>
      </c>
      <c r="F157" s="33" t="s">
        <v>25</v>
      </c>
      <c r="G157" s="63">
        <v>450000000</v>
      </c>
      <c r="H157" s="63">
        <v>0</v>
      </c>
      <c r="I157" s="64">
        <v>10</v>
      </c>
      <c r="J157" s="65"/>
      <c r="K157" s="66" t="s">
        <v>93</v>
      </c>
      <c r="L157" s="31" t="s">
        <v>25</v>
      </c>
      <c r="M157" s="63">
        <v>2250000000</v>
      </c>
      <c r="N157" s="63">
        <v>0</v>
      </c>
      <c r="O157" s="67">
        <v>10</v>
      </c>
      <c r="P157" s="66"/>
      <c r="Q157" s="66" t="s">
        <v>93</v>
      </c>
      <c r="R157" s="34"/>
    </row>
    <row r="158" spans="1:18">
      <c r="A158" s="31" t="s">
        <v>23</v>
      </c>
      <c r="B158" s="32" t="s">
        <v>100</v>
      </c>
      <c r="C158" s="62">
        <v>44470</v>
      </c>
      <c r="D158" s="62">
        <v>44834</v>
      </c>
      <c r="E158" s="62">
        <v>44470</v>
      </c>
      <c r="F158" s="33" t="s">
        <v>25</v>
      </c>
      <c r="G158" s="63">
        <v>450000000</v>
      </c>
      <c r="H158" s="63">
        <v>0</v>
      </c>
      <c r="I158" s="64">
        <v>10</v>
      </c>
      <c r="J158" s="65"/>
      <c r="K158" s="66" t="s">
        <v>93</v>
      </c>
      <c r="L158" s="31" t="s">
        <v>25</v>
      </c>
      <c r="M158" s="63">
        <v>2250000000</v>
      </c>
      <c r="N158" s="63">
        <v>0</v>
      </c>
      <c r="O158" s="67">
        <v>10</v>
      </c>
      <c r="P158" s="66"/>
      <c r="Q158" s="66" t="s">
        <v>93</v>
      </c>
      <c r="R158" s="34"/>
    </row>
    <row r="159" spans="1:18">
      <c r="A159" s="31" t="s">
        <v>23</v>
      </c>
      <c r="B159" s="32" t="s">
        <v>46</v>
      </c>
      <c r="C159" s="62">
        <v>43800</v>
      </c>
      <c r="D159" s="62">
        <v>44165</v>
      </c>
      <c r="E159" s="62">
        <v>43800</v>
      </c>
      <c r="F159" s="33" t="s">
        <v>25</v>
      </c>
      <c r="G159" s="63">
        <v>150000000</v>
      </c>
      <c r="H159" s="63">
        <v>0</v>
      </c>
      <c r="I159" s="64">
        <v>0</v>
      </c>
      <c r="J159" s="65"/>
      <c r="K159" s="66" t="s">
        <v>93</v>
      </c>
      <c r="L159" s="31" t="s">
        <v>25</v>
      </c>
      <c r="M159" s="63">
        <v>1000000000</v>
      </c>
      <c r="N159" s="63">
        <v>0</v>
      </c>
      <c r="O159" s="67">
        <v>0</v>
      </c>
      <c r="P159" s="66"/>
      <c r="Q159" s="66" t="s">
        <v>93</v>
      </c>
      <c r="R159" s="34"/>
    </row>
    <row r="160" spans="1:18">
      <c r="A160" s="31" t="s">
        <v>23</v>
      </c>
      <c r="B160" s="32" t="s">
        <v>46</v>
      </c>
      <c r="C160" s="62">
        <v>44166</v>
      </c>
      <c r="D160" s="62">
        <v>44530</v>
      </c>
      <c r="E160" s="62">
        <v>44166</v>
      </c>
      <c r="F160" s="33" t="s">
        <v>25</v>
      </c>
      <c r="G160" s="63">
        <v>150000000</v>
      </c>
      <c r="H160" s="63">
        <v>0</v>
      </c>
      <c r="I160" s="64">
        <v>0</v>
      </c>
      <c r="J160" s="65"/>
      <c r="K160" s="66" t="s">
        <v>93</v>
      </c>
      <c r="L160" s="31" t="s">
        <v>25</v>
      </c>
      <c r="M160" s="63">
        <v>1000000000</v>
      </c>
      <c r="N160" s="63">
        <v>0</v>
      </c>
      <c r="O160" s="67">
        <v>0</v>
      </c>
      <c r="P160" s="66"/>
      <c r="Q160" s="66" t="s">
        <v>93</v>
      </c>
      <c r="R160" s="34"/>
    </row>
    <row r="161" spans="1:18">
      <c r="A161" s="31" t="s">
        <v>23</v>
      </c>
      <c r="B161" s="32" t="s">
        <v>46</v>
      </c>
      <c r="C161" s="62">
        <v>44531</v>
      </c>
      <c r="D161" s="62">
        <v>44895</v>
      </c>
      <c r="E161" s="62">
        <v>44531</v>
      </c>
      <c r="F161" s="33" t="s">
        <v>25</v>
      </c>
      <c r="G161" s="63">
        <v>150000000</v>
      </c>
      <c r="H161" s="63">
        <v>0</v>
      </c>
      <c r="I161" s="64">
        <v>0</v>
      </c>
      <c r="J161" s="65"/>
      <c r="K161" s="66" t="s">
        <v>93</v>
      </c>
      <c r="L161" s="31" t="s">
        <v>25</v>
      </c>
      <c r="M161" s="63">
        <v>1000000000</v>
      </c>
      <c r="N161" s="63">
        <v>0</v>
      </c>
      <c r="O161" s="67">
        <v>0</v>
      </c>
      <c r="P161" s="66"/>
      <c r="Q161" s="66" t="s">
        <v>93</v>
      </c>
      <c r="R161" s="34"/>
    </row>
    <row r="162" spans="1:18">
      <c r="A162" s="31" t="s">
        <v>23</v>
      </c>
      <c r="B162" s="32" t="s">
        <v>47</v>
      </c>
      <c r="C162" s="62">
        <v>43821</v>
      </c>
      <c r="D162" s="62">
        <v>44186</v>
      </c>
      <c r="E162" s="62">
        <v>43821</v>
      </c>
      <c r="F162" s="33" t="s">
        <v>25</v>
      </c>
      <c r="G162" s="63">
        <v>260000000</v>
      </c>
      <c r="H162" s="63">
        <v>0</v>
      </c>
      <c r="I162" s="64">
        <v>10</v>
      </c>
      <c r="J162" s="65"/>
      <c r="K162" s="66" t="s">
        <v>93</v>
      </c>
      <c r="L162" s="31" t="s">
        <v>25</v>
      </c>
      <c r="M162" s="63">
        <v>1500000000</v>
      </c>
      <c r="N162" s="63">
        <v>0</v>
      </c>
      <c r="O162" s="67">
        <v>10</v>
      </c>
      <c r="P162" s="66"/>
      <c r="Q162" s="66" t="s">
        <v>93</v>
      </c>
      <c r="R162" s="34"/>
    </row>
    <row r="163" spans="1:18">
      <c r="A163" s="31" t="s">
        <v>23</v>
      </c>
      <c r="B163" s="32" t="s">
        <v>47</v>
      </c>
      <c r="C163" s="62">
        <v>44187</v>
      </c>
      <c r="D163" s="62">
        <v>44551</v>
      </c>
      <c r="E163" s="62">
        <v>44187</v>
      </c>
      <c r="F163" s="33" t="s">
        <v>25</v>
      </c>
      <c r="G163" s="63">
        <v>260000000</v>
      </c>
      <c r="H163" s="63">
        <v>0</v>
      </c>
      <c r="I163" s="64">
        <v>10</v>
      </c>
      <c r="J163" s="65"/>
      <c r="K163" s="66" t="s">
        <v>93</v>
      </c>
      <c r="L163" s="31" t="s">
        <v>25</v>
      </c>
      <c r="M163" s="63">
        <v>1500000000</v>
      </c>
      <c r="N163" s="63">
        <v>0</v>
      </c>
      <c r="O163" s="67">
        <v>10</v>
      </c>
      <c r="P163" s="66"/>
      <c r="Q163" s="66" t="s">
        <v>93</v>
      </c>
      <c r="R163" s="34"/>
    </row>
    <row r="164" spans="1:18">
      <c r="A164" s="31" t="s">
        <v>23</v>
      </c>
      <c r="B164" s="32" t="s">
        <v>47</v>
      </c>
      <c r="C164" s="62">
        <v>44552</v>
      </c>
      <c r="D164" s="62">
        <v>44916</v>
      </c>
      <c r="E164" s="62">
        <v>44552</v>
      </c>
      <c r="F164" s="33" t="s">
        <v>25</v>
      </c>
      <c r="G164" s="63">
        <v>200000000</v>
      </c>
      <c r="H164" s="63">
        <v>0</v>
      </c>
      <c r="I164" s="64">
        <v>11.35</v>
      </c>
      <c r="J164" s="65"/>
      <c r="K164" s="66" t="s">
        <v>93</v>
      </c>
      <c r="L164" s="31" t="s">
        <v>25</v>
      </c>
      <c r="M164" s="63">
        <v>1500000000</v>
      </c>
      <c r="N164" s="63">
        <v>0</v>
      </c>
      <c r="O164" s="67">
        <v>11.35</v>
      </c>
      <c r="P164" s="66"/>
      <c r="Q164" s="66" t="s">
        <v>93</v>
      </c>
      <c r="R164" s="34"/>
    </row>
    <row r="165" spans="1:18">
      <c r="A165" s="31" t="s">
        <v>23</v>
      </c>
      <c r="B165" s="32" t="s">
        <v>48</v>
      </c>
      <c r="C165" s="62">
        <v>43800</v>
      </c>
      <c r="D165" s="62">
        <v>44165</v>
      </c>
      <c r="E165" s="62">
        <v>43800</v>
      </c>
      <c r="F165" s="33" t="s">
        <v>25</v>
      </c>
      <c r="G165" s="63">
        <v>100000000</v>
      </c>
      <c r="H165" s="63">
        <v>0</v>
      </c>
      <c r="I165" s="64">
        <v>2</v>
      </c>
      <c r="J165" s="65"/>
      <c r="K165" s="66" t="s">
        <v>93</v>
      </c>
      <c r="L165" s="31" t="s">
        <v>25</v>
      </c>
      <c r="M165" s="63">
        <v>750000000</v>
      </c>
      <c r="N165" s="63">
        <v>0</v>
      </c>
      <c r="O165" s="67">
        <v>2</v>
      </c>
      <c r="P165" s="66"/>
      <c r="Q165" s="66" t="s">
        <v>93</v>
      </c>
      <c r="R165" s="34"/>
    </row>
    <row r="166" spans="1:18">
      <c r="A166" s="31" t="s">
        <v>23</v>
      </c>
      <c r="B166" s="32" t="s">
        <v>48</v>
      </c>
      <c r="C166" s="62">
        <v>44166</v>
      </c>
      <c r="D166" s="62">
        <v>44530</v>
      </c>
      <c r="E166" s="62">
        <v>44166</v>
      </c>
      <c r="F166" s="33" t="s">
        <v>25</v>
      </c>
      <c r="G166" s="63">
        <v>100000000</v>
      </c>
      <c r="H166" s="63">
        <v>0</v>
      </c>
      <c r="I166" s="64">
        <v>2</v>
      </c>
      <c r="J166" s="65"/>
      <c r="K166" s="66" t="s">
        <v>93</v>
      </c>
      <c r="L166" s="31" t="s">
        <v>25</v>
      </c>
      <c r="M166" s="63">
        <v>750000000</v>
      </c>
      <c r="N166" s="63">
        <v>0</v>
      </c>
      <c r="O166" s="67">
        <v>2</v>
      </c>
      <c r="P166" s="66"/>
      <c r="Q166" s="66" t="s">
        <v>93</v>
      </c>
      <c r="R166" s="34"/>
    </row>
    <row r="167" spans="1:18">
      <c r="A167" s="31" t="s">
        <v>23</v>
      </c>
      <c r="B167" s="32" t="s">
        <v>48</v>
      </c>
      <c r="C167" s="62">
        <v>44166</v>
      </c>
      <c r="D167" s="62">
        <v>44530</v>
      </c>
      <c r="E167" s="62">
        <v>44166</v>
      </c>
      <c r="F167" s="33" t="s">
        <v>25</v>
      </c>
      <c r="G167" s="63">
        <v>100000000</v>
      </c>
      <c r="H167" s="63">
        <v>0</v>
      </c>
      <c r="I167" s="64">
        <v>2</v>
      </c>
      <c r="J167" s="65"/>
      <c r="K167" s="66" t="s">
        <v>93</v>
      </c>
      <c r="L167" s="31" t="s">
        <v>25</v>
      </c>
      <c r="M167" s="63">
        <v>750000000</v>
      </c>
      <c r="N167" s="63">
        <v>0</v>
      </c>
      <c r="O167" s="67">
        <v>2</v>
      </c>
      <c r="P167" s="66"/>
      <c r="Q167" s="66" t="s">
        <v>93</v>
      </c>
      <c r="R167" s="34"/>
    </row>
    <row r="168" spans="1:18">
      <c r="A168" s="31" t="s">
        <v>23</v>
      </c>
      <c r="B168" s="32" t="s">
        <v>48</v>
      </c>
      <c r="C168" s="62">
        <v>44531</v>
      </c>
      <c r="D168" s="62">
        <v>44895</v>
      </c>
      <c r="E168" s="62">
        <v>44531</v>
      </c>
      <c r="F168" s="33" t="s">
        <v>25</v>
      </c>
      <c r="G168" s="63">
        <v>100000000</v>
      </c>
      <c r="H168" s="63">
        <v>0</v>
      </c>
      <c r="I168" s="64">
        <v>1.95</v>
      </c>
      <c r="J168" s="65"/>
      <c r="K168" s="66" t="s">
        <v>93</v>
      </c>
      <c r="L168" s="31" t="s">
        <v>25</v>
      </c>
      <c r="M168" s="63">
        <v>750000000</v>
      </c>
      <c r="N168" s="63">
        <v>0</v>
      </c>
      <c r="O168" s="67">
        <v>1.95</v>
      </c>
      <c r="P168" s="66"/>
      <c r="Q168" s="66" t="s">
        <v>93</v>
      </c>
      <c r="R168" s="34"/>
    </row>
    <row r="169" spans="1:18">
      <c r="A169" s="31" t="s">
        <v>23</v>
      </c>
      <c r="B169" s="32" t="s">
        <v>48</v>
      </c>
      <c r="C169" s="62">
        <v>44531</v>
      </c>
      <c r="D169" s="62">
        <v>44895</v>
      </c>
      <c r="E169" s="62">
        <v>44531</v>
      </c>
      <c r="F169" s="33" t="s">
        <v>25</v>
      </c>
      <c r="G169" s="63">
        <v>100000000</v>
      </c>
      <c r="H169" s="63">
        <v>0</v>
      </c>
      <c r="I169" s="64">
        <v>2</v>
      </c>
      <c r="J169" s="65"/>
      <c r="K169" s="66" t="s">
        <v>93</v>
      </c>
      <c r="L169" s="31" t="s">
        <v>25</v>
      </c>
      <c r="M169" s="63">
        <v>750000000</v>
      </c>
      <c r="N169" s="63">
        <v>0</v>
      </c>
      <c r="O169" s="67">
        <v>2</v>
      </c>
      <c r="P169" s="66"/>
      <c r="Q169" s="66" t="s">
        <v>93</v>
      </c>
      <c r="R169" s="34"/>
    </row>
    <row r="170" spans="1:18">
      <c r="A170" s="31" t="s">
        <v>23</v>
      </c>
      <c r="B170" s="32" t="s">
        <v>252</v>
      </c>
      <c r="C170" s="62">
        <v>43799</v>
      </c>
      <c r="D170" s="62">
        <v>44164</v>
      </c>
      <c r="E170" s="62">
        <v>43799</v>
      </c>
      <c r="F170" s="33" t="s">
        <v>25</v>
      </c>
      <c r="G170" s="63">
        <v>250000000</v>
      </c>
      <c r="H170" s="63">
        <v>0</v>
      </c>
      <c r="I170" s="64">
        <v>10</v>
      </c>
      <c r="J170" s="65"/>
      <c r="K170" s="66" t="s">
        <v>93</v>
      </c>
      <c r="L170" s="31" t="s">
        <v>25</v>
      </c>
      <c r="M170" s="63">
        <v>1500000000</v>
      </c>
      <c r="N170" s="63">
        <v>0</v>
      </c>
      <c r="O170" s="67">
        <v>10</v>
      </c>
      <c r="P170" s="66"/>
      <c r="Q170" s="66" t="s">
        <v>93</v>
      </c>
      <c r="R170" s="34"/>
    </row>
    <row r="171" spans="1:18">
      <c r="A171" s="31" t="s">
        <v>23</v>
      </c>
      <c r="B171" s="32" t="s">
        <v>252</v>
      </c>
      <c r="C171" s="62">
        <v>44165</v>
      </c>
      <c r="D171" s="62">
        <v>44529</v>
      </c>
      <c r="E171" s="62">
        <v>44165</v>
      </c>
      <c r="F171" s="33" t="s">
        <v>25</v>
      </c>
      <c r="G171" s="63">
        <v>250000000</v>
      </c>
      <c r="H171" s="63">
        <v>0</v>
      </c>
      <c r="I171" s="64">
        <v>12.5</v>
      </c>
      <c r="J171" s="65"/>
      <c r="K171" s="66" t="s">
        <v>93</v>
      </c>
      <c r="L171" s="31" t="s">
        <v>25</v>
      </c>
      <c r="M171" s="63">
        <v>1500000000</v>
      </c>
      <c r="N171" s="63">
        <v>0</v>
      </c>
      <c r="O171" s="67">
        <v>12.5</v>
      </c>
      <c r="P171" s="66"/>
      <c r="Q171" s="66" t="s">
        <v>93</v>
      </c>
      <c r="R171" s="34"/>
    </row>
    <row r="172" spans="1:18">
      <c r="A172" s="31" t="s">
        <v>23</v>
      </c>
      <c r="B172" s="32" t="s">
        <v>252</v>
      </c>
      <c r="C172" s="62">
        <v>44530</v>
      </c>
      <c r="D172" s="62">
        <v>44894</v>
      </c>
      <c r="E172" s="62">
        <v>44530</v>
      </c>
      <c r="F172" s="33" t="s">
        <v>25</v>
      </c>
      <c r="G172" s="63">
        <v>250000000</v>
      </c>
      <c r="H172" s="63">
        <v>0</v>
      </c>
      <c r="I172" s="64">
        <v>12.5</v>
      </c>
      <c r="J172" s="65"/>
      <c r="K172" s="66" t="s">
        <v>93</v>
      </c>
      <c r="L172" s="31" t="s">
        <v>25</v>
      </c>
      <c r="M172" s="63">
        <v>1500000000</v>
      </c>
      <c r="N172" s="63">
        <v>0</v>
      </c>
      <c r="O172" s="67">
        <v>12.5</v>
      </c>
      <c r="P172" s="66"/>
      <c r="Q172" s="66" t="s">
        <v>93</v>
      </c>
      <c r="R172" s="34"/>
    </row>
    <row r="173" spans="1:18">
      <c r="A173" s="31" t="s">
        <v>23</v>
      </c>
      <c r="B173" s="32" t="s">
        <v>101</v>
      </c>
      <c r="C173" s="62">
        <v>43785</v>
      </c>
      <c r="D173" s="62">
        <v>44150</v>
      </c>
      <c r="E173" s="62">
        <v>43785</v>
      </c>
      <c r="F173" s="33" t="s">
        <v>25</v>
      </c>
      <c r="G173" s="63">
        <v>315000000</v>
      </c>
      <c r="H173" s="63">
        <v>0</v>
      </c>
      <c r="I173" s="64">
        <v>10</v>
      </c>
      <c r="J173" s="65"/>
      <c r="K173" s="66" t="s">
        <v>93</v>
      </c>
      <c r="L173" s="31" t="s">
        <v>25</v>
      </c>
      <c r="M173" s="63">
        <v>2250000000</v>
      </c>
      <c r="N173" s="63">
        <v>0</v>
      </c>
      <c r="O173" s="67">
        <v>10</v>
      </c>
      <c r="P173" s="66"/>
      <c r="Q173" s="66" t="s">
        <v>93</v>
      </c>
      <c r="R173" s="34"/>
    </row>
    <row r="174" spans="1:18">
      <c r="A174" s="31" t="s">
        <v>23</v>
      </c>
      <c r="B174" s="32" t="s">
        <v>101</v>
      </c>
      <c r="C174" s="62">
        <v>44151</v>
      </c>
      <c r="D174" s="62">
        <v>44515</v>
      </c>
      <c r="E174" s="62">
        <v>44151</v>
      </c>
      <c r="F174" s="33" t="s">
        <v>25</v>
      </c>
      <c r="G174" s="63">
        <v>315000000</v>
      </c>
      <c r="H174" s="63">
        <v>0</v>
      </c>
      <c r="I174" s="64">
        <v>10</v>
      </c>
      <c r="J174" s="65"/>
      <c r="K174" s="66" t="s">
        <v>93</v>
      </c>
      <c r="L174" s="31" t="s">
        <v>25</v>
      </c>
      <c r="M174" s="63">
        <v>2250000000</v>
      </c>
      <c r="N174" s="63">
        <v>0</v>
      </c>
      <c r="O174" s="67">
        <v>10</v>
      </c>
      <c r="P174" s="66"/>
      <c r="Q174" s="66" t="s">
        <v>93</v>
      </c>
      <c r="R174" s="34"/>
    </row>
    <row r="175" spans="1:18">
      <c r="A175" s="31" t="s">
        <v>23</v>
      </c>
      <c r="B175" s="32" t="s">
        <v>101</v>
      </c>
      <c r="C175" s="62">
        <v>44516</v>
      </c>
      <c r="D175" s="62">
        <v>44880</v>
      </c>
      <c r="E175" s="62">
        <v>44516</v>
      </c>
      <c r="F175" s="33" t="s">
        <v>25</v>
      </c>
      <c r="G175" s="63">
        <v>407000000</v>
      </c>
      <c r="H175" s="63">
        <v>0</v>
      </c>
      <c r="I175" s="64">
        <v>11</v>
      </c>
      <c r="J175" s="65"/>
      <c r="K175" s="66" t="s">
        <v>93</v>
      </c>
      <c r="L175" s="31" t="s">
        <v>25</v>
      </c>
      <c r="M175" s="63">
        <v>2250000000</v>
      </c>
      <c r="N175" s="63">
        <v>0</v>
      </c>
      <c r="O175" s="67">
        <v>11</v>
      </c>
      <c r="P175" s="66"/>
      <c r="Q175" s="66" t="s">
        <v>93</v>
      </c>
      <c r="R175" s="34"/>
    </row>
    <row r="176" spans="1:18">
      <c r="A176" s="31" t="s">
        <v>23</v>
      </c>
      <c r="B176" s="32" t="s">
        <v>5</v>
      </c>
      <c r="C176" s="62">
        <v>43647</v>
      </c>
      <c r="D176" s="62">
        <v>44012</v>
      </c>
      <c r="E176" s="62">
        <v>43647</v>
      </c>
      <c r="F176" s="33" t="s">
        <v>25</v>
      </c>
      <c r="G176" s="63">
        <v>360000000</v>
      </c>
      <c r="H176" s="63">
        <v>0</v>
      </c>
      <c r="I176" s="64">
        <v>10</v>
      </c>
      <c r="J176" s="65"/>
      <c r="K176" s="66" t="s">
        <v>93</v>
      </c>
      <c r="L176" s="31" t="s">
        <v>25</v>
      </c>
      <c r="M176" s="63">
        <v>2250000000</v>
      </c>
      <c r="N176" s="63">
        <v>0</v>
      </c>
      <c r="O176" s="67">
        <v>10</v>
      </c>
      <c r="P176" s="66"/>
      <c r="Q176" s="66" t="s">
        <v>93</v>
      </c>
      <c r="R176" s="34"/>
    </row>
    <row r="177" spans="1:18">
      <c r="A177" s="31" t="s">
        <v>23</v>
      </c>
      <c r="B177" s="32" t="s">
        <v>5</v>
      </c>
      <c r="C177" s="62">
        <v>44013</v>
      </c>
      <c r="D177" s="62">
        <v>44377</v>
      </c>
      <c r="E177" s="62">
        <v>44013</v>
      </c>
      <c r="F177" s="33" t="s">
        <v>25</v>
      </c>
      <c r="G177" s="63">
        <v>385000000</v>
      </c>
      <c r="H177" s="63">
        <v>0</v>
      </c>
      <c r="I177" s="64">
        <v>10</v>
      </c>
      <c r="J177" s="65"/>
      <c r="K177" s="66" t="s">
        <v>93</v>
      </c>
      <c r="L177" s="31" t="s">
        <v>25</v>
      </c>
      <c r="M177" s="63">
        <v>2250000000</v>
      </c>
      <c r="N177" s="63">
        <v>0</v>
      </c>
      <c r="O177" s="67">
        <v>10</v>
      </c>
      <c r="P177" s="66"/>
      <c r="Q177" s="66" t="s">
        <v>93</v>
      </c>
      <c r="R177" s="34"/>
    </row>
    <row r="178" spans="1:18">
      <c r="A178" s="31" t="s">
        <v>23</v>
      </c>
      <c r="B178" s="32" t="s">
        <v>5</v>
      </c>
      <c r="C178" s="62">
        <v>44378</v>
      </c>
      <c r="D178" s="62">
        <v>44742</v>
      </c>
      <c r="E178" s="62">
        <v>44378</v>
      </c>
      <c r="F178" s="33" t="s">
        <v>25</v>
      </c>
      <c r="G178" s="63">
        <v>350000000</v>
      </c>
      <c r="H178" s="63">
        <v>0</v>
      </c>
      <c r="I178" s="64">
        <v>10</v>
      </c>
      <c r="J178" s="65"/>
      <c r="K178" s="66" t="s">
        <v>93</v>
      </c>
      <c r="L178" s="31" t="s">
        <v>25</v>
      </c>
      <c r="M178" s="63">
        <v>2250000000</v>
      </c>
      <c r="N178" s="63">
        <v>0</v>
      </c>
      <c r="O178" s="67">
        <v>10</v>
      </c>
      <c r="P178" s="66"/>
      <c r="Q178" s="66" t="s">
        <v>93</v>
      </c>
      <c r="R178" s="34"/>
    </row>
    <row r="179" spans="1:18">
      <c r="A179" s="31" t="s">
        <v>23</v>
      </c>
      <c r="B179" s="32" t="s">
        <v>49</v>
      </c>
      <c r="C179" s="62">
        <v>43800</v>
      </c>
      <c r="D179" s="62">
        <v>44347</v>
      </c>
      <c r="E179" s="62">
        <v>43800</v>
      </c>
      <c r="F179" s="33" t="s">
        <v>25</v>
      </c>
      <c r="G179" s="63">
        <v>275000000</v>
      </c>
      <c r="H179" s="63">
        <v>0</v>
      </c>
      <c r="I179" s="64">
        <v>10</v>
      </c>
      <c r="J179" s="65"/>
      <c r="K179" s="66" t="s">
        <v>93</v>
      </c>
      <c r="L179" s="31" t="s">
        <v>25</v>
      </c>
      <c r="M179" s="63">
        <v>1500000000</v>
      </c>
      <c r="N179" s="63">
        <v>0</v>
      </c>
      <c r="O179" s="67">
        <v>10</v>
      </c>
      <c r="P179" s="66"/>
      <c r="Q179" s="66" t="s">
        <v>93</v>
      </c>
      <c r="R179" s="34"/>
    </row>
    <row r="180" spans="1:18">
      <c r="A180" s="31" t="s">
        <v>23</v>
      </c>
      <c r="B180" s="32" t="s">
        <v>49</v>
      </c>
      <c r="C180" s="62">
        <v>44348</v>
      </c>
      <c r="D180" s="62">
        <v>44712</v>
      </c>
      <c r="E180" s="62">
        <v>44348</v>
      </c>
      <c r="F180" s="33" t="s">
        <v>25</v>
      </c>
      <c r="G180" s="63">
        <v>175000000</v>
      </c>
      <c r="H180" s="63">
        <v>0</v>
      </c>
      <c r="I180" s="64">
        <v>10</v>
      </c>
      <c r="J180" s="65"/>
      <c r="K180" s="66" t="s">
        <v>93</v>
      </c>
      <c r="L180" s="31" t="s">
        <v>25</v>
      </c>
      <c r="M180" s="63">
        <v>1500000000</v>
      </c>
      <c r="N180" s="63">
        <v>0</v>
      </c>
      <c r="O180" s="67">
        <v>10</v>
      </c>
      <c r="P180" s="66"/>
      <c r="Q180" s="66" t="s">
        <v>93</v>
      </c>
      <c r="R180" s="34"/>
    </row>
    <row r="181" spans="1:18">
      <c r="A181" s="31" t="s">
        <v>23</v>
      </c>
      <c r="B181" s="32" t="s">
        <v>253</v>
      </c>
      <c r="C181" s="62">
        <v>43799</v>
      </c>
      <c r="D181" s="62">
        <v>44164</v>
      </c>
      <c r="E181" s="62">
        <v>43799</v>
      </c>
      <c r="F181" s="33" t="s">
        <v>25</v>
      </c>
      <c r="G181" s="63">
        <v>250000000</v>
      </c>
      <c r="H181" s="63">
        <v>0</v>
      </c>
      <c r="I181" s="64">
        <v>7.5</v>
      </c>
      <c r="J181" s="65"/>
      <c r="K181" s="66" t="s">
        <v>93</v>
      </c>
      <c r="L181" s="31" t="s">
        <v>25</v>
      </c>
      <c r="M181" s="63">
        <v>1500000000</v>
      </c>
      <c r="N181" s="63">
        <v>0</v>
      </c>
      <c r="O181" s="67">
        <v>7.5</v>
      </c>
      <c r="P181" s="66"/>
      <c r="Q181" s="66" t="s">
        <v>93</v>
      </c>
      <c r="R181" s="34"/>
    </row>
    <row r="182" spans="1:18">
      <c r="A182" s="31" t="s">
        <v>23</v>
      </c>
      <c r="B182" s="32" t="s">
        <v>253</v>
      </c>
      <c r="C182" s="62">
        <v>44165</v>
      </c>
      <c r="D182" s="62">
        <v>44529</v>
      </c>
      <c r="E182" s="62">
        <v>44165</v>
      </c>
      <c r="F182" s="33" t="s">
        <v>25</v>
      </c>
      <c r="G182" s="63">
        <v>250000000</v>
      </c>
      <c r="H182" s="63">
        <v>0</v>
      </c>
      <c r="I182" s="64">
        <v>8.5</v>
      </c>
      <c r="J182" s="65"/>
      <c r="K182" s="66" t="s">
        <v>93</v>
      </c>
      <c r="L182" s="31" t="s">
        <v>25</v>
      </c>
      <c r="M182" s="63">
        <v>1500000000</v>
      </c>
      <c r="N182" s="63">
        <v>0</v>
      </c>
      <c r="O182" s="67">
        <v>8.5</v>
      </c>
      <c r="P182" s="66"/>
      <c r="Q182" s="66" t="s">
        <v>93</v>
      </c>
      <c r="R182" s="34"/>
    </row>
    <row r="183" spans="1:18">
      <c r="A183" s="31" t="s">
        <v>23</v>
      </c>
      <c r="B183" s="32" t="s">
        <v>253</v>
      </c>
      <c r="C183" s="62">
        <v>44530</v>
      </c>
      <c r="D183" s="62">
        <v>44894</v>
      </c>
      <c r="E183" s="62">
        <v>44530</v>
      </c>
      <c r="F183" s="33" t="s">
        <v>25</v>
      </c>
      <c r="G183" s="63">
        <v>250000000</v>
      </c>
      <c r="H183" s="63">
        <v>0</v>
      </c>
      <c r="I183" s="64">
        <v>10.5</v>
      </c>
      <c r="J183" s="65"/>
      <c r="K183" s="66" t="s">
        <v>93</v>
      </c>
      <c r="L183" s="31" t="s">
        <v>25</v>
      </c>
      <c r="M183" s="63">
        <v>1500000000</v>
      </c>
      <c r="N183" s="63">
        <v>0</v>
      </c>
      <c r="O183" s="67">
        <v>10.5</v>
      </c>
      <c r="P183" s="66"/>
      <c r="Q183" s="66" t="s">
        <v>93</v>
      </c>
      <c r="R183" s="34"/>
    </row>
    <row r="184" spans="1:18">
      <c r="A184" s="31" t="s">
        <v>23</v>
      </c>
      <c r="B184" s="32" t="s">
        <v>50</v>
      </c>
      <c r="C184" s="62">
        <v>43800</v>
      </c>
      <c r="D184" s="62">
        <v>44165</v>
      </c>
      <c r="E184" s="62">
        <v>43800</v>
      </c>
      <c r="F184" s="33" t="s">
        <v>25</v>
      </c>
      <c r="G184" s="63">
        <v>350000000</v>
      </c>
      <c r="H184" s="63">
        <v>0</v>
      </c>
      <c r="I184" s="64">
        <v>10</v>
      </c>
      <c r="J184" s="65"/>
      <c r="K184" s="66" t="s">
        <v>93</v>
      </c>
      <c r="L184" s="31" t="s">
        <v>25</v>
      </c>
      <c r="M184" s="63">
        <v>2000000000</v>
      </c>
      <c r="N184" s="63">
        <v>0</v>
      </c>
      <c r="O184" s="67">
        <v>10</v>
      </c>
      <c r="P184" s="66"/>
      <c r="Q184" s="66" t="s">
        <v>93</v>
      </c>
      <c r="R184" s="34"/>
    </row>
    <row r="185" spans="1:18">
      <c r="A185" s="31" t="s">
        <v>23</v>
      </c>
      <c r="B185" s="32" t="s">
        <v>50</v>
      </c>
      <c r="C185" s="62">
        <v>44166</v>
      </c>
      <c r="D185" s="62">
        <v>44530</v>
      </c>
      <c r="E185" s="62">
        <v>44166</v>
      </c>
      <c r="F185" s="33" t="s">
        <v>25</v>
      </c>
      <c r="G185" s="63">
        <v>350000000</v>
      </c>
      <c r="H185" s="63">
        <v>0</v>
      </c>
      <c r="I185" s="64">
        <v>10</v>
      </c>
      <c r="J185" s="65"/>
      <c r="K185" s="66" t="s">
        <v>93</v>
      </c>
      <c r="L185" s="31" t="s">
        <v>25</v>
      </c>
      <c r="M185" s="63">
        <v>2000000000</v>
      </c>
      <c r="N185" s="63">
        <v>0</v>
      </c>
      <c r="O185" s="67">
        <v>10</v>
      </c>
      <c r="P185" s="66"/>
      <c r="Q185" s="66" t="s">
        <v>93</v>
      </c>
      <c r="R185" s="34"/>
    </row>
    <row r="186" spans="1:18">
      <c r="A186" s="31" t="s">
        <v>23</v>
      </c>
      <c r="B186" s="32" t="s">
        <v>50</v>
      </c>
      <c r="C186" s="62">
        <v>44531</v>
      </c>
      <c r="D186" s="62">
        <v>44895</v>
      </c>
      <c r="E186" s="62">
        <v>44531</v>
      </c>
      <c r="F186" s="33" t="s">
        <v>25</v>
      </c>
      <c r="G186" s="63">
        <v>350000000</v>
      </c>
      <c r="H186" s="63">
        <v>0</v>
      </c>
      <c r="I186" s="64">
        <v>9.5</v>
      </c>
      <c r="J186" s="65"/>
      <c r="K186" s="66" t="s">
        <v>93</v>
      </c>
      <c r="L186" s="31" t="s">
        <v>25</v>
      </c>
      <c r="M186" s="63">
        <v>2000000000</v>
      </c>
      <c r="N186" s="63">
        <v>0</v>
      </c>
      <c r="O186" s="67">
        <v>9.5</v>
      </c>
      <c r="P186" s="66"/>
      <c r="Q186" s="66" t="s">
        <v>93</v>
      </c>
      <c r="R186" s="34"/>
    </row>
    <row r="187" spans="1:18">
      <c r="A187" s="31" t="s">
        <v>23</v>
      </c>
      <c r="B187" s="32" t="s">
        <v>51</v>
      </c>
      <c r="C187" s="62">
        <v>43800</v>
      </c>
      <c r="D187" s="62">
        <v>44165</v>
      </c>
      <c r="E187" s="62">
        <v>43800</v>
      </c>
      <c r="F187" s="33" t="s">
        <v>25</v>
      </c>
      <c r="G187" s="63">
        <v>215000000</v>
      </c>
      <c r="H187" s="63">
        <v>0</v>
      </c>
      <c r="I187" s="64">
        <v>10</v>
      </c>
      <c r="J187" s="65"/>
      <c r="K187" s="66" t="s">
        <v>93</v>
      </c>
      <c r="L187" s="31" t="s">
        <v>25</v>
      </c>
      <c r="M187" s="63">
        <v>2250000000</v>
      </c>
      <c r="N187" s="63">
        <v>0</v>
      </c>
      <c r="O187" s="67">
        <v>10</v>
      </c>
      <c r="P187" s="66"/>
      <c r="Q187" s="66" t="s">
        <v>93</v>
      </c>
      <c r="R187" s="34"/>
    </row>
    <row r="188" spans="1:18">
      <c r="A188" s="31" t="s">
        <v>23</v>
      </c>
      <c r="B188" s="32" t="s">
        <v>51</v>
      </c>
      <c r="C188" s="62">
        <v>44166</v>
      </c>
      <c r="D188" s="62">
        <v>44530</v>
      </c>
      <c r="E188" s="62">
        <v>44166</v>
      </c>
      <c r="F188" s="33" t="s">
        <v>25</v>
      </c>
      <c r="G188" s="63">
        <v>215000000</v>
      </c>
      <c r="H188" s="63">
        <v>0</v>
      </c>
      <c r="I188" s="64">
        <v>10</v>
      </c>
      <c r="J188" s="65"/>
      <c r="K188" s="66" t="s">
        <v>93</v>
      </c>
      <c r="L188" s="31" t="s">
        <v>25</v>
      </c>
      <c r="M188" s="63">
        <v>2250000000</v>
      </c>
      <c r="N188" s="63">
        <v>0</v>
      </c>
      <c r="O188" s="67">
        <v>10</v>
      </c>
      <c r="P188" s="66"/>
      <c r="Q188" s="66" t="s">
        <v>93</v>
      </c>
      <c r="R188" s="34"/>
    </row>
    <row r="189" spans="1:18">
      <c r="A189" s="31" t="s">
        <v>23</v>
      </c>
      <c r="B189" s="32" t="s">
        <v>51</v>
      </c>
      <c r="C189" s="62">
        <v>44531</v>
      </c>
      <c r="D189" s="62">
        <v>44895</v>
      </c>
      <c r="E189" s="62">
        <v>44531</v>
      </c>
      <c r="F189" s="33" t="s">
        <v>25</v>
      </c>
      <c r="G189" s="63">
        <v>200000000</v>
      </c>
      <c r="H189" s="63">
        <v>0</v>
      </c>
      <c r="I189" s="64">
        <v>10</v>
      </c>
      <c r="J189" s="65"/>
      <c r="K189" s="66" t="s">
        <v>93</v>
      </c>
      <c r="L189" s="31" t="s">
        <v>25</v>
      </c>
      <c r="M189" s="63">
        <v>2250000000</v>
      </c>
      <c r="N189" s="63">
        <v>0</v>
      </c>
      <c r="O189" s="67">
        <v>10</v>
      </c>
      <c r="P189" s="66"/>
      <c r="Q189" s="66" t="s">
        <v>93</v>
      </c>
      <c r="R189" s="34"/>
    </row>
    <row r="190" spans="1:18">
      <c r="A190" s="31" t="s">
        <v>23</v>
      </c>
      <c r="B190" s="32" t="s">
        <v>1</v>
      </c>
      <c r="C190" s="62">
        <v>43800</v>
      </c>
      <c r="D190" s="62">
        <v>44165</v>
      </c>
      <c r="E190" s="62">
        <v>43800</v>
      </c>
      <c r="F190" s="33" t="s">
        <v>25</v>
      </c>
      <c r="G190" s="63">
        <v>150000000</v>
      </c>
      <c r="H190" s="63">
        <v>0</v>
      </c>
      <c r="I190" s="64">
        <v>0</v>
      </c>
      <c r="J190" s="65"/>
      <c r="K190" s="66" t="s">
        <v>93</v>
      </c>
      <c r="L190" s="31" t="s">
        <v>25</v>
      </c>
      <c r="M190" s="63">
        <v>1000000000</v>
      </c>
      <c r="N190" s="63">
        <v>0</v>
      </c>
      <c r="O190" s="67">
        <v>0</v>
      </c>
      <c r="P190" s="66"/>
      <c r="Q190" s="66" t="s">
        <v>93</v>
      </c>
      <c r="R190" s="34"/>
    </row>
    <row r="191" spans="1:18">
      <c r="A191" s="31" t="s">
        <v>23</v>
      </c>
      <c r="B191" s="32" t="s">
        <v>1</v>
      </c>
      <c r="C191" s="62">
        <v>44166</v>
      </c>
      <c r="D191" s="62">
        <v>44530</v>
      </c>
      <c r="E191" s="62">
        <v>44166</v>
      </c>
      <c r="F191" s="33" t="s">
        <v>25</v>
      </c>
      <c r="G191" s="63">
        <v>150000000</v>
      </c>
      <c r="H191" s="63">
        <v>0</v>
      </c>
      <c r="I191" s="64">
        <v>0</v>
      </c>
      <c r="J191" s="65"/>
      <c r="K191" s="66" t="s">
        <v>93</v>
      </c>
      <c r="L191" s="31" t="s">
        <v>25</v>
      </c>
      <c r="M191" s="63">
        <v>1000000000</v>
      </c>
      <c r="N191" s="63">
        <v>0</v>
      </c>
      <c r="O191" s="67">
        <v>0</v>
      </c>
      <c r="P191" s="66"/>
      <c r="Q191" s="66" t="s">
        <v>93</v>
      </c>
      <c r="R191" s="34"/>
    </row>
    <row r="192" spans="1:18">
      <c r="A192" s="31" t="s">
        <v>23</v>
      </c>
      <c r="B192" s="32" t="s">
        <v>1</v>
      </c>
      <c r="C192" s="62">
        <v>44531</v>
      </c>
      <c r="D192" s="62">
        <v>44895</v>
      </c>
      <c r="E192" s="62">
        <v>44531</v>
      </c>
      <c r="F192" s="33" t="s">
        <v>25</v>
      </c>
      <c r="G192" s="63">
        <v>150000000</v>
      </c>
      <c r="H192" s="63">
        <v>0</v>
      </c>
      <c r="I192" s="64">
        <v>0</v>
      </c>
      <c r="J192" s="65"/>
      <c r="K192" s="66" t="s">
        <v>93</v>
      </c>
      <c r="L192" s="31" t="s">
        <v>25</v>
      </c>
      <c r="M192" s="63">
        <v>1000000000</v>
      </c>
      <c r="N192" s="63">
        <v>0</v>
      </c>
      <c r="O192" s="67">
        <v>0</v>
      </c>
      <c r="P192" s="66"/>
      <c r="Q192" s="66" t="s">
        <v>93</v>
      </c>
      <c r="R192" s="34"/>
    </row>
    <row r="193" spans="1:18">
      <c r="A193" s="31" t="s">
        <v>23</v>
      </c>
      <c r="B193" s="32" t="s">
        <v>85</v>
      </c>
      <c r="C193" s="62">
        <v>43814</v>
      </c>
      <c r="D193" s="62">
        <v>44179</v>
      </c>
      <c r="E193" s="62">
        <v>43814</v>
      </c>
      <c r="F193" s="33" t="s">
        <v>25</v>
      </c>
      <c r="G193" s="63">
        <v>300000000</v>
      </c>
      <c r="H193" s="63">
        <v>0</v>
      </c>
      <c r="I193" s="64">
        <v>10</v>
      </c>
      <c r="J193" s="65"/>
      <c r="K193" s="66" t="s">
        <v>93</v>
      </c>
      <c r="L193" s="31" t="s">
        <v>25</v>
      </c>
      <c r="M193" s="63">
        <v>2000000000</v>
      </c>
      <c r="N193" s="63">
        <v>0</v>
      </c>
      <c r="O193" s="67">
        <v>10</v>
      </c>
      <c r="P193" s="66"/>
      <c r="Q193" s="66" t="s">
        <v>93</v>
      </c>
      <c r="R193" s="34"/>
    </row>
    <row r="194" spans="1:18">
      <c r="A194" s="31" t="s">
        <v>23</v>
      </c>
      <c r="B194" s="32" t="s">
        <v>85</v>
      </c>
      <c r="C194" s="62">
        <v>44180</v>
      </c>
      <c r="D194" s="62">
        <v>44544</v>
      </c>
      <c r="E194" s="62">
        <v>44180</v>
      </c>
      <c r="F194" s="33" t="s">
        <v>25</v>
      </c>
      <c r="G194" s="63">
        <v>300000000</v>
      </c>
      <c r="H194" s="63">
        <v>0</v>
      </c>
      <c r="I194" s="64">
        <v>10</v>
      </c>
      <c r="J194" s="65"/>
      <c r="K194" s="66" t="s">
        <v>93</v>
      </c>
      <c r="L194" s="31" t="s">
        <v>25</v>
      </c>
      <c r="M194" s="63">
        <v>2000000000</v>
      </c>
      <c r="N194" s="63">
        <v>0</v>
      </c>
      <c r="O194" s="67">
        <v>10</v>
      </c>
      <c r="P194" s="66"/>
      <c r="Q194" s="66" t="s">
        <v>93</v>
      </c>
      <c r="R194" s="34"/>
    </row>
    <row r="195" spans="1:18">
      <c r="A195" s="31" t="s">
        <v>23</v>
      </c>
      <c r="B195" s="32" t="s">
        <v>85</v>
      </c>
      <c r="C195" s="62">
        <v>44545</v>
      </c>
      <c r="D195" s="62">
        <v>44909</v>
      </c>
      <c r="E195" s="62">
        <v>44545</v>
      </c>
      <c r="F195" s="33" t="s">
        <v>25</v>
      </c>
      <c r="G195" s="63">
        <v>300000000</v>
      </c>
      <c r="H195" s="63">
        <v>0</v>
      </c>
      <c r="I195" s="64">
        <v>10</v>
      </c>
      <c r="J195" s="65"/>
      <c r="K195" s="66" t="s">
        <v>93</v>
      </c>
      <c r="L195" s="31" t="s">
        <v>25</v>
      </c>
      <c r="M195" s="63">
        <v>2000000000</v>
      </c>
      <c r="N195" s="63">
        <v>0</v>
      </c>
      <c r="O195" s="67">
        <v>10</v>
      </c>
      <c r="P195" s="66"/>
      <c r="Q195" s="66" t="s">
        <v>93</v>
      </c>
      <c r="R195" s="34"/>
    </row>
    <row r="196" spans="1:18">
      <c r="A196" s="31" t="s">
        <v>23</v>
      </c>
      <c r="B196" s="32" t="s">
        <v>52</v>
      </c>
      <c r="C196" s="62">
        <v>43831</v>
      </c>
      <c r="D196" s="62">
        <v>44196</v>
      </c>
      <c r="E196" s="62">
        <v>43831</v>
      </c>
      <c r="F196" s="33" t="s">
        <v>25</v>
      </c>
      <c r="G196" s="63">
        <v>230000000</v>
      </c>
      <c r="H196" s="63">
        <v>0</v>
      </c>
      <c r="I196" s="64">
        <v>0</v>
      </c>
      <c r="J196" s="65"/>
      <c r="K196" s="66" t="s">
        <v>93</v>
      </c>
      <c r="L196" s="31" t="s">
        <v>25</v>
      </c>
      <c r="M196" s="63">
        <v>1750000000</v>
      </c>
      <c r="N196" s="63">
        <v>0</v>
      </c>
      <c r="O196" s="67">
        <v>0</v>
      </c>
      <c r="P196" s="66"/>
      <c r="Q196" s="66" t="s">
        <v>93</v>
      </c>
      <c r="R196" s="34"/>
    </row>
    <row r="197" spans="1:18">
      <c r="A197" s="31" t="s">
        <v>23</v>
      </c>
      <c r="B197" s="32" t="s">
        <v>52</v>
      </c>
      <c r="C197" s="62">
        <v>44197</v>
      </c>
      <c r="D197" s="62">
        <v>44561</v>
      </c>
      <c r="E197" s="62">
        <v>44197</v>
      </c>
      <c r="F197" s="33" t="s">
        <v>25</v>
      </c>
      <c r="G197" s="63">
        <v>275000000</v>
      </c>
      <c r="H197" s="63">
        <v>0</v>
      </c>
      <c r="I197" s="64">
        <v>5</v>
      </c>
      <c r="J197" s="65"/>
      <c r="K197" s="66" t="s">
        <v>93</v>
      </c>
      <c r="L197" s="31" t="s">
        <v>25</v>
      </c>
      <c r="M197" s="63">
        <v>1750000000</v>
      </c>
      <c r="N197" s="63">
        <v>0</v>
      </c>
      <c r="O197" s="67">
        <v>5</v>
      </c>
      <c r="P197" s="66"/>
      <c r="Q197" s="66" t="s">
        <v>93</v>
      </c>
      <c r="R197" s="34"/>
    </row>
    <row r="198" spans="1:18">
      <c r="A198" s="31" t="s">
        <v>23</v>
      </c>
      <c r="B198" s="32" t="s">
        <v>254</v>
      </c>
      <c r="C198" s="62">
        <v>43599</v>
      </c>
      <c r="D198" s="62">
        <v>43964</v>
      </c>
      <c r="E198" s="62">
        <v>43599</v>
      </c>
      <c r="F198" s="33" t="s">
        <v>25</v>
      </c>
      <c r="G198" s="63">
        <v>230000000</v>
      </c>
      <c r="H198" s="63">
        <v>0</v>
      </c>
      <c r="I198" s="64">
        <v>5</v>
      </c>
      <c r="J198" s="65"/>
      <c r="K198" s="66" t="s">
        <v>93</v>
      </c>
      <c r="L198" s="31" t="s">
        <v>25</v>
      </c>
      <c r="M198" s="63">
        <v>1750000000</v>
      </c>
      <c r="N198" s="63">
        <v>0</v>
      </c>
      <c r="O198" s="67">
        <v>5</v>
      </c>
      <c r="P198" s="66"/>
      <c r="Q198" s="66" t="s">
        <v>93</v>
      </c>
      <c r="R198" s="34"/>
    </row>
    <row r="199" spans="1:18">
      <c r="A199" s="31" t="s">
        <v>23</v>
      </c>
      <c r="B199" s="32" t="s">
        <v>254</v>
      </c>
      <c r="C199" s="62">
        <v>43965</v>
      </c>
      <c r="D199" s="62">
        <v>44329</v>
      </c>
      <c r="E199" s="62">
        <v>43965</v>
      </c>
      <c r="F199" s="33" t="s">
        <v>25</v>
      </c>
      <c r="G199" s="63">
        <v>230000000</v>
      </c>
      <c r="H199" s="63">
        <v>0</v>
      </c>
      <c r="I199" s="64">
        <v>5</v>
      </c>
      <c r="J199" s="65"/>
      <c r="K199" s="66" t="s">
        <v>93</v>
      </c>
      <c r="L199" s="31" t="s">
        <v>25</v>
      </c>
      <c r="M199" s="63">
        <v>1000000000</v>
      </c>
      <c r="N199" s="63">
        <v>0</v>
      </c>
      <c r="O199" s="67">
        <v>5</v>
      </c>
      <c r="P199" s="66"/>
      <c r="Q199" s="66" t="s">
        <v>93</v>
      </c>
      <c r="R199" s="34"/>
    </row>
    <row r="200" spans="1:18">
      <c r="A200" s="31" t="s">
        <v>23</v>
      </c>
      <c r="B200" s="32" t="s">
        <v>254</v>
      </c>
      <c r="C200" s="62">
        <v>44330</v>
      </c>
      <c r="D200" s="62">
        <v>44694</v>
      </c>
      <c r="E200" s="62">
        <v>44330</v>
      </c>
      <c r="F200" s="33" t="s">
        <v>25</v>
      </c>
      <c r="G200" s="63">
        <v>100000000</v>
      </c>
      <c r="H200" s="63">
        <v>0</v>
      </c>
      <c r="I200" s="64">
        <v>8</v>
      </c>
      <c r="J200" s="65"/>
      <c r="K200" s="66" t="s">
        <v>93</v>
      </c>
      <c r="L200" s="31" t="s">
        <v>25</v>
      </c>
      <c r="M200" s="63">
        <v>1000000000</v>
      </c>
      <c r="N200" s="63">
        <v>0</v>
      </c>
      <c r="O200" s="67">
        <v>8</v>
      </c>
      <c r="P200" s="66"/>
      <c r="Q200" s="66" t="s">
        <v>93</v>
      </c>
      <c r="R200" s="34"/>
    </row>
    <row r="201" spans="1:18">
      <c r="A201" s="31" t="s">
        <v>23</v>
      </c>
      <c r="B201" s="32" t="s">
        <v>53</v>
      </c>
      <c r="C201" s="62">
        <v>43800</v>
      </c>
      <c r="D201" s="62">
        <v>44165</v>
      </c>
      <c r="E201" s="62">
        <v>43800</v>
      </c>
      <c r="F201" s="33" t="s">
        <v>25</v>
      </c>
      <c r="G201" s="63">
        <v>250000000</v>
      </c>
      <c r="H201" s="63">
        <v>0</v>
      </c>
      <c r="I201" s="64">
        <v>5</v>
      </c>
      <c r="J201" s="65"/>
      <c r="K201" s="66" t="s">
        <v>93</v>
      </c>
      <c r="L201" s="31" t="s">
        <v>9</v>
      </c>
      <c r="M201" s="63">
        <v>1750000000</v>
      </c>
      <c r="N201" s="63">
        <v>0</v>
      </c>
      <c r="O201" s="67">
        <v>5</v>
      </c>
      <c r="P201" s="66"/>
      <c r="Q201" s="66" t="s">
        <v>93</v>
      </c>
      <c r="R201" s="34"/>
    </row>
    <row r="202" spans="1:18">
      <c r="A202" s="31" t="s">
        <v>23</v>
      </c>
      <c r="B202" s="32" t="s">
        <v>53</v>
      </c>
      <c r="C202" s="62">
        <v>44166</v>
      </c>
      <c r="D202" s="62">
        <v>44530</v>
      </c>
      <c r="E202" s="62">
        <v>44166</v>
      </c>
      <c r="F202" s="33" t="s">
        <v>25</v>
      </c>
      <c r="G202" s="63">
        <v>250000000</v>
      </c>
      <c r="H202" s="63">
        <v>0</v>
      </c>
      <c r="I202" s="64">
        <v>5</v>
      </c>
      <c r="J202" s="65"/>
      <c r="K202" s="66" t="s">
        <v>93</v>
      </c>
      <c r="L202" s="31" t="s">
        <v>9</v>
      </c>
      <c r="M202" s="63">
        <v>1750000000</v>
      </c>
      <c r="N202" s="63">
        <v>0</v>
      </c>
      <c r="O202" s="67">
        <v>5</v>
      </c>
      <c r="P202" s="66"/>
      <c r="Q202" s="66" t="s">
        <v>93</v>
      </c>
      <c r="R202" s="34"/>
    </row>
    <row r="203" spans="1:18">
      <c r="A203" s="31" t="s">
        <v>23</v>
      </c>
      <c r="B203" s="32" t="s">
        <v>53</v>
      </c>
      <c r="C203" s="62">
        <v>44531</v>
      </c>
      <c r="D203" s="62">
        <v>44895</v>
      </c>
      <c r="E203" s="62">
        <v>44531</v>
      </c>
      <c r="F203" s="33" t="s">
        <v>25</v>
      </c>
      <c r="G203" s="63">
        <v>250000000</v>
      </c>
      <c r="H203" s="63">
        <v>0</v>
      </c>
      <c r="I203" s="64">
        <v>5</v>
      </c>
      <c r="J203" s="65"/>
      <c r="K203" s="66" t="s">
        <v>93</v>
      </c>
      <c r="L203" s="31" t="s">
        <v>9</v>
      </c>
      <c r="M203" s="63">
        <v>1750000000</v>
      </c>
      <c r="N203" s="63">
        <v>0</v>
      </c>
      <c r="O203" s="67">
        <v>5</v>
      </c>
      <c r="P203" s="66"/>
      <c r="Q203" s="66" t="s">
        <v>93</v>
      </c>
      <c r="R203" s="34"/>
    </row>
    <row r="204" spans="1:18">
      <c r="A204" s="31" t="s">
        <v>54</v>
      </c>
      <c r="B204" s="32" t="s">
        <v>55</v>
      </c>
      <c r="C204" s="62">
        <v>43804</v>
      </c>
      <c r="D204" s="62">
        <v>44169</v>
      </c>
      <c r="E204" s="62">
        <v>43804</v>
      </c>
      <c r="F204" s="33" t="s">
        <v>25</v>
      </c>
      <c r="G204" s="63">
        <v>75000000</v>
      </c>
      <c r="H204" s="63">
        <v>0</v>
      </c>
      <c r="I204" s="64">
        <v>0</v>
      </c>
      <c r="J204" s="65"/>
      <c r="K204" s="66" t="s">
        <v>93</v>
      </c>
      <c r="L204" s="31" t="s">
        <v>25</v>
      </c>
      <c r="M204" s="63">
        <v>1500000000</v>
      </c>
      <c r="N204" s="63">
        <v>0</v>
      </c>
      <c r="O204" s="67">
        <v>0</v>
      </c>
      <c r="P204" s="66"/>
      <c r="Q204" s="66" t="s">
        <v>93</v>
      </c>
      <c r="R204" s="34"/>
    </row>
    <row r="205" spans="1:18">
      <c r="A205" s="31" t="s">
        <v>54</v>
      </c>
      <c r="B205" s="32" t="s">
        <v>55</v>
      </c>
      <c r="C205" s="62">
        <v>43804</v>
      </c>
      <c r="D205" s="62">
        <v>44179</v>
      </c>
      <c r="E205" s="62">
        <v>43804</v>
      </c>
      <c r="F205" s="33" t="s">
        <v>25</v>
      </c>
      <c r="G205" s="63">
        <v>75000000</v>
      </c>
      <c r="H205" s="63">
        <v>0</v>
      </c>
      <c r="I205" s="64">
        <v>0</v>
      </c>
      <c r="J205" s="65"/>
      <c r="K205" s="66" t="s">
        <v>93</v>
      </c>
      <c r="L205" s="31" t="s">
        <v>25</v>
      </c>
      <c r="M205" s="63">
        <v>1500000000</v>
      </c>
      <c r="N205" s="63">
        <v>0</v>
      </c>
      <c r="O205" s="67">
        <v>0</v>
      </c>
      <c r="P205" s="66"/>
      <c r="Q205" s="66" t="s">
        <v>93</v>
      </c>
      <c r="R205" s="34"/>
    </row>
    <row r="206" spans="1:18">
      <c r="A206" s="31" t="s">
        <v>54</v>
      </c>
      <c r="B206" s="32" t="s">
        <v>55</v>
      </c>
      <c r="C206" s="62">
        <v>44180</v>
      </c>
      <c r="D206" s="62">
        <v>44544</v>
      </c>
      <c r="E206" s="62">
        <v>44180</v>
      </c>
      <c r="F206" s="33" t="s">
        <v>25</v>
      </c>
      <c r="G206" s="63">
        <v>75000000</v>
      </c>
      <c r="H206" s="63">
        <v>0</v>
      </c>
      <c r="I206" s="64">
        <v>5</v>
      </c>
      <c r="J206" s="65"/>
      <c r="K206" s="66" t="s">
        <v>93</v>
      </c>
      <c r="L206" s="31" t="s">
        <v>25</v>
      </c>
      <c r="M206" s="63">
        <v>1500000000</v>
      </c>
      <c r="N206" s="63">
        <v>0</v>
      </c>
      <c r="O206" s="67">
        <v>5</v>
      </c>
      <c r="P206" s="66"/>
      <c r="Q206" s="66" t="s">
        <v>93</v>
      </c>
      <c r="R206" s="34"/>
    </row>
    <row r="207" spans="1:18">
      <c r="A207" s="31" t="s">
        <v>54</v>
      </c>
      <c r="B207" s="32" t="s">
        <v>55</v>
      </c>
      <c r="C207" s="62">
        <v>44545</v>
      </c>
      <c r="D207" s="62">
        <v>44909</v>
      </c>
      <c r="E207" s="62">
        <v>44545</v>
      </c>
      <c r="F207" s="33" t="s">
        <v>25</v>
      </c>
      <c r="G207" s="63">
        <v>75000000</v>
      </c>
      <c r="H207" s="63">
        <v>0</v>
      </c>
      <c r="I207" s="64">
        <v>0</v>
      </c>
      <c r="J207" s="65"/>
      <c r="K207" s="66" t="s">
        <v>93</v>
      </c>
      <c r="L207" s="31" t="s">
        <v>25</v>
      </c>
      <c r="M207" s="63">
        <v>1500000000</v>
      </c>
      <c r="N207" s="63">
        <v>0</v>
      </c>
      <c r="O207" s="67">
        <v>0</v>
      </c>
      <c r="P207" s="66"/>
      <c r="Q207" s="66" t="s">
        <v>93</v>
      </c>
      <c r="R207" s="34"/>
    </row>
    <row r="208" spans="1:18">
      <c r="A208" s="31" t="s">
        <v>54</v>
      </c>
      <c r="B208" s="32" t="s">
        <v>3</v>
      </c>
      <c r="C208" s="62">
        <v>43820</v>
      </c>
      <c r="D208" s="62">
        <v>44186</v>
      </c>
      <c r="E208" s="62">
        <v>43820</v>
      </c>
      <c r="F208" s="33" t="s">
        <v>25</v>
      </c>
      <c r="G208" s="63">
        <v>200000000</v>
      </c>
      <c r="H208" s="63">
        <v>0</v>
      </c>
      <c r="I208" s="64">
        <v>5</v>
      </c>
      <c r="J208" s="65"/>
      <c r="K208" s="66" t="s">
        <v>93</v>
      </c>
      <c r="L208" s="31" t="s">
        <v>25</v>
      </c>
      <c r="M208" s="63">
        <v>2000000000</v>
      </c>
      <c r="N208" s="63">
        <v>0</v>
      </c>
      <c r="O208" s="67">
        <v>5</v>
      </c>
      <c r="P208" s="66"/>
      <c r="Q208" s="66" t="s">
        <v>93</v>
      </c>
      <c r="R208" s="34"/>
    </row>
    <row r="209" spans="1:18">
      <c r="A209" s="31" t="s">
        <v>54</v>
      </c>
      <c r="B209" s="32" t="s">
        <v>3</v>
      </c>
      <c r="C209" s="62">
        <v>44187</v>
      </c>
      <c r="D209" s="62">
        <v>44551</v>
      </c>
      <c r="E209" s="62">
        <v>44187</v>
      </c>
      <c r="F209" s="33" t="s">
        <v>25</v>
      </c>
      <c r="G209" s="63">
        <v>200000000</v>
      </c>
      <c r="H209" s="63">
        <v>0</v>
      </c>
      <c r="I209" s="64">
        <v>7.5</v>
      </c>
      <c r="J209" s="65"/>
      <c r="K209" s="66" t="s">
        <v>93</v>
      </c>
      <c r="L209" s="31" t="s">
        <v>25</v>
      </c>
      <c r="M209" s="63">
        <v>2000000000</v>
      </c>
      <c r="N209" s="63">
        <v>0</v>
      </c>
      <c r="O209" s="67">
        <v>7.5</v>
      </c>
      <c r="P209" s="66"/>
      <c r="Q209" s="66" t="s">
        <v>93</v>
      </c>
      <c r="R209" s="34"/>
    </row>
    <row r="210" spans="1:18">
      <c r="A210" s="31" t="s">
        <v>54</v>
      </c>
      <c r="B210" s="32" t="s">
        <v>3</v>
      </c>
      <c r="C210" s="62">
        <v>44552</v>
      </c>
      <c r="D210" s="62">
        <v>44916</v>
      </c>
      <c r="E210" s="62">
        <v>44552</v>
      </c>
      <c r="F210" s="33" t="s">
        <v>25</v>
      </c>
      <c r="G210" s="63">
        <v>200000000</v>
      </c>
      <c r="H210" s="63">
        <v>0</v>
      </c>
      <c r="I210" s="64">
        <v>7.5</v>
      </c>
      <c r="J210" s="65"/>
      <c r="K210" s="66" t="s">
        <v>93</v>
      </c>
      <c r="L210" s="31" t="s">
        <v>25</v>
      </c>
      <c r="M210" s="63">
        <v>2000000000</v>
      </c>
      <c r="N210" s="63">
        <v>0</v>
      </c>
      <c r="O210" s="67">
        <v>7.5</v>
      </c>
      <c r="P210" s="66"/>
      <c r="Q210" s="66" t="s">
        <v>93</v>
      </c>
      <c r="R210" s="34"/>
    </row>
    <row r="211" spans="1:18">
      <c r="A211" s="31" t="s">
        <v>54</v>
      </c>
      <c r="B211" s="32" t="s">
        <v>143</v>
      </c>
      <c r="C211" s="62">
        <v>43820</v>
      </c>
      <c r="D211" s="62">
        <v>44094</v>
      </c>
      <c r="E211" s="62">
        <v>43820</v>
      </c>
      <c r="F211" s="33" t="s">
        <v>25</v>
      </c>
      <c r="G211" s="63">
        <v>200000000</v>
      </c>
      <c r="H211" s="63">
        <v>0</v>
      </c>
      <c r="I211" s="64">
        <v>0</v>
      </c>
      <c r="J211" s="65"/>
      <c r="K211" s="66" t="s">
        <v>93</v>
      </c>
      <c r="L211" s="31" t="s">
        <v>25</v>
      </c>
      <c r="M211" s="63">
        <v>2000000000</v>
      </c>
      <c r="N211" s="63">
        <v>0</v>
      </c>
      <c r="O211" s="67">
        <v>0</v>
      </c>
      <c r="P211" s="66"/>
      <c r="Q211" s="66" t="s">
        <v>93</v>
      </c>
      <c r="R211" s="34"/>
    </row>
    <row r="212" spans="1:18">
      <c r="A212" s="31" t="s">
        <v>54</v>
      </c>
      <c r="B212" s="32" t="s">
        <v>143</v>
      </c>
      <c r="C212" s="62">
        <v>44095</v>
      </c>
      <c r="D212" s="62">
        <v>44550</v>
      </c>
      <c r="E212" s="62">
        <v>44095</v>
      </c>
      <c r="F212" s="33" t="s">
        <v>25</v>
      </c>
      <c r="G212" s="63">
        <v>250000000</v>
      </c>
      <c r="H212" s="63">
        <v>0</v>
      </c>
      <c r="I212" s="64">
        <v>1.88</v>
      </c>
      <c r="J212" s="65"/>
      <c r="K212" s="66" t="s">
        <v>93</v>
      </c>
      <c r="L212" s="31" t="s">
        <v>25</v>
      </c>
      <c r="M212" s="63">
        <v>2000000000</v>
      </c>
      <c r="N212" s="63">
        <v>0</v>
      </c>
      <c r="O212" s="67">
        <v>1.88</v>
      </c>
      <c r="P212" s="66"/>
      <c r="Q212" s="66" t="s">
        <v>93</v>
      </c>
      <c r="R212" s="34"/>
    </row>
    <row r="213" spans="1:18">
      <c r="A213" s="31" t="s">
        <v>54</v>
      </c>
      <c r="B213" s="32" t="s">
        <v>143</v>
      </c>
      <c r="C213" s="62">
        <v>44551</v>
      </c>
      <c r="D213" s="62">
        <v>44915</v>
      </c>
      <c r="E213" s="62">
        <v>44551</v>
      </c>
      <c r="F213" s="33" t="s">
        <v>25</v>
      </c>
      <c r="G213" s="63">
        <v>250000000</v>
      </c>
      <c r="H213" s="63">
        <v>0</v>
      </c>
      <c r="I213" s="64">
        <v>0</v>
      </c>
      <c r="J213" s="65"/>
      <c r="K213" s="66" t="s">
        <v>93</v>
      </c>
      <c r="L213" s="31" t="s">
        <v>25</v>
      </c>
      <c r="M213" s="63">
        <v>2000000000</v>
      </c>
      <c r="N213" s="63">
        <v>0</v>
      </c>
      <c r="O213" s="67">
        <v>0</v>
      </c>
      <c r="P213" s="66"/>
      <c r="Q213" s="66" t="s">
        <v>93</v>
      </c>
      <c r="R213" s="34"/>
    </row>
    <row r="214" spans="1:18">
      <c r="A214" s="31" t="s">
        <v>54</v>
      </c>
      <c r="B214" s="32" t="s">
        <v>57</v>
      </c>
      <c r="C214" s="62">
        <v>43647</v>
      </c>
      <c r="D214" s="62">
        <v>44012</v>
      </c>
      <c r="E214" s="62">
        <v>43647</v>
      </c>
      <c r="F214" s="33" t="s">
        <v>25</v>
      </c>
      <c r="G214" s="63">
        <v>210000000</v>
      </c>
      <c r="H214" s="63">
        <v>0</v>
      </c>
      <c r="I214" s="64">
        <v>5</v>
      </c>
      <c r="J214" s="65"/>
      <c r="K214" s="66" t="s">
        <v>93</v>
      </c>
      <c r="L214" s="31" t="s">
        <v>25</v>
      </c>
      <c r="M214" s="63">
        <v>1500000000</v>
      </c>
      <c r="N214" s="63">
        <v>0</v>
      </c>
      <c r="O214" s="67">
        <v>5</v>
      </c>
      <c r="P214" s="66"/>
      <c r="Q214" s="66" t="s">
        <v>93</v>
      </c>
      <c r="R214" s="34"/>
    </row>
    <row r="215" spans="1:18">
      <c r="A215" s="31" t="s">
        <v>54</v>
      </c>
      <c r="B215" s="32" t="s">
        <v>57</v>
      </c>
      <c r="C215" s="62">
        <v>44013</v>
      </c>
      <c r="D215" s="62">
        <v>44377</v>
      </c>
      <c r="E215" s="62">
        <v>44013</v>
      </c>
      <c r="F215" s="33" t="s">
        <v>25</v>
      </c>
      <c r="G215" s="63">
        <v>210000000</v>
      </c>
      <c r="H215" s="63">
        <v>0</v>
      </c>
      <c r="I215" s="64">
        <v>5</v>
      </c>
      <c r="J215" s="65"/>
      <c r="K215" s="66" t="s">
        <v>93</v>
      </c>
      <c r="L215" s="31" t="s">
        <v>25</v>
      </c>
      <c r="M215" s="63">
        <v>1500000000</v>
      </c>
      <c r="N215" s="63">
        <v>0</v>
      </c>
      <c r="O215" s="67">
        <v>5</v>
      </c>
      <c r="P215" s="66"/>
      <c r="Q215" s="66" t="s">
        <v>93</v>
      </c>
      <c r="R215" s="34"/>
    </row>
    <row r="216" spans="1:18">
      <c r="A216" s="31" t="s">
        <v>54</v>
      </c>
      <c r="B216" s="32" t="s">
        <v>57</v>
      </c>
      <c r="C216" s="62">
        <v>44378</v>
      </c>
      <c r="D216" s="62">
        <v>44742</v>
      </c>
      <c r="E216" s="62">
        <v>44378</v>
      </c>
      <c r="F216" s="33" t="s">
        <v>25</v>
      </c>
      <c r="G216" s="63">
        <v>210000000</v>
      </c>
      <c r="H216" s="63">
        <v>0</v>
      </c>
      <c r="I216" s="64">
        <v>5</v>
      </c>
      <c r="J216" s="65"/>
      <c r="K216" s="66" t="s">
        <v>93</v>
      </c>
      <c r="L216" s="31" t="s">
        <v>25</v>
      </c>
      <c r="M216" s="63">
        <v>1500000000</v>
      </c>
      <c r="N216" s="63">
        <v>0</v>
      </c>
      <c r="O216" s="67">
        <v>5</v>
      </c>
      <c r="P216" s="66"/>
      <c r="Q216" s="66" t="s">
        <v>93</v>
      </c>
      <c r="R216" s="34"/>
    </row>
    <row r="217" spans="1:18">
      <c r="A217" s="31" t="s">
        <v>54</v>
      </c>
      <c r="B217" s="32" t="s">
        <v>58</v>
      </c>
      <c r="C217" s="62">
        <v>43819</v>
      </c>
      <c r="D217" s="62">
        <v>44184</v>
      </c>
      <c r="E217" s="62">
        <v>43819</v>
      </c>
      <c r="F217" s="33" t="s">
        <v>25</v>
      </c>
      <c r="G217" s="63">
        <v>160000000</v>
      </c>
      <c r="H217" s="63">
        <v>0</v>
      </c>
      <c r="I217" s="64">
        <v>0</v>
      </c>
      <c r="J217" s="65"/>
      <c r="K217" s="66" t="s">
        <v>93</v>
      </c>
      <c r="L217" s="31" t="s">
        <v>25</v>
      </c>
      <c r="M217" s="63">
        <v>1500000000</v>
      </c>
      <c r="N217" s="63">
        <v>0</v>
      </c>
      <c r="O217" s="67">
        <v>0</v>
      </c>
      <c r="P217" s="66"/>
      <c r="Q217" s="66" t="s">
        <v>93</v>
      </c>
      <c r="R217" s="34"/>
    </row>
    <row r="218" spans="1:18">
      <c r="A218" s="31" t="s">
        <v>54</v>
      </c>
      <c r="B218" s="32" t="s">
        <v>58</v>
      </c>
      <c r="C218" s="62">
        <v>44185</v>
      </c>
      <c r="D218" s="62">
        <v>44549</v>
      </c>
      <c r="E218" s="62">
        <v>44185</v>
      </c>
      <c r="F218" s="33" t="s">
        <v>25</v>
      </c>
      <c r="G218" s="63">
        <v>160000000</v>
      </c>
      <c r="H218" s="63">
        <v>0</v>
      </c>
      <c r="I218" s="64">
        <v>0</v>
      </c>
      <c r="J218" s="65"/>
      <c r="K218" s="66" t="s">
        <v>93</v>
      </c>
      <c r="L218" s="31" t="s">
        <v>25</v>
      </c>
      <c r="M218" s="63">
        <v>1500000000</v>
      </c>
      <c r="N218" s="63">
        <v>0</v>
      </c>
      <c r="O218" s="67">
        <v>0</v>
      </c>
      <c r="P218" s="66"/>
      <c r="Q218" s="66" t="s">
        <v>93</v>
      </c>
      <c r="R218" s="34"/>
    </row>
    <row r="219" spans="1:18">
      <c r="A219" s="31" t="s">
        <v>54</v>
      </c>
      <c r="B219" s="32" t="s">
        <v>58</v>
      </c>
      <c r="C219" s="62">
        <v>44550</v>
      </c>
      <c r="D219" s="62">
        <v>44914</v>
      </c>
      <c r="E219" s="62">
        <v>44550</v>
      </c>
      <c r="F219" s="33" t="s">
        <v>25</v>
      </c>
      <c r="G219" s="63">
        <v>160000000</v>
      </c>
      <c r="H219" s="63">
        <v>0</v>
      </c>
      <c r="I219" s="64">
        <v>3</v>
      </c>
      <c r="J219" s="65"/>
      <c r="K219" s="66" t="s">
        <v>93</v>
      </c>
      <c r="L219" s="31" t="s">
        <v>25</v>
      </c>
      <c r="M219" s="63">
        <v>1750000000</v>
      </c>
      <c r="N219" s="63">
        <v>0</v>
      </c>
      <c r="O219" s="67">
        <v>3</v>
      </c>
      <c r="P219" s="66"/>
      <c r="Q219" s="66" t="s">
        <v>93</v>
      </c>
      <c r="R219" s="34"/>
    </row>
    <row r="220" spans="1:18">
      <c r="A220" s="31" t="s">
        <v>54</v>
      </c>
      <c r="B220" s="32" t="s">
        <v>59</v>
      </c>
      <c r="C220" s="62">
        <v>43801</v>
      </c>
      <c r="D220" s="62">
        <v>44166</v>
      </c>
      <c r="E220" s="62">
        <v>43801</v>
      </c>
      <c r="F220" s="33" t="s">
        <v>25</v>
      </c>
      <c r="G220" s="63">
        <v>55000000</v>
      </c>
      <c r="H220" s="63">
        <v>0</v>
      </c>
      <c r="I220" s="64">
        <v>0</v>
      </c>
      <c r="J220" s="65"/>
      <c r="K220" s="66" t="s">
        <v>93</v>
      </c>
      <c r="L220" s="31" t="s">
        <v>25</v>
      </c>
      <c r="M220" s="63">
        <v>1500000000</v>
      </c>
      <c r="N220" s="63">
        <v>0</v>
      </c>
      <c r="O220" s="67">
        <v>0</v>
      </c>
      <c r="P220" s="66"/>
      <c r="Q220" s="66" t="s">
        <v>93</v>
      </c>
      <c r="R220" s="34"/>
    </row>
    <row r="221" spans="1:18">
      <c r="A221" s="31" t="s">
        <v>54</v>
      </c>
      <c r="B221" s="32" t="s">
        <v>59</v>
      </c>
      <c r="C221" s="62">
        <v>44167</v>
      </c>
      <c r="D221" s="62">
        <v>44531</v>
      </c>
      <c r="E221" s="62">
        <v>44167</v>
      </c>
      <c r="F221" s="33" t="s">
        <v>25</v>
      </c>
      <c r="G221" s="63">
        <v>55000000</v>
      </c>
      <c r="H221" s="63">
        <v>0</v>
      </c>
      <c r="I221" s="64">
        <v>0</v>
      </c>
      <c r="J221" s="65"/>
      <c r="K221" s="66" t="s">
        <v>93</v>
      </c>
      <c r="L221" s="31" t="s">
        <v>25</v>
      </c>
      <c r="M221" s="63">
        <v>1500000000</v>
      </c>
      <c r="N221" s="63">
        <v>0</v>
      </c>
      <c r="O221" s="67">
        <v>0</v>
      </c>
      <c r="P221" s="66"/>
      <c r="Q221" s="66" t="s">
        <v>93</v>
      </c>
      <c r="R221" s="34"/>
    </row>
    <row r="222" spans="1:18">
      <c r="A222" s="31" t="s">
        <v>54</v>
      </c>
      <c r="B222" s="32" t="s">
        <v>59</v>
      </c>
      <c r="C222" s="62">
        <v>44532</v>
      </c>
      <c r="D222" s="62">
        <v>44896</v>
      </c>
      <c r="E222" s="62">
        <v>44532</v>
      </c>
      <c r="F222" s="33" t="s">
        <v>25</v>
      </c>
      <c r="G222" s="63">
        <v>55000000</v>
      </c>
      <c r="H222" s="63">
        <v>0</v>
      </c>
      <c r="I222" s="64">
        <v>0</v>
      </c>
      <c r="J222" s="65"/>
      <c r="K222" s="66" t="s">
        <v>93</v>
      </c>
      <c r="L222" s="31" t="s">
        <v>25</v>
      </c>
      <c r="M222" s="63">
        <v>1500000000</v>
      </c>
      <c r="N222" s="63">
        <v>0</v>
      </c>
      <c r="O222" s="67">
        <v>0</v>
      </c>
      <c r="P222" s="66"/>
      <c r="Q222" s="66" t="s">
        <v>93</v>
      </c>
      <c r="R222" s="34"/>
    </row>
    <row r="223" spans="1:18">
      <c r="A223" s="31" t="s">
        <v>54</v>
      </c>
      <c r="B223" s="32" t="s">
        <v>60</v>
      </c>
      <c r="C223" s="62">
        <v>43814</v>
      </c>
      <c r="D223" s="62">
        <v>44179</v>
      </c>
      <c r="E223" s="62">
        <v>43814</v>
      </c>
      <c r="F223" s="33" t="s">
        <v>25</v>
      </c>
      <c r="G223" s="63">
        <v>40000000</v>
      </c>
      <c r="H223" s="63">
        <v>0</v>
      </c>
      <c r="I223" s="64">
        <v>0</v>
      </c>
      <c r="J223" s="65"/>
      <c r="K223" s="66" t="s">
        <v>93</v>
      </c>
      <c r="L223" s="31" t="s">
        <v>25</v>
      </c>
      <c r="M223" s="63">
        <v>750000000</v>
      </c>
      <c r="N223" s="63">
        <v>0</v>
      </c>
      <c r="O223" s="67">
        <v>0</v>
      </c>
      <c r="P223" s="66"/>
      <c r="Q223" s="66" t="s">
        <v>93</v>
      </c>
      <c r="R223" s="34"/>
    </row>
    <row r="224" spans="1:18">
      <c r="A224" s="31" t="s">
        <v>54</v>
      </c>
      <c r="B224" s="32" t="s">
        <v>60</v>
      </c>
      <c r="C224" s="62">
        <v>44180</v>
      </c>
      <c r="D224" s="62">
        <v>44544</v>
      </c>
      <c r="E224" s="62">
        <v>44180</v>
      </c>
      <c r="F224" s="33" t="s">
        <v>25</v>
      </c>
      <c r="G224" s="63">
        <v>60000000</v>
      </c>
      <c r="H224" s="63">
        <v>0</v>
      </c>
      <c r="I224" s="64">
        <v>5</v>
      </c>
      <c r="J224" s="65"/>
      <c r="K224" s="66" t="s">
        <v>93</v>
      </c>
      <c r="L224" s="31" t="s">
        <v>25</v>
      </c>
      <c r="M224" s="63">
        <v>1250000000</v>
      </c>
      <c r="N224" s="63">
        <v>0</v>
      </c>
      <c r="O224" s="67">
        <v>5</v>
      </c>
      <c r="P224" s="66"/>
      <c r="Q224" s="66" t="s">
        <v>93</v>
      </c>
      <c r="R224" s="34"/>
    </row>
    <row r="225" spans="1:18">
      <c r="A225" s="31" t="s">
        <v>54</v>
      </c>
      <c r="B225" s="32" t="s">
        <v>60</v>
      </c>
      <c r="C225" s="62">
        <v>44545</v>
      </c>
      <c r="D225" s="62">
        <v>44909</v>
      </c>
      <c r="E225" s="62">
        <v>44545</v>
      </c>
      <c r="F225" s="33" t="s">
        <v>25</v>
      </c>
      <c r="G225" s="63">
        <v>60000000</v>
      </c>
      <c r="H225" s="63">
        <v>0</v>
      </c>
      <c r="I225" s="64">
        <v>7</v>
      </c>
      <c r="J225" s="65"/>
      <c r="K225" s="66" t="s">
        <v>93</v>
      </c>
      <c r="L225" s="31" t="s">
        <v>25</v>
      </c>
      <c r="M225" s="63">
        <v>1250000000</v>
      </c>
      <c r="N225" s="63">
        <v>0</v>
      </c>
      <c r="O225" s="67">
        <v>7</v>
      </c>
      <c r="P225" s="66"/>
      <c r="Q225" s="66" t="s">
        <v>93</v>
      </c>
      <c r="R225" s="34"/>
    </row>
    <row r="226" spans="1:18">
      <c r="A226" s="31" t="s">
        <v>54</v>
      </c>
      <c r="B226" s="32" t="s">
        <v>89</v>
      </c>
      <c r="C226" s="62">
        <v>43830</v>
      </c>
      <c r="D226" s="62">
        <v>44195</v>
      </c>
      <c r="E226" s="62">
        <v>43830</v>
      </c>
      <c r="F226" s="33" t="s">
        <v>25</v>
      </c>
      <c r="G226" s="63">
        <v>50000000</v>
      </c>
      <c r="H226" s="63">
        <v>0</v>
      </c>
      <c r="I226" s="64">
        <v>0</v>
      </c>
      <c r="J226" s="65"/>
      <c r="K226" s="66" t="s">
        <v>93</v>
      </c>
      <c r="L226" s="31" t="s">
        <v>25</v>
      </c>
      <c r="M226" s="63">
        <v>750000000</v>
      </c>
      <c r="N226" s="63">
        <v>0</v>
      </c>
      <c r="O226" s="67">
        <v>0</v>
      </c>
      <c r="P226" s="66"/>
      <c r="Q226" s="66" t="s">
        <v>93</v>
      </c>
      <c r="R226" s="34"/>
    </row>
    <row r="227" spans="1:18">
      <c r="A227" s="31" t="s">
        <v>54</v>
      </c>
      <c r="B227" s="32" t="s">
        <v>89</v>
      </c>
      <c r="C227" s="62">
        <v>44196</v>
      </c>
      <c r="D227" s="62">
        <v>44560</v>
      </c>
      <c r="E227" s="62">
        <v>44196</v>
      </c>
      <c r="F227" s="33" t="s">
        <v>25</v>
      </c>
      <c r="G227" s="63">
        <v>50000000</v>
      </c>
      <c r="H227" s="63">
        <v>0</v>
      </c>
      <c r="I227" s="64">
        <v>0</v>
      </c>
      <c r="J227" s="65"/>
      <c r="K227" s="66" t="s">
        <v>93</v>
      </c>
      <c r="L227" s="31" t="s">
        <v>25</v>
      </c>
      <c r="M227" s="63">
        <v>750000000</v>
      </c>
      <c r="N227" s="63">
        <v>0</v>
      </c>
      <c r="O227" s="67">
        <v>0</v>
      </c>
      <c r="P227" s="66"/>
      <c r="Q227" s="66" t="s">
        <v>93</v>
      </c>
      <c r="R227" s="34"/>
    </row>
    <row r="228" spans="1:18">
      <c r="A228" s="31" t="s">
        <v>54</v>
      </c>
      <c r="B228" s="32" t="s">
        <v>89</v>
      </c>
      <c r="C228" s="62">
        <v>44561</v>
      </c>
      <c r="D228" s="62">
        <v>44925</v>
      </c>
      <c r="E228" s="62">
        <v>44561</v>
      </c>
      <c r="F228" s="33" t="s">
        <v>25</v>
      </c>
      <c r="G228" s="63">
        <v>50000000</v>
      </c>
      <c r="H228" s="63">
        <v>0</v>
      </c>
      <c r="I228" s="64">
        <v>0</v>
      </c>
      <c r="J228" s="65"/>
      <c r="K228" s="66" t="s">
        <v>93</v>
      </c>
      <c r="L228" s="31" t="s">
        <v>25</v>
      </c>
      <c r="M228" s="63">
        <v>750000000</v>
      </c>
      <c r="N228" s="63">
        <v>0</v>
      </c>
      <c r="O228" s="67">
        <v>0</v>
      </c>
      <c r="P228" s="66"/>
      <c r="Q228" s="66" t="s">
        <v>93</v>
      </c>
      <c r="R228" s="34"/>
    </row>
    <row r="229" spans="1:18">
      <c r="A229" s="31" t="s">
        <v>54</v>
      </c>
      <c r="B229" s="32" t="s">
        <v>61</v>
      </c>
      <c r="C229" s="62">
        <v>43564</v>
      </c>
      <c r="D229" s="62">
        <v>43929</v>
      </c>
      <c r="E229" s="62">
        <v>43564</v>
      </c>
      <c r="F229" s="33" t="s">
        <v>25</v>
      </c>
      <c r="G229" s="63">
        <v>45000000</v>
      </c>
      <c r="H229" s="63">
        <v>0</v>
      </c>
      <c r="I229" s="64">
        <v>0</v>
      </c>
      <c r="J229" s="65"/>
      <c r="K229" s="66" t="s">
        <v>93</v>
      </c>
      <c r="L229" s="31" t="s">
        <v>25</v>
      </c>
      <c r="M229" s="63">
        <v>750000000</v>
      </c>
      <c r="N229" s="63">
        <v>0</v>
      </c>
      <c r="O229" s="67">
        <v>0</v>
      </c>
      <c r="P229" s="66"/>
      <c r="Q229" s="66" t="s">
        <v>93</v>
      </c>
      <c r="R229" s="34"/>
    </row>
    <row r="230" spans="1:18">
      <c r="A230" s="31" t="s">
        <v>54</v>
      </c>
      <c r="B230" s="32" t="s">
        <v>61</v>
      </c>
      <c r="C230" s="62">
        <v>43930</v>
      </c>
      <c r="D230" s="62">
        <v>44294</v>
      </c>
      <c r="E230" s="62">
        <v>43930</v>
      </c>
      <c r="F230" s="33" t="s">
        <v>25</v>
      </c>
      <c r="G230" s="63">
        <v>45000000</v>
      </c>
      <c r="H230" s="63">
        <v>0</v>
      </c>
      <c r="I230" s="64">
        <v>0</v>
      </c>
      <c r="J230" s="65"/>
      <c r="K230" s="66" t="s">
        <v>93</v>
      </c>
      <c r="L230" s="31" t="s">
        <v>25</v>
      </c>
      <c r="M230" s="63">
        <v>750000000</v>
      </c>
      <c r="N230" s="63">
        <v>0</v>
      </c>
      <c r="O230" s="67">
        <v>0</v>
      </c>
      <c r="P230" s="66"/>
      <c r="Q230" s="66" t="s">
        <v>93</v>
      </c>
      <c r="R230" s="34"/>
    </row>
    <row r="231" spans="1:18">
      <c r="A231" s="31" t="s">
        <v>54</v>
      </c>
      <c r="B231" s="32" t="s">
        <v>61</v>
      </c>
      <c r="C231" s="62">
        <v>44295</v>
      </c>
      <c r="D231" s="62">
        <v>44659</v>
      </c>
      <c r="E231" s="62">
        <v>44295</v>
      </c>
      <c r="F231" s="33" t="s">
        <v>25</v>
      </c>
      <c r="G231" s="63">
        <v>45000000</v>
      </c>
      <c r="H231" s="63">
        <v>0</v>
      </c>
      <c r="I231" s="64">
        <v>0</v>
      </c>
      <c r="J231" s="65"/>
      <c r="K231" s="66" t="s">
        <v>93</v>
      </c>
      <c r="L231" s="31" t="s">
        <v>25</v>
      </c>
      <c r="M231" s="63">
        <v>750000000</v>
      </c>
      <c r="N231" s="63">
        <v>0</v>
      </c>
      <c r="O231" s="67">
        <v>0</v>
      </c>
      <c r="P231" s="66"/>
      <c r="Q231" s="66" t="s">
        <v>93</v>
      </c>
      <c r="R231" s="34"/>
    </row>
    <row r="232" spans="1:18">
      <c r="A232" s="31" t="s">
        <v>54</v>
      </c>
      <c r="B232" s="32" t="s">
        <v>62</v>
      </c>
      <c r="C232" s="62">
        <v>43814</v>
      </c>
      <c r="D232" s="62">
        <v>44179</v>
      </c>
      <c r="E232" s="62">
        <v>43814</v>
      </c>
      <c r="F232" s="33" t="s">
        <v>25</v>
      </c>
      <c r="G232" s="63">
        <v>70000000</v>
      </c>
      <c r="H232" s="63">
        <v>0</v>
      </c>
      <c r="I232" s="64">
        <v>0</v>
      </c>
      <c r="J232" s="65"/>
      <c r="K232" s="66" t="s">
        <v>93</v>
      </c>
      <c r="L232" s="31" t="s">
        <v>25</v>
      </c>
      <c r="M232" s="63">
        <v>1500000000</v>
      </c>
      <c r="N232" s="63">
        <v>0</v>
      </c>
      <c r="O232" s="67">
        <v>0</v>
      </c>
      <c r="P232" s="66"/>
      <c r="Q232" s="66" t="s">
        <v>93</v>
      </c>
      <c r="R232" s="34"/>
    </row>
    <row r="233" spans="1:18">
      <c r="A233" s="31" t="s">
        <v>54</v>
      </c>
      <c r="B233" s="32" t="s">
        <v>62</v>
      </c>
      <c r="C233" s="62">
        <v>44180</v>
      </c>
      <c r="D233" s="62">
        <v>44544</v>
      </c>
      <c r="E233" s="62">
        <v>44180</v>
      </c>
      <c r="F233" s="33" t="s">
        <v>25</v>
      </c>
      <c r="G233" s="63">
        <v>70000000</v>
      </c>
      <c r="H233" s="63">
        <v>0</v>
      </c>
      <c r="I233" s="64">
        <v>2</v>
      </c>
      <c r="J233" s="65"/>
      <c r="K233" s="66" t="s">
        <v>93</v>
      </c>
      <c r="L233" s="31" t="s">
        <v>25</v>
      </c>
      <c r="M233" s="63">
        <v>1750000000</v>
      </c>
      <c r="N233" s="63">
        <v>0</v>
      </c>
      <c r="O233" s="67">
        <v>2</v>
      </c>
      <c r="P233" s="66"/>
      <c r="Q233" s="66" t="s">
        <v>93</v>
      </c>
      <c r="R233" s="34"/>
    </row>
    <row r="234" spans="1:18">
      <c r="A234" s="31" t="s">
        <v>54</v>
      </c>
      <c r="B234" s="32" t="s">
        <v>62</v>
      </c>
      <c r="C234" s="62">
        <v>44454</v>
      </c>
      <c r="D234" s="62">
        <v>44544</v>
      </c>
      <c r="E234" s="62">
        <v>44454</v>
      </c>
      <c r="F234" s="33" t="s">
        <v>25</v>
      </c>
      <c r="G234" s="63">
        <v>70000000</v>
      </c>
      <c r="H234" s="63">
        <v>0</v>
      </c>
      <c r="I234" s="64">
        <v>2</v>
      </c>
      <c r="J234" s="65"/>
      <c r="K234" s="66" t="s">
        <v>93</v>
      </c>
      <c r="L234" s="31" t="s">
        <v>25</v>
      </c>
      <c r="M234" s="63">
        <v>1750000000</v>
      </c>
      <c r="N234" s="63">
        <v>0</v>
      </c>
      <c r="O234" s="67">
        <v>2</v>
      </c>
      <c r="P234" s="66"/>
      <c r="Q234" s="66" t="s">
        <v>93</v>
      </c>
      <c r="R234" s="34"/>
    </row>
    <row r="235" spans="1:18">
      <c r="A235" s="31" t="s">
        <v>54</v>
      </c>
      <c r="B235" s="32" t="s">
        <v>62</v>
      </c>
      <c r="C235" s="62">
        <v>44545</v>
      </c>
      <c r="D235" s="62">
        <v>44909</v>
      </c>
      <c r="E235" s="62">
        <v>44545</v>
      </c>
      <c r="F235" s="33" t="s">
        <v>25</v>
      </c>
      <c r="G235" s="63">
        <v>70000000</v>
      </c>
      <c r="H235" s="63">
        <v>0</v>
      </c>
      <c r="I235" s="64">
        <v>0</v>
      </c>
      <c r="J235" s="65"/>
      <c r="K235" s="66" t="s">
        <v>93</v>
      </c>
      <c r="L235" s="31" t="s">
        <v>25</v>
      </c>
      <c r="M235" s="63">
        <v>1750000000</v>
      </c>
      <c r="N235" s="63">
        <v>0</v>
      </c>
      <c r="O235" s="67">
        <v>0</v>
      </c>
      <c r="P235" s="66"/>
      <c r="Q235" s="66" t="s">
        <v>93</v>
      </c>
      <c r="R235" s="34"/>
    </row>
    <row r="236" spans="1:18">
      <c r="A236" s="31" t="s">
        <v>54</v>
      </c>
      <c r="B236" s="32" t="s">
        <v>63</v>
      </c>
      <c r="C236" s="62">
        <v>43647</v>
      </c>
      <c r="D236" s="62">
        <v>44012</v>
      </c>
      <c r="E236" s="62">
        <v>43647</v>
      </c>
      <c r="F236" s="33" t="s">
        <v>25</v>
      </c>
      <c r="G236" s="63">
        <v>90000000</v>
      </c>
      <c r="H236" s="63">
        <v>0</v>
      </c>
      <c r="I236" s="64">
        <v>7.5</v>
      </c>
      <c r="J236" s="65"/>
      <c r="K236" s="66" t="s">
        <v>93</v>
      </c>
      <c r="L236" s="31" t="s">
        <v>25</v>
      </c>
      <c r="M236" s="63">
        <v>1500000000</v>
      </c>
      <c r="N236" s="63">
        <v>0</v>
      </c>
      <c r="O236" s="67">
        <v>7.5</v>
      </c>
      <c r="P236" s="66"/>
      <c r="Q236" s="66" t="s">
        <v>93</v>
      </c>
      <c r="R236" s="34"/>
    </row>
    <row r="237" spans="1:18">
      <c r="A237" s="31" t="s">
        <v>54</v>
      </c>
      <c r="B237" s="32" t="s">
        <v>63</v>
      </c>
      <c r="C237" s="62">
        <v>44013</v>
      </c>
      <c r="D237" s="62">
        <v>44377</v>
      </c>
      <c r="E237" s="62">
        <v>44013</v>
      </c>
      <c r="F237" s="33" t="s">
        <v>25</v>
      </c>
      <c r="G237" s="63">
        <v>90000000</v>
      </c>
      <c r="H237" s="63">
        <v>0</v>
      </c>
      <c r="I237" s="64">
        <v>4</v>
      </c>
      <c r="J237" s="65"/>
      <c r="K237" s="66" t="s">
        <v>93</v>
      </c>
      <c r="L237" s="31" t="s">
        <v>25</v>
      </c>
      <c r="M237" s="63">
        <v>1500000000</v>
      </c>
      <c r="N237" s="63">
        <v>0</v>
      </c>
      <c r="O237" s="67">
        <v>4</v>
      </c>
      <c r="P237" s="66"/>
      <c r="Q237" s="66" t="s">
        <v>93</v>
      </c>
      <c r="R237" s="34"/>
    </row>
    <row r="238" spans="1:18">
      <c r="A238" s="31" t="s">
        <v>54</v>
      </c>
      <c r="B238" s="32" t="s">
        <v>63</v>
      </c>
      <c r="C238" s="62">
        <v>44378</v>
      </c>
      <c r="D238" s="62">
        <v>44742</v>
      </c>
      <c r="E238" s="62">
        <v>44378</v>
      </c>
      <c r="F238" s="33" t="s">
        <v>25</v>
      </c>
      <c r="G238" s="63">
        <v>90000000</v>
      </c>
      <c r="H238" s="63">
        <v>0</v>
      </c>
      <c r="I238" s="64">
        <v>0</v>
      </c>
      <c r="J238" s="65"/>
      <c r="K238" s="66" t="s">
        <v>93</v>
      </c>
      <c r="L238" s="31" t="s">
        <v>25</v>
      </c>
      <c r="M238" s="63">
        <v>1500000000</v>
      </c>
      <c r="N238" s="63">
        <v>0</v>
      </c>
      <c r="O238" s="67">
        <v>0</v>
      </c>
      <c r="P238" s="66"/>
      <c r="Q238" s="66" t="s">
        <v>93</v>
      </c>
      <c r="R238" s="34"/>
    </row>
    <row r="239" spans="1:18">
      <c r="A239" s="31" t="s">
        <v>54</v>
      </c>
      <c r="B239" s="32" t="s">
        <v>255</v>
      </c>
      <c r="C239" s="62">
        <v>43814</v>
      </c>
      <c r="D239" s="62">
        <v>44179</v>
      </c>
      <c r="E239" s="62">
        <v>43814</v>
      </c>
      <c r="F239" s="33" t="s">
        <v>25</v>
      </c>
      <c r="G239" s="63">
        <v>50000000</v>
      </c>
      <c r="H239" s="63">
        <v>0</v>
      </c>
      <c r="I239" s="64">
        <v>0</v>
      </c>
      <c r="J239" s="65"/>
      <c r="K239" s="66" t="s">
        <v>93</v>
      </c>
      <c r="L239" s="31" t="s">
        <v>25</v>
      </c>
      <c r="M239" s="63">
        <v>750000000</v>
      </c>
      <c r="N239" s="63">
        <v>0</v>
      </c>
      <c r="O239" s="67">
        <v>0</v>
      </c>
      <c r="P239" s="66"/>
      <c r="Q239" s="66" t="s">
        <v>93</v>
      </c>
      <c r="R239" s="34"/>
    </row>
    <row r="240" spans="1:18">
      <c r="A240" s="31" t="s">
        <v>54</v>
      </c>
      <c r="B240" s="32" t="s">
        <v>255</v>
      </c>
      <c r="C240" s="62">
        <v>44180</v>
      </c>
      <c r="D240" s="62">
        <v>44544</v>
      </c>
      <c r="E240" s="62">
        <v>44180</v>
      </c>
      <c r="F240" s="33" t="s">
        <v>25</v>
      </c>
      <c r="G240" s="63">
        <v>50000000</v>
      </c>
      <c r="H240" s="63">
        <v>0</v>
      </c>
      <c r="I240" s="64">
        <v>0</v>
      </c>
      <c r="J240" s="65"/>
      <c r="K240" s="66" t="s">
        <v>93</v>
      </c>
      <c r="L240" s="31" t="s">
        <v>25</v>
      </c>
      <c r="M240" s="63">
        <v>750000000</v>
      </c>
      <c r="N240" s="63">
        <v>0</v>
      </c>
      <c r="O240" s="67">
        <v>0</v>
      </c>
      <c r="P240" s="66"/>
      <c r="Q240" s="66" t="s">
        <v>93</v>
      </c>
      <c r="R240" s="34"/>
    </row>
    <row r="241" spans="1:18">
      <c r="A241" s="31" t="s">
        <v>54</v>
      </c>
      <c r="B241" s="32" t="s">
        <v>255</v>
      </c>
      <c r="C241" s="62">
        <v>44545</v>
      </c>
      <c r="D241" s="62">
        <v>44909</v>
      </c>
      <c r="E241" s="62">
        <v>44545</v>
      </c>
      <c r="F241" s="33" t="s">
        <v>25</v>
      </c>
      <c r="G241" s="63">
        <v>100000000</v>
      </c>
      <c r="H241" s="63">
        <v>0</v>
      </c>
      <c r="I241" s="64">
        <v>3</v>
      </c>
      <c r="J241" s="65"/>
      <c r="K241" s="66" t="s">
        <v>93</v>
      </c>
      <c r="L241" s="31" t="s">
        <v>25</v>
      </c>
      <c r="M241" s="63">
        <v>1250000000</v>
      </c>
      <c r="N241" s="63">
        <v>0</v>
      </c>
      <c r="O241" s="67">
        <v>3</v>
      </c>
      <c r="P241" s="66"/>
      <c r="Q241" s="66" t="s">
        <v>93</v>
      </c>
      <c r="R241" s="34"/>
    </row>
    <row r="242" spans="1:18">
      <c r="A242" s="31" t="s">
        <v>54</v>
      </c>
      <c r="B242" s="32" t="s">
        <v>102</v>
      </c>
      <c r="C242" s="62">
        <v>43830</v>
      </c>
      <c r="D242" s="62">
        <v>44195</v>
      </c>
      <c r="E242" s="62">
        <v>43830</v>
      </c>
      <c r="F242" s="33" t="s">
        <v>25</v>
      </c>
      <c r="G242" s="63">
        <v>185000000</v>
      </c>
      <c r="H242" s="63">
        <v>0</v>
      </c>
      <c r="I242" s="64">
        <v>0</v>
      </c>
      <c r="J242" s="65"/>
      <c r="K242" s="66" t="s">
        <v>93</v>
      </c>
      <c r="L242" s="31" t="s">
        <v>25</v>
      </c>
      <c r="M242" s="63">
        <v>2000000000</v>
      </c>
      <c r="N242" s="63">
        <v>0</v>
      </c>
      <c r="O242" s="67">
        <v>0</v>
      </c>
      <c r="P242" s="66"/>
      <c r="Q242" s="66" t="s">
        <v>93</v>
      </c>
      <c r="R242" s="34"/>
    </row>
    <row r="243" spans="1:18">
      <c r="A243" s="31" t="s">
        <v>54</v>
      </c>
      <c r="B243" s="32" t="s">
        <v>102</v>
      </c>
      <c r="C243" s="62">
        <v>44196</v>
      </c>
      <c r="D243" s="62">
        <v>44560</v>
      </c>
      <c r="E243" s="62">
        <v>44196</v>
      </c>
      <c r="F243" s="33" t="s">
        <v>25</v>
      </c>
      <c r="G243" s="63">
        <v>185000000</v>
      </c>
      <c r="H243" s="63">
        <v>0</v>
      </c>
      <c r="I243" s="64">
        <v>4</v>
      </c>
      <c r="J243" s="65"/>
      <c r="K243" s="66" t="s">
        <v>93</v>
      </c>
      <c r="L243" s="31" t="s">
        <v>25</v>
      </c>
      <c r="M243" s="63">
        <v>2000000000</v>
      </c>
      <c r="N243" s="63">
        <v>0</v>
      </c>
      <c r="O243" s="67">
        <v>4</v>
      </c>
      <c r="P243" s="66"/>
      <c r="Q243" s="66" t="s">
        <v>93</v>
      </c>
      <c r="R243" s="34"/>
    </row>
    <row r="244" spans="1:18">
      <c r="A244" s="31" t="s">
        <v>54</v>
      </c>
      <c r="B244" s="32" t="s">
        <v>102</v>
      </c>
      <c r="C244" s="62">
        <v>44561</v>
      </c>
      <c r="D244" s="62">
        <v>44925</v>
      </c>
      <c r="E244" s="62">
        <v>44561</v>
      </c>
      <c r="F244" s="33" t="s">
        <v>25</v>
      </c>
      <c r="G244" s="63">
        <v>185000000</v>
      </c>
      <c r="H244" s="63">
        <v>0</v>
      </c>
      <c r="I244" s="64">
        <v>4</v>
      </c>
      <c r="J244" s="65"/>
      <c r="K244" s="66" t="s">
        <v>93</v>
      </c>
      <c r="L244" s="31" t="s">
        <v>25</v>
      </c>
      <c r="M244" s="63">
        <v>2000000000</v>
      </c>
      <c r="N244" s="63">
        <v>0</v>
      </c>
      <c r="O244" s="67">
        <v>4</v>
      </c>
      <c r="P244" s="66"/>
      <c r="Q244" s="66" t="s">
        <v>93</v>
      </c>
      <c r="R244" s="34"/>
    </row>
    <row r="245" spans="1:18">
      <c r="A245" s="31" t="s">
        <v>54</v>
      </c>
      <c r="B245" s="32" t="s">
        <v>64</v>
      </c>
      <c r="C245" s="62">
        <v>43785</v>
      </c>
      <c r="D245" s="62">
        <v>44150</v>
      </c>
      <c r="E245" s="62">
        <v>43785</v>
      </c>
      <c r="F245" s="33" t="s">
        <v>25</v>
      </c>
      <c r="G245" s="63">
        <v>225000000</v>
      </c>
      <c r="H245" s="63">
        <v>0</v>
      </c>
      <c r="I245" s="64">
        <v>5</v>
      </c>
      <c r="J245" s="65"/>
      <c r="K245" s="66" t="s">
        <v>93</v>
      </c>
      <c r="L245" s="31" t="s">
        <v>25</v>
      </c>
      <c r="M245" s="63">
        <v>1500000000</v>
      </c>
      <c r="N245" s="63">
        <v>0</v>
      </c>
      <c r="O245" s="67">
        <v>5</v>
      </c>
      <c r="P245" s="66"/>
      <c r="Q245" s="66" t="s">
        <v>93</v>
      </c>
      <c r="R245" s="34"/>
    </row>
    <row r="246" spans="1:18">
      <c r="A246" s="31" t="s">
        <v>54</v>
      </c>
      <c r="B246" s="32" t="s">
        <v>64</v>
      </c>
      <c r="C246" s="62">
        <v>44151</v>
      </c>
      <c r="D246" s="62">
        <v>44515</v>
      </c>
      <c r="E246" s="62">
        <v>44151</v>
      </c>
      <c r="F246" s="33" t="s">
        <v>25</v>
      </c>
      <c r="G246" s="63">
        <v>225000000</v>
      </c>
      <c r="H246" s="63">
        <v>0</v>
      </c>
      <c r="I246" s="64">
        <v>5</v>
      </c>
      <c r="J246" s="65"/>
      <c r="K246" s="66" t="s">
        <v>93</v>
      </c>
      <c r="L246" s="31" t="s">
        <v>25</v>
      </c>
      <c r="M246" s="63">
        <v>1500000000</v>
      </c>
      <c r="N246" s="63">
        <v>0</v>
      </c>
      <c r="O246" s="67">
        <v>5</v>
      </c>
      <c r="P246" s="66"/>
      <c r="Q246" s="66" t="s">
        <v>93</v>
      </c>
      <c r="R246" s="34"/>
    </row>
    <row r="247" spans="1:18">
      <c r="A247" s="31" t="s">
        <v>54</v>
      </c>
      <c r="B247" s="32" t="s">
        <v>64</v>
      </c>
      <c r="C247" s="62">
        <v>44516</v>
      </c>
      <c r="D247" s="62">
        <v>44880</v>
      </c>
      <c r="E247" s="62">
        <v>44516</v>
      </c>
      <c r="F247" s="33" t="s">
        <v>25</v>
      </c>
      <c r="G247" s="63">
        <v>225000000</v>
      </c>
      <c r="H247" s="63">
        <v>0</v>
      </c>
      <c r="I247" s="64">
        <v>10</v>
      </c>
      <c r="J247" s="65"/>
      <c r="K247" s="66" t="s">
        <v>93</v>
      </c>
      <c r="L247" s="31" t="s">
        <v>25</v>
      </c>
      <c r="M247" s="63">
        <v>1500000000</v>
      </c>
      <c r="N247" s="63">
        <v>0</v>
      </c>
      <c r="O247" s="67">
        <v>10</v>
      </c>
      <c r="P247" s="66"/>
      <c r="Q247" s="66" t="s">
        <v>93</v>
      </c>
      <c r="R247" s="34"/>
    </row>
    <row r="248" spans="1:18">
      <c r="A248" s="31" t="s">
        <v>65</v>
      </c>
      <c r="B248" s="32" t="s">
        <v>167</v>
      </c>
      <c r="C248" s="62">
        <v>43831</v>
      </c>
      <c r="D248" s="62">
        <v>44196</v>
      </c>
      <c r="E248" s="62">
        <v>43831</v>
      </c>
      <c r="F248" s="33" t="s">
        <v>25</v>
      </c>
      <c r="G248" s="63">
        <v>300000000</v>
      </c>
      <c r="H248" s="63">
        <v>0</v>
      </c>
      <c r="I248" s="64">
        <v>0</v>
      </c>
      <c r="J248" s="65"/>
      <c r="K248" s="66" t="s">
        <v>93</v>
      </c>
      <c r="L248" s="31" t="s">
        <v>25</v>
      </c>
      <c r="M248" s="63">
        <v>2500000000</v>
      </c>
      <c r="N248" s="63">
        <v>0</v>
      </c>
      <c r="O248" s="67">
        <v>0</v>
      </c>
      <c r="P248" s="66"/>
      <c r="Q248" s="66" t="s">
        <v>93</v>
      </c>
      <c r="R248" s="34"/>
    </row>
    <row r="249" spans="1:18">
      <c r="A249" s="31" t="s">
        <v>65</v>
      </c>
      <c r="B249" s="32" t="s">
        <v>167</v>
      </c>
      <c r="C249" s="62">
        <v>44197</v>
      </c>
      <c r="D249" s="62">
        <v>44561</v>
      </c>
      <c r="E249" s="62">
        <v>44197</v>
      </c>
      <c r="F249" s="33" t="s">
        <v>25</v>
      </c>
      <c r="G249" s="63">
        <v>350000000</v>
      </c>
      <c r="H249" s="63">
        <v>0</v>
      </c>
      <c r="I249" s="64">
        <v>10</v>
      </c>
      <c r="J249" s="65"/>
      <c r="K249" s="66" t="s">
        <v>93</v>
      </c>
      <c r="L249" s="31" t="s">
        <v>25</v>
      </c>
      <c r="M249" s="63">
        <v>2500000000</v>
      </c>
      <c r="N249" s="63">
        <v>0</v>
      </c>
      <c r="O249" s="67">
        <v>10</v>
      </c>
      <c r="P249" s="66"/>
      <c r="Q249" s="66" t="s">
        <v>93</v>
      </c>
      <c r="R249" s="34"/>
    </row>
    <row r="250" spans="1:18">
      <c r="A250" s="31" t="s">
        <v>65</v>
      </c>
      <c r="B250" s="32" t="s">
        <v>66</v>
      </c>
      <c r="C250" s="62">
        <v>43556</v>
      </c>
      <c r="D250" s="62">
        <v>43921</v>
      </c>
      <c r="E250" s="62">
        <v>43556</v>
      </c>
      <c r="F250" s="33" t="s">
        <v>7</v>
      </c>
      <c r="G250" s="63">
        <v>110000000</v>
      </c>
      <c r="H250" s="63">
        <v>0</v>
      </c>
      <c r="I250" s="64">
        <v>0</v>
      </c>
      <c r="J250" s="65"/>
      <c r="K250" s="66" t="s">
        <v>93</v>
      </c>
      <c r="L250" s="31" t="s">
        <v>25</v>
      </c>
      <c r="M250" s="63">
        <v>1500000000</v>
      </c>
      <c r="N250" s="63">
        <v>0</v>
      </c>
      <c r="O250" s="67">
        <v>0</v>
      </c>
      <c r="P250" s="66"/>
      <c r="Q250" s="66" t="s">
        <v>93</v>
      </c>
      <c r="R250" s="34"/>
    </row>
    <row r="251" spans="1:18">
      <c r="A251" s="31" t="s">
        <v>65</v>
      </c>
      <c r="B251" s="32" t="s">
        <v>66</v>
      </c>
      <c r="C251" s="62">
        <v>43922</v>
      </c>
      <c r="D251" s="62">
        <v>44286</v>
      </c>
      <c r="E251" s="62">
        <v>43922</v>
      </c>
      <c r="F251" s="33" t="s">
        <v>7</v>
      </c>
      <c r="G251" s="63">
        <v>110000000</v>
      </c>
      <c r="H251" s="63">
        <v>0</v>
      </c>
      <c r="I251" s="64">
        <v>6.5</v>
      </c>
      <c r="J251" s="65"/>
      <c r="K251" s="66" t="s">
        <v>93</v>
      </c>
      <c r="L251" s="31" t="s">
        <v>25</v>
      </c>
      <c r="M251" s="63">
        <v>1500000000</v>
      </c>
      <c r="N251" s="63">
        <v>0</v>
      </c>
      <c r="O251" s="67">
        <v>6.5</v>
      </c>
      <c r="P251" s="66"/>
      <c r="Q251" s="66" t="s">
        <v>93</v>
      </c>
      <c r="R251" s="34"/>
    </row>
    <row r="252" spans="1:18">
      <c r="A252" s="31" t="s">
        <v>65</v>
      </c>
      <c r="B252" s="32" t="s">
        <v>66</v>
      </c>
      <c r="C252" s="62">
        <v>44287</v>
      </c>
      <c r="D252" s="62">
        <v>44651</v>
      </c>
      <c r="E252" s="62">
        <v>44287</v>
      </c>
      <c r="F252" s="33" t="s">
        <v>7</v>
      </c>
      <c r="G252" s="63">
        <v>110000000</v>
      </c>
      <c r="H252" s="63">
        <v>0</v>
      </c>
      <c r="I252" s="64">
        <v>6.5</v>
      </c>
      <c r="J252" s="65"/>
      <c r="K252" s="66" t="s">
        <v>93</v>
      </c>
      <c r="L252" s="31" t="s">
        <v>25</v>
      </c>
      <c r="M252" s="63">
        <v>1500000000</v>
      </c>
      <c r="N252" s="63">
        <v>0</v>
      </c>
      <c r="O252" s="67">
        <v>6.5</v>
      </c>
      <c r="P252" s="66"/>
      <c r="Q252" s="66" t="s">
        <v>93</v>
      </c>
      <c r="R252" s="34"/>
    </row>
    <row r="253" spans="1:18">
      <c r="A253" s="31" t="s">
        <v>65</v>
      </c>
      <c r="B253" s="32" t="s">
        <v>90</v>
      </c>
      <c r="C253" s="62">
        <v>43647</v>
      </c>
      <c r="D253" s="62">
        <v>44012</v>
      </c>
      <c r="E253" s="62">
        <v>43647</v>
      </c>
      <c r="F253" s="33" t="s">
        <v>25</v>
      </c>
      <c r="G253" s="63">
        <v>400000000</v>
      </c>
      <c r="H253" s="63">
        <v>0</v>
      </c>
      <c r="I253" s="64">
        <v>8</v>
      </c>
      <c r="J253" s="65"/>
      <c r="K253" s="66" t="s">
        <v>93</v>
      </c>
      <c r="L253" s="31" t="s">
        <v>25</v>
      </c>
      <c r="M253" s="63">
        <v>2250000000</v>
      </c>
      <c r="N253" s="63">
        <v>0</v>
      </c>
      <c r="O253" s="67">
        <v>8</v>
      </c>
      <c r="P253" s="66"/>
      <c r="Q253" s="66" t="s">
        <v>93</v>
      </c>
      <c r="R253" s="34"/>
    </row>
    <row r="254" spans="1:18">
      <c r="A254" s="31" t="s">
        <v>65</v>
      </c>
      <c r="B254" s="32" t="s">
        <v>90</v>
      </c>
      <c r="C254" s="62">
        <v>43647</v>
      </c>
      <c r="D254" s="62">
        <v>44012</v>
      </c>
      <c r="E254" s="62">
        <v>43647</v>
      </c>
      <c r="F254" s="33"/>
      <c r="G254" s="63"/>
      <c r="H254" s="63"/>
      <c r="I254" s="64"/>
      <c r="J254" s="65"/>
      <c r="K254" s="66"/>
      <c r="L254" s="31" t="s">
        <v>25</v>
      </c>
      <c r="M254" s="63">
        <v>500000000</v>
      </c>
      <c r="N254" s="63">
        <v>2250000000</v>
      </c>
      <c r="O254" s="67">
        <v>4</v>
      </c>
      <c r="P254" s="66"/>
      <c r="Q254" s="66" t="s">
        <v>93</v>
      </c>
      <c r="R254" s="34"/>
    </row>
    <row r="255" spans="1:18">
      <c r="A255" s="31" t="s">
        <v>65</v>
      </c>
      <c r="B255" s="32" t="s">
        <v>90</v>
      </c>
      <c r="C255" s="62">
        <v>44013</v>
      </c>
      <c r="D255" s="62">
        <v>44377</v>
      </c>
      <c r="E255" s="62">
        <v>44013</v>
      </c>
      <c r="F255" s="33" t="s">
        <v>25</v>
      </c>
      <c r="G255" s="63">
        <v>400000000</v>
      </c>
      <c r="H255" s="63">
        <v>0</v>
      </c>
      <c r="I255" s="64">
        <v>8</v>
      </c>
      <c r="J255" s="65"/>
      <c r="K255" s="66" t="s">
        <v>93</v>
      </c>
      <c r="L255" s="31" t="s">
        <v>25</v>
      </c>
      <c r="M255" s="63">
        <v>2250000000</v>
      </c>
      <c r="N255" s="63">
        <v>0</v>
      </c>
      <c r="O255" s="67">
        <v>8.5</v>
      </c>
      <c r="P255" s="66"/>
      <c r="Q255" s="66" t="s">
        <v>93</v>
      </c>
      <c r="R255" s="34"/>
    </row>
    <row r="256" spans="1:18">
      <c r="A256" s="31" t="s">
        <v>65</v>
      </c>
      <c r="B256" s="32" t="s">
        <v>90</v>
      </c>
      <c r="C256" s="62">
        <v>44013</v>
      </c>
      <c r="D256" s="62">
        <v>44377</v>
      </c>
      <c r="E256" s="62">
        <v>44013</v>
      </c>
      <c r="F256" s="33"/>
      <c r="G256" s="63"/>
      <c r="H256" s="63"/>
      <c r="I256" s="64"/>
      <c r="J256" s="65"/>
      <c r="K256" s="66"/>
      <c r="L256" s="31" t="s">
        <v>25</v>
      </c>
      <c r="M256" s="63">
        <v>500000000</v>
      </c>
      <c r="N256" s="63">
        <v>2250000000</v>
      </c>
      <c r="O256" s="67">
        <v>4</v>
      </c>
      <c r="P256" s="66"/>
      <c r="Q256" s="66" t="s">
        <v>93</v>
      </c>
      <c r="R256" s="34"/>
    </row>
    <row r="257" spans="1:18">
      <c r="A257" s="31" t="s">
        <v>65</v>
      </c>
      <c r="B257" s="32" t="s">
        <v>90</v>
      </c>
      <c r="C257" s="62">
        <v>44378</v>
      </c>
      <c r="D257" s="62">
        <v>44742</v>
      </c>
      <c r="E257" s="62">
        <v>44378</v>
      </c>
      <c r="F257" s="33" t="s">
        <v>25</v>
      </c>
      <c r="G257" s="63">
        <v>400000000</v>
      </c>
      <c r="H257" s="63">
        <v>0</v>
      </c>
      <c r="I257" s="64">
        <v>8</v>
      </c>
      <c r="J257" s="65"/>
      <c r="K257" s="66" t="s">
        <v>93</v>
      </c>
      <c r="L257" s="31" t="s">
        <v>25</v>
      </c>
      <c r="M257" s="63">
        <v>2250000000</v>
      </c>
      <c r="N257" s="63">
        <v>0</v>
      </c>
      <c r="O257" s="67">
        <v>8.5</v>
      </c>
      <c r="P257" s="66"/>
      <c r="Q257" s="66" t="s">
        <v>93</v>
      </c>
      <c r="R257" s="34"/>
    </row>
    <row r="258" spans="1:18">
      <c r="A258" s="31" t="s">
        <v>65</v>
      </c>
      <c r="B258" s="32" t="s">
        <v>90</v>
      </c>
      <c r="C258" s="62">
        <v>44378</v>
      </c>
      <c r="D258" s="62">
        <v>44742</v>
      </c>
      <c r="E258" s="62">
        <v>44378</v>
      </c>
      <c r="F258" s="33"/>
      <c r="G258" s="63"/>
      <c r="H258" s="63"/>
      <c r="I258" s="64"/>
      <c r="J258" s="65"/>
      <c r="K258" s="66"/>
      <c r="L258" s="31" t="s">
        <v>25</v>
      </c>
      <c r="M258" s="63">
        <v>500000000</v>
      </c>
      <c r="N258" s="63">
        <v>2250000000</v>
      </c>
      <c r="O258" s="67">
        <v>10</v>
      </c>
      <c r="P258" s="66"/>
      <c r="Q258" s="66" t="s">
        <v>93</v>
      </c>
      <c r="R258" s="34"/>
    </row>
    <row r="259" spans="1:18">
      <c r="A259" s="31" t="s">
        <v>65</v>
      </c>
      <c r="B259" s="32" t="s">
        <v>67</v>
      </c>
      <c r="C259" s="62">
        <v>43814</v>
      </c>
      <c r="D259" s="62">
        <v>44179</v>
      </c>
      <c r="E259" s="62">
        <v>43814</v>
      </c>
      <c r="F259" s="33" t="s">
        <v>25</v>
      </c>
      <c r="G259" s="63">
        <v>100000000</v>
      </c>
      <c r="H259" s="63">
        <v>0</v>
      </c>
      <c r="I259" s="64">
        <v>0</v>
      </c>
      <c r="J259" s="65"/>
      <c r="K259" s="66" t="s">
        <v>93</v>
      </c>
      <c r="L259" s="31" t="s">
        <v>25</v>
      </c>
      <c r="M259" s="63">
        <v>1500000000</v>
      </c>
      <c r="N259" s="63">
        <v>0</v>
      </c>
      <c r="O259" s="67">
        <v>0</v>
      </c>
      <c r="P259" s="66"/>
      <c r="Q259" s="66" t="s">
        <v>93</v>
      </c>
      <c r="R259" s="34"/>
    </row>
    <row r="260" spans="1:18">
      <c r="A260" s="31" t="s">
        <v>65</v>
      </c>
      <c r="B260" s="32" t="s">
        <v>67</v>
      </c>
      <c r="C260" s="62">
        <v>44180</v>
      </c>
      <c r="D260" s="62">
        <v>44544</v>
      </c>
      <c r="E260" s="62">
        <v>44180</v>
      </c>
      <c r="F260" s="33" t="s">
        <v>25</v>
      </c>
      <c r="G260" s="63">
        <v>100000000</v>
      </c>
      <c r="H260" s="63">
        <v>0</v>
      </c>
      <c r="I260" s="64">
        <v>7.5</v>
      </c>
      <c r="J260" s="65"/>
      <c r="K260" s="66" t="s">
        <v>93</v>
      </c>
      <c r="L260" s="31" t="s">
        <v>25</v>
      </c>
      <c r="M260" s="63">
        <v>1500000000</v>
      </c>
      <c r="N260" s="63">
        <v>0</v>
      </c>
      <c r="O260" s="67">
        <v>7.5</v>
      </c>
      <c r="P260" s="66"/>
      <c r="Q260" s="66" t="s">
        <v>93</v>
      </c>
      <c r="R260" s="34"/>
    </row>
    <row r="261" spans="1:18">
      <c r="A261" s="31" t="s">
        <v>65</v>
      </c>
      <c r="B261" s="32" t="s">
        <v>67</v>
      </c>
      <c r="C261" s="62">
        <v>44545</v>
      </c>
      <c r="D261" s="62">
        <v>44909</v>
      </c>
      <c r="E261" s="62">
        <v>44545</v>
      </c>
      <c r="F261" s="33" t="s">
        <v>25</v>
      </c>
      <c r="G261" s="63">
        <v>100000000</v>
      </c>
      <c r="H261" s="63">
        <v>0</v>
      </c>
      <c r="I261" s="64">
        <v>7</v>
      </c>
      <c r="J261" s="65"/>
      <c r="K261" s="66" t="s">
        <v>93</v>
      </c>
      <c r="L261" s="31" t="s">
        <v>25</v>
      </c>
      <c r="M261" s="63">
        <v>750000000</v>
      </c>
      <c r="N261" s="63">
        <v>0</v>
      </c>
      <c r="O261" s="67">
        <v>7</v>
      </c>
      <c r="P261" s="66"/>
      <c r="Q261" s="66" t="s">
        <v>93</v>
      </c>
      <c r="R261" s="34"/>
    </row>
    <row r="262" spans="1:18">
      <c r="A262" s="31" t="s">
        <v>65</v>
      </c>
      <c r="B262" s="32" t="s">
        <v>67</v>
      </c>
      <c r="C262" s="62">
        <v>44545</v>
      </c>
      <c r="D262" s="62">
        <v>44909</v>
      </c>
      <c r="E262" s="62">
        <v>44545</v>
      </c>
      <c r="F262" s="33"/>
      <c r="G262" s="63"/>
      <c r="H262" s="63"/>
      <c r="I262" s="64"/>
      <c r="J262" s="65"/>
      <c r="K262" s="66"/>
      <c r="L262" s="31" t="s">
        <v>25</v>
      </c>
      <c r="M262" s="63">
        <v>750000000</v>
      </c>
      <c r="N262" s="63">
        <v>0</v>
      </c>
      <c r="O262" s="67">
        <v>7</v>
      </c>
      <c r="P262" s="66"/>
      <c r="Q262" s="66" t="s">
        <v>93</v>
      </c>
      <c r="R262" s="34"/>
    </row>
    <row r="263" spans="1:18">
      <c r="A263" s="31" t="s">
        <v>65</v>
      </c>
      <c r="B263" s="32" t="s">
        <v>68</v>
      </c>
      <c r="C263" s="62">
        <v>43647</v>
      </c>
      <c r="D263" s="62">
        <v>44104</v>
      </c>
      <c r="E263" s="62">
        <v>43647</v>
      </c>
      <c r="F263" s="33" t="s">
        <v>8</v>
      </c>
      <c r="G263" s="63">
        <v>150000000</v>
      </c>
      <c r="H263" s="63">
        <v>0</v>
      </c>
      <c r="I263" s="64">
        <v>2</v>
      </c>
      <c r="J263" s="65"/>
      <c r="K263" s="66" t="s">
        <v>93</v>
      </c>
      <c r="L263" s="31" t="s">
        <v>8</v>
      </c>
      <c r="M263" s="63">
        <v>1000000000</v>
      </c>
      <c r="N263" s="63">
        <v>0</v>
      </c>
      <c r="O263" s="67">
        <v>2</v>
      </c>
      <c r="P263" s="66"/>
      <c r="Q263" s="66" t="s">
        <v>93</v>
      </c>
      <c r="R263" s="34"/>
    </row>
    <row r="264" spans="1:18">
      <c r="A264" s="31" t="s">
        <v>65</v>
      </c>
      <c r="B264" s="32" t="s">
        <v>68</v>
      </c>
      <c r="C264" s="62">
        <v>43647</v>
      </c>
      <c r="D264" s="62">
        <v>44104</v>
      </c>
      <c r="E264" s="62">
        <v>43647</v>
      </c>
      <c r="F264" s="33"/>
      <c r="G264" s="63"/>
      <c r="H264" s="63"/>
      <c r="I264" s="64"/>
      <c r="J264" s="65"/>
      <c r="K264" s="66"/>
      <c r="L264" s="31" t="s">
        <v>8</v>
      </c>
      <c r="M264" s="63">
        <v>991000000</v>
      </c>
      <c r="N264" s="63">
        <v>9000000</v>
      </c>
      <c r="O264" s="67">
        <v>5.1239999999999997</v>
      </c>
      <c r="P264" s="66"/>
      <c r="Q264" s="66" t="s">
        <v>93</v>
      </c>
      <c r="R264" s="34"/>
    </row>
    <row r="265" spans="1:18">
      <c r="A265" s="31" t="s">
        <v>65</v>
      </c>
      <c r="B265" s="32" t="s">
        <v>68</v>
      </c>
      <c r="C265" s="62">
        <v>43647</v>
      </c>
      <c r="D265" s="62">
        <v>44104</v>
      </c>
      <c r="E265" s="62">
        <v>43647</v>
      </c>
      <c r="F265" s="33"/>
      <c r="G265" s="63"/>
      <c r="H265" s="63"/>
      <c r="I265" s="64"/>
      <c r="J265" s="65"/>
      <c r="K265" s="66"/>
      <c r="L265" s="31" t="s">
        <v>8</v>
      </c>
      <c r="M265" s="63">
        <v>500000000</v>
      </c>
      <c r="N265" s="63">
        <v>1000000000</v>
      </c>
      <c r="O265" s="67">
        <v>1.75</v>
      </c>
      <c r="P265" s="66"/>
      <c r="Q265" s="66" t="s">
        <v>93</v>
      </c>
      <c r="R265" s="34"/>
    </row>
    <row r="266" spans="1:18">
      <c r="A266" s="31" t="s">
        <v>65</v>
      </c>
      <c r="B266" s="32" t="s">
        <v>68</v>
      </c>
      <c r="C266" s="62">
        <v>44013</v>
      </c>
      <c r="D266" s="62">
        <v>44104</v>
      </c>
      <c r="E266" s="62">
        <v>44013</v>
      </c>
      <c r="F266" s="33" t="s">
        <v>8</v>
      </c>
      <c r="G266" s="63">
        <v>141000000</v>
      </c>
      <c r="H266" s="63">
        <v>0</v>
      </c>
      <c r="I266" s="64">
        <v>1.5</v>
      </c>
      <c r="J266" s="65"/>
      <c r="K266" s="66" t="s">
        <v>93</v>
      </c>
      <c r="L266" s="31"/>
      <c r="M266" s="63"/>
      <c r="N266" s="63"/>
      <c r="O266" s="67"/>
      <c r="P266" s="66"/>
      <c r="Q266" s="66"/>
      <c r="R266" s="34"/>
    </row>
    <row r="267" spans="1:18">
      <c r="A267" s="31" t="s">
        <v>65</v>
      </c>
      <c r="B267" s="32" t="s">
        <v>68</v>
      </c>
      <c r="C267" s="62">
        <v>44105</v>
      </c>
      <c r="D267" s="62">
        <v>44469</v>
      </c>
      <c r="E267" s="62">
        <v>44105</v>
      </c>
      <c r="F267" s="33" t="s">
        <v>8</v>
      </c>
      <c r="G267" s="63">
        <v>150000000</v>
      </c>
      <c r="H267" s="63">
        <v>0</v>
      </c>
      <c r="I267" s="64">
        <v>4</v>
      </c>
      <c r="J267" s="65"/>
      <c r="K267" s="66" t="s">
        <v>93</v>
      </c>
      <c r="L267" s="31" t="s">
        <v>8</v>
      </c>
      <c r="M267" s="63">
        <v>991000000</v>
      </c>
      <c r="N267" s="63">
        <v>0</v>
      </c>
      <c r="O267" s="67">
        <v>5.1239999999999997</v>
      </c>
      <c r="P267" s="66"/>
      <c r="Q267" s="66" t="s">
        <v>93</v>
      </c>
      <c r="R267" s="34"/>
    </row>
    <row r="268" spans="1:18">
      <c r="A268" s="31" t="s">
        <v>65</v>
      </c>
      <c r="B268" s="32" t="s">
        <v>68</v>
      </c>
      <c r="C268" s="62">
        <v>44105</v>
      </c>
      <c r="D268" s="62">
        <v>44469</v>
      </c>
      <c r="E268" s="62">
        <v>44105</v>
      </c>
      <c r="F268" s="33"/>
      <c r="G268" s="63"/>
      <c r="H268" s="63"/>
      <c r="I268" s="64"/>
      <c r="J268" s="65"/>
      <c r="K268" s="66"/>
      <c r="L268" s="31" t="s">
        <v>8</v>
      </c>
      <c r="M268" s="63">
        <v>1500000000</v>
      </c>
      <c r="N268" s="63">
        <v>0</v>
      </c>
      <c r="O268" s="67">
        <v>4</v>
      </c>
      <c r="P268" s="66"/>
      <c r="Q268" s="66" t="s">
        <v>93</v>
      </c>
      <c r="R268" s="34"/>
    </row>
    <row r="269" spans="1:18">
      <c r="A269" s="31" t="s">
        <v>65</v>
      </c>
      <c r="B269" s="32" t="s">
        <v>68</v>
      </c>
      <c r="C269" s="62">
        <v>44470</v>
      </c>
      <c r="D269" s="62">
        <v>44834</v>
      </c>
      <c r="E269" s="62">
        <v>44470</v>
      </c>
      <c r="F269" s="33" t="s">
        <v>8</v>
      </c>
      <c r="G269" s="63">
        <v>10000000</v>
      </c>
      <c r="H269" s="63">
        <v>0</v>
      </c>
      <c r="I269" s="64">
        <v>4</v>
      </c>
      <c r="J269" s="65"/>
      <c r="K269" s="66" t="s">
        <v>93</v>
      </c>
      <c r="L269" s="31" t="s">
        <v>8</v>
      </c>
      <c r="M269" s="63">
        <v>10000000</v>
      </c>
      <c r="N269" s="63">
        <v>0</v>
      </c>
      <c r="O269" s="67">
        <v>4</v>
      </c>
      <c r="P269" s="66"/>
      <c r="Q269" s="66" t="s">
        <v>93</v>
      </c>
      <c r="R269" s="34"/>
    </row>
    <row r="270" spans="1:18">
      <c r="A270" s="31" t="s">
        <v>65</v>
      </c>
      <c r="B270" s="32" t="s">
        <v>68</v>
      </c>
      <c r="C270" s="62">
        <v>44470</v>
      </c>
      <c r="D270" s="62">
        <v>44834</v>
      </c>
      <c r="E270" s="62">
        <v>44470</v>
      </c>
      <c r="F270" s="33" t="s">
        <v>8</v>
      </c>
      <c r="G270" s="63">
        <v>190000000</v>
      </c>
      <c r="H270" s="63">
        <v>10000000</v>
      </c>
      <c r="I270" s="64">
        <v>7</v>
      </c>
      <c r="J270" s="65"/>
      <c r="K270" s="66" t="s">
        <v>93</v>
      </c>
      <c r="L270" s="31" t="s">
        <v>8</v>
      </c>
      <c r="M270" s="63">
        <v>1490000000</v>
      </c>
      <c r="N270" s="63">
        <v>10000000</v>
      </c>
      <c r="O270" s="67">
        <v>5.1239999999999997</v>
      </c>
      <c r="P270" s="66"/>
      <c r="Q270" s="66" t="s">
        <v>93</v>
      </c>
      <c r="R270" s="34"/>
    </row>
    <row r="271" spans="1:18">
      <c r="A271" s="31" t="s">
        <v>65</v>
      </c>
      <c r="B271" s="32" t="s">
        <v>70</v>
      </c>
      <c r="C271" s="62">
        <v>43677</v>
      </c>
      <c r="D271" s="62">
        <v>44042</v>
      </c>
      <c r="E271" s="62">
        <v>43677</v>
      </c>
      <c r="F271" s="33" t="s">
        <v>25</v>
      </c>
      <c r="G271" s="63">
        <v>150000000</v>
      </c>
      <c r="H271" s="63">
        <v>0</v>
      </c>
      <c r="I271" s="64">
        <v>0</v>
      </c>
      <c r="J271" s="65"/>
      <c r="K271" s="66" t="s">
        <v>93</v>
      </c>
      <c r="L271" s="31" t="s">
        <v>25</v>
      </c>
      <c r="M271" s="63">
        <v>1250000000</v>
      </c>
      <c r="N271" s="63">
        <v>0</v>
      </c>
      <c r="O271" s="67">
        <v>0</v>
      </c>
      <c r="P271" s="66"/>
      <c r="Q271" s="66" t="s">
        <v>93</v>
      </c>
      <c r="R271" s="34"/>
    </row>
    <row r="272" spans="1:18">
      <c r="A272" s="31" t="s">
        <v>65</v>
      </c>
      <c r="B272" s="32" t="s">
        <v>70</v>
      </c>
      <c r="C272" s="62">
        <v>44043</v>
      </c>
      <c r="D272" s="62">
        <v>44407</v>
      </c>
      <c r="E272" s="62">
        <v>44043</v>
      </c>
      <c r="F272" s="33" t="s">
        <v>25</v>
      </c>
      <c r="G272" s="63">
        <v>150000000</v>
      </c>
      <c r="H272" s="63">
        <v>0</v>
      </c>
      <c r="I272" s="64">
        <v>5</v>
      </c>
      <c r="J272" s="65"/>
      <c r="K272" s="66" t="s">
        <v>93</v>
      </c>
      <c r="L272" s="31" t="s">
        <v>25</v>
      </c>
      <c r="M272" s="63">
        <v>1500000000</v>
      </c>
      <c r="N272" s="63">
        <v>0</v>
      </c>
      <c r="O272" s="67">
        <v>5</v>
      </c>
      <c r="P272" s="66"/>
      <c r="Q272" s="66" t="s">
        <v>93</v>
      </c>
      <c r="R272" s="34"/>
    </row>
    <row r="273" spans="1:18">
      <c r="A273" s="31" t="s">
        <v>65</v>
      </c>
      <c r="B273" s="32" t="s">
        <v>70</v>
      </c>
      <c r="C273" s="62">
        <v>44408</v>
      </c>
      <c r="D273" s="62">
        <v>44772</v>
      </c>
      <c r="E273" s="62">
        <v>44408</v>
      </c>
      <c r="F273" s="33" t="s">
        <v>25</v>
      </c>
      <c r="G273" s="63">
        <v>150000000</v>
      </c>
      <c r="H273" s="63">
        <v>0</v>
      </c>
      <c r="I273" s="64">
        <v>3.5</v>
      </c>
      <c r="J273" s="65"/>
      <c r="K273" s="66" t="s">
        <v>93</v>
      </c>
      <c r="L273" s="31" t="s">
        <v>25</v>
      </c>
      <c r="M273" s="63">
        <v>1500000000</v>
      </c>
      <c r="N273" s="63">
        <v>0</v>
      </c>
      <c r="O273" s="67">
        <v>3.5</v>
      </c>
      <c r="P273" s="66"/>
      <c r="Q273" s="66" t="s">
        <v>93</v>
      </c>
      <c r="R273" s="34"/>
    </row>
    <row r="274" spans="1:18">
      <c r="A274" s="31" t="s">
        <v>65</v>
      </c>
      <c r="B274" s="32" t="s">
        <v>256</v>
      </c>
      <c r="C274" s="62">
        <v>43770</v>
      </c>
      <c r="D274" s="62">
        <v>44135</v>
      </c>
      <c r="E274" s="62">
        <v>43770</v>
      </c>
      <c r="F274" s="33" t="s">
        <v>25</v>
      </c>
      <c r="G274" s="63">
        <v>100000000</v>
      </c>
      <c r="H274" s="63">
        <v>0</v>
      </c>
      <c r="I274" s="64">
        <v>8</v>
      </c>
      <c r="J274" s="65"/>
      <c r="K274" s="66" t="s">
        <v>93</v>
      </c>
      <c r="L274" s="31" t="s">
        <v>25</v>
      </c>
      <c r="M274" s="63">
        <v>1000000000</v>
      </c>
      <c r="N274" s="63">
        <v>0</v>
      </c>
      <c r="O274" s="67">
        <v>8</v>
      </c>
      <c r="P274" s="66"/>
      <c r="Q274" s="66" t="s">
        <v>93</v>
      </c>
      <c r="R274" s="34"/>
    </row>
    <row r="275" spans="1:18">
      <c r="A275" s="31" t="s">
        <v>65</v>
      </c>
      <c r="B275" s="32" t="s">
        <v>256</v>
      </c>
      <c r="C275" s="62">
        <v>44136</v>
      </c>
      <c r="D275" s="62">
        <v>44500</v>
      </c>
      <c r="E275" s="62">
        <v>44136</v>
      </c>
      <c r="F275" s="33" t="s">
        <v>25</v>
      </c>
      <c r="G275" s="63">
        <v>100000000</v>
      </c>
      <c r="H275" s="63">
        <v>0</v>
      </c>
      <c r="I275" s="64">
        <v>10</v>
      </c>
      <c r="J275" s="65"/>
      <c r="K275" s="66" t="s">
        <v>93</v>
      </c>
      <c r="L275" s="31" t="s">
        <v>25</v>
      </c>
      <c r="M275" s="63">
        <v>1000000000</v>
      </c>
      <c r="N275" s="63">
        <v>0</v>
      </c>
      <c r="O275" s="67">
        <v>10</v>
      </c>
      <c r="P275" s="66"/>
      <c r="Q275" s="66" t="s">
        <v>93</v>
      </c>
      <c r="R275" s="34"/>
    </row>
    <row r="276" spans="1:18">
      <c r="A276" s="31" t="s">
        <v>65</v>
      </c>
      <c r="B276" s="32" t="s">
        <v>256</v>
      </c>
      <c r="C276" s="62">
        <v>44136</v>
      </c>
      <c r="D276" s="62">
        <v>44500</v>
      </c>
      <c r="E276" s="62">
        <v>44136</v>
      </c>
      <c r="F276" s="33"/>
      <c r="G276" s="63"/>
      <c r="H276" s="63"/>
      <c r="I276" s="64"/>
      <c r="J276" s="65"/>
      <c r="K276" s="66"/>
      <c r="L276" s="31" t="s">
        <v>25</v>
      </c>
      <c r="M276" s="63">
        <v>500000000</v>
      </c>
      <c r="N276" s="63">
        <v>1000000000</v>
      </c>
      <c r="O276" s="67">
        <v>7</v>
      </c>
      <c r="P276" s="66"/>
      <c r="Q276" s="66" t="s">
        <v>93</v>
      </c>
      <c r="R276" s="34"/>
    </row>
    <row r="277" spans="1:18">
      <c r="A277" s="31" t="s">
        <v>65</v>
      </c>
      <c r="B277" s="32" t="s">
        <v>256</v>
      </c>
      <c r="C277" s="62">
        <v>44501</v>
      </c>
      <c r="D277" s="62">
        <v>44865</v>
      </c>
      <c r="E277" s="62">
        <v>44501</v>
      </c>
      <c r="F277" s="33" t="s">
        <v>25</v>
      </c>
      <c r="G277" s="63">
        <v>120000000</v>
      </c>
      <c r="H277" s="63">
        <v>0</v>
      </c>
      <c r="I277" s="64">
        <v>10</v>
      </c>
      <c r="J277" s="65"/>
      <c r="K277" s="66" t="s">
        <v>93</v>
      </c>
      <c r="L277" s="31" t="s">
        <v>25</v>
      </c>
      <c r="M277" s="63">
        <v>1500000000</v>
      </c>
      <c r="N277" s="63">
        <v>0</v>
      </c>
      <c r="O277" s="67">
        <v>10</v>
      </c>
      <c r="P277" s="66"/>
      <c r="Q277" s="66" t="s">
        <v>93</v>
      </c>
      <c r="R277" s="34"/>
    </row>
    <row r="278" spans="1:18">
      <c r="A278" s="31" t="s">
        <v>65</v>
      </c>
      <c r="B278" s="32" t="s">
        <v>257</v>
      </c>
      <c r="C278" s="62">
        <v>43754</v>
      </c>
      <c r="D278" s="62">
        <v>44119</v>
      </c>
      <c r="E278" s="62">
        <v>43754</v>
      </c>
      <c r="F278" s="33" t="s">
        <v>25</v>
      </c>
      <c r="G278" s="63">
        <v>250000000</v>
      </c>
      <c r="H278" s="63">
        <v>0</v>
      </c>
      <c r="I278" s="64">
        <v>8.8000000000000007</v>
      </c>
      <c r="J278" s="65"/>
      <c r="K278" s="66" t="s">
        <v>93</v>
      </c>
      <c r="L278" s="31" t="s">
        <v>25</v>
      </c>
      <c r="M278" s="63">
        <v>2500000000</v>
      </c>
      <c r="N278" s="63">
        <v>0</v>
      </c>
      <c r="O278" s="67">
        <v>8.8000000000000007</v>
      </c>
      <c r="P278" s="66"/>
      <c r="Q278" s="66" t="s">
        <v>93</v>
      </c>
      <c r="R278" s="34"/>
    </row>
    <row r="279" spans="1:18">
      <c r="A279" s="31" t="s">
        <v>65</v>
      </c>
      <c r="B279" s="32" t="s">
        <v>257</v>
      </c>
      <c r="C279" s="62">
        <v>44120</v>
      </c>
      <c r="D279" s="62">
        <v>44484</v>
      </c>
      <c r="E279" s="62">
        <v>44120</v>
      </c>
      <c r="F279" s="33" t="s">
        <v>25</v>
      </c>
      <c r="G279" s="63">
        <v>290000000</v>
      </c>
      <c r="H279" s="63">
        <v>0</v>
      </c>
      <c r="I279" s="64">
        <v>9</v>
      </c>
      <c r="J279" s="65"/>
      <c r="K279" s="66" t="s">
        <v>93</v>
      </c>
      <c r="L279" s="31" t="s">
        <v>25</v>
      </c>
      <c r="M279" s="63">
        <v>2500000000</v>
      </c>
      <c r="N279" s="63">
        <v>0</v>
      </c>
      <c r="O279" s="67">
        <v>9</v>
      </c>
      <c r="P279" s="66"/>
      <c r="Q279" s="66" t="s">
        <v>93</v>
      </c>
      <c r="R279" s="34"/>
    </row>
    <row r="280" spans="1:18">
      <c r="A280" s="31" t="s">
        <v>65</v>
      </c>
      <c r="B280" s="32" t="s">
        <v>257</v>
      </c>
      <c r="C280" s="62">
        <v>44485</v>
      </c>
      <c r="D280" s="62">
        <v>44849</v>
      </c>
      <c r="E280" s="62">
        <v>44485</v>
      </c>
      <c r="F280" s="33" t="s">
        <v>25</v>
      </c>
      <c r="G280" s="63">
        <v>250000000</v>
      </c>
      <c r="H280" s="63">
        <v>0</v>
      </c>
      <c r="I280" s="64">
        <v>9</v>
      </c>
      <c r="J280" s="65"/>
      <c r="K280" s="66" t="s">
        <v>93</v>
      </c>
      <c r="L280" s="31" t="s">
        <v>25</v>
      </c>
      <c r="M280" s="63">
        <v>2500000000</v>
      </c>
      <c r="N280" s="63">
        <v>0</v>
      </c>
      <c r="O280" s="67">
        <v>9</v>
      </c>
      <c r="P280" s="66"/>
      <c r="Q280" s="66" t="s">
        <v>93</v>
      </c>
      <c r="R280" s="34"/>
    </row>
    <row r="281" spans="1:18">
      <c r="A281" s="31" t="s">
        <v>65</v>
      </c>
      <c r="B281" s="32" t="s">
        <v>257</v>
      </c>
      <c r="C281" s="62">
        <v>44485</v>
      </c>
      <c r="D281" s="62">
        <v>44849</v>
      </c>
      <c r="E281" s="62">
        <v>44485</v>
      </c>
      <c r="F281" s="33"/>
      <c r="G281" s="63"/>
      <c r="H281" s="63"/>
      <c r="I281" s="64"/>
      <c r="J281" s="65"/>
      <c r="K281" s="66"/>
      <c r="L281" s="31" t="s">
        <v>25</v>
      </c>
      <c r="M281" s="63">
        <v>500000000</v>
      </c>
      <c r="N281" s="63">
        <v>2500000000</v>
      </c>
      <c r="O281" s="67">
        <v>5</v>
      </c>
      <c r="P281" s="66"/>
      <c r="Q281" s="66" t="s">
        <v>93</v>
      </c>
      <c r="R281" s="34"/>
    </row>
    <row r="282" spans="1:18">
      <c r="A282" s="31" t="s">
        <v>65</v>
      </c>
      <c r="B282" s="32" t="s">
        <v>71</v>
      </c>
      <c r="C282" s="62">
        <v>43783</v>
      </c>
      <c r="D282" s="62">
        <v>44148</v>
      </c>
      <c r="E282" s="62">
        <v>43783</v>
      </c>
      <c r="F282" s="33"/>
      <c r="G282" s="63"/>
      <c r="H282" s="63"/>
      <c r="I282" s="64"/>
      <c r="J282" s="65"/>
      <c r="K282" s="66"/>
      <c r="L282" s="31" t="s">
        <v>25</v>
      </c>
      <c r="M282" s="63">
        <v>2000000000</v>
      </c>
      <c r="N282" s="63">
        <v>0</v>
      </c>
      <c r="O282" s="67">
        <v>5</v>
      </c>
      <c r="P282" s="66"/>
      <c r="Q282" s="66" t="s">
        <v>93</v>
      </c>
      <c r="R282" s="34"/>
    </row>
    <row r="283" spans="1:18">
      <c r="A283" s="31" t="s">
        <v>65</v>
      </c>
      <c r="B283" s="32" t="s">
        <v>71</v>
      </c>
      <c r="C283" s="62">
        <v>44149</v>
      </c>
      <c r="D283" s="62">
        <v>44513</v>
      </c>
      <c r="E283" s="62">
        <v>44149</v>
      </c>
      <c r="F283" s="33"/>
      <c r="G283" s="63"/>
      <c r="H283" s="63"/>
      <c r="I283" s="64"/>
      <c r="J283" s="65"/>
      <c r="K283" s="66"/>
      <c r="L283" s="31" t="s">
        <v>25</v>
      </c>
      <c r="M283" s="63">
        <v>2000000000</v>
      </c>
      <c r="N283" s="63">
        <v>0</v>
      </c>
      <c r="O283" s="67">
        <v>7.5</v>
      </c>
      <c r="P283" s="66"/>
      <c r="Q283" s="66" t="s">
        <v>93</v>
      </c>
      <c r="R283" s="34"/>
    </row>
    <row r="284" spans="1:18">
      <c r="A284" s="31" t="s">
        <v>65</v>
      </c>
      <c r="B284" s="32" t="s">
        <v>71</v>
      </c>
      <c r="C284" s="62">
        <v>44514</v>
      </c>
      <c r="D284" s="62">
        <v>44878</v>
      </c>
      <c r="E284" s="62">
        <v>44514</v>
      </c>
      <c r="F284" s="33"/>
      <c r="G284" s="63"/>
      <c r="H284" s="63"/>
      <c r="I284" s="64"/>
      <c r="J284" s="65"/>
      <c r="K284" s="66"/>
      <c r="L284" s="31" t="s">
        <v>25</v>
      </c>
      <c r="M284" s="63">
        <v>2000000000</v>
      </c>
      <c r="N284" s="63">
        <v>0</v>
      </c>
      <c r="O284" s="67">
        <v>7.5</v>
      </c>
      <c r="P284" s="66"/>
      <c r="Q284" s="66" t="s">
        <v>93</v>
      </c>
      <c r="R284" s="34"/>
    </row>
    <row r="285" spans="1:18">
      <c r="A285" s="31" t="s">
        <v>65</v>
      </c>
      <c r="B285" s="32" t="s">
        <v>72</v>
      </c>
      <c r="C285" s="62">
        <v>43525</v>
      </c>
      <c r="D285" s="62">
        <v>43890</v>
      </c>
      <c r="E285" s="62">
        <v>43525</v>
      </c>
      <c r="F285" s="33" t="s">
        <v>25</v>
      </c>
      <c r="G285" s="63">
        <v>150000000</v>
      </c>
      <c r="H285" s="63">
        <v>0</v>
      </c>
      <c r="I285" s="64">
        <v>0</v>
      </c>
      <c r="J285" s="65"/>
      <c r="K285" s="66" t="s">
        <v>93</v>
      </c>
      <c r="L285" s="31" t="s">
        <v>25</v>
      </c>
      <c r="M285" s="63">
        <v>1250000000</v>
      </c>
      <c r="N285" s="63">
        <v>0</v>
      </c>
      <c r="O285" s="67">
        <v>0</v>
      </c>
      <c r="P285" s="66"/>
      <c r="Q285" s="66" t="s">
        <v>93</v>
      </c>
      <c r="R285" s="34"/>
    </row>
    <row r="286" spans="1:18">
      <c r="A286" s="31" t="s">
        <v>65</v>
      </c>
      <c r="B286" s="32" t="s">
        <v>72</v>
      </c>
      <c r="C286" s="62">
        <v>43891</v>
      </c>
      <c r="D286" s="62">
        <v>44255</v>
      </c>
      <c r="E286" s="62">
        <v>43891</v>
      </c>
      <c r="F286" s="33" t="s">
        <v>25</v>
      </c>
      <c r="G286" s="63">
        <v>150000000</v>
      </c>
      <c r="H286" s="63">
        <v>0</v>
      </c>
      <c r="I286" s="64">
        <v>0</v>
      </c>
      <c r="J286" s="65"/>
      <c r="K286" s="66" t="s">
        <v>93</v>
      </c>
      <c r="L286" s="31" t="s">
        <v>25</v>
      </c>
      <c r="M286" s="63">
        <v>1250000000</v>
      </c>
      <c r="N286" s="63">
        <v>0</v>
      </c>
      <c r="O286" s="67">
        <v>0</v>
      </c>
      <c r="P286" s="66"/>
      <c r="Q286" s="66" t="s">
        <v>93</v>
      </c>
      <c r="R286" s="34"/>
    </row>
    <row r="287" spans="1:18">
      <c r="A287" s="31" t="s">
        <v>65</v>
      </c>
      <c r="B287" s="32" t="s">
        <v>72</v>
      </c>
      <c r="C287" s="62">
        <v>44256</v>
      </c>
      <c r="D287" s="62">
        <v>44620</v>
      </c>
      <c r="E287" s="62">
        <v>44256</v>
      </c>
      <c r="F287" s="33" t="s">
        <v>25</v>
      </c>
      <c r="G287" s="63">
        <v>150000000</v>
      </c>
      <c r="H287" s="63">
        <v>0</v>
      </c>
      <c r="I287" s="64">
        <v>0</v>
      </c>
      <c r="J287" s="65"/>
      <c r="K287" s="66" t="s">
        <v>93</v>
      </c>
      <c r="L287" s="31" t="s">
        <v>25</v>
      </c>
      <c r="M287" s="63">
        <v>1250000000</v>
      </c>
      <c r="N287" s="63">
        <v>0</v>
      </c>
      <c r="O287" s="67">
        <v>0</v>
      </c>
      <c r="P287" s="66"/>
      <c r="Q287" s="66" t="s">
        <v>93</v>
      </c>
      <c r="R287" s="34"/>
    </row>
    <row r="288" spans="1:18">
      <c r="A288" s="31" t="s">
        <v>65</v>
      </c>
      <c r="B288" s="32" t="s">
        <v>258</v>
      </c>
      <c r="C288" s="62">
        <v>43643</v>
      </c>
      <c r="D288" s="62">
        <v>44196</v>
      </c>
      <c r="E288" s="62">
        <v>43643</v>
      </c>
      <c r="F288" s="33" t="s">
        <v>25</v>
      </c>
      <c r="G288" s="63">
        <v>100000000</v>
      </c>
      <c r="H288" s="63">
        <v>0</v>
      </c>
      <c r="I288" s="64">
        <v>10</v>
      </c>
      <c r="J288" s="65"/>
      <c r="K288" s="66" t="s">
        <v>93</v>
      </c>
      <c r="L288" s="31" t="s">
        <v>25</v>
      </c>
      <c r="M288" s="63">
        <v>1500000000</v>
      </c>
      <c r="N288" s="63">
        <v>0</v>
      </c>
      <c r="O288" s="67">
        <v>10</v>
      </c>
      <c r="P288" s="66"/>
      <c r="Q288" s="66" t="s">
        <v>93</v>
      </c>
      <c r="R288" s="34"/>
    </row>
    <row r="289" spans="1:18">
      <c r="A289" s="31" t="s">
        <v>65</v>
      </c>
      <c r="B289" s="32" t="s">
        <v>258</v>
      </c>
      <c r="C289" s="62">
        <v>44197</v>
      </c>
      <c r="D289" s="62">
        <v>44561</v>
      </c>
      <c r="E289" s="62">
        <v>44197</v>
      </c>
      <c r="F289" s="33" t="s">
        <v>25</v>
      </c>
      <c r="G289" s="63">
        <v>100000000</v>
      </c>
      <c r="H289" s="63">
        <v>0</v>
      </c>
      <c r="I289" s="64">
        <v>10</v>
      </c>
      <c r="J289" s="65"/>
      <c r="K289" s="66" t="s">
        <v>93</v>
      </c>
      <c r="L289" s="31" t="s">
        <v>25</v>
      </c>
      <c r="M289" s="63">
        <v>1500000000</v>
      </c>
      <c r="N289" s="63">
        <v>0</v>
      </c>
      <c r="O289" s="67">
        <v>10</v>
      </c>
      <c r="P289" s="66"/>
      <c r="Q289" s="66" t="s">
        <v>93</v>
      </c>
      <c r="R289" s="34"/>
    </row>
    <row r="290" spans="1:18">
      <c r="A290" s="31" t="s">
        <v>65</v>
      </c>
      <c r="B290" s="32" t="s">
        <v>259</v>
      </c>
      <c r="C290" s="62">
        <v>43678</v>
      </c>
      <c r="D290" s="62">
        <v>44043</v>
      </c>
      <c r="E290" s="62">
        <v>43678</v>
      </c>
      <c r="F290" s="33" t="s">
        <v>8</v>
      </c>
      <c r="G290" s="63">
        <v>150000000</v>
      </c>
      <c r="H290" s="63">
        <v>0</v>
      </c>
      <c r="I290" s="64">
        <v>0</v>
      </c>
      <c r="J290" s="65"/>
      <c r="K290" s="66" t="s">
        <v>93</v>
      </c>
      <c r="L290" s="31" t="s">
        <v>8</v>
      </c>
      <c r="M290" s="63">
        <v>1500000000</v>
      </c>
      <c r="N290" s="63">
        <v>0</v>
      </c>
      <c r="O290" s="67">
        <v>0</v>
      </c>
      <c r="P290" s="66"/>
      <c r="Q290" s="66" t="s">
        <v>93</v>
      </c>
      <c r="R290" s="34"/>
    </row>
    <row r="291" spans="1:18">
      <c r="A291" s="31" t="s">
        <v>65</v>
      </c>
      <c r="B291" s="32" t="s">
        <v>259</v>
      </c>
      <c r="C291" s="62">
        <v>44044</v>
      </c>
      <c r="D291" s="62">
        <v>44408</v>
      </c>
      <c r="E291" s="62">
        <v>44044</v>
      </c>
      <c r="F291" s="33" t="s">
        <v>8</v>
      </c>
      <c r="G291" s="63">
        <v>150000000</v>
      </c>
      <c r="H291" s="63">
        <v>0</v>
      </c>
      <c r="I291" s="64">
        <v>0</v>
      </c>
      <c r="J291" s="65"/>
      <c r="K291" s="66" t="s">
        <v>93</v>
      </c>
      <c r="L291" s="31" t="s">
        <v>8</v>
      </c>
      <c r="M291" s="63">
        <v>1500000000</v>
      </c>
      <c r="N291" s="63">
        <v>0</v>
      </c>
      <c r="O291" s="67">
        <v>0</v>
      </c>
      <c r="P291" s="66"/>
      <c r="Q291" s="66" t="s">
        <v>93</v>
      </c>
      <c r="R291" s="34"/>
    </row>
    <row r="292" spans="1:18">
      <c r="A292" s="31" t="s">
        <v>65</v>
      </c>
      <c r="B292" s="32" t="s">
        <v>259</v>
      </c>
      <c r="C292" s="62">
        <v>44409</v>
      </c>
      <c r="D292" s="62">
        <v>44773</v>
      </c>
      <c r="E292" s="62">
        <v>44409</v>
      </c>
      <c r="F292" s="33" t="s">
        <v>8</v>
      </c>
      <c r="G292" s="63">
        <v>150000000</v>
      </c>
      <c r="H292" s="63">
        <v>0</v>
      </c>
      <c r="I292" s="64">
        <v>9</v>
      </c>
      <c r="J292" s="65"/>
      <c r="K292" s="66" t="s">
        <v>93</v>
      </c>
      <c r="L292" s="31" t="s">
        <v>8</v>
      </c>
      <c r="M292" s="63">
        <v>1500000000</v>
      </c>
      <c r="N292" s="63">
        <v>0</v>
      </c>
      <c r="O292" s="67">
        <v>9</v>
      </c>
      <c r="P292" s="66"/>
      <c r="Q292" s="66" t="s">
        <v>93</v>
      </c>
      <c r="R292" s="34"/>
    </row>
    <row r="293" spans="1:18">
      <c r="A293" s="31" t="s">
        <v>65</v>
      </c>
      <c r="B293" s="32" t="s">
        <v>73</v>
      </c>
      <c r="C293" s="62">
        <v>43617</v>
      </c>
      <c r="D293" s="62">
        <v>43982</v>
      </c>
      <c r="E293" s="62">
        <v>43617</v>
      </c>
      <c r="F293" s="33" t="s">
        <v>25</v>
      </c>
      <c r="G293" s="63">
        <v>175000000</v>
      </c>
      <c r="H293" s="63">
        <v>0</v>
      </c>
      <c r="I293" s="64">
        <v>8</v>
      </c>
      <c r="J293" s="65"/>
      <c r="K293" s="66" t="s">
        <v>93</v>
      </c>
      <c r="L293" s="31" t="s">
        <v>25</v>
      </c>
      <c r="M293" s="63">
        <v>2000000000</v>
      </c>
      <c r="N293" s="63">
        <v>0</v>
      </c>
      <c r="O293" s="67">
        <v>8</v>
      </c>
      <c r="P293" s="66"/>
      <c r="Q293" s="66" t="s">
        <v>93</v>
      </c>
      <c r="R293" s="34"/>
    </row>
    <row r="294" spans="1:18">
      <c r="A294" s="31" t="s">
        <v>65</v>
      </c>
      <c r="B294" s="32" t="s">
        <v>73</v>
      </c>
      <c r="C294" s="62">
        <v>43983</v>
      </c>
      <c r="D294" s="62">
        <v>44347</v>
      </c>
      <c r="E294" s="62">
        <v>43983</v>
      </c>
      <c r="F294" s="33" t="s">
        <v>25</v>
      </c>
      <c r="G294" s="63">
        <v>175000000</v>
      </c>
      <c r="H294" s="63">
        <v>0</v>
      </c>
      <c r="I294" s="64">
        <v>8</v>
      </c>
      <c r="J294" s="65"/>
      <c r="K294" s="66" t="s">
        <v>93</v>
      </c>
      <c r="L294" s="31" t="s">
        <v>25</v>
      </c>
      <c r="M294" s="63">
        <v>2000000000</v>
      </c>
      <c r="N294" s="63">
        <v>0</v>
      </c>
      <c r="O294" s="67">
        <v>8</v>
      </c>
      <c r="P294" s="66"/>
      <c r="Q294" s="66" t="s">
        <v>93</v>
      </c>
      <c r="R294" s="34"/>
    </row>
    <row r="295" spans="1:18">
      <c r="A295" s="31" t="s">
        <v>65</v>
      </c>
      <c r="B295" s="32" t="s">
        <v>73</v>
      </c>
      <c r="C295" s="62">
        <v>44348</v>
      </c>
      <c r="D295" s="62">
        <v>44712</v>
      </c>
      <c r="E295" s="62">
        <v>44348</v>
      </c>
      <c r="F295" s="33" t="s">
        <v>25</v>
      </c>
      <c r="G295" s="63">
        <v>175000000</v>
      </c>
      <c r="H295" s="63">
        <v>0</v>
      </c>
      <c r="I295" s="64">
        <v>8</v>
      </c>
      <c r="J295" s="65"/>
      <c r="K295" s="66" t="s">
        <v>93</v>
      </c>
      <c r="L295" s="31" t="s">
        <v>25</v>
      </c>
      <c r="M295" s="63">
        <v>2000000000</v>
      </c>
      <c r="N295" s="63">
        <v>0</v>
      </c>
      <c r="O295" s="67">
        <v>8</v>
      </c>
      <c r="P295" s="66"/>
      <c r="Q295" s="66" t="s">
        <v>93</v>
      </c>
      <c r="R295" s="34"/>
    </row>
    <row r="296" spans="1:18">
      <c r="A296" s="31" t="s">
        <v>65</v>
      </c>
      <c r="B296" s="32" t="s">
        <v>74</v>
      </c>
      <c r="C296" s="62">
        <v>43677</v>
      </c>
      <c r="D296" s="62">
        <v>44042</v>
      </c>
      <c r="E296" s="62">
        <v>43677</v>
      </c>
      <c r="F296" s="33" t="s">
        <v>25</v>
      </c>
      <c r="G296" s="63">
        <v>200000000</v>
      </c>
      <c r="H296" s="63">
        <v>0</v>
      </c>
      <c r="I296" s="64">
        <v>0</v>
      </c>
      <c r="J296" s="65"/>
      <c r="K296" s="66" t="s">
        <v>93</v>
      </c>
      <c r="L296" s="31" t="s">
        <v>25</v>
      </c>
      <c r="M296" s="63">
        <v>2250000000</v>
      </c>
      <c r="N296" s="63">
        <v>0</v>
      </c>
      <c r="O296" s="67">
        <v>0</v>
      </c>
      <c r="P296" s="66"/>
      <c r="Q296" s="66" t="s">
        <v>93</v>
      </c>
      <c r="R296" s="34"/>
    </row>
    <row r="297" spans="1:18">
      <c r="A297" s="31" t="s">
        <v>65</v>
      </c>
      <c r="B297" s="32" t="s">
        <v>74</v>
      </c>
      <c r="C297" s="62">
        <v>44043</v>
      </c>
      <c r="D297" s="62">
        <v>44407</v>
      </c>
      <c r="E297" s="62">
        <v>44043</v>
      </c>
      <c r="F297" s="33" t="s">
        <v>25</v>
      </c>
      <c r="G297" s="63">
        <v>200000000</v>
      </c>
      <c r="H297" s="63">
        <v>0</v>
      </c>
      <c r="I297" s="64">
        <v>0</v>
      </c>
      <c r="J297" s="65"/>
      <c r="K297" s="66" t="s">
        <v>93</v>
      </c>
      <c r="L297" s="31" t="s">
        <v>25</v>
      </c>
      <c r="M297" s="63">
        <v>2250000000</v>
      </c>
      <c r="N297" s="63">
        <v>0</v>
      </c>
      <c r="O297" s="67">
        <v>0</v>
      </c>
      <c r="P297" s="66"/>
      <c r="Q297" s="66" t="s">
        <v>93</v>
      </c>
      <c r="R297" s="34"/>
    </row>
    <row r="298" spans="1:18">
      <c r="A298" s="31" t="s">
        <v>65</v>
      </c>
      <c r="B298" s="32" t="s">
        <v>74</v>
      </c>
      <c r="C298" s="62">
        <v>44408</v>
      </c>
      <c r="D298" s="62">
        <v>44772</v>
      </c>
      <c r="E298" s="62">
        <v>44408</v>
      </c>
      <c r="F298" s="33" t="s">
        <v>25</v>
      </c>
      <c r="G298" s="63">
        <v>275000000</v>
      </c>
      <c r="H298" s="63">
        <v>0</v>
      </c>
      <c r="I298" s="64">
        <v>3</v>
      </c>
      <c r="J298" s="65"/>
      <c r="K298" s="66" t="s">
        <v>93</v>
      </c>
      <c r="L298" s="31" t="s">
        <v>25</v>
      </c>
      <c r="M298" s="63">
        <v>2250000000</v>
      </c>
      <c r="N298" s="63">
        <v>0</v>
      </c>
      <c r="O298" s="67">
        <v>3</v>
      </c>
      <c r="P298" s="66"/>
      <c r="Q298" s="66" t="s">
        <v>93</v>
      </c>
      <c r="R298" s="34"/>
    </row>
    <row r="299" spans="1:18">
      <c r="A299" s="31" t="s">
        <v>65</v>
      </c>
      <c r="B299" s="32" t="s">
        <v>75</v>
      </c>
      <c r="C299" s="62">
        <v>43647</v>
      </c>
      <c r="D299" s="62">
        <v>44012</v>
      </c>
      <c r="E299" s="62">
        <v>43647</v>
      </c>
      <c r="F299" s="33"/>
      <c r="G299" s="63"/>
      <c r="H299" s="63"/>
      <c r="I299" s="64"/>
      <c r="J299" s="65"/>
      <c r="K299" s="66"/>
      <c r="L299" s="31" t="s">
        <v>25</v>
      </c>
      <c r="M299" s="63">
        <v>1500000000</v>
      </c>
      <c r="N299" s="63">
        <v>0</v>
      </c>
      <c r="O299" s="67">
        <v>3</v>
      </c>
      <c r="P299" s="66"/>
      <c r="Q299" s="66" t="s">
        <v>93</v>
      </c>
      <c r="R299" s="34"/>
    </row>
    <row r="300" spans="1:18">
      <c r="A300" s="31" t="s">
        <v>65</v>
      </c>
      <c r="B300" s="32" t="s">
        <v>75</v>
      </c>
      <c r="C300" s="62">
        <v>43647</v>
      </c>
      <c r="D300" s="62">
        <v>44012</v>
      </c>
      <c r="E300" s="62">
        <v>43647</v>
      </c>
      <c r="F300" s="33"/>
      <c r="G300" s="63"/>
      <c r="H300" s="63"/>
      <c r="I300" s="64"/>
      <c r="J300" s="65"/>
      <c r="K300" s="66"/>
      <c r="L300" s="31" t="s">
        <v>25</v>
      </c>
      <c r="M300" s="63">
        <v>500000000</v>
      </c>
      <c r="N300" s="63">
        <v>1500000000</v>
      </c>
      <c r="O300" s="67">
        <v>10</v>
      </c>
      <c r="P300" s="66"/>
      <c r="Q300" s="66" t="s">
        <v>93</v>
      </c>
      <c r="R300" s="34"/>
    </row>
    <row r="301" spans="1:18">
      <c r="A301" s="31" t="s">
        <v>65</v>
      </c>
      <c r="B301" s="32" t="s">
        <v>75</v>
      </c>
      <c r="C301" s="62">
        <v>44013</v>
      </c>
      <c r="D301" s="62">
        <v>44377</v>
      </c>
      <c r="E301" s="62">
        <v>44013</v>
      </c>
      <c r="F301" s="33"/>
      <c r="G301" s="63"/>
      <c r="H301" s="63"/>
      <c r="I301" s="64"/>
      <c r="J301" s="65"/>
      <c r="K301" s="66"/>
      <c r="L301" s="31" t="s">
        <v>25</v>
      </c>
      <c r="M301" s="63">
        <v>1500000000</v>
      </c>
      <c r="N301" s="63">
        <v>0</v>
      </c>
      <c r="O301" s="67">
        <v>4.25</v>
      </c>
      <c r="P301" s="66"/>
      <c r="Q301" s="66" t="s">
        <v>93</v>
      </c>
      <c r="R301" s="34"/>
    </row>
    <row r="302" spans="1:18">
      <c r="A302" s="31" t="s">
        <v>65</v>
      </c>
      <c r="B302" s="32" t="s">
        <v>75</v>
      </c>
      <c r="C302" s="62">
        <v>44013</v>
      </c>
      <c r="D302" s="62">
        <v>44377</v>
      </c>
      <c r="E302" s="62">
        <v>44013</v>
      </c>
      <c r="F302" s="33"/>
      <c r="G302" s="63"/>
      <c r="H302" s="63"/>
      <c r="I302" s="64"/>
      <c r="J302" s="65"/>
      <c r="K302" s="66"/>
      <c r="L302" s="31" t="s">
        <v>25</v>
      </c>
      <c r="M302" s="63">
        <v>500000000</v>
      </c>
      <c r="N302" s="63">
        <v>1500000000</v>
      </c>
      <c r="O302" s="67">
        <v>10</v>
      </c>
      <c r="P302" s="66"/>
      <c r="Q302" s="66" t="s">
        <v>93</v>
      </c>
      <c r="R302" s="34"/>
    </row>
    <row r="303" spans="1:18">
      <c r="A303" s="31" t="s">
        <v>65</v>
      </c>
      <c r="B303" s="32" t="s">
        <v>75</v>
      </c>
      <c r="C303" s="62">
        <v>44378</v>
      </c>
      <c r="D303" s="62">
        <v>44742</v>
      </c>
      <c r="E303" s="62">
        <v>44378</v>
      </c>
      <c r="F303" s="33"/>
      <c r="G303" s="63"/>
      <c r="H303" s="63"/>
      <c r="I303" s="64"/>
      <c r="J303" s="65"/>
      <c r="K303" s="66"/>
      <c r="L303" s="31" t="s">
        <v>25</v>
      </c>
      <c r="M303" s="63">
        <v>1500000000</v>
      </c>
      <c r="N303" s="63">
        <v>0</v>
      </c>
      <c r="O303" s="67">
        <v>4.25</v>
      </c>
      <c r="P303" s="66"/>
      <c r="Q303" s="66" t="s">
        <v>93</v>
      </c>
      <c r="R303" s="34"/>
    </row>
    <row r="304" spans="1:18" s="44" customFormat="1">
      <c r="A304" s="31" t="s">
        <v>65</v>
      </c>
      <c r="B304" s="32" t="s">
        <v>75</v>
      </c>
      <c r="C304" s="62">
        <v>44378</v>
      </c>
      <c r="D304" s="62">
        <v>44742</v>
      </c>
      <c r="E304" s="62">
        <v>44378</v>
      </c>
      <c r="F304" s="33"/>
      <c r="G304" s="63"/>
      <c r="H304" s="63"/>
      <c r="I304" s="64"/>
      <c r="J304" s="65"/>
      <c r="K304" s="66"/>
      <c r="L304" s="31" t="s">
        <v>25</v>
      </c>
      <c r="M304" s="63">
        <v>500000000</v>
      </c>
      <c r="N304" s="63">
        <v>1500000000</v>
      </c>
      <c r="O304" s="67">
        <v>10</v>
      </c>
      <c r="P304" s="66"/>
      <c r="Q304" s="66" t="s">
        <v>93</v>
      </c>
      <c r="R304" s="34"/>
    </row>
    <row r="305" spans="1:18" s="44" customFormat="1">
      <c r="A305" s="31" t="s">
        <v>65</v>
      </c>
      <c r="B305" s="32" t="s">
        <v>76</v>
      </c>
      <c r="C305" s="62">
        <v>43770</v>
      </c>
      <c r="D305" s="62">
        <v>43818</v>
      </c>
      <c r="E305" s="62">
        <v>43770</v>
      </c>
      <c r="F305" s="33" t="s">
        <v>25</v>
      </c>
      <c r="G305" s="63">
        <v>50000000</v>
      </c>
      <c r="H305" s="63">
        <v>0</v>
      </c>
      <c r="I305" s="64">
        <v>5</v>
      </c>
      <c r="J305" s="65"/>
      <c r="K305" s="66" t="s">
        <v>93</v>
      </c>
      <c r="L305" s="31" t="s">
        <v>25</v>
      </c>
      <c r="M305" s="63">
        <v>2000000000</v>
      </c>
      <c r="N305" s="63">
        <v>0</v>
      </c>
      <c r="O305" s="67">
        <v>5</v>
      </c>
      <c r="P305" s="66"/>
      <c r="Q305" s="66" t="s">
        <v>93</v>
      </c>
      <c r="R305" s="34"/>
    </row>
    <row r="306" spans="1:18" s="44" customFormat="1">
      <c r="A306" s="31" t="s">
        <v>65</v>
      </c>
      <c r="B306" s="32" t="s">
        <v>76</v>
      </c>
      <c r="C306" s="62">
        <v>43819</v>
      </c>
      <c r="D306" s="62">
        <v>44184</v>
      </c>
      <c r="E306" s="62">
        <v>43819</v>
      </c>
      <c r="F306" s="33" t="s">
        <v>25</v>
      </c>
      <c r="G306" s="63">
        <v>50000000</v>
      </c>
      <c r="H306" s="63">
        <v>0</v>
      </c>
      <c r="I306" s="64">
        <v>10</v>
      </c>
      <c r="J306" s="65"/>
      <c r="K306" s="66" t="s">
        <v>93</v>
      </c>
      <c r="L306" s="31" t="s">
        <v>25</v>
      </c>
      <c r="M306" s="63">
        <v>2000000000</v>
      </c>
      <c r="N306" s="63">
        <v>0</v>
      </c>
      <c r="O306" s="67">
        <v>10</v>
      </c>
      <c r="P306" s="66"/>
      <c r="Q306" s="66" t="s">
        <v>93</v>
      </c>
      <c r="R306" s="34"/>
    </row>
    <row r="307" spans="1:18" s="44" customFormat="1">
      <c r="A307" s="31" t="s">
        <v>65</v>
      </c>
      <c r="B307" s="32" t="s">
        <v>76</v>
      </c>
      <c r="C307" s="62">
        <v>43819</v>
      </c>
      <c r="D307" s="62">
        <v>44184</v>
      </c>
      <c r="E307" s="62">
        <v>43819</v>
      </c>
      <c r="F307" s="33"/>
      <c r="G307" s="63"/>
      <c r="H307" s="63"/>
      <c r="I307" s="64"/>
      <c r="J307" s="65"/>
      <c r="K307" s="66"/>
      <c r="L307" s="31" t="s">
        <v>25</v>
      </c>
      <c r="M307" s="63">
        <v>1000000000</v>
      </c>
      <c r="N307" s="63">
        <v>2000000000</v>
      </c>
      <c r="O307" s="67">
        <v>5</v>
      </c>
      <c r="P307" s="66"/>
      <c r="Q307" s="66" t="s">
        <v>93</v>
      </c>
      <c r="R307" s="34"/>
    </row>
    <row r="308" spans="1:18">
      <c r="A308" s="31" t="s">
        <v>65</v>
      </c>
      <c r="B308" s="32" t="s">
        <v>76</v>
      </c>
      <c r="C308" s="62">
        <v>44185</v>
      </c>
      <c r="D308" s="62">
        <v>44500</v>
      </c>
      <c r="E308" s="62">
        <v>44185</v>
      </c>
      <c r="F308" s="33" t="s">
        <v>25</v>
      </c>
      <c r="G308" s="63">
        <v>50000000</v>
      </c>
      <c r="H308" s="63">
        <v>0</v>
      </c>
      <c r="I308" s="64">
        <v>13</v>
      </c>
      <c r="J308" s="65"/>
      <c r="K308" s="66" t="s">
        <v>93</v>
      </c>
      <c r="L308" s="31" t="s">
        <v>25</v>
      </c>
      <c r="M308" s="63">
        <v>750000000</v>
      </c>
      <c r="N308" s="63">
        <v>0</v>
      </c>
      <c r="O308" s="67">
        <v>13</v>
      </c>
      <c r="P308" s="66"/>
      <c r="Q308" s="66" t="s">
        <v>93</v>
      </c>
      <c r="R308" s="34"/>
    </row>
    <row r="309" spans="1:18">
      <c r="A309" s="31" t="s">
        <v>65</v>
      </c>
      <c r="B309" s="32" t="s">
        <v>76</v>
      </c>
      <c r="C309" s="62">
        <v>44185</v>
      </c>
      <c r="D309" s="62">
        <v>44500</v>
      </c>
      <c r="E309" s="62">
        <v>44185</v>
      </c>
      <c r="F309" s="33"/>
      <c r="G309" s="63"/>
      <c r="H309" s="63"/>
      <c r="I309" s="64"/>
      <c r="J309" s="65"/>
      <c r="K309" s="66"/>
      <c r="L309" s="31" t="s">
        <v>25</v>
      </c>
      <c r="M309" s="63">
        <v>1250000000</v>
      </c>
      <c r="N309" s="63">
        <v>750000000</v>
      </c>
      <c r="O309" s="67">
        <v>14</v>
      </c>
      <c r="P309" s="66"/>
      <c r="Q309" s="66" t="s">
        <v>93</v>
      </c>
      <c r="R309" s="34"/>
    </row>
    <row r="310" spans="1:18">
      <c r="A310" s="31" t="s">
        <v>65</v>
      </c>
      <c r="B310" s="32" t="s">
        <v>76</v>
      </c>
      <c r="C310" s="62">
        <v>44501</v>
      </c>
      <c r="D310" s="62">
        <v>44865</v>
      </c>
      <c r="E310" s="62">
        <v>44501</v>
      </c>
      <c r="F310" s="33" t="s">
        <v>25</v>
      </c>
      <c r="G310" s="63">
        <v>50000000</v>
      </c>
      <c r="H310" s="63">
        <v>0</v>
      </c>
      <c r="I310" s="64">
        <v>10</v>
      </c>
      <c r="J310" s="65"/>
      <c r="K310" s="66" t="s">
        <v>93</v>
      </c>
      <c r="L310" s="31" t="s">
        <v>25</v>
      </c>
      <c r="M310" s="63">
        <v>975000000</v>
      </c>
      <c r="N310" s="63">
        <v>25000000</v>
      </c>
      <c r="O310" s="67">
        <v>10</v>
      </c>
      <c r="P310" s="66"/>
      <c r="Q310" s="66" t="s">
        <v>93</v>
      </c>
      <c r="R310" s="34"/>
    </row>
    <row r="311" spans="1:18">
      <c r="A311" s="31" t="s">
        <v>65</v>
      </c>
      <c r="B311" s="32" t="s">
        <v>76</v>
      </c>
      <c r="C311" s="62">
        <v>44501</v>
      </c>
      <c r="D311" s="62">
        <v>44865</v>
      </c>
      <c r="E311" s="62">
        <v>44501</v>
      </c>
      <c r="F311" s="33"/>
      <c r="G311" s="63"/>
      <c r="H311" s="63"/>
      <c r="I311" s="64"/>
      <c r="J311" s="65"/>
      <c r="K311" s="66"/>
      <c r="L311" s="31" t="s">
        <v>25</v>
      </c>
      <c r="M311" s="63">
        <v>1000000000</v>
      </c>
      <c r="N311" s="63">
        <v>1000000000</v>
      </c>
      <c r="O311" s="67">
        <v>10</v>
      </c>
      <c r="P311" s="66"/>
      <c r="Q311" s="66" t="s">
        <v>93</v>
      </c>
      <c r="R311" s="34"/>
    </row>
    <row r="312" spans="1:18">
      <c r="A312" s="31" t="s">
        <v>65</v>
      </c>
      <c r="B312" s="32" t="s">
        <v>80</v>
      </c>
      <c r="C312" s="62">
        <v>43799</v>
      </c>
      <c r="D312" s="62">
        <v>44164</v>
      </c>
      <c r="E312" s="62">
        <v>43799</v>
      </c>
      <c r="F312" s="33" t="s">
        <v>25</v>
      </c>
      <c r="G312" s="63">
        <v>75000000</v>
      </c>
      <c r="H312" s="63">
        <v>0</v>
      </c>
      <c r="I312" s="64">
        <v>0</v>
      </c>
      <c r="J312" s="65"/>
      <c r="K312" s="66" t="s">
        <v>93</v>
      </c>
      <c r="L312" s="31" t="s">
        <v>25</v>
      </c>
      <c r="M312" s="63">
        <v>1500000000</v>
      </c>
      <c r="N312" s="63">
        <v>0</v>
      </c>
      <c r="O312" s="67">
        <v>0</v>
      </c>
      <c r="P312" s="66"/>
      <c r="Q312" s="66" t="s">
        <v>93</v>
      </c>
      <c r="R312" s="34"/>
    </row>
    <row r="313" spans="1:18">
      <c r="A313" s="31" t="s">
        <v>65</v>
      </c>
      <c r="B313" s="32" t="s">
        <v>80</v>
      </c>
      <c r="C313" s="62">
        <v>44165</v>
      </c>
      <c r="D313" s="62">
        <v>44529</v>
      </c>
      <c r="E313" s="62">
        <v>44165</v>
      </c>
      <c r="F313" s="33" t="s">
        <v>25</v>
      </c>
      <c r="G313" s="63">
        <v>75000000</v>
      </c>
      <c r="H313" s="63">
        <v>0</v>
      </c>
      <c r="I313" s="64">
        <v>0</v>
      </c>
      <c r="J313" s="65"/>
      <c r="K313" s="66" t="s">
        <v>93</v>
      </c>
      <c r="L313" s="31" t="s">
        <v>25</v>
      </c>
      <c r="M313" s="63">
        <v>1500000000</v>
      </c>
      <c r="N313" s="63">
        <v>0</v>
      </c>
      <c r="O313" s="67">
        <v>0</v>
      </c>
      <c r="P313" s="66"/>
      <c r="Q313" s="66" t="s">
        <v>93</v>
      </c>
      <c r="R313" s="34"/>
    </row>
    <row r="314" spans="1:18">
      <c r="A314" s="31" t="s">
        <v>65</v>
      </c>
      <c r="B314" s="32" t="s">
        <v>80</v>
      </c>
      <c r="C314" s="62">
        <v>44530</v>
      </c>
      <c r="D314" s="62">
        <v>44894</v>
      </c>
      <c r="E314" s="62">
        <v>44530</v>
      </c>
      <c r="F314" s="33" t="s">
        <v>25</v>
      </c>
      <c r="G314" s="63">
        <v>75000000</v>
      </c>
      <c r="H314" s="63">
        <v>0</v>
      </c>
      <c r="I314" s="64">
        <v>0</v>
      </c>
      <c r="J314" s="65"/>
      <c r="K314" s="66" t="s">
        <v>93</v>
      </c>
      <c r="L314" s="31" t="s">
        <v>25</v>
      </c>
      <c r="M314" s="63">
        <v>1500000000</v>
      </c>
      <c r="N314" s="63">
        <v>0</v>
      </c>
      <c r="O314" s="67">
        <v>0</v>
      </c>
      <c r="P314" s="66"/>
      <c r="Q314" s="66" t="s">
        <v>93</v>
      </c>
      <c r="R314" s="34"/>
    </row>
    <row r="315" spans="1:18">
      <c r="A315" s="31" t="s">
        <v>65</v>
      </c>
      <c r="B315" s="32" t="s">
        <v>77</v>
      </c>
      <c r="C315" s="62">
        <v>43556</v>
      </c>
      <c r="D315" s="62">
        <v>43921</v>
      </c>
      <c r="E315" s="62">
        <v>43556</v>
      </c>
      <c r="F315" s="33" t="s">
        <v>25</v>
      </c>
      <c r="G315" s="63">
        <v>100000000</v>
      </c>
      <c r="H315" s="63">
        <v>0</v>
      </c>
      <c r="I315" s="64">
        <v>10</v>
      </c>
      <c r="J315" s="65"/>
      <c r="K315" s="66" t="s">
        <v>93</v>
      </c>
      <c r="L315" s="31" t="s">
        <v>25</v>
      </c>
      <c r="M315" s="63">
        <v>1000000000</v>
      </c>
      <c r="N315" s="63">
        <v>0</v>
      </c>
      <c r="O315" s="67">
        <v>10</v>
      </c>
      <c r="P315" s="66"/>
      <c r="Q315" s="66" t="s">
        <v>93</v>
      </c>
      <c r="R315" s="34"/>
    </row>
    <row r="316" spans="1:18">
      <c r="A316" s="31" t="s">
        <v>65</v>
      </c>
      <c r="B316" s="32" t="s">
        <v>77</v>
      </c>
      <c r="C316" s="62">
        <v>43922</v>
      </c>
      <c r="D316" s="62">
        <v>44286</v>
      </c>
      <c r="E316" s="62">
        <v>43922</v>
      </c>
      <c r="F316" s="33" t="s">
        <v>25</v>
      </c>
      <c r="G316" s="63">
        <v>100000000</v>
      </c>
      <c r="H316" s="63">
        <v>0</v>
      </c>
      <c r="I316" s="64">
        <v>10</v>
      </c>
      <c r="J316" s="65"/>
      <c r="K316" s="66" t="s">
        <v>93</v>
      </c>
      <c r="L316" s="31" t="s">
        <v>25</v>
      </c>
      <c r="M316" s="63">
        <v>1000000000</v>
      </c>
      <c r="N316" s="63">
        <v>0</v>
      </c>
      <c r="O316" s="67">
        <v>10</v>
      </c>
      <c r="P316" s="66"/>
      <c r="Q316" s="66" t="s">
        <v>93</v>
      </c>
      <c r="R316" s="34"/>
    </row>
    <row r="317" spans="1:18">
      <c r="A317" s="31" t="s">
        <v>65</v>
      </c>
      <c r="B317" s="32" t="s">
        <v>77</v>
      </c>
      <c r="C317" s="62">
        <v>44287</v>
      </c>
      <c r="D317" s="62">
        <v>44651</v>
      </c>
      <c r="E317" s="62">
        <v>44287</v>
      </c>
      <c r="F317" s="33" t="s">
        <v>25</v>
      </c>
      <c r="G317" s="63">
        <v>85000000</v>
      </c>
      <c r="H317" s="63">
        <v>0</v>
      </c>
      <c r="I317" s="64">
        <v>10</v>
      </c>
      <c r="J317" s="65"/>
      <c r="K317" s="66" t="s">
        <v>93</v>
      </c>
      <c r="L317" s="31" t="s">
        <v>25</v>
      </c>
      <c r="M317" s="63">
        <v>1000000000</v>
      </c>
      <c r="N317" s="63">
        <v>0</v>
      </c>
      <c r="O317" s="67">
        <v>10</v>
      </c>
      <c r="P317" s="66"/>
      <c r="Q317" s="66" t="s">
        <v>93</v>
      </c>
      <c r="R317" s="34"/>
    </row>
    <row r="318" spans="1:18">
      <c r="A318" s="31" t="s">
        <v>65</v>
      </c>
      <c r="B318" s="32" t="s">
        <v>260</v>
      </c>
      <c r="C318" s="62">
        <v>43831</v>
      </c>
      <c r="D318" s="62">
        <v>44196</v>
      </c>
      <c r="E318" s="62">
        <v>43831</v>
      </c>
      <c r="F318" s="33"/>
      <c r="G318" s="63"/>
      <c r="H318" s="63"/>
      <c r="I318" s="64"/>
      <c r="J318" s="65"/>
      <c r="K318" s="66"/>
      <c r="L318" s="31" t="s">
        <v>25</v>
      </c>
      <c r="M318" s="63">
        <v>2000000000</v>
      </c>
      <c r="N318" s="63">
        <v>0</v>
      </c>
      <c r="O318" s="67">
        <v>0</v>
      </c>
      <c r="P318" s="66"/>
      <c r="Q318" s="66" t="s">
        <v>93</v>
      </c>
      <c r="R318" s="34"/>
    </row>
    <row r="319" spans="1:18">
      <c r="A319" s="31" t="s">
        <v>65</v>
      </c>
      <c r="B319" s="32" t="s">
        <v>260</v>
      </c>
      <c r="C319" s="62">
        <v>44197</v>
      </c>
      <c r="D319" s="62">
        <v>44561</v>
      </c>
      <c r="E319" s="62">
        <v>44197</v>
      </c>
      <c r="F319" s="33"/>
      <c r="G319" s="63"/>
      <c r="H319" s="63"/>
      <c r="I319" s="64"/>
      <c r="J319" s="65"/>
      <c r="K319" s="66"/>
      <c r="L319" s="31" t="s">
        <v>25</v>
      </c>
      <c r="M319" s="63">
        <v>2000000000</v>
      </c>
      <c r="N319" s="63">
        <v>0</v>
      </c>
      <c r="O319" s="67">
        <v>0</v>
      </c>
      <c r="P319" s="66"/>
      <c r="Q319" s="66" t="s">
        <v>93</v>
      </c>
      <c r="R319" s="34"/>
    </row>
    <row r="320" spans="1:18">
      <c r="A320" s="31" t="s">
        <v>65</v>
      </c>
      <c r="B320" s="32" t="s">
        <v>78</v>
      </c>
      <c r="C320" s="62">
        <v>43647</v>
      </c>
      <c r="D320" s="62">
        <v>44012</v>
      </c>
      <c r="E320" s="62">
        <v>43647</v>
      </c>
      <c r="F320" s="33" t="s">
        <v>25</v>
      </c>
      <c r="G320" s="63">
        <v>100000000</v>
      </c>
      <c r="H320" s="63">
        <v>0</v>
      </c>
      <c r="I320" s="64">
        <v>6.5</v>
      </c>
      <c r="J320" s="65"/>
      <c r="K320" s="66" t="s">
        <v>93</v>
      </c>
      <c r="L320" s="31" t="s">
        <v>25</v>
      </c>
      <c r="M320" s="63">
        <v>2500000000</v>
      </c>
      <c r="N320" s="63">
        <v>0</v>
      </c>
      <c r="O320" s="67">
        <v>6.5</v>
      </c>
      <c r="P320" s="66"/>
      <c r="Q320" s="66" t="s">
        <v>93</v>
      </c>
      <c r="R320" s="34"/>
    </row>
    <row r="321" spans="1:18">
      <c r="A321" s="31" t="s">
        <v>65</v>
      </c>
      <c r="B321" s="32" t="s">
        <v>78</v>
      </c>
      <c r="C321" s="62">
        <v>43647</v>
      </c>
      <c r="D321" s="62">
        <v>44012</v>
      </c>
      <c r="E321" s="62">
        <v>43647</v>
      </c>
      <c r="F321" s="33"/>
      <c r="G321" s="63"/>
      <c r="H321" s="63"/>
      <c r="I321" s="64"/>
      <c r="J321" s="65"/>
      <c r="K321" s="66"/>
      <c r="L321" s="31" t="s">
        <v>25</v>
      </c>
      <c r="M321" s="63">
        <v>1500000000</v>
      </c>
      <c r="N321" s="63">
        <v>2500000000</v>
      </c>
      <c r="O321" s="67">
        <v>3.35</v>
      </c>
      <c r="P321" s="66"/>
      <c r="Q321" s="66" t="s">
        <v>93</v>
      </c>
      <c r="R321" s="34"/>
    </row>
    <row r="322" spans="1:18">
      <c r="A322" s="31" t="s">
        <v>65</v>
      </c>
      <c r="B322" s="32" t="s">
        <v>78</v>
      </c>
      <c r="C322" s="62">
        <v>44013</v>
      </c>
      <c r="D322" s="62">
        <v>44377</v>
      </c>
      <c r="E322" s="62">
        <v>44013</v>
      </c>
      <c r="F322" s="33" t="s">
        <v>25</v>
      </c>
      <c r="G322" s="63">
        <v>100000000</v>
      </c>
      <c r="H322" s="63">
        <v>0</v>
      </c>
      <c r="I322" s="64">
        <v>7.25</v>
      </c>
      <c r="J322" s="65"/>
      <c r="K322" s="66" t="s">
        <v>93</v>
      </c>
      <c r="L322" s="31" t="s">
        <v>25</v>
      </c>
      <c r="M322" s="63">
        <v>2500000000</v>
      </c>
      <c r="N322" s="63">
        <v>0</v>
      </c>
      <c r="O322" s="67">
        <v>7.25</v>
      </c>
      <c r="P322" s="66"/>
      <c r="Q322" s="66" t="s">
        <v>93</v>
      </c>
      <c r="R322" s="34"/>
    </row>
    <row r="323" spans="1:18">
      <c r="A323" s="31" t="s">
        <v>65</v>
      </c>
      <c r="B323" s="32" t="s">
        <v>78</v>
      </c>
      <c r="C323" s="62">
        <v>44013</v>
      </c>
      <c r="D323" s="62">
        <v>44377</v>
      </c>
      <c r="E323" s="62">
        <v>44013</v>
      </c>
      <c r="F323" s="33"/>
      <c r="G323" s="63"/>
      <c r="H323" s="63"/>
      <c r="I323" s="64"/>
      <c r="J323" s="65"/>
      <c r="K323" s="66"/>
      <c r="L323" s="31" t="s">
        <v>25</v>
      </c>
      <c r="M323" s="63">
        <v>500000000</v>
      </c>
      <c r="N323" s="63">
        <v>2000000000</v>
      </c>
      <c r="O323" s="67">
        <v>3.35</v>
      </c>
      <c r="P323" s="66"/>
      <c r="Q323" s="66" t="s">
        <v>93</v>
      </c>
      <c r="R323" s="34"/>
    </row>
    <row r="324" spans="1:18">
      <c r="A324" s="31" t="s">
        <v>65</v>
      </c>
      <c r="B324" s="32" t="s">
        <v>78</v>
      </c>
      <c r="C324" s="62">
        <v>44378</v>
      </c>
      <c r="D324" s="62">
        <v>44742</v>
      </c>
      <c r="E324" s="62">
        <v>44378</v>
      </c>
      <c r="F324" s="33" t="s">
        <v>25</v>
      </c>
      <c r="G324" s="63">
        <v>150000000</v>
      </c>
      <c r="H324" s="63">
        <v>0</v>
      </c>
      <c r="I324" s="64">
        <v>7.5</v>
      </c>
      <c r="J324" s="65"/>
      <c r="K324" s="66" t="s">
        <v>93</v>
      </c>
      <c r="L324" s="31" t="s">
        <v>25</v>
      </c>
      <c r="M324" s="63">
        <v>2500000000</v>
      </c>
      <c r="N324" s="63">
        <v>0</v>
      </c>
      <c r="O324" s="67">
        <v>7.5</v>
      </c>
      <c r="P324" s="66"/>
      <c r="Q324" s="66" t="s">
        <v>93</v>
      </c>
      <c r="R324" s="34"/>
    </row>
    <row r="325" spans="1:18">
      <c r="A325" s="31" t="s">
        <v>65</v>
      </c>
      <c r="B325" s="32" t="s">
        <v>78</v>
      </c>
      <c r="C325" s="62">
        <v>44378</v>
      </c>
      <c r="D325" s="62">
        <v>44742</v>
      </c>
      <c r="E325" s="62">
        <v>44378</v>
      </c>
      <c r="F325" s="33"/>
      <c r="G325" s="63"/>
      <c r="H325" s="63"/>
      <c r="I325" s="64"/>
      <c r="J325" s="65"/>
      <c r="K325" s="66"/>
      <c r="L325" s="31" t="s">
        <v>25</v>
      </c>
      <c r="M325" s="63">
        <v>1500000000</v>
      </c>
      <c r="N325" s="63">
        <v>2500000000</v>
      </c>
      <c r="O325" s="67">
        <v>3.35</v>
      </c>
      <c r="P325" s="66"/>
      <c r="Q325" s="66" t="s">
        <v>93</v>
      </c>
      <c r="R325" s="34"/>
    </row>
    <row r="326" spans="1:18">
      <c r="A326" s="31"/>
      <c r="B326" s="32"/>
      <c r="C326" s="62"/>
      <c r="D326" s="62"/>
      <c r="E326" s="62"/>
      <c r="F326" s="33"/>
      <c r="G326" s="63"/>
      <c r="H326" s="63"/>
      <c r="I326" s="64"/>
      <c r="J326" s="65"/>
      <c r="K326" s="66"/>
      <c r="L326" s="31"/>
      <c r="M326" s="63"/>
      <c r="N326" s="63"/>
      <c r="O326" s="67"/>
      <c r="P326" s="66"/>
      <c r="Q326" s="66"/>
      <c r="R326" s="34"/>
    </row>
  </sheetData>
  <mergeCells count="7">
    <mergeCell ref="A11:R11"/>
    <mergeCell ref="A1:R1"/>
    <mergeCell ref="A3:R3"/>
    <mergeCell ref="A6:R6"/>
    <mergeCell ref="A7:R7"/>
    <mergeCell ref="A8:R8"/>
    <mergeCell ref="A9:R9"/>
  </mergeCells>
  <pageMargins left="0.51181102362204722" right="0.51181102362204722" top="0.74803149606299213" bottom="0.74803149606299213" header="0.19685039370078741" footer="0.15748031496062992"/>
  <pageSetup scale="82" fitToHeight="0" orientation="landscape" r:id="rId1"/>
  <headerFooter>
    <oddFooter>&amp;L&amp;11&amp;A&amp;C&amp;11Page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A2A4F-2411-4600-8D87-B82DD305A053}">
  <sheetPr>
    <pageSetUpPr fitToPage="1"/>
  </sheetPr>
  <dimension ref="A1:I32"/>
  <sheetViews>
    <sheetView showGridLines="0" view="pageBreakPreview" zoomScale="80" zoomScaleNormal="50" zoomScaleSheetLayoutView="80" workbookViewId="0">
      <selection sqref="A1:I1"/>
    </sheetView>
  </sheetViews>
  <sheetFormatPr defaultRowHeight="13.2"/>
  <cols>
    <col min="1" max="1" width="3" customWidth="1"/>
    <col min="2" max="2" width="21.44140625" bestFit="1" customWidth="1"/>
    <col min="9" max="9" width="51.88671875" customWidth="1"/>
  </cols>
  <sheetData>
    <row r="1" spans="1:9" ht="17.399999999999999">
      <c r="A1" s="121" t="s">
        <v>168</v>
      </c>
      <c r="B1" s="122"/>
      <c r="C1" s="122"/>
      <c r="D1" s="122"/>
      <c r="E1" s="122"/>
      <c r="F1" s="122"/>
      <c r="G1" s="122"/>
      <c r="H1" s="122"/>
      <c r="I1" s="123"/>
    </row>
    <row r="2" spans="1:9" ht="3.6" customHeight="1">
      <c r="A2" s="57"/>
      <c r="B2" s="58"/>
      <c r="C2" s="59"/>
      <c r="D2" s="59"/>
      <c r="E2" s="60"/>
      <c r="F2" s="60"/>
      <c r="G2" s="60"/>
      <c r="H2" s="60"/>
      <c r="I2" s="61"/>
    </row>
    <row r="3" spans="1:9" ht="15.6">
      <c r="A3" s="124" t="s">
        <v>107</v>
      </c>
      <c r="B3" s="125"/>
      <c r="C3" s="125"/>
      <c r="D3" s="125"/>
      <c r="E3" s="125"/>
      <c r="F3" s="125"/>
      <c r="G3" s="125"/>
      <c r="H3" s="125"/>
      <c r="I3" s="126"/>
    </row>
    <row r="4" spans="1:9" ht="16.2" thickBot="1">
      <c r="A4" s="127" t="s">
        <v>106</v>
      </c>
      <c r="B4" s="128"/>
      <c r="C4" s="128"/>
      <c r="D4" s="128"/>
      <c r="E4" s="128"/>
      <c r="F4" s="128"/>
      <c r="G4" s="128"/>
      <c r="H4" s="128"/>
      <c r="I4" s="129"/>
    </row>
    <row r="5" spans="1:9">
      <c r="A5" s="7"/>
      <c r="B5" s="6"/>
      <c r="C5" s="6"/>
      <c r="D5" s="6"/>
      <c r="E5" s="6"/>
      <c r="F5" s="6"/>
      <c r="G5" s="6"/>
      <c r="H5" s="6"/>
      <c r="I5" s="6"/>
    </row>
    <row r="6" spans="1:9">
      <c r="A6" s="35"/>
      <c r="B6" s="36"/>
      <c r="C6" s="36"/>
      <c r="D6" s="36"/>
      <c r="E6" s="36"/>
      <c r="F6" s="36"/>
      <c r="G6" s="36"/>
      <c r="H6" s="36"/>
      <c r="I6" s="37"/>
    </row>
    <row r="7" spans="1:9">
      <c r="A7" s="38" t="s">
        <v>103</v>
      </c>
      <c r="B7" s="8"/>
      <c r="C7" s="8"/>
      <c r="D7" s="8"/>
      <c r="E7" s="8"/>
      <c r="F7" s="8"/>
      <c r="G7" s="8"/>
      <c r="H7" s="8"/>
      <c r="I7" s="9"/>
    </row>
    <row r="8" spans="1:9">
      <c r="A8" s="11"/>
      <c r="B8" s="8"/>
      <c r="C8" s="8"/>
      <c r="D8" s="8"/>
      <c r="E8" s="8"/>
      <c r="F8" s="8"/>
      <c r="G8" s="8"/>
      <c r="H8" s="8"/>
      <c r="I8" s="9"/>
    </row>
    <row r="9" spans="1:9">
      <c r="A9" s="11">
        <v>1</v>
      </c>
      <c r="B9" s="43" t="s">
        <v>94</v>
      </c>
      <c r="C9" s="39" t="s">
        <v>281</v>
      </c>
      <c r="D9" s="10"/>
      <c r="E9" s="8"/>
      <c r="F9" s="8"/>
      <c r="G9" s="8"/>
      <c r="H9" s="8"/>
      <c r="I9" s="9"/>
    </row>
    <row r="10" spans="1:9">
      <c r="A10" s="11">
        <v>2</v>
      </c>
      <c r="B10" s="68" t="s">
        <v>86</v>
      </c>
      <c r="C10" s="69" t="s">
        <v>282</v>
      </c>
      <c r="D10" s="10"/>
      <c r="E10" s="8"/>
      <c r="F10" s="8"/>
      <c r="G10" s="8"/>
      <c r="H10" s="8"/>
      <c r="I10" s="9"/>
    </row>
    <row r="11" spans="1:9">
      <c r="A11" s="11">
        <v>3</v>
      </c>
      <c r="B11" s="68" t="s">
        <v>28</v>
      </c>
      <c r="C11" s="69" t="s">
        <v>283</v>
      </c>
      <c r="D11" s="10"/>
      <c r="E11" s="8"/>
      <c r="F11" s="8"/>
      <c r="G11" s="8"/>
      <c r="H11" s="8"/>
      <c r="I11" s="9"/>
    </row>
    <row r="12" spans="1:9" s="44" customFormat="1">
      <c r="A12" s="11">
        <v>4</v>
      </c>
      <c r="B12" s="68" t="s">
        <v>142</v>
      </c>
      <c r="C12" s="69" t="s">
        <v>284</v>
      </c>
      <c r="D12" s="10"/>
      <c r="E12" s="8"/>
      <c r="F12" s="8"/>
      <c r="G12" s="8"/>
      <c r="H12" s="8"/>
      <c r="I12" s="9"/>
    </row>
    <row r="13" spans="1:9" s="44" customFormat="1">
      <c r="A13" s="11">
        <v>5</v>
      </c>
      <c r="B13" s="68" t="s">
        <v>34</v>
      </c>
      <c r="C13" s="69" t="s">
        <v>285</v>
      </c>
      <c r="D13" s="10"/>
      <c r="E13" s="8"/>
      <c r="F13" s="8"/>
      <c r="G13" s="8"/>
      <c r="H13" s="8"/>
      <c r="I13" s="9"/>
    </row>
    <row r="14" spans="1:9" s="44" customFormat="1">
      <c r="A14" s="11">
        <v>6</v>
      </c>
      <c r="B14" s="68" t="s">
        <v>36</v>
      </c>
      <c r="C14" s="69" t="s">
        <v>286</v>
      </c>
      <c r="D14" s="10"/>
      <c r="E14" s="8"/>
      <c r="F14" s="8"/>
      <c r="G14" s="8"/>
      <c r="H14" s="8"/>
      <c r="I14" s="9"/>
    </row>
    <row r="15" spans="1:9">
      <c r="A15" s="11">
        <v>7</v>
      </c>
      <c r="B15" s="68" t="s">
        <v>248</v>
      </c>
      <c r="C15" s="69" t="s">
        <v>287</v>
      </c>
      <c r="D15" s="8"/>
      <c r="E15" s="8"/>
      <c r="F15" s="8"/>
      <c r="G15" s="8"/>
      <c r="H15" s="8"/>
      <c r="I15" s="9"/>
    </row>
    <row r="16" spans="1:9">
      <c r="A16" s="11">
        <v>8</v>
      </c>
      <c r="B16" s="68" t="s">
        <v>39</v>
      </c>
      <c r="C16" s="69" t="s">
        <v>288</v>
      </c>
      <c r="D16" s="8"/>
      <c r="E16" s="8"/>
      <c r="F16" s="8"/>
      <c r="G16" s="8"/>
      <c r="H16" s="8"/>
      <c r="I16" s="9"/>
    </row>
    <row r="17" spans="1:9">
      <c r="A17" s="11">
        <v>9</v>
      </c>
      <c r="B17" s="68" t="s">
        <v>88</v>
      </c>
      <c r="C17" s="69" t="s">
        <v>289</v>
      </c>
      <c r="D17" s="8"/>
      <c r="E17" s="8"/>
      <c r="F17" s="8"/>
      <c r="G17" s="8"/>
      <c r="H17" s="8"/>
      <c r="I17" s="9"/>
    </row>
    <row r="18" spans="1:9">
      <c r="A18" s="11">
        <v>10</v>
      </c>
      <c r="B18" s="68" t="s">
        <v>44</v>
      </c>
      <c r="C18" s="69" t="s">
        <v>290</v>
      </c>
      <c r="D18" s="8"/>
      <c r="E18" s="8"/>
      <c r="F18" s="8"/>
      <c r="G18" s="8"/>
      <c r="H18" s="8"/>
      <c r="I18" s="9"/>
    </row>
    <row r="19" spans="1:9">
      <c r="A19" s="11">
        <v>11</v>
      </c>
      <c r="B19" s="43" t="s">
        <v>45</v>
      </c>
      <c r="C19" s="69" t="s">
        <v>291</v>
      </c>
      <c r="D19" s="8"/>
      <c r="E19" s="8"/>
      <c r="F19" s="8"/>
      <c r="G19" s="8"/>
      <c r="H19" s="8"/>
      <c r="I19" s="9"/>
    </row>
    <row r="20" spans="1:9">
      <c r="A20" s="11">
        <v>12</v>
      </c>
      <c r="B20" s="43" t="s">
        <v>48</v>
      </c>
      <c r="C20" s="39" t="s">
        <v>292</v>
      </c>
      <c r="D20" s="8"/>
      <c r="E20" s="8"/>
      <c r="F20" s="8"/>
      <c r="G20" s="8"/>
      <c r="H20" s="8"/>
      <c r="I20" s="9"/>
    </row>
    <row r="21" spans="1:9">
      <c r="A21" s="11">
        <v>13</v>
      </c>
      <c r="B21" s="43" t="s">
        <v>5</v>
      </c>
      <c r="C21" s="70" t="s">
        <v>293</v>
      </c>
      <c r="D21" s="8"/>
      <c r="E21" s="8"/>
      <c r="F21" s="8"/>
      <c r="G21" s="8"/>
      <c r="H21" s="8"/>
      <c r="I21" s="9"/>
    </row>
    <row r="22" spans="1:9">
      <c r="A22" s="11">
        <v>14</v>
      </c>
      <c r="B22" s="43" t="s">
        <v>51</v>
      </c>
      <c r="C22" s="70" t="s">
        <v>294</v>
      </c>
      <c r="D22" s="8"/>
      <c r="E22" s="8"/>
      <c r="F22" s="8"/>
      <c r="G22" s="8"/>
      <c r="H22" s="8"/>
      <c r="I22" s="9"/>
    </row>
    <row r="23" spans="1:9">
      <c r="A23" s="11">
        <v>15</v>
      </c>
      <c r="B23" s="43" t="s">
        <v>69</v>
      </c>
      <c r="C23" s="70" t="s">
        <v>295</v>
      </c>
      <c r="D23" s="8"/>
      <c r="E23" s="8"/>
      <c r="F23" s="8"/>
      <c r="G23" s="8"/>
      <c r="H23" s="8"/>
      <c r="I23" s="9"/>
    </row>
    <row r="24" spans="1:9">
      <c r="A24" s="11">
        <v>16</v>
      </c>
      <c r="B24" s="43" t="s">
        <v>67</v>
      </c>
      <c r="C24" s="70" t="s">
        <v>296</v>
      </c>
      <c r="D24" s="8"/>
      <c r="E24" s="8"/>
      <c r="F24" s="8"/>
      <c r="G24" s="8"/>
      <c r="H24" s="8"/>
      <c r="I24" s="9"/>
    </row>
    <row r="25" spans="1:9">
      <c r="A25" s="11"/>
      <c r="B25" s="43"/>
      <c r="C25" s="70"/>
      <c r="D25" s="8"/>
      <c r="E25" s="8"/>
      <c r="F25" s="8"/>
      <c r="G25" s="8"/>
      <c r="H25" s="8"/>
      <c r="I25" s="9"/>
    </row>
    <row r="26" spans="1:9">
      <c r="A26" s="11"/>
      <c r="B26" s="43"/>
      <c r="C26" s="70"/>
      <c r="D26" s="8"/>
      <c r="E26" s="8"/>
      <c r="F26" s="8"/>
      <c r="G26" s="8"/>
      <c r="H26" s="8"/>
      <c r="I26" s="9"/>
    </row>
    <row r="27" spans="1:9">
      <c r="A27" s="11"/>
      <c r="B27" s="43"/>
      <c r="C27" s="70"/>
      <c r="D27" s="8"/>
      <c r="E27" s="8"/>
      <c r="F27" s="8"/>
      <c r="G27" s="8"/>
      <c r="H27" s="8"/>
      <c r="I27" s="9"/>
    </row>
    <row r="28" spans="1:9">
      <c r="A28" s="11"/>
      <c r="B28" s="43"/>
      <c r="C28" s="70"/>
      <c r="D28" s="8"/>
      <c r="E28" s="8"/>
      <c r="F28" s="8"/>
      <c r="G28" s="8"/>
      <c r="H28" s="8"/>
      <c r="I28" s="9"/>
    </row>
    <row r="29" spans="1:9">
      <c r="A29" s="11"/>
      <c r="B29" s="43"/>
      <c r="C29" s="70"/>
      <c r="D29" s="8"/>
      <c r="E29" s="8"/>
      <c r="F29" s="8"/>
      <c r="G29" s="8"/>
      <c r="H29" s="8"/>
      <c r="I29" s="9"/>
    </row>
    <row r="30" spans="1:9">
      <c r="A30" s="11"/>
      <c r="B30" s="43"/>
      <c r="C30" s="70"/>
      <c r="D30" s="8"/>
      <c r="E30" s="8"/>
      <c r="F30" s="8"/>
      <c r="G30" s="8"/>
      <c r="H30" s="8"/>
      <c r="I30" s="9"/>
    </row>
    <row r="31" spans="1:9">
      <c r="A31" s="11"/>
      <c r="B31" s="43"/>
      <c r="C31" s="70"/>
      <c r="D31" s="8"/>
      <c r="E31" s="8"/>
      <c r="F31" s="8"/>
      <c r="G31" s="8"/>
      <c r="H31" s="8"/>
      <c r="I31" s="9"/>
    </row>
    <row r="32" spans="1:9">
      <c r="A32" s="40"/>
      <c r="B32" s="71"/>
      <c r="C32" s="72"/>
      <c r="D32" s="41"/>
      <c r="E32" s="41"/>
      <c r="F32" s="41"/>
      <c r="G32" s="41"/>
      <c r="H32" s="41"/>
      <c r="I32" s="42"/>
    </row>
  </sheetData>
  <mergeCells count="3">
    <mergeCell ref="A1:I1"/>
    <mergeCell ref="A3:I3"/>
    <mergeCell ref="A4:I4"/>
  </mergeCells>
  <pageMargins left="0.51181102362204722" right="0.51181102362204722" top="0.74803149606299213" bottom="0.74803149606299213" header="0.19685039370078741" footer="0.15748031496062992"/>
  <pageSetup fitToHeight="0" orientation="landscape" r:id="rId1"/>
  <headerFooter>
    <oddFooter>&amp;L&amp;11&amp;A&amp;C&amp;11Page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L101"/>
  <sheetViews>
    <sheetView showGridLines="0" view="pageBreakPreview" zoomScale="90" zoomScaleNormal="70" zoomScaleSheetLayoutView="90" workbookViewId="0">
      <selection sqref="A1:K1"/>
    </sheetView>
  </sheetViews>
  <sheetFormatPr defaultColWidth="8.88671875" defaultRowHeight="13.2"/>
  <cols>
    <col min="1" max="1" width="3" style="46" customWidth="1"/>
    <col min="2" max="2" width="55.44140625" style="44" customWidth="1"/>
    <col min="3" max="4" width="12.33203125" style="44" customWidth="1"/>
    <col min="5" max="5" width="22.109375" style="18" bestFit="1" customWidth="1"/>
    <col min="6" max="6" width="13.109375" style="18" bestFit="1" customWidth="1"/>
    <col min="7" max="7" width="7.6640625" style="44" bestFit="1" customWidth="1"/>
    <col min="8" max="8" width="14.88671875" style="44" bestFit="1" customWidth="1"/>
    <col min="9" max="9" width="7.6640625" style="44" bestFit="1" customWidth="1"/>
    <col min="10" max="10" width="8.44140625" style="44" bestFit="1" customWidth="1"/>
    <col min="11" max="11" width="3.6640625" style="44" bestFit="1" customWidth="1"/>
    <col min="12" max="16384" width="8.88671875" style="44"/>
  </cols>
  <sheetData>
    <row r="1" spans="1:12" s="21" customFormat="1" ht="22.95" customHeight="1" thickBot="1">
      <c r="A1" s="145" t="s">
        <v>203</v>
      </c>
      <c r="B1" s="146"/>
      <c r="C1" s="146"/>
      <c r="D1" s="146"/>
      <c r="E1" s="146"/>
      <c r="F1" s="146"/>
      <c r="G1" s="146"/>
      <c r="H1" s="146"/>
      <c r="I1" s="146"/>
      <c r="J1" s="146"/>
      <c r="K1" s="147"/>
      <c r="L1" s="20"/>
    </row>
    <row r="2" spans="1:12" ht="20.399999999999999">
      <c r="A2" s="45"/>
      <c r="B2" s="14"/>
      <c r="C2" s="14"/>
      <c r="D2" s="14"/>
      <c r="E2" s="16"/>
      <c r="F2" s="16"/>
      <c r="G2" s="14"/>
      <c r="H2" s="14"/>
      <c r="I2" s="14"/>
      <c r="J2" s="13"/>
      <c r="K2" s="13"/>
      <c r="L2" s="14"/>
    </row>
    <row r="3" spans="1:12" ht="20.25" customHeight="1">
      <c r="A3" s="47" t="s">
        <v>195</v>
      </c>
      <c r="B3" s="19"/>
      <c r="C3" s="15"/>
      <c r="D3" s="15"/>
      <c r="E3" s="12"/>
      <c r="F3" s="12"/>
      <c r="G3" s="12"/>
      <c r="H3" s="12"/>
      <c r="I3" s="12"/>
      <c r="J3" s="12"/>
      <c r="K3" s="13"/>
      <c r="L3" s="14"/>
    </row>
    <row r="4" spans="1:12" ht="21" thickBot="1">
      <c r="A4" s="45"/>
      <c r="B4" s="14"/>
      <c r="C4" s="14"/>
      <c r="D4" s="14"/>
      <c r="E4" s="16"/>
      <c r="F4" s="16"/>
      <c r="G4" s="14"/>
      <c r="H4" s="14"/>
      <c r="I4" s="14"/>
      <c r="J4" s="13"/>
      <c r="K4" s="13"/>
      <c r="L4" s="14"/>
    </row>
    <row r="5" spans="1:12" ht="20.25" customHeight="1">
      <c r="A5" s="130" t="s">
        <v>199</v>
      </c>
      <c r="B5" s="131"/>
      <c r="C5" s="131"/>
      <c r="D5" s="131"/>
      <c r="E5" s="131"/>
      <c r="F5" s="131"/>
      <c r="G5" s="131"/>
      <c r="H5" s="131"/>
      <c r="I5" s="131"/>
      <c r="J5" s="131"/>
      <c r="K5" s="132"/>
      <c r="L5" s="14"/>
    </row>
    <row r="6" spans="1:12" ht="20.25" customHeight="1">
      <c r="A6" s="137" t="s">
        <v>145</v>
      </c>
      <c r="B6" s="138"/>
      <c r="C6" s="143" t="s">
        <v>146</v>
      </c>
      <c r="D6" s="143" t="s">
        <v>147</v>
      </c>
      <c r="E6" s="143" t="s">
        <v>118</v>
      </c>
      <c r="F6" s="141">
        <v>2020</v>
      </c>
      <c r="G6" s="142"/>
      <c r="H6" s="141">
        <v>2021</v>
      </c>
      <c r="I6" s="142"/>
      <c r="J6" s="133" t="s">
        <v>152</v>
      </c>
      <c r="K6" s="134"/>
      <c r="L6" s="14"/>
    </row>
    <row r="7" spans="1:12" s="23" customFormat="1" ht="20.25" customHeight="1" thickBot="1">
      <c r="A7" s="139"/>
      <c r="B7" s="140"/>
      <c r="C7" s="144"/>
      <c r="D7" s="144"/>
      <c r="E7" s="144"/>
      <c r="F7" s="75" t="s">
        <v>13</v>
      </c>
      <c r="G7" s="76" t="s">
        <v>153</v>
      </c>
      <c r="H7" s="75" t="s">
        <v>13</v>
      </c>
      <c r="I7" s="76" t="s">
        <v>153</v>
      </c>
      <c r="J7" s="135"/>
      <c r="K7" s="136"/>
      <c r="L7" s="22"/>
    </row>
    <row r="8" spans="1:12" ht="18" customHeight="1">
      <c r="A8" s="77">
        <v>1</v>
      </c>
      <c r="B8" s="78" t="s">
        <v>148</v>
      </c>
      <c r="C8" s="79">
        <v>100</v>
      </c>
      <c r="D8" s="79">
        <v>750</v>
      </c>
      <c r="E8" s="80" t="s">
        <v>149</v>
      </c>
      <c r="F8" s="81">
        <v>44151</v>
      </c>
      <c r="G8" s="82">
        <v>7.4999999999999997E-2</v>
      </c>
      <c r="H8" s="83">
        <v>44516</v>
      </c>
      <c r="I8" s="84">
        <v>7.4999999999999997E-2</v>
      </c>
      <c r="J8" s="26">
        <f>I8-G8</f>
        <v>0</v>
      </c>
      <c r="K8" s="111">
        <f t="shared" ref="K8:K48" si="0">J8</f>
        <v>0</v>
      </c>
      <c r="L8" s="17"/>
    </row>
    <row r="9" spans="1:12" ht="18" customHeight="1">
      <c r="A9" s="77">
        <v>2</v>
      </c>
      <c r="B9" s="78" t="s">
        <v>261</v>
      </c>
      <c r="C9" s="79">
        <v>85</v>
      </c>
      <c r="D9" s="79">
        <v>1000</v>
      </c>
      <c r="E9" s="80" t="s">
        <v>204</v>
      </c>
      <c r="F9" s="81"/>
      <c r="G9" s="82"/>
      <c r="H9" s="83" t="s">
        <v>297</v>
      </c>
      <c r="I9" s="84"/>
      <c r="J9" s="26">
        <f t="shared" ref="J9:J48" si="1">I9-G9</f>
        <v>0</v>
      </c>
      <c r="K9" s="111">
        <f t="shared" si="0"/>
        <v>0</v>
      </c>
      <c r="L9" s="17"/>
    </row>
    <row r="10" spans="1:12" ht="18" customHeight="1">
      <c r="A10" s="77">
        <v>3</v>
      </c>
      <c r="B10" s="78" t="s">
        <v>205</v>
      </c>
      <c r="C10" s="79">
        <v>110</v>
      </c>
      <c r="D10" s="79">
        <v>1000</v>
      </c>
      <c r="E10" s="80" t="s">
        <v>181</v>
      </c>
      <c r="F10" s="81">
        <v>44180</v>
      </c>
      <c r="G10" s="82">
        <v>7.4999999999999997E-2</v>
      </c>
      <c r="H10" s="83">
        <v>44545</v>
      </c>
      <c r="I10" s="84">
        <v>9.5000000000000001E-2</v>
      </c>
      <c r="J10" s="26">
        <f t="shared" si="1"/>
        <v>2.0000000000000004E-2</v>
      </c>
      <c r="K10" s="111">
        <f t="shared" si="0"/>
        <v>2.0000000000000004E-2</v>
      </c>
      <c r="L10" s="17"/>
    </row>
    <row r="11" spans="1:12" ht="18" customHeight="1">
      <c r="A11" s="77">
        <v>4</v>
      </c>
      <c r="B11" s="78" t="s">
        <v>84</v>
      </c>
      <c r="C11" s="79">
        <v>245</v>
      </c>
      <c r="D11" s="79">
        <v>1250</v>
      </c>
      <c r="E11" s="80" t="s">
        <v>121</v>
      </c>
      <c r="F11" s="81">
        <v>44166</v>
      </c>
      <c r="G11" s="82">
        <v>0.04</v>
      </c>
      <c r="H11" s="83">
        <v>44531</v>
      </c>
      <c r="I11" s="84">
        <v>0.05</v>
      </c>
      <c r="J11" s="26">
        <f t="shared" si="1"/>
        <v>1.0000000000000002E-2</v>
      </c>
      <c r="K11" s="111">
        <f t="shared" si="0"/>
        <v>1.0000000000000002E-2</v>
      </c>
      <c r="L11" s="17"/>
    </row>
    <row r="12" spans="1:12" ht="18" customHeight="1">
      <c r="A12" s="77">
        <v>5</v>
      </c>
      <c r="B12" s="78" t="s">
        <v>197</v>
      </c>
      <c r="C12" s="79">
        <v>89</v>
      </c>
      <c r="D12" s="79">
        <v>750</v>
      </c>
      <c r="E12" s="80" t="s">
        <v>154</v>
      </c>
      <c r="F12" s="81">
        <v>43969</v>
      </c>
      <c r="G12" s="82">
        <v>6.1499999999999999E-2</v>
      </c>
      <c r="H12" s="83">
        <v>44334</v>
      </c>
      <c r="I12" s="84">
        <v>0.06</v>
      </c>
      <c r="J12" s="26">
        <f t="shared" si="1"/>
        <v>-1.5000000000000013E-3</v>
      </c>
      <c r="K12" s="111">
        <f t="shared" si="0"/>
        <v>-1.5000000000000013E-3</v>
      </c>
      <c r="L12" s="17"/>
    </row>
    <row r="13" spans="1:12" ht="18" customHeight="1">
      <c r="A13" s="77">
        <v>6</v>
      </c>
      <c r="B13" s="78" t="s">
        <v>122</v>
      </c>
      <c r="C13" s="79">
        <v>75</v>
      </c>
      <c r="D13" s="79">
        <v>1250</v>
      </c>
      <c r="E13" s="80" t="s">
        <v>123</v>
      </c>
      <c r="F13" s="81">
        <v>44105</v>
      </c>
      <c r="G13" s="82">
        <v>0.1</v>
      </c>
      <c r="H13" s="83">
        <v>44470</v>
      </c>
      <c r="I13" s="84">
        <v>0.1</v>
      </c>
      <c r="J13" s="26">
        <f t="shared" si="1"/>
        <v>0</v>
      </c>
      <c r="K13" s="111">
        <f t="shared" si="0"/>
        <v>0</v>
      </c>
      <c r="L13" s="17"/>
    </row>
    <row r="14" spans="1:12" ht="18" customHeight="1">
      <c r="A14" s="77">
        <v>7</v>
      </c>
      <c r="B14" s="78" t="s">
        <v>206</v>
      </c>
      <c r="C14" s="79">
        <v>125</v>
      </c>
      <c r="D14" s="79">
        <v>1000</v>
      </c>
      <c r="E14" s="80" t="s">
        <v>182</v>
      </c>
      <c r="F14" s="81">
        <v>44136</v>
      </c>
      <c r="G14" s="82">
        <v>0.1</v>
      </c>
      <c r="H14" s="83">
        <v>44501</v>
      </c>
      <c r="I14" s="84">
        <v>0.125</v>
      </c>
      <c r="J14" s="26">
        <f t="shared" si="1"/>
        <v>2.4999999999999994E-2</v>
      </c>
      <c r="K14" s="111">
        <f t="shared" si="0"/>
        <v>2.4999999999999994E-2</v>
      </c>
      <c r="L14" s="17"/>
    </row>
    <row r="15" spans="1:12" ht="18" customHeight="1">
      <c r="A15" s="77">
        <v>8</v>
      </c>
      <c r="B15" s="78" t="s">
        <v>265</v>
      </c>
      <c r="C15" s="79">
        <v>50</v>
      </c>
      <c r="D15" s="79">
        <v>1000</v>
      </c>
      <c r="E15" s="80" t="s">
        <v>119</v>
      </c>
      <c r="F15" s="81" t="s">
        <v>263</v>
      </c>
      <c r="G15" s="82">
        <v>0</v>
      </c>
      <c r="H15" s="83" t="s">
        <v>298</v>
      </c>
      <c r="I15" s="84"/>
      <c r="J15" s="26">
        <f t="shared" si="1"/>
        <v>0</v>
      </c>
      <c r="K15" s="111">
        <f t="shared" si="0"/>
        <v>0</v>
      </c>
      <c r="L15" s="17"/>
    </row>
    <row r="16" spans="1:12" ht="18" customHeight="1">
      <c r="A16" s="77">
        <v>9</v>
      </c>
      <c r="B16" s="78" t="s">
        <v>105</v>
      </c>
      <c r="C16" s="79">
        <v>75</v>
      </c>
      <c r="D16" s="79">
        <v>750</v>
      </c>
      <c r="E16" s="80" t="s">
        <v>124</v>
      </c>
      <c r="F16" s="81">
        <v>43917</v>
      </c>
      <c r="G16" s="82">
        <v>8.5000000000000006E-2</v>
      </c>
      <c r="H16" s="83">
        <v>44283</v>
      </c>
      <c r="I16" s="84">
        <v>8.5000000000000006E-2</v>
      </c>
      <c r="J16" s="26">
        <f t="shared" si="1"/>
        <v>0</v>
      </c>
      <c r="K16" s="111">
        <f t="shared" si="0"/>
        <v>0</v>
      </c>
      <c r="L16" s="17"/>
    </row>
    <row r="17" spans="1:12" ht="18" customHeight="1">
      <c r="A17" s="77">
        <v>10</v>
      </c>
      <c r="B17" s="78" t="s">
        <v>207</v>
      </c>
      <c r="C17" s="79">
        <v>225</v>
      </c>
      <c r="D17" s="79">
        <v>1250</v>
      </c>
      <c r="E17" s="80" t="s">
        <v>155</v>
      </c>
      <c r="F17" s="81" t="s">
        <v>262</v>
      </c>
      <c r="G17" s="82">
        <v>0</v>
      </c>
      <c r="H17" s="83" t="s">
        <v>262</v>
      </c>
      <c r="I17" s="84">
        <v>0</v>
      </c>
      <c r="J17" s="26">
        <f t="shared" si="1"/>
        <v>0</v>
      </c>
      <c r="K17" s="111">
        <f t="shared" si="0"/>
        <v>0</v>
      </c>
      <c r="L17" s="17"/>
    </row>
    <row r="18" spans="1:12" ht="18" customHeight="1">
      <c r="A18" s="77">
        <v>11</v>
      </c>
      <c r="B18" s="78" t="s">
        <v>87</v>
      </c>
      <c r="C18" s="79">
        <v>100</v>
      </c>
      <c r="D18" s="79">
        <v>1000</v>
      </c>
      <c r="E18" s="80" t="s">
        <v>208</v>
      </c>
      <c r="F18" s="81">
        <v>44089</v>
      </c>
      <c r="G18" s="82">
        <v>8.5000000000000006E-2</v>
      </c>
      <c r="H18" s="83">
        <v>44454</v>
      </c>
      <c r="I18" s="84">
        <v>8.5000000000000006E-2</v>
      </c>
      <c r="J18" s="26">
        <f t="shared" si="1"/>
        <v>0</v>
      </c>
      <c r="K18" s="111">
        <f t="shared" si="0"/>
        <v>0</v>
      </c>
      <c r="L18" s="17"/>
    </row>
    <row r="19" spans="1:12" ht="18" customHeight="1">
      <c r="A19" s="77">
        <v>12</v>
      </c>
      <c r="B19" s="78" t="s">
        <v>126</v>
      </c>
      <c r="C19" s="79">
        <v>175</v>
      </c>
      <c r="D19" s="79">
        <v>1500</v>
      </c>
      <c r="E19" s="80" t="s">
        <v>127</v>
      </c>
      <c r="F19" s="81">
        <v>44130</v>
      </c>
      <c r="G19" s="82">
        <v>7.4999999999999997E-2</v>
      </c>
      <c r="H19" s="83" t="s">
        <v>299</v>
      </c>
      <c r="I19" s="84">
        <v>0</v>
      </c>
      <c r="J19" s="26">
        <f t="shared" si="1"/>
        <v>-7.4999999999999997E-2</v>
      </c>
      <c r="K19" s="111">
        <f t="shared" si="0"/>
        <v>-7.4999999999999997E-2</v>
      </c>
      <c r="L19" s="17"/>
    </row>
    <row r="20" spans="1:12" ht="18" customHeight="1">
      <c r="A20" s="77">
        <v>13</v>
      </c>
      <c r="B20" s="78" t="s">
        <v>266</v>
      </c>
      <c r="C20" s="79">
        <v>0</v>
      </c>
      <c r="D20" s="79">
        <v>750</v>
      </c>
      <c r="E20" s="80" t="s">
        <v>123</v>
      </c>
      <c r="F20" s="81" t="s">
        <v>262</v>
      </c>
      <c r="G20" s="82">
        <v>0</v>
      </c>
      <c r="H20" s="83">
        <v>44561</v>
      </c>
      <c r="I20" s="84">
        <v>0.03</v>
      </c>
      <c r="J20" s="26">
        <f t="shared" si="1"/>
        <v>0.03</v>
      </c>
      <c r="K20" s="111">
        <f t="shared" si="0"/>
        <v>0.03</v>
      </c>
      <c r="L20" s="17"/>
    </row>
    <row r="21" spans="1:12" ht="18" customHeight="1">
      <c r="A21" s="77">
        <v>14</v>
      </c>
      <c r="B21" s="78" t="s">
        <v>209</v>
      </c>
      <c r="C21" s="79">
        <v>185</v>
      </c>
      <c r="D21" s="79">
        <v>2000</v>
      </c>
      <c r="E21" s="80" t="s">
        <v>120</v>
      </c>
      <c r="F21" s="81">
        <v>44196</v>
      </c>
      <c r="G21" s="82">
        <v>0.05</v>
      </c>
      <c r="H21" s="83">
        <v>44561</v>
      </c>
      <c r="I21" s="84">
        <v>0.05</v>
      </c>
      <c r="J21" s="26">
        <f t="shared" si="1"/>
        <v>0</v>
      </c>
      <c r="K21" s="111">
        <f t="shared" si="0"/>
        <v>0</v>
      </c>
      <c r="L21" s="17"/>
    </row>
    <row r="22" spans="1:12" ht="18" customHeight="1">
      <c r="A22" s="77">
        <v>15</v>
      </c>
      <c r="B22" s="78" t="s">
        <v>210</v>
      </c>
      <c r="C22" s="79">
        <v>100</v>
      </c>
      <c r="D22" s="79">
        <v>1250</v>
      </c>
      <c r="E22" s="80" t="s">
        <v>123</v>
      </c>
      <c r="F22" s="81" t="s">
        <v>262</v>
      </c>
      <c r="G22" s="82">
        <v>0</v>
      </c>
      <c r="H22" s="83" t="s">
        <v>300</v>
      </c>
      <c r="I22" s="84">
        <v>0</v>
      </c>
      <c r="J22" s="26">
        <f t="shared" si="1"/>
        <v>0</v>
      </c>
      <c r="K22" s="111">
        <f t="shared" si="0"/>
        <v>0</v>
      </c>
      <c r="L22" s="17"/>
    </row>
    <row r="23" spans="1:12" ht="18" customHeight="1">
      <c r="A23" s="77">
        <v>16</v>
      </c>
      <c r="B23" s="78" t="s">
        <v>156</v>
      </c>
      <c r="C23" s="79">
        <v>0</v>
      </c>
      <c r="D23" s="79">
        <v>750</v>
      </c>
      <c r="E23" s="80" t="s">
        <v>135</v>
      </c>
      <c r="F23" s="81" t="s">
        <v>262</v>
      </c>
      <c r="G23" s="82">
        <v>0</v>
      </c>
      <c r="H23" s="83" t="s">
        <v>262</v>
      </c>
      <c r="I23" s="84">
        <v>0</v>
      </c>
      <c r="J23" s="26">
        <f t="shared" si="1"/>
        <v>0</v>
      </c>
      <c r="K23" s="111">
        <f t="shared" si="0"/>
        <v>0</v>
      </c>
      <c r="L23" s="17"/>
    </row>
    <row r="24" spans="1:12" ht="18" customHeight="1">
      <c r="A24" s="77">
        <v>17</v>
      </c>
      <c r="B24" s="78" t="s">
        <v>173</v>
      </c>
      <c r="C24" s="79">
        <v>150</v>
      </c>
      <c r="D24" s="79">
        <v>1500</v>
      </c>
      <c r="E24" s="80" t="s">
        <v>187</v>
      </c>
      <c r="F24" s="81" t="s">
        <v>262</v>
      </c>
      <c r="G24" s="82">
        <v>0</v>
      </c>
      <c r="H24" s="83" t="s">
        <v>262</v>
      </c>
      <c r="I24" s="84">
        <v>0</v>
      </c>
      <c r="J24" s="26">
        <f t="shared" si="1"/>
        <v>0</v>
      </c>
      <c r="K24" s="111">
        <f t="shared" si="0"/>
        <v>0</v>
      </c>
      <c r="L24" s="17"/>
    </row>
    <row r="25" spans="1:12" ht="18" customHeight="1">
      <c r="A25" s="77">
        <v>18</v>
      </c>
      <c r="B25" s="78" t="s">
        <v>144</v>
      </c>
      <c r="C25" s="79">
        <v>85</v>
      </c>
      <c r="D25" s="79">
        <v>1250</v>
      </c>
      <c r="E25" s="80" t="s">
        <v>123</v>
      </c>
      <c r="F25" s="81" t="s">
        <v>267</v>
      </c>
      <c r="G25" s="82">
        <v>0</v>
      </c>
      <c r="H25" s="83" t="s">
        <v>262</v>
      </c>
      <c r="I25" s="84">
        <v>0</v>
      </c>
      <c r="J25" s="26">
        <f t="shared" si="1"/>
        <v>0</v>
      </c>
      <c r="K25" s="111">
        <f t="shared" si="0"/>
        <v>0</v>
      </c>
      <c r="L25" s="17"/>
    </row>
    <row r="26" spans="1:12" ht="18" customHeight="1">
      <c r="A26" s="77">
        <v>19</v>
      </c>
      <c r="B26" s="78" t="s">
        <v>268</v>
      </c>
      <c r="C26" s="79">
        <v>40</v>
      </c>
      <c r="D26" s="79">
        <v>500</v>
      </c>
      <c r="E26" s="80" t="s">
        <v>123</v>
      </c>
      <c r="F26" s="81" t="s">
        <v>263</v>
      </c>
      <c r="G26" s="82">
        <v>0</v>
      </c>
      <c r="H26" s="83" t="s">
        <v>263</v>
      </c>
      <c r="I26" s="84">
        <v>0</v>
      </c>
      <c r="J26" s="26">
        <f t="shared" si="1"/>
        <v>0</v>
      </c>
      <c r="K26" s="111">
        <f t="shared" si="0"/>
        <v>0</v>
      </c>
      <c r="L26" s="17"/>
    </row>
    <row r="27" spans="1:12" ht="18" customHeight="1">
      <c r="A27" s="77">
        <v>20</v>
      </c>
      <c r="B27" s="78" t="s">
        <v>176</v>
      </c>
      <c r="C27" s="79"/>
      <c r="D27" s="79">
        <v>750</v>
      </c>
      <c r="E27" s="80" t="s">
        <v>191</v>
      </c>
      <c r="F27" s="81" t="s">
        <v>262</v>
      </c>
      <c r="G27" s="82">
        <v>0</v>
      </c>
      <c r="H27" s="83" t="s">
        <v>262</v>
      </c>
      <c r="I27" s="84">
        <v>0</v>
      </c>
      <c r="J27" s="26">
        <f t="shared" si="1"/>
        <v>0</v>
      </c>
      <c r="K27" s="111">
        <f t="shared" si="0"/>
        <v>0</v>
      </c>
      <c r="L27" s="17"/>
    </row>
    <row r="28" spans="1:12" ht="18" customHeight="1">
      <c r="A28" s="77">
        <v>21</v>
      </c>
      <c r="B28" s="78" t="s">
        <v>211</v>
      </c>
      <c r="C28" s="79">
        <v>105</v>
      </c>
      <c r="D28" s="79">
        <v>750</v>
      </c>
      <c r="E28" s="80" t="s">
        <v>129</v>
      </c>
      <c r="F28" s="81">
        <v>44113</v>
      </c>
      <c r="G28" s="82">
        <v>7.4999999999999997E-2</v>
      </c>
      <c r="H28" s="83" t="s">
        <v>263</v>
      </c>
      <c r="I28" s="84"/>
      <c r="J28" s="26">
        <f t="shared" si="1"/>
        <v>-7.4999999999999997E-2</v>
      </c>
      <c r="K28" s="111">
        <f t="shared" si="0"/>
        <v>-7.4999999999999997E-2</v>
      </c>
      <c r="L28" s="17"/>
    </row>
    <row r="29" spans="1:12" ht="18" customHeight="1">
      <c r="A29" s="77">
        <v>22</v>
      </c>
      <c r="B29" s="78" t="s">
        <v>212</v>
      </c>
      <c r="C29" s="79">
        <v>89.5</v>
      </c>
      <c r="D29" s="79">
        <v>1000</v>
      </c>
      <c r="E29" s="80" t="s">
        <v>192</v>
      </c>
      <c r="F29" s="81">
        <v>43915</v>
      </c>
      <c r="G29" s="82">
        <v>0.06</v>
      </c>
      <c r="H29" s="83">
        <v>44311</v>
      </c>
      <c r="I29" s="84">
        <v>0.06</v>
      </c>
      <c r="J29" s="26">
        <f t="shared" si="1"/>
        <v>0</v>
      </c>
      <c r="K29" s="111">
        <f t="shared" si="0"/>
        <v>0</v>
      </c>
      <c r="L29" s="17"/>
    </row>
    <row r="30" spans="1:12" ht="18" customHeight="1">
      <c r="A30" s="77">
        <v>23</v>
      </c>
      <c r="B30" s="78" t="s">
        <v>157</v>
      </c>
      <c r="C30" s="79">
        <v>250</v>
      </c>
      <c r="D30" s="79">
        <v>1250</v>
      </c>
      <c r="E30" s="80" t="s">
        <v>158</v>
      </c>
      <c r="F30" s="81">
        <v>44166</v>
      </c>
      <c r="G30" s="82">
        <v>7.4708999999999998E-2</v>
      </c>
      <c r="H30" s="83">
        <v>44531</v>
      </c>
      <c r="I30" s="84">
        <v>7.4999999999999997E-2</v>
      </c>
      <c r="J30" s="26">
        <f t="shared" si="1"/>
        <v>2.9099999999999959E-4</v>
      </c>
      <c r="K30" s="111">
        <f t="shared" si="0"/>
        <v>2.9099999999999959E-4</v>
      </c>
      <c r="L30" s="17"/>
    </row>
    <row r="31" spans="1:12" ht="18" customHeight="1">
      <c r="A31" s="77">
        <v>24</v>
      </c>
      <c r="B31" s="78" t="s">
        <v>213</v>
      </c>
      <c r="C31" s="79">
        <v>130</v>
      </c>
      <c r="D31" s="79">
        <v>1000</v>
      </c>
      <c r="E31" s="80" t="s">
        <v>125</v>
      </c>
      <c r="F31" s="81" t="s">
        <v>263</v>
      </c>
      <c r="G31" s="82">
        <v>0</v>
      </c>
      <c r="H31" s="83" t="s">
        <v>263</v>
      </c>
      <c r="I31" s="84">
        <v>0</v>
      </c>
      <c r="J31" s="26">
        <f t="shared" si="1"/>
        <v>0</v>
      </c>
      <c r="K31" s="111">
        <f t="shared" si="0"/>
        <v>0</v>
      </c>
      <c r="L31" s="17"/>
    </row>
    <row r="32" spans="1:12" ht="18" customHeight="1">
      <c r="A32" s="77">
        <v>25</v>
      </c>
      <c r="B32" s="78" t="s">
        <v>214</v>
      </c>
      <c r="C32" s="79">
        <v>170</v>
      </c>
      <c r="D32" s="79">
        <v>1000</v>
      </c>
      <c r="E32" s="80" t="s">
        <v>159</v>
      </c>
      <c r="F32" s="81">
        <v>44151</v>
      </c>
      <c r="G32" s="82">
        <v>0.1</v>
      </c>
      <c r="H32" s="83">
        <v>44516</v>
      </c>
      <c r="I32" s="84">
        <v>0.125</v>
      </c>
      <c r="J32" s="26">
        <f t="shared" si="1"/>
        <v>2.4999999999999994E-2</v>
      </c>
      <c r="K32" s="111">
        <f t="shared" si="0"/>
        <v>2.4999999999999994E-2</v>
      </c>
      <c r="L32" s="17"/>
    </row>
    <row r="33" spans="1:12" ht="18" customHeight="1">
      <c r="A33" s="77">
        <v>26</v>
      </c>
      <c r="B33" s="78" t="s">
        <v>0</v>
      </c>
      <c r="C33" s="79">
        <v>75</v>
      </c>
      <c r="D33" s="79">
        <v>1000</v>
      </c>
      <c r="E33" s="80" t="s">
        <v>130</v>
      </c>
      <c r="F33" s="81" t="s">
        <v>262</v>
      </c>
      <c r="G33" s="82">
        <v>0</v>
      </c>
      <c r="H33" s="83" t="s">
        <v>262</v>
      </c>
      <c r="I33" s="84">
        <v>0</v>
      </c>
      <c r="J33" s="26">
        <f t="shared" si="1"/>
        <v>0</v>
      </c>
      <c r="K33" s="111">
        <f t="shared" si="0"/>
        <v>0</v>
      </c>
      <c r="L33" s="17"/>
    </row>
    <row r="34" spans="1:12" ht="18" customHeight="1">
      <c r="A34" s="77">
        <v>27</v>
      </c>
      <c r="B34" s="78" t="s">
        <v>131</v>
      </c>
      <c r="C34" s="79">
        <v>115</v>
      </c>
      <c r="D34" s="79">
        <v>1000</v>
      </c>
      <c r="E34" s="80" t="s">
        <v>128</v>
      </c>
      <c r="F34" s="81">
        <v>44136</v>
      </c>
      <c r="G34" s="82">
        <v>0.1</v>
      </c>
      <c r="H34" s="83" t="s">
        <v>262</v>
      </c>
      <c r="I34" s="84">
        <v>0</v>
      </c>
      <c r="J34" s="26">
        <f t="shared" si="1"/>
        <v>-0.1</v>
      </c>
      <c r="K34" s="111">
        <f t="shared" si="0"/>
        <v>-0.1</v>
      </c>
      <c r="L34" s="17"/>
    </row>
    <row r="35" spans="1:12" ht="18" customHeight="1">
      <c r="A35" s="77">
        <v>28</v>
      </c>
      <c r="B35" s="78" t="s">
        <v>132</v>
      </c>
      <c r="C35" s="79">
        <v>115</v>
      </c>
      <c r="D35" s="79">
        <v>750</v>
      </c>
      <c r="E35" s="80" t="s">
        <v>128</v>
      </c>
      <c r="F35" s="81">
        <v>44105</v>
      </c>
      <c r="G35" s="82">
        <v>0.1</v>
      </c>
      <c r="H35" s="83">
        <v>44470</v>
      </c>
      <c r="I35" s="84">
        <v>0.1</v>
      </c>
      <c r="J35" s="26">
        <f t="shared" si="1"/>
        <v>0</v>
      </c>
      <c r="K35" s="111">
        <f t="shared" si="0"/>
        <v>0</v>
      </c>
      <c r="L35" s="17"/>
    </row>
    <row r="36" spans="1:12" ht="18" customHeight="1">
      <c r="A36" s="77">
        <v>29</v>
      </c>
      <c r="B36" s="78" t="s">
        <v>179</v>
      </c>
      <c r="C36" s="79">
        <v>25</v>
      </c>
      <c r="D36" s="79">
        <v>500</v>
      </c>
      <c r="E36" s="80" t="s">
        <v>184</v>
      </c>
      <c r="F36" s="81">
        <v>43952</v>
      </c>
      <c r="G36" s="82">
        <v>0.1</v>
      </c>
      <c r="H36" s="83">
        <v>44317</v>
      </c>
      <c r="I36" s="84">
        <v>0.1</v>
      </c>
      <c r="J36" s="26">
        <f t="shared" si="1"/>
        <v>0</v>
      </c>
      <c r="K36" s="111">
        <f t="shared" si="0"/>
        <v>0</v>
      </c>
      <c r="L36" s="17"/>
    </row>
    <row r="37" spans="1:12" ht="18" customHeight="1">
      <c r="A37" s="77">
        <v>30</v>
      </c>
      <c r="B37" s="78" t="s">
        <v>215</v>
      </c>
      <c r="C37" s="79">
        <v>220</v>
      </c>
      <c r="D37" s="79">
        <v>1500</v>
      </c>
      <c r="E37" s="80" t="s">
        <v>216</v>
      </c>
      <c r="F37" s="81" t="s">
        <v>269</v>
      </c>
      <c r="G37" s="82"/>
      <c r="H37" s="83">
        <v>44348</v>
      </c>
      <c r="I37" s="84">
        <v>0.125</v>
      </c>
      <c r="J37" s="26">
        <f t="shared" si="1"/>
        <v>0.125</v>
      </c>
      <c r="K37" s="111">
        <f t="shared" si="0"/>
        <v>0.125</v>
      </c>
      <c r="L37" s="17"/>
    </row>
    <row r="38" spans="1:12" ht="18" customHeight="1">
      <c r="A38" s="77">
        <v>31</v>
      </c>
      <c r="B38" s="78" t="s">
        <v>217</v>
      </c>
      <c r="C38" s="79">
        <v>0</v>
      </c>
      <c r="D38" s="79">
        <v>300</v>
      </c>
      <c r="E38" s="80" t="s">
        <v>123</v>
      </c>
      <c r="F38" s="81" t="s">
        <v>262</v>
      </c>
      <c r="G38" s="82">
        <v>0</v>
      </c>
      <c r="H38" s="83" t="s">
        <v>262</v>
      </c>
      <c r="I38" s="84">
        <v>0</v>
      </c>
      <c r="J38" s="26">
        <f t="shared" si="1"/>
        <v>0</v>
      </c>
      <c r="K38" s="111">
        <f t="shared" si="0"/>
        <v>0</v>
      </c>
      <c r="L38" s="17"/>
    </row>
    <row r="39" spans="1:12" ht="18" customHeight="1">
      <c r="A39" s="77">
        <v>32</v>
      </c>
      <c r="B39" s="78" t="s">
        <v>218</v>
      </c>
      <c r="C39" s="79">
        <v>95</v>
      </c>
      <c r="D39" s="79">
        <v>750</v>
      </c>
      <c r="E39" s="80" t="s">
        <v>219</v>
      </c>
      <c r="F39" s="81">
        <v>44104</v>
      </c>
      <c r="G39" s="82">
        <v>7.7499999999999999E-2</v>
      </c>
      <c r="H39" s="83">
        <v>44501</v>
      </c>
      <c r="I39" s="84">
        <v>9.2499999999999999E-2</v>
      </c>
      <c r="J39" s="26">
        <f t="shared" si="1"/>
        <v>1.4999999999999999E-2</v>
      </c>
      <c r="K39" s="111">
        <f t="shared" si="0"/>
        <v>1.4999999999999999E-2</v>
      </c>
      <c r="L39" s="17"/>
    </row>
    <row r="40" spans="1:12" ht="18" customHeight="1">
      <c r="A40" s="77">
        <v>33</v>
      </c>
      <c r="B40" s="78" t="s">
        <v>220</v>
      </c>
      <c r="C40" s="79"/>
      <c r="D40" s="79">
        <v>1000</v>
      </c>
      <c r="E40" s="80" t="s">
        <v>133</v>
      </c>
      <c r="F40" s="81" t="s">
        <v>262</v>
      </c>
      <c r="G40" s="82">
        <v>0</v>
      </c>
      <c r="H40" s="83" t="s">
        <v>262</v>
      </c>
      <c r="I40" s="84">
        <v>0</v>
      </c>
      <c r="J40" s="26">
        <f t="shared" si="1"/>
        <v>0</v>
      </c>
      <c r="K40" s="111">
        <f t="shared" si="0"/>
        <v>0</v>
      </c>
      <c r="L40" s="17"/>
    </row>
    <row r="41" spans="1:12" ht="18" customHeight="1">
      <c r="A41" s="77">
        <v>34</v>
      </c>
      <c r="B41" s="78" t="s">
        <v>150</v>
      </c>
      <c r="C41" s="79">
        <v>225</v>
      </c>
      <c r="D41" s="79">
        <v>1750</v>
      </c>
      <c r="E41" s="80" t="s">
        <v>151</v>
      </c>
      <c r="F41" s="81">
        <v>44023</v>
      </c>
      <c r="G41" s="82">
        <v>0.1</v>
      </c>
      <c r="H41" s="83">
        <v>44419</v>
      </c>
      <c r="I41" s="84">
        <v>0.1</v>
      </c>
      <c r="J41" s="26">
        <f t="shared" si="1"/>
        <v>0</v>
      </c>
      <c r="K41" s="111">
        <f t="shared" si="0"/>
        <v>0</v>
      </c>
      <c r="L41" s="17"/>
    </row>
    <row r="42" spans="1:12" ht="18" customHeight="1">
      <c r="A42" s="77">
        <v>35</v>
      </c>
      <c r="B42" s="78" t="s">
        <v>180</v>
      </c>
      <c r="C42" s="79">
        <v>75</v>
      </c>
      <c r="D42" s="79">
        <v>1000</v>
      </c>
      <c r="E42" s="80" t="s">
        <v>123</v>
      </c>
      <c r="F42" s="81">
        <v>44182</v>
      </c>
      <c r="G42" s="82">
        <v>7.4999999999999997E-2</v>
      </c>
      <c r="H42" s="83">
        <v>44547</v>
      </c>
      <c r="I42" s="84">
        <v>7.4999999999999997E-2</v>
      </c>
      <c r="J42" s="26">
        <f t="shared" si="1"/>
        <v>0</v>
      </c>
      <c r="K42" s="111">
        <f t="shared" si="0"/>
        <v>0</v>
      </c>
      <c r="L42" s="17"/>
    </row>
    <row r="43" spans="1:12" ht="18" customHeight="1">
      <c r="A43" s="77">
        <v>36</v>
      </c>
      <c r="B43" s="78" t="s">
        <v>270</v>
      </c>
      <c r="C43" s="79">
        <v>81</v>
      </c>
      <c r="D43" s="79">
        <v>600</v>
      </c>
      <c r="E43" s="80" t="s">
        <v>134</v>
      </c>
      <c r="F43" s="81" t="s">
        <v>263</v>
      </c>
      <c r="G43" s="82">
        <v>0</v>
      </c>
      <c r="H43" s="83" t="s">
        <v>263</v>
      </c>
      <c r="I43" s="84"/>
      <c r="J43" s="26">
        <f t="shared" si="1"/>
        <v>0</v>
      </c>
      <c r="K43" s="111">
        <f t="shared" si="0"/>
        <v>0</v>
      </c>
      <c r="L43" s="17"/>
    </row>
    <row r="44" spans="1:12" ht="18" customHeight="1">
      <c r="A44" s="77">
        <v>37</v>
      </c>
      <c r="B44" s="78" t="s">
        <v>271</v>
      </c>
      <c r="C44" s="79">
        <v>125</v>
      </c>
      <c r="D44" s="79">
        <v>1000</v>
      </c>
      <c r="E44" s="80" t="s">
        <v>135</v>
      </c>
      <c r="F44" s="81" t="s">
        <v>263</v>
      </c>
      <c r="G44" s="82">
        <v>0</v>
      </c>
      <c r="H44" s="83" t="s">
        <v>263</v>
      </c>
      <c r="I44" s="84"/>
      <c r="J44" s="26">
        <f t="shared" si="1"/>
        <v>0</v>
      </c>
      <c r="K44" s="111">
        <f t="shared" si="0"/>
        <v>0</v>
      </c>
      <c r="L44" s="17"/>
    </row>
    <row r="45" spans="1:12" ht="18" customHeight="1">
      <c r="A45" s="77">
        <v>38</v>
      </c>
      <c r="B45" s="78" t="s">
        <v>221</v>
      </c>
      <c r="C45" s="79"/>
      <c r="D45" s="79">
        <v>650</v>
      </c>
      <c r="E45" s="80" t="s">
        <v>222</v>
      </c>
      <c r="F45" s="81" t="s">
        <v>262</v>
      </c>
      <c r="G45" s="82">
        <v>0</v>
      </c>
      <c r="H45" s="83" t="s">
        <v>262</v>
      </c>
      <c r="I45" s="84">
        <v>0</v>
      </c>
      <c r="J45" s="26">
        <f t="shared" si="1"/>
        <v>0</v>
      </c>
      <c r="K45" s="111">
        <f t="shared" si="0"/>
        <v>0</v>
      </c>
      <c r="L45" s="17"/>
    </row>
    <row r="46" spans="1:12" ht="18" customHeight="1">
      <c r="A46" s="77">
        <v>39</v>
      </c>
      <c r="B46" s="78" t="s">
        <v>160</v>
      </c>
      <c r="C46" s="79">
        <v>96</v>
      </c>
      <c r="D46" s="79">
        <v>750</v>
      </c>
      <c r="E46" s="80" t="s">
        <v>129</v>
      </c>
      <c r="F46" s="81">
        <v>44180</v>
      </c>
      <c r="G46" s="82">
        <v>0.06</v>
      </c>
      <c r="H46" s="83">
        <v>44545</v>
      </c>
      <c r="I46" s="84">
        <v>0.08</v>
      </c>
      <c r="J46" s="26">
        <f t="shared" si="1"/>
        <v>2.0000000000000004E-2</v>
      </c>
      <c r="K46" s="111">
        <f t="shared" si="0"/>
        <v>2.0000000000000004E-2</v>
      </c>
      <c r="L46" s="17"/>
    </row>
    <row r="47" spans="1:12" ht="18" customHeight="1">
      <c r="A47" s="77">
        <v>40</v>
      </c>
      <c r="B47" s="85" t="s">
        <v>136</v>
      </c>
      <c r="C47" s="79">
        <v>80.5</v>
      </c>
      <c r="D47" s="79">
        <v>850</v>
      </c>
      <c r="E47" s="80" t="s">
        <v>137</v>
      </c>
      <c r="F47" s="81" t="s">
        <v>267</v>
      </c>
      <c r="G47" s="82">
        <v>0</v>
      </c>
      <c r="H47" s="83" t="s">
        <v>299</v>
      </c>
      <c r="I47" s="84">
        <v>0</v>
      </c>
      <c r="J47" s="26">
        <f t="shared" si="1"/>
        <v>0</v>
      </c>
      <c r="K47" s="111">
        <f t="shared" si="0"/>
        <v>0</v>
      </c>
      <c r="L47" s="17"/>
    </row>
    <row r="48" spans="1:12" ht="18" customHeight="1" thickBot="1">
      <c r="A48" s="86">
        <v>41</v>
      </c>
      <c r="B48" s="87" t="s">
        <v>223</v>
      </c>
      <c r="C48" s="88">
        <v>0</v>
      </c>
      <c r="D48" s="88">
        <v>1000</v>
      </c>
      <c r="E48" s="89" t="s">
        <v>161</v>
      </c>
      <c r="F48" s="90" t="s">
        <v>262</v>
      </c>
      <c r="G48" s="91">
        <v>0</v>
      </c>
      <c r="H48" s="92" t="s">
        <v>262</v>
      </c>
      <c r="I48" s="84">
        <v>0</v>
      </c>
      <c r="J48" s="27">
        <f t="shared" si="1"/>
        <v>0</v>
      </c>
      <c r="K48" s="111">
        <f t="shared" si="0"/>
        <v>0</v>
      </c>
      <c r="L48" s="14"/>
    </row>
    <row r="49" spans="1:12" ht="12.75" customHeight="1" thickBot="1">
      <c r="A49" s="93"/>
      <c r="B49" s="94"/>
      <c r="C49" s="94"/>
      <c r="D49" s="94"/>
      <c r="E49" s="95"/>
      <c r="F49" s="95"/>
      <c r="G49" s="94"/>
      <c r="H49" s="94"/>
      <c r="I49" s="94"/>
      <c r="J49" s="96"/>
      <c r="K49" s="96"/>
      <c r="L49" s="14"/>
    </row>
    <row r="50" spans="1:12" ht="20.25" customHeight="1">
      <c r="A50" s="130" t="s">
        <v>200</v>
      </c>
      <c r="B50" s="131"/>
      <c r="C50" s="131"/>
      <c r="D50" s="131"/>
      <c r="E50" s="131"/>
      <c r="F50" s="131"/>
      <c r="G50" s="131"/>
      <c r="H50" s="131"/>
      <c r="I50" s="131"/>
      <c r="J50" s="131"/>
      <c r="K50" s="132"/>
      <c r="L50" s="14"/>
    </row>
    <row r="51" spans="1:12" ht="20.25" customHeight="1">
      <c r="A51" s="137" t="s">
        <v>145</v>
      </c>
      <c r="B51" s="138"/>
      <c r="C51" s="143" t="s">
        <v>146</v>
      </c>
      <c r="D51" s="143" t="s">
        <v>147</v>
      </c>
      <c r="E51" s="143" t="s">
        <v>118</v>
      </c>
      <c r="F51" s="141">
        <v>2020</v>
      </c>
      <c r="G51" s="142"/>
      <c r="H51" s="141">
        <v>2021</v>
      </c>
      <c r="I51" s="142"/>
      <c r="J51" s="133" t="s">
        <v>152</v>
      </c>
      <c r="K51" s="134"/>
      <c r="L51" s="14"/>
    </row>
    <row r="52" spans="1:12" s="23" customFormat="1" ht="20.25" customHeight="1" thickBot="1">
      <c r="A52" s="139"/>
      <c r="B52" s="140"/>
      <c r="C52" s="144"/>
      <c r="D52" s="144"/>
      <c r="E52" s="144"/>
      <c r="F52" s="75" t="s">
        <v>13</v>
      </c>
      <c r="G52" s="76" t="s">
        <v>153</v>
      </c>
      <c r="H52" s="75" t="s">
        <v>13</v>
      </c>
      <c r="I52" s="76" t="s">
        <v>153</v>
      </c>
      <c r="J52" s="135"/>
      <c r="K52" s="136"/>
      <c r="L52" s="22"/>
    </row>
    <row r="53" spans="1:12" ht="18" customHeight="1">
      <c r="A53" s="97">
        <v>1</v>
      </c>
      <c r="B53" s="98" t="s">
        <v>170</v>
      </c>
      <c r="C53" s="79"/>
      <c r="D53" s="79">
        <v>1500</v>
      </c>
      <c r="E53" s="80" t="s">
        <v>134</v>
      </c>
      <c r="F53" s="81">
        <v>43922</v>
      </c>
      <c r="G53" s="82">
        <v>0.10340000000000001</v>
      </c>
      <c r="H53" s="83">
        <v>44287</v>
      </c>
      <c r="I53" s="84">
        <v>0.10340000000000001</v>
      </c>
      <c r="J53" s="26">
        <f t="shared" ref="J53:J60" si="2">I53-G53</f>
        <v>0</v>
      </c>
      <c r="K53" s="111">
        <f t="shared" ref="K53:K60" si="3">J53</f>
        <v>0</v>
      </c>
      <c r="L53" s="17"/>
    </row>
    <row r="54" spans="1:12" ht="18" customHeight="1">
      <c r="A54" s="77">
        <v>2</v>
      </c>
      <c r="B54" s="78" t="s">
        <v>171</v>
      </c>
      <c r="C54" s="79"/>
      <c r="D54" s="79">
        <v>1000</v>
      </c>
      <c r="E54" s="80" t="s">
        <v>123</v>
      </c>
      <c r="F54" s="81">
        <v>43966</v>
      </c>
      <c r="G54" s="82">
        <v>0.05</v>
      </c>
      <c r="H54" s="83">
        <v>44331</v>
      </c>
      <c r="I54" s="84">
        <v>0.05</v>
      </c>
      <c r="J54" s="26">
        <f t="shared" si="2"/>
        <v>0</v>
      </c>
      <c r="K54" s="111">
        <f t="shared" si="3"/>
        <v>0</v>
      </c>
      <c r="L54" s="17"/>
    </row>
    <row r="55" spans="1:12" ht="18" customHeight="1">
      <c r="A55" s="77">
        <v>3</v>
      </c>
      <c r="B55" s="78" t="s">
        <v>172</v>
      </c>
      <c r="C55" s="79"/>
      <c r="D55" s="79">
        <v>1750</v>
      </c>
      <c r="E55" s="80" t="s">
        <v>185</v>
      </c>
      <c r="F55" s="81" t="s">
        <v>262</v>
      </c>
      <c r="G55" s="82">
        <v>0</v>
      </c>
      <c r="H55" s="83">
        <v>44562</v>
      </c>
      <c r="I55" s="84">
        <v>1.2655E-2</v>
      </c>
      <c r="J55" s="26">
        <f t="shared" si="2"/>
        <v>1.2655E-2</v>
      </c>
      <c r="K55" s="111">
        <f t="shared" si="3"/>
        <v>1.2655E-2</v>
      </c>
      <c r="L55" s="17"/>
    </row>
    <row r="56" spans="1:12" ht="18" customHeight="1">
      <c r="A56" s="77">
        <v>4</v>
      </c>
      <c r="B56" s="78" t="s">
        <v>174</v>
      </c>
      <c r="C56" s="79"/>
      <c r="D56" s="79">
        <v>1300</v>
      </c>
      <c r="E56" s="80" t="s">
        <v>188</v>
      </c>
      <c r="F56" s="81" t="s">
        <v>262</v>
      </c>
      <c r="G56" s="82">
        <v>0</v>
      </c>
      <c r="H56" s="83" t="s">
        <v>262</v>
      </c>
      <c r="I56" s="84">
        <v>0</v>
      </c>
      <c r="J56" s="26">
        <f t="shared" si="2"/>
        <v>0</v>
      </c>
      <c r="K56" s="111">
        <f t="shared" si="3"/>
        <v>0</v>
      </c>
      <c r="L56" s="17"/>
    </row>
    <row r="57" spans="1:12" ht="18" customHeight="1">
      <c r="A57" s="77">
        <v>5</v>
      </c>
      <c r="B57" s="78" t="s">
        <v>196</v>
      </c>
      <c r="C57" s="79"/>
      <c r="D57" s="79">
        <v>1750</v>
      </c>
      <c r="E57" s="80" t="s">
        <v>183</v>
      </c>
      <c r="F57" s="81">
        <v>44197</v>
      </c>
      <c r="G57" s="82">
        <v>0.1125</v>
      </c>
      <c r="H57" s="83">
        <v>44562</v>
      </c>
      <c r="I57" s="84">
        <v>0.1125</v>
      </c>
      <c r="J57" s="26">
        <f t="shared" si="2"/>
        <v>0</v>
      </c>
      <c r="K57" s="111">
        <f t="shared" si="3"/>
        <v>0</v>
      </c>
      <c r="L57" s="17"/>
    </row>
    <row r="58" spans="1:12" ht="18" customHeight="1">
      <c r="A58" s="77">
        <v>6</v>
      </c>
      <c r="B58" s="78" t="s">
        <v>175</v>
      </c>
      <c r="C58" s="79"/>
      <c r="D58" s="79">
        <v>1250</v>
      </c>
      <c r="E58" s="80" t="s">
        <v>189</v>
      </c>
      <c r="F58" s="81">
        <v>44136</v>
      </c>
      <c r="G58" s="82">
        <v>0.1</v>
      </c>
      <c r="H58" s="83">
        <v>44501</v>
      </c>
      <c r="I58" s="84">
        <v>0.1</v>
      </c>
      <c r="J58" s="26">
        <f t="shared" si="2"/>
        <v>0</v>
      </c>
      <c r="K58" s="111">
        <f t="shared" si="3"/>
        <v>0</v>
      </c>
      <c r="L58" s="17"/>
    </row>
    <row r="59" spans="1:12" ht="18" customHeight="1">
      <c r="A59" s="77">
        <v>7</v>
      </c>
      <c r="B59" s="78" t="s">
        <v>177</v>
      </c>
      <c r="C59" s="79"/>
      <c r="D59" s="79">
        <v>1750</v>
      </c>
      <c r="E59" s="80" t="s">
        <v>193</v>
      </c>
      <c r="F59" s="81">
        <v>43922</v>
      </c>
      <c r="G59" s="82">
        <v>0.04</v>
      </c>
      <c r="H59" s="83" t="s">
        <v>301</v>
      </c>
      <c r="I59" s="84">
        <v>0.04</v>
      </c>
      <c r="J59" s="26">
        <f t="shared" si="2"/>
        <v>0</v>
      </c>
      <c r="K59" s="111">
        <f t="shared" si="3"/>
        <v>0</v>
      </c>
      <c r="L59" s="17"/>
    </row>
    <row r="60" spans="1:12" ht="18" customHeight="1" thickBot="1">
      <c r="A60" s="86">
        <v>8</v>
      </c>
      <c r="B60" s="99" t="s">
        <v>178</v>
      </c>
      <c r="C60" s="88"/>
      <c r="D60" s="88">
        <v>1250</v>
      </c>
      <c r="E60" s="89" t="s">
        <v>123</v>
      </c>
      <c r="F60" s="90">
        <v>44131</v>
      </c>
      <c r="G60" s="91">
        <v>0.11</v>
      </c>
      <c r="H60" s="92">
        <v>44496</v>
      </c>
      <c r="I60" s="100">
        <v>0.11</v>
      </c>
      <c r="J60" s="27">
        <f t="shared" si="2"/>
        <v>0</v>
      </c>
      <c r="K60" s="111">
        <f t="shared" si="3"/>
        <v>0</v>
      </c>
      <c r="L60" s="14"/>
    </row>
    <row r="61" spans="1:12" ht="12.75" customHeight="1" thickBot="1">
      <c r="A61" s="93"/>
      <c r="B61" s="94"/>
      <c r="C61" s="94"/>
      <c r="D61" s="94"/>
      <c r="E61" s="95"/>
      <c r="F61" s="95"/>
      <c r="G61" s="94"/>
      <c r="H61" s="94"/>
      <c r="I61" s="94"/>
      <c r="J61" s="96"/>
      <c r="K61" s="96"/>
      <c r="L61" s="14"/>
    </row>
    <row r="62" spans="1:12" ht="20.25" customHeight="1">
      <c r="A62" s="130" t="s">
        <v>201</v>
      </c>
      <c r="B62" s="131"/>
      <c r="C62" s="131"/>
      <c r="D62" s="131"/>
      <c r="E62" s="131"/>
      <c r="F62" s="131"/>
      <c r="G62" s="131"/>
      <c r="H62" s="131"/>
      <c r="I62" s="131"/>
      <c r="J62" s="131"/>
      <c r="K62" s="132"/>
      <c r="L62" s="14"/>
    </row>
    <row r="63" spans="1:12" ht="20.25" customHeight="1">
      <c r="A63" s="137" t="s">
        <v>145</v>
      </c>
      <c r="B63" s="138"/>
      <c r="C63" s="143" t="s">
        <v>146</v>
      </c>
      <c r="D63" s="143" t="s">
        <v>147</v>
      </c>
      <c r="E63" s="143" t="s">
        <v>118</v>
      </c>
      <c r="F63" s="141">
        <v>2020</v>
      </c>
      <c r="G63" s="142"/>
      <c r="H63" s="141">
        <v>2021</v>
      </c>
      <c r="I63" s="142"/>
      <c r="J63" s="133" t="s">
        <v>152</v>
      </c>
      <c r="K63" s="134"/>
      <c r="L63" s="14"/>
    </row>
    <row r="64" spans="1:12" s="23" customFormat="1" ht="20.25" customHeight="1" thickBot="1">
      <c r="A64" s="139"/>
      <c r="B64" s="140"/>
      <c r="C64" s="144"/>
      <c r="D64" s="144"/>
      <c r="E64" s="144"/>
      <c r="F64" s="75" t="s">
        <v>13</v>
      </c>
      <c r="G64" s="76" t="s">
        <v>153</v>
      </c>
      <c r="H64" s="75" t="s">
        <v>13</v>
      </c>
      <c r="I64" s="76" t="s">
        <v>153</v>
      </c>
      <c r="J64" s="135"/>
      <c r="K64" s="136"/>
      <c r="L64" s="22"/>
    </row>
    <row r="65" spans="1:12" ht="18" customHeight="1">
      <c r="A65" s="97">
        <v>1</v>
      </c>
      <c r="B65" s="98" t="s">
        <v>224</v>
      </c>
      <c r="C65" s="79"/>
      <c r="D65" s="79"/>
      <c r="E65" s="80" t="s">
        <v>186</v>
      </c>
      <c r="F65" s="81" t="s">
        <v>272</v>
      </c>
      <c r="G65" s="82">
        <v>0</v>
      </c>
      <c r="H65" s="83" t="s">
        <v>262</v>
      </c>
      <c r="I65" s="84">
        <v>0</v>
      </c>
      <c r="J65" s="26">
        <f t="shared" ref="J65:J71" si="4">I65-G65</f>
        <v>0</v>
      </c>
      <c r="K65" s="111">
        <f t="shared" ref="K65:K71" si="5">J65</f>
        <v>0</v>
      </c>
      <c r="L65" s="17"/>
    </row>
    <row r="66" spans="1:12" ht="18" customHeight="1">
      <c r="A66" s="77">
        <v>2</v>
      </c>
      <c r="B66" s="78" t="s">
        <v>273</v>
      </c>
      <c r="C66" s="79">
        <v>130</v>
      </c>
      <c r="D66" s="79">
        <v>750</v>
      </c>
      <c r="E66" s="80" t="s">
        <v>183</v>
      </c>
      <c r="F66" s="81" t="s">
        <v>267</v>
      </c>
      <c r="G66" s="82">
        <v>0</v>
      </c>
      <c r="H66" s="83">
        <v>44560</v>
      </c>
      <c r="I66" s="84">
        <v>0.05</v>
      </c>
      <c r="J66" s="26">
        <f t="shared" si="4"/>
        <v>0.05</v>
      </c>
      <c r="K66" s="111">
        <f t="shared" si="5"/>
        <v>0.05</v>
      </c>
      <c r="L66" s="17"/>
    </row>
    <row r="67" spans="1:12" ht="18" customHeight="1">
      <c r="A67" s="77">
        <v>3</v>
      </c>
      <c r="B67" s="78" t="s">
        <v>225</v>
      </c>
      <c r="C67" s="79"/>
      <c r="D67" s="79"/>
      <c r="E67" s="80" t="s">
        <v>123</v>
      </c>
      <c r="F67" s="81" t="s">
        <v>272</v>
      </c>
      <c r="G67" s="82">
        <v>0</v>
      </c>
      <c r="H67" s="83" t="s">
        <v>262</v>
      </c>
      <c r="I67" s="84">
        <v>0</v>
      </c>
      <c r="J67" s="26">
        <f t="shared" si="4"/>
        <v>0</v>
      </c>
      <c r="K67" s="111">
        <f t="shared" si="5"/>
        <v>0</v>
      </c>
      <c r="L67" s="17"/>
    </row>
    <row r="68" spans="1:12" ht="18" customHeight="1">
      <c r="A68" s="77">
        <v>4</v>
      </c>
      <c r="B68" s="78" t="s">
        <v>274</v>
      </c>
      <c r="C68" s="79">
        <v>120</v>
      </c>
      <c r="D68" s="79">
        <v>600</v>
      </c>
      <c r="E68" s="80" t="s">
        <v>186</v>
      </c>
      <c r="F68" s="81">
        <v>43922</v>
      </c>
      <c r="G68" s="82">
        <v>2.5000000000000001E-2</v>
      </c>
      <c r="H68" s="83">
        <v>44287</v>
      </c>
      <c r="I68" s="84">
        <v>2.5000000000000001E-2</v>
      </c>
      <c r="J68" s="26">
        <f t="shared" si="4"/>
        <v>0</v>
      </c>
      <c r="K68" s="111">
        <f t="shared" si="5"/>
        <v>0</v>
      </c>
      <c r="L68" s="17"/>
    </row>
    <row r="69" spans="1:12" ht="18" customHeight="1">
      <c r="A69" s="77">
        <v>5</v>
      </c>
      <c r="B69" s="78" t="s">
        <v>226</v>
      </c>
      <c r="C69" s="79"/>
      <c r="D69" s="79"/>
      <c r="E69" s="80" t="s">
        <v>123</v>
      </c>
      <c r="F69" s="81" t="s">
        <v>272</v>
      </c>
      <c r="G69" s="82">
        <v>0</v>
      </c>
      <c r="H69" s="83" t="s">
        <v>262</v>
      </c>
      <c r="I69" s="84">
        <v>0</v>
      </c>
      <c r="J69" s="26">
        <f t="shared" si="4"/>
        <v>0</v>
      </c>
      <c r="K69" s="111">
        <f t="shared" si="5"/>
        <v>0</v>
      </c>
      <c r="L69" s="17"/>
    </row>
    <row r="70" spans="1:12" ht="18" customHeight="1">
      <c r="A70" s="77">
        <v>6</v>
      </c>
      <c r="B70" s="78" t="s">
        <v>227</v>
      </c>
      <c r="C70" s="79"/>
      <c r="D70" s="79"/>
      <c r="E70" s="80" t="s">
        <v>159</v>
      </c>
      <c r="F70" s="81" t="s">
        <v>272</v>
      </c>
      <c r="G70" s="82">
        <v>0</v>
      </c>
      <c r="H70" s="83" t="s">
        <v>262</v>
      </c>
      <c r="I70" s="84">
        <v>0</v>
      </c>
      <c r="J70" s="26">
        <f t="shared" si="4"/>
        <v>0</v>
      </c>
      <c r="K70" s="111">
        <f t="shared" si="5"/>
        <v>0</v>
      </c>
      <c r="L70" s="17"/>
    </row>
    <row r="71" spans="1:12" ht="18" customHeight="1" thickBot="1">
      <c r="A71" s="86">
        <v>7</v>
      </c>
      <c r="B71" s="99" t="s">
        <v>228</v>
      </c>
      <c r="C71" s="88">
        <v>130</v>
      </c>
      <c r="D71" s="88">
        <v>500</v>
      </c>
      <c r="E71" s="89" t="s">
        <v>194</v>
      </c>
      <c r="F71" s="90" t="s">
        <v>272</v>
      </c>
      <c r="G71" s="91">
        <v>0</v>
      </c>
      <c r="H71" s="92">
        <v>44531</v>
      </c>
      <c r="I71" s="100">
        <v>0.1</v>
      </c>
      <c r="J71" s="27">
        <f t="shared" si="4"/>
        <v>0.1</v>
      </c>
      <c r="K71" s="111">
        <f t="shared" si="5"/>
        <v>0.1</v>
      </c>
      <c r="L71" s="14"/>
    </row>
    <row r="72" spans="1:12" ht="12.75" customHeight="1" thickBot="1">
      <c r="A72" s="93"/>
      <c r="B72" s="94"/>
      <c r="C72" s="94"/>
      <c r="D72" s="94"/>
      <c r="E72" s="95"/>
      <c r="F72" s="95"/>
      <c r="G72" s="94"/>
      <c r="H72" s="94"/>
      <c r="I72" s="94"/>
      <c r="J72" s="96"/>
      <c r="K72" s="96"/>
      <c r="L72" s="14"/>
    </row>
    <row r="73" spans="1:12" ht="20.25" customHeight="1">
      <c r="A73" s="130" t="s">
        <v>202</v>
      </c>
      <c r="B73" s="131"/>
      <c r="C73" s="131"/>
      <c r="D73" s="131"/>
      <c r="E73" s="131"/>
      <c r="F73" s="131"/>
      <c r="G73" s="131"/>
      <c r="H73" s="131"/>
      <c r="I73" s="131"/>
      <c r="J73" s="131"/>
      <c r="K73" s="132"/>
      <c r="L73" s="14"/>
    </row>
    <row r="74" spans="1:12" ht="20.25" customHeight="1">
      <c r="A74" s="137" t="s">
        <v>145</v>
      </c>
      <c r="B74" s="138"/>
      <c r="C74" s="143" t="s">
        <v>146</v>
      </c>
      <c r="D74" s="143" t="s">
        <v>147</v>
      </c>
      <c r="E74" s="143" t="s">
        <v>118</v>
      </c>
      <c r="F74" s="141">
        <v>2020</v>
      </c>
      <c r="G74" s="142"/>
      <c r="H74" s="141">
        <v>2021</v>
      </c>
      <c r="I74" s="142"/>
      <c r="J74" s="133" t="s">
        <v>152</v>
      </c>
      <c r="K74" s="134"/>
      <c r="L74" s="14"/>
    </row>
    <row r="75" spans="1:12" s="23" customFormat="1" ht="20.25" customHeight="1" thickBot="1">
      <c r="A75" s="139"/>
      <c r="B75" s="140"/>
      <c r="C75" s="144"/>
      <c r="D75" s="144"/>
      <c r="E75" s="144"/>
      <c r="F75" s="75" t="s">
        <v>13</v>
      </c>
      <c r="G75" s="76" t="s">
        <v>153</v>
      </c>
      <c r="H75" s="75" t="s">
        <v>13</v>
      </c>
      <c r="I75" s="76" t="s">
        <v>153</v>
      </c>
      <c r="J75" s="135"/>
      <c r="K75" s="136"/>
      <c r="L75" s="22"/>
    </row>
    <row r="76" spans="1:12" ht="18" customHeight="1">
      <c r="A76" s="97">
        <v>1</v>
      </c>
      <c r="B76" s="101" t="s">
        <v>169</v>
      </c>
      <c r="C76" s="79"/>
      <c r="D76" s="79"/>
      <c r="E76" s="80" t="s">
        <v>123</v>
      </c>
      <c r="F76" s="81" t="s">
        <v>262</v>
      </c>
      <c r="G76" s="82">
        <v>0</v>
      </c>
      <c r="H76" s="83" t="s">
        <v>262</v>
      </c>
      <c r="I76" s="84">
        <v>0</v>
      </c>
      <c r="J76" s="26">
        <f t="shared" ref="J76:J78" si="6">I76-G76</f>
        <v>0</v>
      </c>
      <c r="K76" s="111">
        <f t="shared" ref="K76:K78" si="7">J76</f>
        <v>0</v>
      </c>
      <c r="L76" s="17"/>
    </row>
    <row r="77" spans="1:12" ht="18" customHeight="1">
      <c r="A77" s="77">
        <v>2</v>
      </c>
      <c r="B77" s="85" t="s">
        <v>275</v>
      </c>
      <c r="C77" s="79"/>
      <c r="D77" s="79"/>
      <c r="E77" s="80" t="s">
        <v>123</v>
      </c>
      <c r="F77" s="81" t="s">
        <v>276</v>
      </c>
      <c r="G77" s="82"/>
      <c r="H77" s="83" t="s">
        <v>302</v>
      </c>
      <c r="I77" s="84"/>
      <c r="J77" s="26">
        <f t="shared" si="6"/>
        <v>0</v>
      </c>
      <c r="K77" s="111">
        <f t="shared" si="7"/>
        <v>0</v>
      </c>
      <c r="L77" s="17"/>
    </row>
    <row r="78" spans="1:12" ht="18" customHeight="1" thickBot="1">
      <c r="A78" s="86">
        <v>3</v>
      </c>
      <c r="B78" s="99" t="s">
        <v>277</v>
      </c>
      <c r="C78" s="88"/>
      <c r="D78" s="88"/>
      <c r="E78" s="89" t="s">
        <v>190</v>
      </c>
      <c r="F78" s="90" t="s">
        <v>262</v>
      </c>
      <c r="G78" s="91">
        <v>0</v>
      </c>
      <c r="H78" s="83" t="s">
        <v>262</v>
      </c>
      <c r="I78" s="100">
        <v>0</v>
      </c>
      <c r="J78" s="27">
        <f t="shared" si="6"/>
        <v>0</v>
      </c>
      <c r="K78" s="111">
        <f t="shared" si="7"/>
        <v>0</v>
      </c>
      <c r="L78" s="14"/>
    </row>
    <row r="79" spans="1:12" ht="12.75" customHeight="1" thickBot="1">
      <c r="A79" s="93"/>
      <c r="B79" s="94"/>
      <c r="C79" s="94"/>
      <c r="D79" s="94"/>
      <c r="E79" s="95"/>
      <c r="F79" s="95"/>
      <c r="G79" s="94"/>
      <c r="H79" s="94"/>
      <c r="I79" s="94"/>
      <c r="J79" s="96"/>
      <c r="K79" s="96"/>
      <c r="L79" s="14"/>
    </row>
    <row r="80" spans="1:12" ht="20.25" customHeight="1">
      <c r="A80" s="130" t="s">
        <v>198</v>
      </c>
      <c r="B80" s="131"/>
      <c r="C80" s="131"/>
      <c r="D80" s="131"/>
      <c r="E80" s="131"/>
      <c r="F80" s="131"/>
      <c r="G80" s="131"/>
      <c r="H80" s="131"/>
      <c r="I80" s="131"/>
      <c r="J80" s="131"/>
      <c r="K80" s="132"/>
      <c r="L80" s="14"/>
    </row>
    <row r="81" spans="1:12" ht="20.25" customHeight="1">
      <c r="A81" s="137" t="s">
        <v>145</v>
      </c>
      <c r="B81" s="138"/>
      <c r="C81" s="143" t="s">
        <v>146</v>
      </c>
      <c r="D81" s="143" t="s">
        <v>147</v>
      </c>
      <c r="E81" s="143" t="s">
        <v>118</v>
      </c>
      <c r="F81" s="141">
        <v>2020</v>
      </c>
      <c r="G81" s="142"/>
      <c r="H81" s="141">
        <v>2021</v>
      </c>
      <c r="I81" s="142"/>
      <c r="J81" s="133" t="s">
        <v>152</v>
      </c>
      <c r="K81" s="134"/>
      <c r="L81" s="14"/>
    </row>
    <row r="82" spans="1:12" s="23" customFormat="1" ht="20.25" customHeight="1" thickBot="1">
      <c r="A82" s="139"/>
      <c r="B82" s="140"/>
      <c r="C82" s="144"/>
      <c r="D82" s="144"/>
      <c r="E82" s="144"/>
      <c r="F82" s="75" t="s">
        <v>13</v>
      </c>
      <c r="G82" s="76" t="s">
        <v>153</v>
      </c>
      <c r="H82" s="75" t="s">
        <v>13</v>
      </c>
      <c r="I82" s="76" t="s">
        <v>153</v>
      </c>
      <c r="J82" s="135"/>
      <c r="K82" s="136"/>
      <c r="L82" s="22"/>
    </row>
    <row r="83" spans="1:12" ht="18" customHeight="1">
      <c r="A83" s="97">
        <v>1</v>
      </c>
      <c r="B83" s="101" t="s">
        <v>231</v>
      </c>
      <c r="C83" s="79">
        <v>50</v>
      </c>
      <c r="D83" s="79">
        <v>250</v>
      </c>
      <c r="E83" s="80" t="s">
        <v>123</v>
      </c>
      <c r="F83" s="81">
        <v>43922</v>
      </c>
      <c r="G83" s="82">
        <v>3.5000000000000003E-2</v>
      </c>
      <c r="H83" s="83">
        <v>44287</v>
      </c>
      <c r="I83" s="84">
        <v>0.1</v>
      </c>
      <c r="J83" s="26">
        <f t="shared" ref="J83:J85" si="8">I83-G83</f>
        <v>6.5000000000000002E-2</v>
      </c>
      <c r="K83" s="111">
        <f t="shared" ref="K83:K85" si="9">J83</f>
        <v>6.5000000000000002E-2</v>
      </c>
      <c r="L83" s="17"/>
    </row>
    <row r="84" spans="1:12" ht="18" customHeight="1">
      <c r="A84" s="77">
        <v>2</v>
      </c>
      <c r="B84" s="85" t="s">
        <v>229</v>
      </c>
      <c r="C84" s="79">
        <v>50</v>
      </c>
      <c r="D84" s="79">
        <v>500</v>
      </c>
      <c r="E84" s="80" t="s">
        <v>184</v>
      </c>
      <c r="F84" s="81">
        <v>44013</v>
      </c>
      <c r="G84" s="82">
        <v>2.5000000000000001E-2</v>
      </c>
      <c r="H84" s="83">
        <v>44378</v>
      </c>
      <c r="I84" s="84">
        <v>0.05</v>
      </c>
      <c r="J84" s="26">
        <f t="shared" si="8"/>
        <v>2.5000000000000001E-2</v>
      </c>
      <c r="K84" s="111">
        <f t="shared" si="9"/>
        <v>2.5000000000000001E-2</v>
      </c>
      <c r="L84" s="17"/>
    </row>
    <row r="85" spans="1:12" ht="18" customHeight="1" thickBot="1">
      <c r="A85" s="86">
        <v>3</v>
      </c>
      <c r="B85" s="99" t="s">
        <v>230</v>
      </c>
      <c r="C85" s="88">
        <v>35</v>
      </c>
      <c r="D85" s="88">
        <v>100</v>
      </c>
      <c r="E85" s="89" t="s">
        <v>123</v>
      </c>
      <c r="F85" s="90">
        <v>44044</v>
      </c>
      <c r="G85" s="91">
        <v>0.03</v>
      </c>
      <c r="H85" s="92">
        <v>44409</v>
      </c>
      <c r="I85" s="100">
        <v>0.1</v>
      </c>
      <c r="J85" s="27">
        <f t="shared" si="8"/>
        <v>7.0000000000000007E-2</v>
      </c>
      <c r="K85" s="111">
        <f t="shared" si="9"/>
        <v>7.0000000000000007E-2</v>
      </c>
      <c r="L85" s="14"/>
    </row>
    <row r="86" spans="1:12" ht="12.6" customHeight="1">
      <c r="A86" s="93"/>
      <c r="B86" s="94"/>
      <c r="C86" s="94"/>
      <c r="D86" s="94"/>
      <c r="E86" s="95"/>
      <c r="F86" s="95"/>
      <c r="G86" s="94"/>
      <c r="H86" s="94"/>
      <c r="I86" s="94"/>
      <c r="J86" s="96"/>
      <c r="K86" s="96"/>
      <c r="L86" s="14"/>
    </row>
    <row r="87" spans="1:12" ht="18" customHeight="1">
      <c r="A87" s="102" t="s">
        <v>232</v>
      </c>
      <c r="B87" s="103" t="s">
        <v>233</v>
      </c>
      <c r="C87" s="104"/>
      <c r="D87" s="104"/>
      <c r="E87" s="94"/>
      <c r="F87" s="105"/>
      <c r="G87" s="106"/>
      <c r="H87" s="106"/>
      <c r="I87" s="106"/>
      <c r="J87" s="94"/>
      <c r="K87" s="96"/>
      <c r="L87" s="14"/>
    </row>
    <row r="88" spans="1:12" ht="18" customHeight="1">
      <c r="A88" s="102" t="s">
        <v>234</v>
      </c>
      <c r="B88" s="103" t="s">
        <v>235</v>
      </c>
      <c r="C88" s="94"/>
      <c r="D88" s="94"/>
      <c r="E88" s="95"/>
      <c r="F88" s="107"/>
      <c r="G88" s="108"/>
      <c r="H88" s="108"/>
      <c r="I88" s="108"/>
      <c r="J88" s="96"/>
      <c r="K88" s="96"/>
      <c r="L88" s="14"/>
    </row>
    <row r="89" spans="1:12" ht="18" customHeight="1">
      <c r="A89" s="109" t="s">
        <v>236</v>
      </c>
      <c r="B89" s="103" t="s">
        <v>237</v>
      </c>
      <c r="C89" s="94"/>
      <c r="D89" s="94"/>
      <c r="E89" s="95"/>
      <c r="F89" s="94"/>
      <c r="G89" s="94"/>
      <c r="H89" s="94"/>
      <c r="I89" s="94"/>
      <c r="J89" s="96"/>
      <c r="K89" s="96"/>
      <c r="L89" s="14"/>
    </row>
    <row r="90" spans="1:12" ht="18" customHeight="1">
      <c r="A90" s="109" t="s">
        <v>238</v>
      </c>
      <c r="B90" s="103" t="s">
        <v>239</v>
      </c>
      <c r="C90" s="94"/>
      <c r="D90" s="94"/>
      <c r="E90" s="95"/>
      <c r="F90" s="94"/>
      <c r="G90" s="94"/>
      <c r="H90" s="94"/>
      <c r="I90" s="94"/>
      <c r="J90" s="96"/>
      <c r="K90" s="96"/>
      <c r="L90" s="14"/>
    </row>
    <row r="91" spans="1:12" ht="18" customHeight="1">
      <c r="A91" s="102" t="s">
        <v>240</v>
      </c>
      <c r="B91" s="103" t="s">
        <v>241</v>
      </c>
      <c r="C91" s="94"/>
      <c r="D91" s="94"/>
      <c r="E91" s="95"/>
      <c r="F91" s="94"/>
      <c r="G91" s="94"/>
      <c r="H91" s="94"/>
      <c r="I91" s="94"/>
      <c r="J91" s="96"/>
      <c r="K91" s="96"/>
      <c r="L91" s="14"/>
    </row>
    <row r="92" spans="1:12" ht="18" customHeight="1">
      <c r="A92" s="110" t="s">
        <v>242</v>
      </c>
      <c r="B92" s="73" t="s">
        <v>278</v>
      </c>
      <c r="C92" s="94"/>
      <c r="D92" s="94"/>
      <c r="E92" s="95"/>
      <c r="F92" s="94"/>
      <c r="G92" s="94"/>
      <c r="H92" s="94"/>
      <c r="I92" s="94"/>
      <c r="J92" s="96"/>
      <c r="K92" s="96"/>
      <c r="L92" s="14"/>
    </row>
    <row r="93" spans="1:12" ht="18" customHeight="1">
      <c r="A93" s="73" t="s">
        <v>264</v>
      </c>
      <c r="B93" s="73" t="s">
        <v>279</v>
      </c>
      <c r="C93" s="94"/>
      <c r="D93" s="94"/>
      <c r="E93" s="95"/>
      <c r="F93" s="94"/>
      <c r="G93" s="94"/>
      <c r="H93" s="94"/>
      <c r="I93" s="94"/>
      <c r="J93" s="96"/>
      <c r="K93" s="96"/>
      <c r="L93" s="14"/>
    </row>
    <row r="94" spans="1:12" ht="18" customHeight="1">
      <c r="A94" s="73" t="s">
        <v>280</v>
      </c>
      <c r="B94" s="112" t="s">
        <v>303</v>
      </c>
      <c r="C94" s="94"/>
      <c r="D94" s="94"/>
      <c r="E94" s="95"/>
      <c r="F94" s="94"/>
      <c r="G94" s="94"/>
      <c r="H94" s="94"/>
      <c r="I94" s="94"/>
      <c r="J94" s="96"/>
      <c r="K94" s="96"/>
      <c r="L94" s="14"/>
    </row>
    <row r="95" spans="1:12" ht="20.399999999999999">
      <c r="A95" s="45"/>
      <c r="B95" s="14"/>
      <c r="C95" s="14"/>
      <c r="D95" s="14"/>
      <c r="E95" s="16"/>
      <c r="F95" s="16"/>
      <c r="G95" s="14"/>
      <c r="H95" s="14"/>
      <c r="I95" s="14"/>
      <c r="J95" s="13"/>
      <c r="K95" s="13"/>
      <c r="L95" s="14"/>
    </row>
    <row r="96" spans="1:12" ht="20.399999999999999">
      <c r="A96" s="45"/>
      <c r="B96" s="14"/>
      <c r="C96" s="14"/>
      <c r="D96" s="14"/>
      <c r="E96" s="16"/>
      <c r="F96" s="16"/>
      <c r="G96" s="14"/>
      <c r="H96" s="14"/>
      <c r="I96" s="14"/>
      <c r="J96" s="13"/>
      <c r="K96" s="13"/>
      <c r="L96" s="14"/>
    </row>
    <row r="97" spans="1:12" ht="20.399999999999999">
      <c r="A97" s="45"/>
      <c r="B97" s="14"/>
      <c r="C97" s="14"/>
      <c r="D97" s="14"/>
      <c r="E97" s="16"/>
      <c r="F97" s="16"/>
      <c r="G97" s="14"/>
      <c r="H97" s="14"/>
      <c r="I97" s="14"/>
      <c r="J97" s="13"/>
      <c r="K97" s="13"/>
      <c r="L97" s="14"/>
    </row>
    <row r="98" spans="1:12" ht="20.399999999999999">
      <c r="A98" s="45"/>
      <c r="B98" s="14"/>
      <c r="C98" s="14"/>
      <c r="D98" s="14"/>
      <c r="E98" s="16"/>
      <c r="F98" s="16"/>
      <c r="G98" s="14"/>
      <c r="H98" s="14"/>
      <c r="I98" s="14"/>
      <c r="J98" s="13"/>
      <c r="K98" s="13"/>
      <c r="L98" s="14"/>
    </row>
    <row r="99" spans="1:12" ht="20.399999999999999">
      <c r="A99" s="45"/>
      <c r="B99" s="14"/>
      <c r="C99" s="14"/>
      <c r="D99" s="14"/>
      <c r="E99" s="16"/>
      <c r="F99" s="16"/>
      <c r="G99" s="14"/>
      <c r="H99" s="14"/>
      <c r="I99" s="14"/>
      <c r="J99" s="13"/>
      <c r="K99" s="13"/>
      <c r="L99" s="14"/>
    </row>
    <row r="100" spans="1:12" ht="20.399999999999999">
      <c r="A100" s="45"/>
      <c r="B100" s="14"/>
      <c r="C100" s="14"/>
      <c r="D100" s="14"/>
      <c r="E100" s="16"/>
      <c r="F100" s="16"/>
      <c r="G100" s="14"/>
      <c r="H100" s="14"/>
      <c r="I100" s="14"/>
      <c r="J100" s="13"/>
      <c r="K100" s="13"/>
      <c r="L100" s="14"/>
    </row>
    <row r="101" spans="1:12" ht="20.399999999999999">
      <c r="A101" s="45"/>
      <c r="B101" s="14"/>
      <c r="C101" s="14"/>
      <c r="D101" s="14"/>
      <c r="E101" s="16"/>
      <c r="F101" s="16"/>
      <c r="G101" s="14"/>
      <c r="H101" s="14"/>
      <c r="I101" s="14"/>
      <c r="J101" s="13"/>
      <c r="K101" s="13"/>
      <c r="L101" s="14"/>
    </row>
  </sheetData>
  <mergeCells count="41">
    <mergeCell ref="A81:B82"/>
    <mergeCell ref="C81:C82"/>
    <mergeCell ref="D81:D82"/>
    <mergeCell ref="E81:E82"/>
    <mergeCell ref="F81:G81"/>
    <mergeCell ref="J81:K82"/>
    <mergeCell ref="C74:C75"/>
    <mergeCell ref="D74:D75"/>
    <mergeCell ref="J63:K64"/>
    <mergeCell ref="C63:C64"/>
    <mergeCell ref="H81:I81"/>
    <mergeCell ref="A73:K73"/>
    <mergeCell ref="A80:K80"/>
    <mergeCell ref="E74:E75"/>
    <mergeCell ref="F74:G74"/>
    <mergeCell ref="H74:I74"/>
    <mergeCell ref="J74:K75"/>
    <mergeCell ref="A63:B64"/>
    <mergeCell ref="A74:B75"/>
    <mergeCell ref="D63:D64"/>
    <mergeCell ref="E63:E64"/>
    <mergeCell ref="A1:K1"/>
    <mergeCell ref="C6:C7"/>
    <mergeCell ref="D6:D7"/>
    <mergeCell ref="E6:E7"/>
    <mergeCell ref="F6:G6"/>
    <mergeCell ref="H6:I6"/>
    <mergeCell ref="J6:K7"/>
    <mergeCell ref="A5:K5"/>
    <mergeCell ref="A6:B7"/>
    <mergeCell ref="A50:K50"/>
    <mergeCell ref="A62:K62"/>
    <mergeCell ref="J51:K52"/>
    <mergeCell ref="A51:B52"/>
    <mergeCell ref="F63:G63"/>
    <mergeCell ref="H63:I63"/>
    <mergeCell ref="C51:C52"/>
    <mergeCell ref="D51:D52"/>
    <mergeCell ref="E51:E52"/>
    <mergeCell ref="F51:G51"/>
    <mergeCell ref="H51:I51"/>
  </mergeCells>
  <printOptions horizontalCentered="1"/>
  <pageMargins left="0.51181102362204722" right="0.51181102362204722" top="0.74803149606299213" bottom="0.74803149606299213" header="0.19685039370078741" footer="0.15748031496062992"/>
  <pageSetup paperSize="9" scale="58" fitToHeight="0" orientation="portrait" r:id="rId1"/>
  <headerFooter>
    <oddFooter>&amp;L&amp;14&amp;A&amp;C&amp;"Arial,Regular"&amp;14Page &amp;P of  &amp;N</oddFooter>
  </headerFooter>
  <rowBreaks count="1" manualBreakCount="1">
    <brk id="49" max="10" man="1"/>
  </rowBreaks>
  <colBreaks count="1" manualBreakCount="1">
    <brk id="11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Schedule ABC</vt:lpstr>
      <vt:lpstr>Audit Notes</vt:lpstr>
      <vt:lpstr>Sample Non Quest Exposures</vt:lpstr>
      <vt:lpstr>'Audit Notes'!Print_Area</vt:lpstr>
      <vt:lpstr>'Sample Non Quest Exposures'!Print_Area</vt:lpstr>
      <vt:lpstr>'Schedule ABC'!Print_Area</vt:lpstr>
      <vt:lpstr>'Sample Non Quest Exposures'!Print_Titles</vt:lpstr>
      <vt:lpstr>'Schedule ABC'!Print_Titles</vt:lpstr>
    </vt:vector>
  </TitlesOfParts>
  <Company>Aon Limited ACRS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Stopps</dc:creator>
  <cp:lastModifiedBy>David Frawley</cp:lastModifiedBy>
  <cp:lastPrinted>2022-02-22T11:52:22Z</cp:lastPrinted>
  <dcterms:created xsi:type="dcterms:W3CDTF">1998-05-28T11:47:59Z</dcterms:created>
  <dcterms:modified xsi:type="dcterms:W3CDTF">2022-10-31T19:08:57Z</dcterms:modified>
</cp:coreProperties>
</file>