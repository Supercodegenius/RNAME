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\\dca\Company\Clients\Hamilton Re\Data\Phase 1\"/>
    </mc:Choice>
  </mc:AlternateContent>
  <xr:revisionPtr revIDLastSave="0" documentId="13_ncr:1_{3400D971-C025-44FF-B59A-49A99F86EAEA}" xr6:coauthVersionLast="47" xr6:coauthVersionMax="47" xr10:uidLastSave="{00000000-0000-0000-0000-000000000000}"/>
  <bookViews>
    <workbookView xWindow="-108" yWindow="-108" windowWidth="23256" windowHeight="12456" activeTab="1" xr2:uid="{DB75722E-69D0-42C9-BBB5-D7907D5EA27E}"/>
  </bookViews>
  <sheets>
    <sheet name="Layer Comparison" sheetId="1" r:id="rId1"/>
    <sheet name="Sheet1" sheetId="2" r:id="rId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16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'Layer Comparison'!$A$13:$BS$221</definedName>
    <definedName name="Dyn_Insured" localSheetId="0">'Layer Comparison'!$F1</definedName>
    <definedName name="Excess_Latest" localSheetId="0">'Layer Comparison'!$M$8</definedName>
    <definedName name="Excess_Past" localSheetId="0">'Layer Comparison'!$L$8</definedName>
    <definedName name="Limit_Latest" localSheetId="0">'Layer Comparison'!$M$7</definedName>
    <definedName name="Limit_Past" localSheetId="0">'Layer Comparison'!$L$7</definedName>
    <definedName name="Pal_Workbook_GUID" hidden="1">"PXCRTF13Y8IJJDR9RCYPRHYG"</definedName>
    <definedName name="_xlnm.Print_Area" localSheetId="0">'Layer Comparison'!$F$1:$BT$309</definedName>
    <definedName name="_xlnm.Print_Titles" localSheetId="0">'Layer Comparison'!$F:$G,'Layer Comparison'!$1:$12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309" i="1" l="1"/>
  <c r="X309" i="1"/>
  <c r="P309" i="1"/>
  <c r="AV307" i="1"/>
  <c r="BL307" i="1"/>
  <c r="BL306" i="1"/>
  <c r="BD306" i="1"/>
  <c r="AV306" i="1"/>
  <c r="AN306" i="1"/>
  <c r="BL305" i="1"/>
  <c r="BD305" i="1"/>
  <c r="AV305" i="1"/>
  <c r="AN305" i="1"/>
  <c r="AF305" i="1"/>
  <c r="BL304" i="1"/>
  <c r="BD304" i="1"/>
  <c r="AV304" i="1"/>
  <c r="AN304" i="1"/>
  <c r="AF304" i="1"/>
  <c r="X304" i="1"/>
  <c r="AN303" i="1"/>
  <c r="AF303" i="1"/>
  <c r="P303" i="1"/>
  <c r="F301" i="1"/>
  <c r="F298" i="1"/>
  <c r="F300" i="1" s="1"/>
  <c r="F294" i="1"/>
  <c r="F290" i="1"/>
  <c r="F292" i="1" s="1"/>
  <c r="F286" i="1"/>
  <c r="F282" i="1"/>
  <c r="F285" i="1" s="1"/>
  <c r="F278" i="1"/>
  <c r="F280" i="1" s="1"/>
  <c r="F274" i="1"/>
  <c r="F275" i="1" s="1"/>
  <c r="F270" i="1"/>
  <c r="F273" i="1" s="1"/>
  <c r="F266" i="1"/>
  <c r="F262" i="1"/>
  <c r="F258" i="1"/>
  <c r="F261" i="1" s="1"/>
  <c r="F254" i="1"/>
  <c r="F250" i="1"/>
  <c r="F252" i="1" s="1"/>
  <c r="F246" i="1"/>
  <c r="F249" i="1" s="1"/>
  <c r="F243" i="1"/>
  <c r="F242" i="1"/>
  <c r="F245" i="1" s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BJ221" i="1"/>
  <c r="BK221" i="1" s="1"/>
  <c r="BI221" i="1"/>
  <c r="BF221" i="1"/>
  <c r="BG221" i="1" s="1"/>
  <c r="AZ221" i="1"/>
  <c r="AJ221" i="1"/>
  <c r="Z221" i="1"/>
  <c r="AA221" i="1" s="1"/>
  <c r="N221" i="1"/>
  <c r="O221" i="1" s="1"/>
  <c r="J221" i="1"/>
  <c r="K221" i="1" s="1"/>
  <c r="BI220" i="1"/>
  <c r="AC220" i="1"/>
  <c r="AB220" i="1"/>
  <c r="AP219" i="1"/>
  <c r="AQ219" i="1" s="1"/>
  <c r="AJ219" i="1"/>
  <c r="BN217" i="1"/>
  <c r="BO217" i="1" s="1"/>
  <c r="BI217" i="1"/>
  <c r="AR217" i="1"/>
  <c r="V217" i="1"/>
  <c r="W217" i="1" s="1"/>
  <c r="U217" i="1"/>
  <c r="M217" i="1"/>
  <c r="BH215" i="1"/>
  <c r="AZ215" i="1"/>
  <c r="AB215" i="1"/>
  <c r="T215" i="1"/>
  <c r="BQ214" i="1"/>
  <c r="BP214" i="1"/>
  <c r="AP214" i="1"/>
  <c r="AQ214" i="1" s="1"/>
  <c r="N214" i="1"/>
  <c r="O214" i="1" s="1"/>
  <c r="M214" i="1"/>
  <c r="BQ213" i="1"/>
  <c r="BN213" i="1"/>
  <c r="BO213" i="1" s="1"/>
  <c r="BH213" i="1"/>
  <c r="BF213" i="1"/>
  <c r="BG213" i="1" s="1"/>
  <c r="BA213" i="1"/>
  <c r="AS213" i="1"/>
  <c r="AR213" i="1"/>
  <c r="AH213" i="1"/>
  <c r="AI213" i="1" s="1"/>
  <c r="AB213" i="1"/>
  <c r="U213" i="1"/>
  <c r="T213" i="1"/>
  <c r="R213" i="1"/>
  <c r="S213" i="1" s="1"/>
  <c r="J213" i="1"/>
  <c r="K213" i="1" s="1"/>
  <c r="BP212" i="1"/>
  <c r="AJ212" i="1"/>
  <c r="T212" i="1"/>
  <c r="BN211" i="1"/>
  <c r="BO211" i="1" s="1"/>
  <c r="BI211" i="1"/>
  <c r="BF211" i="1"/>
  <c r="BG211" i="1" s="1"/>
  <c r="BB211" i="1"/>
  <c r="BC211" i="1" s="1"/>
  <c r="AT211" i="1"/>
  <c r="AU211" i="1" s="1"/>
  <c r="AS211" i="1"/>
  <c r="AP211" i="1"/>
  <c r="AQ211" i="1" s="1"/>
  <c r="AK211" i="1"/>
  <c r="AD211" i="1"/>
  <c r="AE211" i="1" s="1"/>
  <c r="AC211" i="1"/>
  <c r="Z211" i="1"/>
  <c r="AA211" i="1" s="1"/>
  <c r="N211" i="1"/>
  <c r="O211" i="1" s="1"/>
  <c r="M211" i="1"/>
  <c r="BB210" i="1"/>
  <c r="BC210" i="1" s="1"/>
  <c r="BQ209" i="1"/>
  <c r="AK209" i="1"/>
  <c r="BH208" i="1"/>
  <c r="BF208" i="1"/>
  <c r="BG208" i="1" s="1"/>
  <c r="AR208" i="1"/>
  <c r="AB208" i="1"/>
  <c r="Z208" i="1"/>
  <c r="AA208" i="1" s="1"/>
  <c r="L208" i="1"/>
  <c r="BN207" i="1"/>
  <c r="BO207" i="1" s="1"/>
  <c r="AL207" i="1"/>
  <c r="AM207" i="1" s="1"/>
  <c r="AJ207" i="1"/>
  <c r="T207" i="1"/>
  <c r="BP205" i="1"/>
  <c r="AX205" i="1"/>
  <c r="AY205" i="1" s="1"/>
  <c r="R205" i="1"/>
  <c r="S205" i="1" s="1"/>
  <c r="BP204" i="1"/>
  <c r="AT204" i="1"/>
  <c r="AU204" i="1" s="1"/>
  <c r="BS181" i="1"/>
  <c r="BO181" i="1"/>
  <c r="BK181" i="1"/>
  <c r="BG181" i="1"/>
  <c r="BC181" i="1"/>
  <c r="AY181" i="1"/>
  <c r="AU181" i="1"/>
  <c r="AQ181" i="1"/>
  <c r="AM181" i="1"/>
  <c r="AI181" i="1"/>
  <c r="AE181" i="1"/>
  <c r="AA181" i="1"/>
  <c r="W181" i="1"/>
  <c r="S181" i="1"/>
  <c r="O181" i="1"/>
  <c r="K181" i="1"/>
  <c r="G181" i="1"/>
  <c r="F181" i="1"/>
  <c r="A181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BR162" i="1"/>
  <c r="BS162" i="1" s="1"/>
  <c r="BB162" i="1"/>
  <c r="BC162" i="1" s="1"/>
  <c r="AR162" i="1"/>
  <c r="AB162" i="1"/>
  <c r="Z162" i="1"/>
  <c r="AA162" i="1" s="1"/>
  <c r="J162" i="1"/>
  <c r="K162" i="1" s="1"/>
  <c r="BR159" i="1"/>
  <c r="BS159" i="1" s="1"/>
  <c r="BB159" i="1"/>
  <c r="BC159" i="1" s="1"/>
  <c r="V159" i="1"/>
  <c r="W159" i="1" s="1"/>
  <c r="J159" i="1"/>
  <c r="K159" i="1" s="1"/>
  <c r="BF158" i="1"/>
  <c r="BG158" i="1" s="1"/>
  <c r="AL158" i="1"/>
  <c r="AM158" i="1" s="1"/>
  <c r="AD158" i="1"/>
  <c r="AE158" i="1" s="1"/>
  <c r="BQ158" i="1"/>
  <c r="BR157" i="1"/>
  <c r="BS157" i="1" s="1"/>
  <c r="AK157" i="1"/>
  <c r="U157" i="1"/>
  <c r="M157" i="1"/>
  <c r="BJ156" i="1"/>
  <c r="BK156" i="1" s="1"/>
  <c r="AB156" i="1"/>
  <c r="BP152" i="1"/>
  <c r="AH152" i="1"/>
  <c r="AI152" i="1" s="1"/>
  <c r="AC152" i="1"/>
  <c r="T152" i="1"/>
  <c r="L152" i="1"/>
  <c r="BQ151" i="1"/>
  <c r="BN151" i="1"/>
  <c r="BO151" i="1" s="1"/>
  <c r="BI151" i="1"/>
  <c r="BH151" i="1"/>
  <c r="BF151" i="1"/>
  <c r="BG151" i="1" s="1"/>
  <c r="BA151" i="1"/>
  <c r="AX151" i="1"/>
  <c r="AY151" i="1" s="1"/>
  <c r="AS151" i="1"/>
  <c r="AR151" i="1"/>
  <c r="AP151" i="1"/>
  <c r="AQ151" i="1" s="1"/>
  <c r="AK151" i="1"/>
  <c r="AH151" i="1"/>
  <c r="AI151" i="1" s="1"/>
  <c r="AC151" i="1"/>
  <c r="AB151" i="1"/>
  <c r="Z151" i="1"/>
  <c r="AA151" i="1" s="1"/>
  <c r="U151" i="1"/>
  <c r="R151" i="1"/>
  <c r="S151" i="1" s="1"/>
  <c r="M151" i="1"/>
  <c r="L151" i="1"/>
  <c r="J151" i="1"/>
  <c r="K151" i="1" s="1"/>
  <c r="BQ149" i="1"/>
  <c r="BP149" i="1"/>
  <c r="BI149" i="1"/>
  <c r="BH149" i="1"/>
  <c r="BF149" i="1"/>
  <c r="BG149" i="1" s="1"/>
  <c r="AZ149" i="1"/>
  <c r="AX149" i="1"/>
  <c r="AY149" i="1" s="1"/>
  <c r="AS149" i="1"/>
  <c r="AR149" i="1"/>
  <c r="AK149" i="1"/>
  <c r="AJ149" i="1"/>
  <c r="AH149" i="1"/>
  <c r="AI149" i="1" s="1"/>
  <c r="AC149" i="1"/>
  <c r="Z149" i="1"/>
  <c r="AA149" i="1" s="1"/>
  <c r="U149" i="1"/>
  <c r="T149" i="1"/>
  <c r="R149" i="1"/>
  <c r="S149" i="1" s="1"/>
  <c r="M149" i="1"/>
  <c r="L149" i="1"/>
  <c r="J149" i="1"/>
  <c r="K149" i="1" s="1"/>
  <c r="BB146" i="1"/>
  <c r="BC146" i="1" s="1"/>
  <c r="AR146" i="1"/>
  <c r="V146" i="1"/>
  <c r="W146" i="1" s="1"/>
  <c r="N146" i="1"/>
  <c r="O146" i="1" s="1"/>
  <c r="BQ143" i="1"/>
  <c r="BP143" i="1"/>
  <c r="BJ143" i="1"/>
  <c r="BK143" i="1" s="1"/>
  <c r="BF143" i="1"/>
  <c r="BG143" i="1" s="1"/>
  <c r="BB143" i="1"/>
  <c r="BC143" i="1" s="1"/>
  <c r="BA143" i="1"/>
  <c r="AS143" i="1"/>
  <c r="AR143" i="1"/>
  <c r="AP143" i="1"/>
  <c r="AQ143" i="1" s="1"/>
  <c r="AK143" i="1"/>
  <c r="AB143" i="1"/>
  <c r="Z143" i="1"/>
  <c r="AA143" i="1" s="1"/>
  <c r="V143" i="1"/>
  <c r="W143" i="1" s="1"/>
  <c r="N143" i="1"/>
  <c r="O143" i="1" s="1"/>
  <c r="M143" i="1"/>
  <c r="L143" i="1"/>
  <c r="J143" i="1"/>
  <c r="K143" i="1" s="1"/>
  <c r="BP142" i="1"/>
  <c r="BB142" i="1"/>
  <c r="BC142" i="1" s="1"/>
  <c r="AJ142" i="1"/>
  <c r="AC142" i="1"/>
  <c r="T142" i="1"/>
  <c r="BQ141" i="1"/>
  <c r="BH141" i="1"/>
  <c r="BF141" i="1"/>
  <c r="BG141" i="1" s="1"/>
  <c r="AR141" i="1"/>
  <c r="AJ141" i="1"/>
  <c r="T141" i="1"/>
  <c r="M141" i="1"/>
  <c r="L141" i="1"/>
  <c r="AD140" i="1"/>
  <c r="AE140" i="1" s="1"/>
  <c r="Z140" i="1"/>
  <c r="AA140" i="1" s="1"/>
  <c r="J140" i="1"/>
  <c r="K140" i="1" s="1"/>
  <c r="BN139" i="1"/>
  <c r="BO139" i="1" s="1"/>
  <c r="AL139" i="1"/>
  <c r="AM139" i="1" s="1"/>
  <c r="AH139" i="1"/>
  <c r="AI139" i="1" s="1"/>
  <c r="R139" i="1"/>
  <c r="S139" i="1" s="1"/>
  <c r="J139" i="1"/>
  <c r="K139" i="1" s="1"/>
  <c r="AS138" i="1"/>
  <c r="BI137" i="1"/>
  <c r="BH137" i="1"/>
  <c r="AS137" i="1"/>
  <c r="AR137" i="1"/>
  <c r="AC137" i="1"/>
  <c r="AB137" i="1"/>
  <c r="M137" i="1"/>
  <c r="L137" i="1"/>
  <c r="BP136" i="1"/>
  <c r="AZ136" i="1"/>
  <c r="AJ136" i="1"/>
  <c r="T136" i="1"/>
  <c r="BJ135" i="1"/>
  <c r="BK135" i="1" s="1"/>
  <c r="AT135" i="1"/>
  <c r="AU135" i="1" s="1"/>
  <c r="AP135" i="1"/>
  <c r="AQ135" i="1" s="1"/>
  <c r="V135" i="1"/>
  <c r="W135" i="1" s="1"/>
  <c r="U135" i="1"/>
  <c r="BR134" i="1"/>
  <c r="BS134" i="1" s="1"/>
  <c r="BN134" i="1"/>
  <c r="BO134" i="1" s="1"/>
  <c r="BI134" i="1"/>
  <c r="BF134" i="1"/>
  <c r="BG134" i="1" s="1"/>
  <c r="BA134" i="1"/>
  <c r="AT134" i="1"/>
  <c r="AU134" i="1" s="1"/>
  <c r="AS134" i="1"/>
  <c r="AK134" i="1"/>
  <c r="AH134" i="1"/>
  <c r="AI134" i="1" s="1"/>
  <c r="AD134" i="1"/>
  <c r="AE134" i="1" s="1"/>
  <c r="T134" i="1"/>
  <c r="M134" i="1"/>
  <c r="BI133" i="1"/>
  <c r="BH133" i="1"/>
  <c r="AS133" i="1"/>
  <c r="AR133" i="1"/>
  <c r="AC133" i="1"/>
  <c r="AB133" i="1"/>
  <c r="M133" i="1"/>
  <c r="L133" i="1"/>
  <c r="BP132" i="1"/>
  <c r="BN132" i="1"/>
  <c r="BO132" i="1" s="1"/>
  <c r="BJ132" i="1"/>
  <c r="BK132" i="1" s="1"/>
  <c r="AR132" i="1"/>
  <c r="AJ132" i="1"/>
  <c r="AD132" i="1"/>
  <c r="AE132" i="1" s="1"/>
  <c r="Z132" i="1"/>
  <c r="AA132" i="1" s="1"/>
  <c r="N132" i="1"/>
  <c r="O132" i="1" s="1"/>
  <c r="L132" i="1"/>
  <c r="BJ131" i="1"/>
  <c r="BK131" i="1" s="1"/>
  <c r="BI131" i="1"/>
  <c r="BA131" i="1"/>
  <c r="AX131" i="1"/>
  <c r="AY131" i="1" s="1"/>
  <c r="AT131" i="1"/>
  <c r="AU131" i="1" s="1"/>
  <c r="AH131" i="1"/>
  <c r="AI131" i="1" s="1"/>
  <c r="AC131" i="1"/>
  <c r="V131" i="1"/>
  <c r="W131" i="1" s="1"/>
  <c r="U131" i="1"/>
  <c r="R131" i="1"/>
  <c r="S131" i="1" s="1"/>
  <c r="M131" i="1"/>
  <c r="BN130" i="1"/>
  <c r="BO130" i="1" s="1"/>
  <c r="BB130" i="1"/>
  <c r="BC130" i="1" s="1"/>
  <c r="BA130" i="1"/>
  <c r="AS130" i="1"/>
  <c r="AP130" i="1"/>
  <c r="AQ130" i="1" s="1"/>
  <c r="AH130" i="1"/>
  <c r="AI130" i="1" s="1"/>
  <c r="V130" i="1"/>
  <c r="W130" i="1" s="1"/>
  <c r="U130" i="1"/>
  <c r="L130" i="1"/>
  <c r="J130" i="1"/>
  <c r="K130" i="1" s="1"/>
  <c r="BQ129" i="1"/>
  <c r="BH129" i="1"/>
  <c r="BA129" i="1"/>
  <c r="AR129" i="1"/>
  <c r="AK129" i="1"/>
  <c r="AB129" i="1"/>
  <c r="U129" i="1"/>
  <c r="L129" i="1"/>
  <c r="AP128" i="1"/>
  <c r="AQ128" i="1" s="1"/>
  <c r="BF127" i="1"/>
  <c r="BG127" i="1" s="1"/>
  <c r="AP127" i="1"/>
  <c r="AQ127" i="1" s="1"/>
  <c r="AJ127" i="1"/>
  <c r="R127" i="1"/>
  <c r="S127" i="1" s="1"/>
  <c r="BS112" i="1"/>
  <c r="BO112" i="1"/>
  <c r="BK112" i="1"/>
  <c r="BG112" i="1"/>
  <c r="BC112" i="1"/>
  <c r="AY112" i="1"/>
  <c r="AU112" i="1"/>
  <c r="AQ112" i="1"/>
  <c r="AM112" i="1"/>
  <c r="AI112" i="1"/>
  <c r="AE112" i="1"/>
  <c r="AA112" i="1"/>
  <c r="W112" i="1"/>
  <c r="S112" i="1"/>
  <c r="O112" i="1"/>
  <c r="K112" i="1"/>
  <c r="G112" i="1"/>
  <c r="F112" i="1"/>
  <c r="A112" i="1"/>
  <c r="BR93" i="1"/>
  <c r="BS93" i="1" s="1"/>
  <c r="BI93" i="1"/>
  <c r="BF93" i="1"/>
  <c r="BG93" i="1" s="1"/>
  <c r="AJ93" i="1"/>
  <c r="BQ92" i="1"/>
  <c r="BI92" i="1"/>
  <c r="BH92" i="1"/>
  <c r="AR92" i="1"/>
  <c r="AK92" i="1"/>
  <c r="AJ92" i="1"/>
  <c r="M92" i="1"/>
  <c r="L92" i="1"/>
  <c r="BR91" i="1"/>
  <c r="BS91" i="1" s="1"/>
  <c r="BH91" i="1"/>
  <c r="AP91" i="1"/>
  <c r="AQ91" i="1" s="1"/>
  <c r="AD91" i="1"/>
  <c r="AE91" i="1" s="1"/>
  <c r="AB91" i="1"/>
  <c r="V91" i="1"/>
  <c r="W91" i="1" s="1"/>
  <c r="BP90" i="1"/>
  <c r="BF90" i="1"/>
  <c r="BG90" i="1" s="1"/>
  <c r="AS90" i="1"/>
  <c r="AR90" i="1"/>
  <c r="AC90" i="1"/>
  <c r="M90" i="1"/>
  <c r="BH89" i="1"/>
  <c r="BA89" i="1"/>
  <c r="AT89" i="1"/>
  <c r="AU89" i="1" s="1"/>
  <c r="AB89" i="1"/>
  <c r="Z89" i="1"/>
  <c r="AA89" i="1" s="1"/>
  <c r="BP88" i="1"/>
  <c r="BO88" i="1"/>
  <c r="BN88" i="1"/>
  <c r="BF88" i="1"/>
  <c r="BG88" i="1" s="1"/>
  <c r="BA88" i="1"/>
  <c r="AS88" i="1"/>
  <c r="AR88" i="1"/>
  <c r="AP88" i="1"/>
  <c r="AQ88" i="1" s="1"/>
  <c r="AH88" i="1"/>
  <c r="AI88" i="1" s="1"/>
  <c r="AC88" i="1"/>
  <c r="U88" i="1"/>
  <c r="T88" i="1"/>
  <c r="R88" i="1"/>
  <c r="S88" i="1" s="1"/>
  <c r="J88" i="1"/>
  <c r="K88" i="1" s="1"/>
  <c r="AJ87" i="1"/>
  <c r="AH87" i="1"/>
  <c r="AI87" i="1" s="1"/>
  <c r="BF86" i="1"/>
  <c r="BG86" i="1" s="1"/>
  <c r="AS86" i="1"/>
  <c r="BP85" i="1"/>
  <c r="BN85" i="1"/>
  <c r="BO85" i="1" s="1"/>
  <c r="BJ85" i="1"/>
  <c r="BK85" i="1" s="1"/>
  <c r="BH85" i="1"/>
  <c r="BF85" i="1"/>
  <c r="BG85" i="1" s="1"/>
  <c r="AX85" i="1"/>
  <c r="AY85" i="1" s="1"/>
  <c r="AS85" i="1"/>
  <c r="AR85" i="1"/>
  <c r="AH85" i="1"/>
  <c r="AI85" i="1" s="1"/>
  <c r="AD85" i="1"/>
  <c r="AE85" i="1" s="1"/>
  <c r="Z85" i="1"/>
  <c r="AA85" i="1" s="1"/>
  <c r="N85" i="1"/>
  <c r="O85" i="1" s="1"/>
  <c r="M85" i="1"/>
  <c r="L85" i="1"/>
  <c r="BI84" i="1"/>
  <c r="AL84" i="1"/>
  <c r="AM84" i="1" s="1"/>
  <c r="T84" i="1"/>
  <c r="BH83" i="1"/>
  <c r="AP83" i="1"/>
  <c r="AQ83" i="1" s="1"/>
  <c r="AK83" i="1"/>
  <c r="U83" i="1"/>
  <c r="N83" i="1"/>
  <c r="O83" i="1" s="1"/>
  <c r="J83" i="1"/>
  <c r="K83" i="1" s="1"/>
  <c r="BQ82" i="1"/>
  <c r="BB82" i="1"/>
  <c r="BC82" i="1" s="1"/>
  <c r="AT82" i="1"/>
  <c r="AU82" i="1" s="1"/>
  <c r="AJ82" i="1"/>
  <c r="U82" i="1"/>
  <c r="J82" i="1"/>
  <c r="K82" i="1" s="1"/>
  <c r="BN81" i="1"/>
  <c r="BO81" i="1" s="1"/>
  <c r="BJ81" i="1"/>
  <c r="BK81" i="1" s="1"/>
  <c r="BF81" i="1"/>
  <c r="BG81" i="1" s="1"/>
  <c r="BB81" i="1"/>
  <c r="BC81" i="1" s="1"/>
  <c r="BA81" i="1"/>
  <c r="AT81" i="1"/>
  <c r="AU81" i="1" s="1"/>
  <c r="AK81" i="1"/>
  <c r="AB81" i="1"/>
  <c r="Z81" i="1"/>
  <c r="AA81" i="1" s="1"/>
  <c r="U81" i="1"/>
  <c r="R81" i="1"/>
  <c r="S81" i="1" s="1"/>
  <c r="L81" i="1"/>
  <c r="J81" i="1"/>
  <c r="K81" i="1" s="1"/>
  <c r="BN80" i="1"/>
  <c r="BO80" i="1" s="1"/>
  <c r="BI80" i="1"/>
  <c r="BF80" i="1"/>
  <c r="BG80" i="1" s="1"/>
  <c r="BA80" i="1"/>
  <c r="AZ80" i="1"/>
  <c r="AX80" i="1"/>
  <c r="AY80" i="1" s="1"/>
  <c r="AP80" i="1"/>
  <c r="AQ80" i="1" s="1"/>
  <c r="AJ80" i="1"/>
  <c r="AB80" i="1"/>
  <c r="Z80" i="1"/>
  <c r="AA80" i="1" s="1"/>
  <c r="U80" i="1"/>
  <c r="T80" i="1"/>
  <c r="M80" i="1"/>
  <c r="J80" i="1"/>
  <c r="K80" i="1" s="1"/>
  <c r="BR78" i="1"/>
  <c r="BS78" i="1" s="1"/>
  <c r="BQ78" i="1"/>
  <c r="AT78" i="1"/>
  <c r="AU78" i="1" s="1"/>
  <c r="AS78" i="1"/>
  <c r="AH78" i="1"/>
  <c r="AI78" i="1" s="1"/>
  <c r="N78" i="1"/>
  <c r="O78" i="1" s="1"/>
  <c r="M78" i="1"/>
  <c r="BB77" i="1"/>
  <c r="BC77" i="1" s="1"/>
  <c r="AS77" i="1"/>
  <c r="AK77" i="1"/>
  <c r="M77" i="1"/>
  <c r="L77" i="1"/>
  <c r="BQ76" i="1"/>
  <c r="BB76" i="1"/>
  <c r="BC76" i="1" s="1"/>
  <c r="AZ76" i="1"/>
  <c r="AK76" i="1"/>
  <c r="AJ76" i="1"/>
  <c r="T76" i="1"/>
  <c r="N76" i="1"/>
  <c r="O76" i="1" s="1"/>
  <c r="L76" i="1"/>
  <c r="AK17" i="1"/>
  <c r="BS13" i="1"/>
  <c r="BO13" i="1"/>
  <c r="BK13" i="1"/>
  <c r="BG13" i="1"/>
  <c r="BC13" i="1"/>
  <c r="AY13" i="1"/>
  <c r="AU13" i="1"/>
  <c r="AQ13" i="1"/>
  <c r="AM13" i="1"/>
  <c r="AI13" i="1"/>
  <c r="AE13" i="1"/>
  <c r="AA13" i="1"/>
  <c r="W13" i="1"/>
  <c r="S13" i="1"/>
  <c r="O13" i="1"/>
  <c r="K13" i="1"/>
  <c r="G13" i="1"/>
  <c r="F13" i="1"/>
  <c r="C13" i="1"/>
  <c r="B13" i="1"/>
  <c r="A13" i="1"/>
  <c r="U36" i="1"/>
  <c r="M12" i="1"/>
  <c r="L26" i="1"/>
  <c r="BM10" i="1"/>
  <c r="BL10" i="1"/>
  <c r="BH9" i="1"/>
  <c r="AZ9" i="1"/>
  <c r="AV10" i="1"/>
  <c r="AJ9" i="1"/>
  <c r="AC9" i="1"/>
  <c r="Y10" i="1"/>
  <c r="AC10" i="1" s="1"/>
  <c r="L9" i="1"/>
  <c r="H10" i="1"/>
  <c r="E9" i="1"/>
  <c r="BQ8" i="1"/>
  <c r="BP8" i="1"/>
  <c r="BH8" i="1"/>
  <c r="AZ8" i="1"/>
  <c r="AS8" i="1"/>
  <c r="AR8" i="1"/>
  <c r="AJ8" i="1"/>
  <c r="AB8" i="1"/>
  <c r="U8" i="1"/>
  <c r="T8" i="1"/>
  <c r="H8" i="1"/>
  <c r="BI7" i="1"/>
  <c r="BA7" i="1"/>
  <c r="AS7" i="1"/>
  <c r="AR7" i="1"/>
  <c r="AJ7" i="1"/>
  <c r="AB7" i="1"/>
  <c r="U7" i="1"/>
  <c r="T7" i="1"/>
  <c r="AC7" i="1"/>
  <c r="BH7" i="1"/>
  <c r="F5" i="1"/>
  <c r="F284" i="1" l="1"/>
  <c r="F276" i="1"/>
  <c r="F291" i="1"/>
  <c r="F277" i="1"/>
  <c r="F293" i="1"/>
  <c r="F279" i="1"/>
  <c r="BA28" i="1"/>
  <c r="U76" i="1"/>
  <c r="BJ76" i="1"/>
  <c r="BK76" i="1" s="1"/>
  <c r="V77" i="1"/>
  <c r="W77" i="1" s="1"/>
  <c r="AH80" i="1"/>
  <c r="AI80" i="1" s="1"/>
  <c r="AR80" i="1"/>
  <c r="BP80" i="1"/>
  <c r="M81" i="1"/>
  <c r="AC81" i="1"/>
  <c r="AR81" i="1"/>
  <c r="V82" i="1"/>
  <c r="W82" i="1" s="1"/>
  <c r="AK82" i="1"/>
  <c r="AB83" i="1"/>
  <c r="Z86" i="1"/>
  <c r="AA86" i="1" s="1"/>
  <c r="BR86" i="1"/>
  <c r="BS86" i="1" s="1"/>
  <c r="V86" i="1"/>
  <c r="W86" i="1" s="1"/>
  <c r="BI86" i="1"/>
  <c r="M86" i="1"/>
  <c r="R90" i="1"/>
  <c r="S90" i="1" s="1"/>
  <c r="BA90" i="1"/>
  <c r="AJ155" i="1"/>
  <c r="BI155" i="1"/>
  <c r="AC155" i="1"/>
  <c r="Z155" i="1"/>
  <c r="AA155" i="1" s="1"/>
  <c r="AX155" i="1"/>
  <c r="AY155" i="1" s="1"/>
  <c r="AT155" i="1"/>
  <c r="AU155" i="1" s="1"/>
  <c r="AH155" i="1"/>
  <c r="AI155" i="1" s="1"/>
  <c r="V155" i="1"/>
  <c r="W155" i="1" s="1"/>
  <c r="L155" i="1"/>
  <c r="BB155" i="1"/>
  <c r="BC155" i="1" s="1"/>
  <c r="AR155" i="1"/>
  <c r="M14" i="1"/>
  <c r="V76" i="1"/>
  <c r="W76" i="1" s="1"/>
  <c r="AR76" i="1"/>
  <c r="L80" i="1"/>
  <c r="AS80" i="1"/>
  <c r="BQ80" i="1"/>
  <c r="AD81" i="1"/>
  <c r="AE81" i="1" s="1"/>
  <c r="AS81" i="1"/>
  <c r="BP81" i="1"/>
  <c r="L82" i="1"/>
  <c r="Z82" i="1"/>
  <c r="AA82" i="1" s="1"/>
  <c r="AP82" i="1"/>
  <c r="AQ82" i="1" s="1"/>
  <c r="BF82" i="1"/>
  <c r="BG82" i="1" s="1"/>
  <c r="AT87" i="1"/>
  <c r="AU87" i="1" s="1"/>
  <c r="AS76" i="1"/>
  <c r="M82" i="1"/>
  <c r="AR82" i="1"/>
  <c r="BJ87" i="1"/>
  <c r="BK87" i="1" s="1"/>
  <c r="AZ87" i="1"/>
  <c r="R87" i="1"/>
  <c r="S87" i="1" s="1"/>
  <c r="AX87" i="1"/>
  <c r="AY87" i="1" s="1"/>
  <c r="BP87" i="1"/>
  <c r="U14" i="1"/>
  <c r="AD76" i="1"/>
  <c r="AE76" i="1" s="1"/>
  <c r="AT76" i="1"/>
  <c r="AU76" i="1" s="1"/>
  <c r="BP76" i="1"/>
  <c r="BQ77" i="1"/>
  <c r="AK80" i="1"/>
  <c r="BH80" i="1"/>
  <c r="T81" i="1"/>
  <c r="AJ81" i="1"/>
  <c r="N82" i="1"/>
  <c r="O82" i="1" s="1"/>
  <c r="AC82" i="1"/>
  <c r="AS82" i="1"/>
  <c r="BH82" i="1"/>
  <c r="BQ83" i="1"/>
  <c r="AD83" i="1"/>
  <c r="AE83" i="1" s="1"/>
  <c r="AT83" i="1"/>
  <c r="AU83" i="1" s="1"/>
  <c r="BA82" i="1"/>
  <c r="AB82" i="1"/>
  <c r="AX82" i="1"/>
  <c r="AY82" i="1" s="1"/>
  <c r="AL82" i="1"/>
  <c r="AM82" i="1" s="1"/>
  <c r="AD82" i="1"/>
  <c r="AE82" i="1" s="1"/>
  <c r="BJ82" i="1"/>
  <c r="BK82" i="1" s="1"/>
  <c r="V144" i="1"/>
  <c r="W144" i="1" s="1"/>
  <c r="BN144" i="1"/>
  <c r="BO144" i="1" s="1"/>
  <c r="M144" i="1"/>
  <c r="BP144" i="1"/>
  <c r="AX144" i="1"/>
  <c r="AY144" i="1" s="1"/>
  <c r="AL144" i="1"/>
  <c r="AM144" i="1" s="1"/>
  <c r="AC144" i="1"/>
  <c r="T144" i="1"/>
  <c r="M76" i="1"/>
  <c r="BA76" i="1"/>
  <c r="AR77" i="1"/>
  <c r="R80" i="1"/>
  <c r="S80" i="1" s="1"/>
  <c r="AC80" i="1"/>
  <c r="V81" i="1"/>
  <c r="W81" i="1" s="1"/>
  <c r="AL81" i="1"/>
  <c r="AM81" i="1" s="1"/>
  <c r="AX81" i="1"/>
  <c r="AY81" i="1" s="1"/>
  <c r="R82" i="1"/>
  <c r="S82" i="1" s="1"/>
  <c r="BN82" i="1"/>
  <c r="BO82" i="1" s="1"/>
  <c r="L83" i="1"/>
  <c r="BF83" i="1"/>
  <c r="BG83" i="1" s="1"/>
  <c r="N87" i="1"/>
  <c r="O87" i="1" s="1"/>
  <c r="BQ90" i="1"/>
  <c r="AB90" i="1"/>
  <c r="BN90" i="1"/>
  <c r="BO90" i="1" s="1"/>
  <c r="AZ90" i="1"/>
  <c r="Z90" i="1"/>
  <c r="AA90" i="1" s="1"/>
  <c r="L90" i="1"/>
  <c r="AK90" i="1"/>
  <c r="BI90" i="1"/>
  <c r="AX90" i="1"/>
  <c r="AY90" i="1" s="1"/>
  <c r="AJ90" i="1"/>
  <c r="U90" i="1"/>
  <c r="J90" i="1"/>
  <c r="K90" i="1" s="1"/>
  <c r="BH90" i="1"/>
  <c r="AH90" i="1"/>
  <c r="AI90" i="1" s="1"/>
  <c r="T90" i="1"/>
  <c r="AP90" i="1"/>
  <c r="AQ90" i="1" s="1"/>
  <c r="T82" i="1"/>
  <c r="BP82" i="1"/>
  <c r="BN128" i="1"/>
  <c r="BO128" i="1" s="1"/>
  <c r="AH128" i="1"/>
  <c r="AI128" i="1" s="1"/>
  <c r="V128" i="1"/>
  <c r="W128" i="1" s="1"/>
  <c r="BB128" i="1"/>
  <c r="BC128" i="1" s="1"/>
  <c r="T128" i="1"/>
  <c r="AZ128" i="1"/>
  <c r="L128" i="1"/>
  <c r="AR128" i="1"/>
  <c r="J128" i="1"/>
  <c r="K128" i="1" s="1"/>
  <c r="L88" i="1"/>
  <c r="AJ88" i="1"/>
  <c r="BQ88" i="1"/>
  <c r="BJ89" i="1"/>
  <c r="BK89" i="1" s="1"/>
  <c r="AR91" i="1"/>
  <c r="N92" i="1"/>
  <c r="O92" i="1" s="1"/>
  <c r="AS92" i="1"/>
  <c r="J127" i="1"/>
  <c r="K127" i="1" s="1"/>
  <c r="Z127" i="1"/>
  <c r="AA127" i="1" s="1"/>
  <c r="AR127" i="1"/>
  <c r="BN127" i="1"/>
  <c r="BO127" i="1" s="1"/>
  <c r="M129" i="1"/>
  <c r="AC129" i="1"/>
  <c r="AS129" i="1"/>
  <c r="BI129" i="1"/>
  <c r="U85" i="1"/>
  <c r="AJ85" i="1"/>
  <c r="BA85" i="1"/>
  <c r="BQ85" i="1"/>
  <c r="M88" i="1"/>
  <c r="Z88" i="1"/>
  <c r="AA88" i="1" s="1"/>
  <c r="AK88" i="1"/>
  <c r="BH88" i="1"/>
  <c r="AK89" i="1"/>
  <c r="L91" i="1"/>
  <c r="AX91" i="1"/>
  <c r="AY91" i="1" s="1"/>
  <c r="T92" i="1"/>
  <c r="V93" i="1"/>
  <c r="W93" i="1" s="1"/>
  <c r="M127" i="1"/>
  <c r="AC127" i="1"/>
  <c r="AS127" i="1"/>
  <c r="BQ127" i="1"/>
  <c r="BF131" i="1"/>
  <c r="BG131" i="1" s="1"/>
  <c r="AD131" i="1"/>
  <c r="AE131" i="1" s="1"/>
  <c r="N131" i="1"/>
  <c r="O131" i="1" s="1"/>
  <c r="BQ131" i="1"/>
  <c r="BN131" i="1"/>
  <c r="BO131" i="1" s="1"/>
  <c r="BB131" i="1"/>
  <c r="BC131" i="1" s="1"/>
  <c r="AK131" i="1"/>
  <c r="J131" i="1"/>
  <c r="K131" i="1" s="1"/>
  <c r="AP131" i="1"/>
  <c r="AQ131" i="1" s="1"/>
  <c r="M84" i="1"/>
  <c r="V85" i="1"/>
  <c r="W85" i="1" s="1"/>
  <c r="BB85" i="1"/>
  <c r="BC85" i="1" s="1"/>
  <c r="AX88" i="1"/>
  <c r="AY88" i="1" s="1"/>
  <c r="BI88" i="1"/>
  <c r="J89" i="1"/>
  <c r="K89" i="1" s="1"/>
  <c r="AP89" i="1"/>
  <c r="AQ89" i="1" s="1"/>
  <c r="BR89" i="1"/>
  <c r="BS89" i="1" s="1"/>
  <c r="R91" i="1"/>
  <c r="S91" i="1" s="1"/>
  <c r="AZ91" i="1"/>
  <c r="U92" i="1"/>
  <c r="AZ92" i="1"/>
  <c r="Z93" i="1"/>
  <c r="AA93" i="1" s="1"/>
  <c r="BA127" i="1"/>
  <c r="Z131" i="1"/>
  <c r="AA131" i="1" s="1"/>
  <c r="AS131" i="1"/>
  <c r="AB88" i="1"/>
  <c r="AZ88" i="1"/>
  <c r="N89" i="1"/>
  <c r="O89" i="1" s="1"/>
  <c r="AR89" i="1"/>
  <c r="T91" i="1"/>
  <c r="BB91" i="1"/>
  <c r="BC91" i="1" s="1"/>
  <c r="AH127" i="1"/>
  <c r="AI127" i="1" s="1"/>
  <c r="BB127" i="1"/>
  <c r="BC127" i="1" s="1"/>
  <c r="T129" i="1"/>
  <c r="AJ129" i="1"/>
  <c r="AZ129" i="1"/>
  <c r="BP129" i="1"/>
  <c r="BN153" i="1"/>
  <c r="BO153" i="1" s="1"/>
  <c r="BB153" i="1"/>
  <c r="BC153" i="1" s="1"/>
  <c r="AP153" i="1"/>
  <c r="AQ153" i="1" s="1"/>
  <c r="AB153" i="1"/>
  <c r="N153" i="1"/>
  <c r="O153" i="1" s="1"/>
  <c r="AZ153" i="1"/>
  <c r="AL153" i="1"/>
  <c r="AM153" i="1" s="1"/>
  <c r="BJ153" i="1"/>
  <c r="BK153" i="1" s="1"/>
  <c r="AX153" i="1"/>
  <c r="AY153" i="1" s="1"/>
  <c r="AJ153" i="1"/>
  <c r="J153" i="1"/>
  <c r="K153" i="1" s="1"/>
  <c r="AR153" i="1"/>
  <c r="V153" i="1"/>
  <c r="W153" i="1" s="1"/>
  <c r="BH153" i="1"/>
  <c r="R153" i="1"/>
  <c r="S153" i="1" s="1"/>
  <c r="AH153" i="1"/>
  <c r="AI153" i="1" s="1"/>
  <c r="M153" i="1"/>
  <c r="BA153" i="1"/>
  <c r="AT153" i="1"/>
  <c r="AU153" i="1" s="1"/>
  <c r="AS153" i="1"/>
  <c r="AC153" i="1"/>
  <c r="Z153" i="1"/>
  <c r="AA153" i="1" s="1"/>
  <c r="BR153" i="1"/>
  <c r="BS153" i="1" s="1"/>
  <c r="T153" i="1"/>
  <c r="BP153" i="1"/>
  <c r="U127" i="1"/>
  <c r="AL127" i="1"/>
  <c r="AM127" i="1" s="1"/>
  <c r="BJ127" i="1"/>
  <c r="BK127" i="1" s="1"/>
  <c r="BI153" i="1"/>
  <c r="BN148" i="1"/>
  <c r="BO148" i="1" s="1"/>
  <c r="AT148" i="1"/>
  <c r="AU148" i="1" s="1"/>
  <c r="AH148" i="1"/>
  <c r="AI148" i="1" s="1"/>
  <c r="N148" i="1"/>
  <c r="O148" i="1" s="1"/>
  <c r="AT132" i="1"/>
  <c r="AU132" i="1" s="1"/>
  <c r="Z134" i="1"/>
  <c r="AA134" i="1" s="1"/>
  <c r="U139" i="1"/>
  <c r="AT139" i="1"/>
  <c r="AU139" i="1" s="1"/>
  <c r="L140" i="1"/>
  <c r="AL140" i="1"/>
  <c r="AM140" i="1" s="1"/>
  <c r="BF140" i="1"/>
  <c r="BG140" i="1" s="1"/>
  <c r="Z141" i="1"/>
  <c r="AA141" i="1" s="1"/>
  <c r="AK141" i="1"/>
  <c r="AX141" i="1"/>
  <c r="AY141" i="1" s="1"/>
  <c r="BI141" i="1"/>
  <c r="AK145" i="1"/>
  <c r="BP145" i="1"/>
  <c r="AT146" i="1"/>
  <c r="AU146" i="1" s="1"/>
  <c r="AS147" i="1"/>
  <c r="BI160" i="1"/>
  <c r="AK160" i="1"/>
  <c r="BH160" i="1"/>
  <c r="AJ160" i="1"/>
  <c r="L160" i="1"/>
  <c r="BP160" i="1"/>
  <c r="AR160" i="1"/>
  <c r="T160" i="1"/>
  <c r="BN160" i="1"/>
  <c r="BO160" i="1" s="1"/>
  <c r="BA160" i="1"/>
  <c r="AP160" i="1"/>
  <c r="AQ160" i="1" s="1"/>
  <c r="AC160" i="1"/>
  <c r="R160" i="1"/>
  <c r="S160" i="1" s="1"/>
  <c r="M160" i="1"/>
  <c r="BQ160" i="1"/>
  <c r="J160" i="1"/>
  <c r="K160" i="1" s="1"/>
  <c r="AB160" i="1"/>
  <c r="BF160" i="1"/>
  <c r="BG160" i="1" s="1"/>
  <c r="Z160" i="1"/>
  <c r="AA160" i="1" s="1"/>
  <c r="AZ160" i="1"/>
  <c r="U160" i="1"/>
  <c r="AX160" i="1"/>
  <c r="AY160" i="1" s="1"/>
  <c r="Z135" i="1"/>
  <c r="AA135" i="1" s="1"/>
  <c r="AX135" i="1"/>
  <c r="AY135" i="1" s="1"/>
  <c r="AB141" i="1"/>
  <c r="BN142" i="1"/>
  <c r="BO142" i="1" s="1"/>
  <c r="AL142" i="1"/>
  <c r="AM142" i="1" s="1"/>
  <c r="AS142" i="1"/>
  <c r="M145" i="1"/>
  <c r="AS145" i="1"/>
  <c r="BQ145" i="1"/>
  <c r="T133" i="1"/>
  <c r="AJ133" i="1"/>
  <c r="AZ133" i="1"/>
  <c r="BP133" i="1"/>
  <c r="AC135" i="1"/>
  <c r="BB135" i="1"/>
  <c r="BC135" i="1" s="1"/>
  <c r="T137" i="1"/>
  <c r="AJ137" i="1"/>
  <c r="AZ137" i="1"/>
  <c r="BP137" i="1"/>
  <c r="AC139" i="1"/>
  <c r="BA139" i="1"/>
  <c r="T140" i="1"/>
  <c r="AR140" i="1"/>
  <c r="BN140" i="1"/>
  <c r="BO140" i="1" s="1"/>
  <c r="R141" i="1"/>
  <c r="S141" i="1" s="1"/>
  <c r="AC141" i="1"/>
  <c r="AZ141" i="1"/>
  <c r="M142" i="1"/>
  <c r="AT145" i="1"/>
  <c r="AU145" i="1" s="1"/>
  <c r="AJ146" i="1"/>
  <c r="BP146" i="1"/>
  <c r="BQ147" i="1"/>
  <c r="BR150" i="1"/>
  <c r="BS150" i="1" s="1"/>
  <c r="AH160" i="1"/>
  <c r="AI160" i="1" s="1"/>
  <c r="M130" i="1"/>
  <c r="AR130" i="1"/>
  <c r="AH132" i="1"/>
  <c r="AI132" i="1" s="1"/>
  <c r="BF132" i="1"/>
  <c r="BG132" i="1" s="1"/>
  <c r="U133" i="1"/>
  <c r="AK133" i="1"/>
  <c r="BA133" i="1"/>
  <c r="BQ133" i="1"/>
  <c r="N134" i="1"/>
  <c r="O134" i="1" s="1"/>
  <c r="AJ134" i="1"/>
  <c r="BH134" i="1"/>
  <c r="J135" i="1"/>
  <c r="K135" i="1" s="1"/>
  <c r="AH135" i="1"/>
  <c r="AI135" i="1" s="1"/>
  <c r="BI135" i="1"/>
  <c r="U137" i="1"/>
  <c r="AK137" i="1"/>
  <c r="BA137" i="1"/>
  <c r="BQ137" i="1"/>
  <c r="AZ138" i="1"/>
  <c r="AD139" i="1"/>
  <c r="AE139" i="1" s="1"/>
  <c r="V140" i="1"/>
  <c r="W140" i="1" s="1"/>
  <c r="AP141" i="1"/>
  <c r="AQ141" i="1" s="1"/>
  <c r="BA141" i="1"/>
  <c r="BN141" i="1"/>
  <c r="BO141" i="1" s="1"/>
  <c r="R142" i="1"/>
  <c r="S142" i="1" s="1"/>
  <c r="AX142" i="1"/>
  <c r="AY142" i="1" s="1"/>
  <c r="U145" i="1"/>
  <c r="L146" i="1"/>
  <c r="BN152" i="1"/>
  <c r="BO152" i="1" s="1"/>
  <c r="AP152" i="1"/>
  <c r="AQ152" i="1" s="1"/>
  <c r="R152" i="1"/>
  <c r="S152" i="1" s="1"/>
  <c r="AZ152" i="1"/>
  <c r="AB152" i="1"/>
  <c r="BI152" i="1"/>
  <c r="AX152" i="1"/>
  <c r="AY152" i="1" s="1"/>
  <c r="AK152" i="1"/>
  <c r="BQ152" i="1"/>
  <c r="M152" i="1"/>
  <c r="AS152" i="1"/>
  <c r="Z152" i="1"/>
  <c r="AA152" i="1" s="1"/>
  <c r="BH152" i="1"/>
  <c r="AR152" i="1"/>
  <c r="J152" i="1"/>
  <c r="K152" i="1" s="1"/>
  <c r="BF152" i="1"/>
  <c r="BG152" i="1" s="1"/>
  <c r="AJ152" i="1"/>
  <c r="U152" i="1"/>
  <c r="BA152" i="1"/>
  <c r="AR156" i="1"/>
  <c r="AC156" i="1"/>
  <c r="N156" i="1"/>
  <c r="O156" i="1" s="1"/>
  <c r="BP156" i="1"/>
  <c r="BA156" i="1"/>
  <c r="L156" i="1"/>
  <c r="AL156" i="1"/>
  <c r="AM156" i="1" s="1"/>
  <c r="V156" i="1"/>
  <c r="W156" i="1" s="1"/>
  <c r="BQ156" i="1"/>
  <c r="AT156" i="1"/>
  <c r="AU156" i="1" s="1"/>
  <c r="U156" i="1"/>
  <c r="AS156" i="1"/>
  <c r="T156" i="1"/>
  <c r="BH156" i="1"/>
  <c r="AK156" i="1"/>
  <c r="AJ156" i="1"/>
  <c r="M156" i="1"/>
  <c r="BB156" i="1"/>
  <c r="BC156" i="1" s="1"/>
  <c r="AD156" i="1"/>
  <c r="AE156" i="1" s="1"/>
  <c r="AS160" i="1"/>
  <c r="AZ145" i="1"/>
  <c r="AK147" i="1"/>
  <c r="M135" i="1"/>
  <c r="AK135" i="1"/>
  <c r="AK139" i="1"/>
  <c r="BJ139" i="1"/>
  <c r="BK139" i="1" s="1"/>
  <c r="AB140" i="1"/>
  <c r="BB140" i="1"/>
  <c r="BC140" i="1" s="1"/>
  <c r="J141" i="1"/>
  <c r="K141" i="1" s="1"/>
  <c r="U141" i="1"/>
  <c r="AH141" i="1"/>
  <c r="AI141" i="1" s="1"/>
  <c r="AS141" i="1"/>
  <c r="BP141" i="1"/>
  <c r="V142" i="1"/>
  <c r="W142" i="1" s="1"/>
  <c r="AC145" i="1"/>
  <c r="BA145" i="1"/>
  <c r="M147" i="1"/>
  <c r="BJ145" i="1"/>
  <c r="BK145" i="1" s="1"/>
  <c r="T145" i="1"/>
  <c r="AJ145" i="1"/>
  <c r="N145" i="1"/>
  <c r="O145" i="1" s="1"/>
  <c r="AD145" i="1"/>
  <c r="AE145" i="1" s="1"/>
  <c r="BI145" i="1"/>
  <c r="AS154" i="1"/>
  <c r="BQ154" i="1"/>
  <c r="BF154" i="1"/>
  <c r="BG154" i="1" s="1"/>
  <c r="R143" i="1"/>
  <c r="S143" i="1" s="1"/>
  <c r="AD143" i="1"/>
  <c r="AE143" i="1" s="1"/>
  <c r="AT143" i="1"/>
  <c r="AU143" i="1" s="1"/>
  <c r="BH143" i="1"/>
  <c r="AB149" i="1"/>
  <c r="T151" i="1"/>
  <c r="AJ151" i="1"/>
  <c r="AZ151" i="1"/>
  <c r="BP151" i="1"/>
  <c r="R157" i="1"/>
  <c r="S157" i="1" s="1"/>
  <c r="AP157" i="1"/>
  <c r="AQ157" i="1" s="1"/>
  <c r="BN159" i="1"/>
  <c r="BO159" i="1" s="1"/>
  <c r="AZ159" i="1"/>
  <c r="AH159" i="1"/>
  <c r="AI159" i="1" s="1"/>
  <c r="T159" i="1"/>
  <c r="BJ159" i="1"/>
  <c r="BK159" i="1" s="1"/>
  <c r="AR159" i="1"/>
  <c r="AD159" i="1"/>
  <c r="AE159" i="1" s="1"/>
  <c r="N159" i="1"/>
  <c r="O159" i="1" s="1"/>
  <c r="BH159" i="1"/>
  <c r="AP159" i="1"/>
  <c r="AQ159" i="1" s="1"/>
  <c r="AB159" i="1"/>
  <c r="L159" i="1"/>
  <c r="AC205" i="1"/>
  <c r="U143" i="1"/>
  <c r="AJ143" i="1"/>
  <c r="AX143" i="1"/>
  <c r="AY143" i="1" s="1"/>
  <c r="AP149" i="1"/>
  <c r="AQ149" i="1" s="1"/>
  <c r="BA149" i="1"/>
  <c r="BN149" i="1"/>
  <c r="BO149" i="1" s="1"/>
  <c r="V157" i="1"/>
  <c r="W157" i="1" s="1"/>
  <c r="BB157" i="1"/>
  <c r="BC157" i="1" s="1"/>
  <c r="BR206" i="1"/>
  <c r="BS206" i="1" s="1"/>
  <c r="AK206" i="1"/>
  <c r="BI206" i="1"/>
  <c r="BF206" i="1"/>
  <c r="BG206" i="1" s="1"/>
  <c r="U206" i="1"/>
  <c r="AT206" i="1"/>
  <c r="AU206" i="1" s="1"/>
  <c r="AS206" i="1"/>
  <c r="AH206" i="1"/>
  <c r="AI206" i="1" s="1"/>
  <c r="T206" i="1"/>
  <c r="L206" i="1"/>
  <c r="J206" i="1"/>
  <c r="K206" i="1" s="1"/>
  <c r="BP157" i="1"/>
  <c r="AZ157" i="1"/>
  <c r="N157" i="1"/>
  <c r="O157" i="1" s="1"/>
  <c r="AT157" i="1"/>
  <c r="AU157" i="1" s="1"/>
  <c r="AC157" i="1"/>
  <c r="L157" i="1"/>
  <c r="AS157" i="1"/>
  <c r="Z157" i="1"/>
  <c r="AA157" i="1" s="1"/>
  <c r="J157" i="1"/>
  <c r="K157" i="1" s="1"/>
  <c r="BH157" i="1"/>
  <c r="AJ157" i="1"/>
  <c r="BN157" i="1"/>
  <c r="BO157" i="1" s="1"/>
  <c r="AX159" i="1"/>
  <c r="AY159" i="1" s="1"/>
  <c r="BH205" i="1"/>
  <c r="AJ205" i="1"/>
  <c r="Z205" i="1"/>
  <c r="AA205" i="1" s="1"/>
  <c r="BQ205" i="1"/>
  <c r="AS205" i="1"/>
  <c r="BN205" i="1"/>
  <c r="BO205" i="1" s="1"/>
  <c r="BA205" i="1"/>
  <c r="AP205" i="1"/>
  <c r="AQ205" i="1" s="1"/>
  <c r="T205" i="1"/>
  <c r="AR205" i="1"/>
  <c r="AB205" i="1"/>
  <c r="BI205" i="1"/>
  <c r="M205" i="1"/>
  <c r="BF205" i="1"/>
  <c r="BG205" i="1" s="1"/>
  <c r="L205" i="1"/>
  <c r="AK205" i="1"/>
  <c r="J205" i="1"/>
  <c r="K205" i="1" s="1"/>
  <c r="AZ205" i="1"/>
  <c r="U205" i="1"/>
  <c r="AH205" i="1"/>
  <c r="AI205" i="1" s="1"/>
  <c r="BP206" i="1"/>
  <c r="BQ208" i="1"/>
  <c r="BA208" i="1"/>
  <c r="AK208" i="1"/>
  <c r="U208" i="1"/>
  <c r="BN208" i="1"/>
  <c r="BO208" i="1" s="1"/>
  <c r="AX208" i="1"/>
  <c r="AY208" i="1" s="1"/>
  <c r="AH208" i="1"/>
  <c r="AI208" i="1" s="1"/>
  <c r="R208" i="1"/>
  <c r="S208" i="1" s="1"/>
  <c r="BI208" i="1"/>
  <c r="AS208" i="1"/>
  <c r="AC208" i="1"/>
  <c r="M208" i="1"/>
  <c r="AJ208" i="1"/>
  <c r="BP208" i="1"/>
  <c r="BI216" i="1"/>
  <c r="BB218" i="1"/>
  <c r="BC218" i="1" s="1"/>
  <c r="AX158" i="1"/>
  <c r="AY158" i="1" s="1"/>
  <c r="BF162" i="1"/>
  <c r="BG162" i="1" s="1"/>
  <c r="N204" i="1"/>
  <c r="O204" i="1" s="1"/>
  <c r="J208" i="1"/>
  <c r="K208" i="1" s="1"/>
  <c r="AP208" i="1"/>
  <c r="AQ208" i="1" s="1"/>
  <c r="BH212" i="1"/>
  <c r="L212" i="1"/>
  <c r="AZ212" i="1"/>
  <c r="AB212" i="1"/>
  <c r="AR212" i="1"/>
  <c r="BF218" i="1"/>
  <c r="BG218" i="1" s="1"/>
  <c r="AK220" i="1"/>
  <c r="Z220" i="1"/>
  <c r="AA220" i="1" s="1"/>
  <c r="M220" i="1"/>
  <c r="BQ220" i="1"/>
  <c r="BF220" i="1"/>
  <c r="BG220" i="1" s="1"/>
  <c r="AJ220" i="1"/>
  <c r="L220" i="1"/>
  <c r="BP220" i="1"/>
  <c r="AS220" i="1"/>
  <c r="BN220" i="1"/>
  <c r="BO220" i="1" s="1"/>
  <c r="AR220" i="1"/>
  <c r="AH220" i="1"/>
  <c r="AI220" i="1" s="1"/>
  <c r="U220" i="1"/>
  <c r="J220" i="1"/>
  <c r="K220" i="1" s="1"/>
  <c r="BA220" i="1"/>
  <c r="T220" i="1"/>
  <c r="AZ220" i="1"/>
  <c r="AP220" i="1"/>
  <c r="AQ220" i="1" s="1"/>
  <c r="R220" i="1"/>
  <c r="S220" i="1" s="1"/>
  <c r="AX220" i="1"/>
  <c r="AY220" i="1" s="1"/>
  <c r="BI158" i="1"/>
  <c r="AJ204" i="1"/>
  <c r="T208" i="1"/>
  <c r="AZ208" i="1"/>
  <c r="BH220" i="1"/>
  <c r="BA218" i="1"/>
  <c r="AC218" i="1"/>
  <c r="V218" i="1"/>
  <c r="W218" i="1" s="1"/>
  <c r="BR218" i="1"/>
  <c r="BS218" i="1" s="1"/>
  <c r="AP218" i="1"/>
  <c r="AQ218" i="1" s="1"/>
  <c r="AL218" i="1"/>
  <c r="AM218" i="1" s="1"/>
  <c r="M218" i="1"/>
  <c r="AS209" i="1"/>
  <c r="R211" i="1"/>
  <c r="S211" i="1" s="1"/>
  <c r="BJ211" i="1"/>
  <c r="BK211" i="1" s="1"/>
  <c r="AJ213" i="1"/>
  <c r="BI213" i="1"/>
  <c r="R214" i="1"/>
  <c r="S214" i="1" s="1"/>
  <c r="AS214" i="1"/>
  <c r="AT217" i="1"/>
  <c r="AU217" i="1" s="1"/>
  <c r="BR217" i="1"/>
  <c r="BS217" i="1" s="1"/>
  <c r="BF219" i="1"/>
  <c r="BG219" i="1" s="1"/>
  <c r="AP221" i="1"/>
  <c r="AQ221" i="1" s="1"/>
  <c r="BP221" i="1"/>
  <c r="AX207" i="1"/>
  <c r="AY207" i="1" s="1"/>
  <c r="U211" i="1"/>
  <c r="AX211" i="1"/>
  <c r="AY211" i="1" s="1"/>
  <c r="L213" i="1"/>
  <c r="AK213" i="1"/>
  <c r="AX213" i="1"/>
  <c r="AY213" i="1" s="1"/>
  <c r="V214" i="1"/>
  <c r="W214" i="1" s="1"/>
  <c r="AT214" i="1"/>
  <c r="AU214" i="1" s="1"/>
  <c r="AK215" i="1"/>
  <c r="BQ215" i="1"/>
  <c r="Z217" i="1"/>
  <c r="AA217" i="1" s="1"/>
  <c r="U221" i="1"/>
  <c r="AS221" i="1"/>
  <c r="M209" i="1"/>
  <c r="BA209" i="1"/>
  <c r="V211" i="1"/>
  <c r="W211" i="1" s="1"/>
  <c r="AH211" i="1"/>
  <c r="AI211" i="1" s="1"/>
  <c r="BA211" i="1"/>
  <c r="M213" i="1"/>
  <c r="Z213" i="1"/>
  <c r="AA213" i="1" s="1"/>
  <c r="AZ213" i="1"/>
  <c r="AB214" i="1"/>
  <c r="AX214" i="1"/>
  <c r="AY214" i="1" s="1"/>
  <c r="AL215" i="1"/>
  <c r="AM215" i="1" s="1"/>
  <c r="BR215" i="1"/>
  <c r="BS215" i="1" s="1"/>
  <c r="AD217" i="1"/>
  <c r="AE217" i="1" s="1"/>
  <c r="AX217" i="1"/>
  <c r="AY217" i="1" s="1"/>
  <c r="AT221" i="1"/>
  <c r="AU221" i="1" s="1"/>
  <c r="BB214" i="1"/>
  <c r="BC214" i="1" s="1"/>
  <c r="L207" i="1"/>
  <c r="BR207" i="1"/>
  <c r="BS207" i="1" s="1"/>
  <c r="U209" i="1"/>
  <c r="BH210" i="1"/>
  <c r="J211" i="1"/>
  <c r="K211" i="1" s="1"/>
  <c r="BQ211" i="1"/>
  <c r="AC213" i="1"/>
  <c r="AP213" i="1"/>
  <c r="AQ213" i="1" s="1"/>
  <c r="BP213" i="1"/>
  <c r="AJ214" i="1"/>
  <c r="BH214" i="1"/>
  <c r="N215" i="1"/>
  <c r="O215" i="1" s="1"/>
  <c r="AT215" i="1"/>
  <c r="AU215" i="1" s="1"/>
  <c r="AH217" i="1"/>
  <c r="AI217" i="1" s="1"/>
  <c r="BH217" i="1"/>
  <c r="AD221" i="1"/>
  <c r="AE221" i="1" s="1"/>
  <c r="J214" i="1"/>
  <c r="K214" i="1" s="1"/>
  <c r="AK214" i="1"/>
  <c r="V219" i="1"/>
  <c r="W219" i="1" s="1"/>
  <c r="L10" i="1"/>
  <c r="D10" i="1"/>
  <c r="H13" i="1"/>
  <c r="BP10" i="1"/>
  <c r="BN10" i="1"/>
  <c r="BR10" i="1" s="1"/>
  <c r="AZ10" i="1"/>
  <c r="BQ10" i="1"/>
  <c r="BM13" i="1"/>
  <c r="AC20" i="1"/>
  <c r="BI187" i="1"/>
  <c r="BI37" i="1"/>
  <c r="BI32" i="1"/>
  <c r="BA37" i="1"/>
  <c r="BP7" i="1"/>
  <c r="BA8" i="1"/>
  <c r="AK8" i="1"/>
  <c r="BI8" i="1"/>
  <c r="D9" i="1"/>
  <c r="Q181" i="1"/>
  <c r="Q112" i="1"/>
  <c r="U9" i="1"/>
  <c r="Q10" i="1"/>
  <c r="U10" i="1" s="1"/>
  <c r="T9" i="1"/>
  <c r="AK16" i="1"/>
  <c r="U16" i="1"/>
  <c r="BI16" i="1"/>
  <c r="BI24" i="1"/>
  <c r="M27" i="1"/>
  <c r="AO10" i="1"/>
  <c r="AS10" i="1" s="1"/>
  <c r="BI18" i="1"/>
  <c r="AK18" i="1"/>
  <c r="R18" i="1"/>
  <c r="S18" i="1" s="1"/>
  <c r="M18" i="1"/>
  <c r="AC18" i="1"/>
  <c r="BA18" i="1"/>
  <c r="T18" i="1"/>
  <c r="BQ20" i="1"/>
  <c r="M21" i="1"/>
  <c r="AK24" i="1"/>
  <c r="BA25" i="1"/>
  <c r="AK25" i="1"/>
  <c r="U25" i="1"/>
  <c r="T25" i="1"/>
  <c r="L25" i="1"/>
  <c r="BQ25" i="1"/>
  <c r="AS25" i="1"/>
  <c r="AC25" i="1"/>
  <c r="H181" i="1"/>
  <c r="H112" i="1"/>
  <c r="AR9" i="1"/>
  <c r="BI9" i="1"/>
  <c r="AS187" i="1"/>
  <c r="AS70" i="1"/>
  <c r="AS71" i="1"/>
  <c r="AS72" i="1"/>
  <c r="AS44" i="1"/>
  <c r="AS37" i="1"/>
  <c r="AS20" i="1"/>
  <c r="AS27" i="1"/>
  <c r="C181" i="1"/>
  <c r="C112" i="1"/>
  <c r="L15" i="1"/>
  <c r="J16" i="1"/>
  <c r="K16" i="1" s="1"/>
  <c r="U17" i="1"/>
  <c r="J18" i="1"/>
  <c r="K18" i="1" s="1"/>
  <c r="M19" i="1"/>
  <c r="BQ24" i="1"/>
  <c r="M25" i="1"/>
  <c r="Y181" i="1"/>
  <c r="Y112" i="1"/>
  <c r="AN10" i="1"/>
  <c r="BQ7" i="1"/>
  <c r="AK7" i="1"/>
  <c r="AZ7" i="1"/>
  <c r="I181" i="1"/>
  <c r="I112" i="1"/>
  <c r="I10" i="1"/>
  <c r="AB9" i="1"/>
  <c r="AS9" i="1"/>
  <c r="BD10" i="1"/>
  <c r="L198" i="1"/>
  <c r="L194" i="1"/>
  <c r="L197" i="1"/>
  <c r="L193" i="1"/>
  <c r="L190" i="1"/>
  <c r="L191" i="1"/>
  <c r="L187" i="1"/>
  <c r="L184" i="1"/>
  <c r="L116" i="1"/>
  <c r="L122" i="1"/>
  <c r="L126" i="1"/>
  <c r="L121" i="1"/>
  <c r="L73" i="1"/>
  <c r="L60" i="1"/>
  <c r="L49" i="1"/>
  <c r="L48" i="1"/>
  <c r="L70" i="1"/>
  <c r="L40" i="1"/>
  <c r="L57" i="1"/>
  <c r="L56" i="1"/>
  <c r="L55" i="1"/>
  <c r="L65" i="1"/>
  <c r="L64" i="1"/>
  <c r="L44" i="1"/>
  <c r="L34" i="1"/>
  <c r="L31" i="1"/>
  <c r="L27" i="1"/>
  <c r="L30" i="1"/>
  <c r="L23" i="1"/>
  <c r="L43" i="1"/>
  <c r="L37" i="1"/>
  <c r="AC44" i="1"/>
  <c r="AC39" i="1"/>
  <c r="AC36" i="1"/>
  <c r="BI12" i="1"/>
  <c r="Y13" i="1"/>
  <c r="BQ14" i="1"/>
  <c r="BI14" i="1"/>
  <c r="BA14" i="1"/>
  <c r="AK14" i="1"/>
  <c r="AC14" i="1"/>
  <c r="BQ18" i="1"/>
  <c r="AC19" i="1"/>
  <c r="AC27" i="1"/>
  <c r="BM181" i="1"/>
  <c r="BM112" i="1"/>
  <c r="BQ9" i="1"/>
  <c r="BE10" i="1"/>
  <c r="BI10" i="1" s="1"/>
  <c r="M187" i="1"/>
  <c r="M35" i="1"/>
  <c r="M44" i="1"/>
  <c r="N44" i="1" s="1"/>
  <c r="O44" i="1" s="1"/>
  <c r="AS12" i="1"/>
  <c r="L16" i="1"/>
  <c r="L18" i="1"/>
  <c r="T19" i="1"/>
  <c r="R25" i="1"/>
  <c r="S25" i="1" s="1"/>
  <c r="AC8" i="1"/>
  <c r="M9" i="1"/>
  <c r="BA9" i="1"/>
  <c r="AW10" i="1"/>
  <c r="BA10" i="1" s="1"/>
  <c r="BP9" i="1"/>
  <c r="P10" i="1"/>
  <c r="P181" i="1" s="1"/>
  <c r="AF10" i="1"/>
  <c r="L12" i="1"/>
  <c r="AC12" i="1"/>
  <c r="AC181" i="1" s="1"/>
  <c r="BQ40" i="1"/>
  <c r="Q13" i="1"/>
  <c r="AK19" i="1"/>
  <c r="U20" i="1"/>
  <c r="BQ23" i="1"/>
  <c r="X10" i="1"/>
  <c r="AG181" i="1"/>
  <c r="AK9" i="1"/>
  <c r="AG10" i="1"/>
  <c r="AS18" i="1"/>
  <c r="BQ19" i="1"/>
  <c r="AS19" i="1"/>
  <c r="BI19" i="1"/>
  <c r="U19" i="1"/>
  <c r="J19" i="1"/>
  <c r="K19" i="1" s="1"/>
  <c r="BA19" i="1"/>
  <c r="L20" i="1"/>
  <c r="U21" i="1"/>
  <c r="BA23" i="1"/>
  <c r="BA32" i="1"/>
  <c r="BA35" i="1"/>
  <c r="U37" i="1"/>
  <c r="BI17" i="1"/>
  <c r="J21" i="1"/>
  <c r="K21" i="1" s="1"/>
  <c r="L24" i="1"/>
  <c r="BA27" i="1"/>
  <c r="M28" i="1"/>
  <c r="AC32" i="1"/>
  <c r="AC35" i="1"/>
  <c r="M38" i="1"/>
  <c r="BI42" i="1"/>
  <c r="BQ35" i="1"/>
  <c r="U44" i="1"/>
  <c r="BQ27" i="1"/>
  <c r="L46" i="1"/>
  <c r="BA46" i="1"/>
  <c r="U46" i="1"/>
  <c r="BI46" i="1"/>
  <c r="AK46" i="1"/>
  <c r="AC46" i="1"/>
  <c r="BQ46" i="1"/>
  <c r="M46" i="1"/>
  <c r="U194" i="1"/>
  <c r="U197" i="1"/>
  <c r="U191" i="1"/>
  <c r="R61" i="1"/>
  <c r="S61" i="1" s="1"/>
  <c r="AK201" i="1"/>
  <c r="AK194" i="1"/>
  <c r="AK115" i="1"/>
  <c r="AK55" i="1"/>
  <c r="BA192" i="1"/>
  <c r="BA191" i="1"/>
  <c r="BA61" i="1"/>
  <c r="BQ197" i="1"/>
  <c r="BQ55" i="1"/>
  <c r="BQ61" i="1"/>
  <c r="BQ44" i="1"/>
  <c r="B181" i="1"/>
  <c r="B112" i="1"/>
  <c r="AS21" i="1"/>
  <c r="BQ21" i="1"/>
  <c r="BQ22" i="1"/>
  <c r="BI22" i="1"/>
  <c r="BA22" i="1"/>
  <c r="AS22" i="1"/>
  <c r="AC22" i="1"/>
  <c r="M22" i="1"/>
  <c r="T24" i="1"/>
  <c r="U28" i="1"/>
  <c r="BQ28" i="1"/>
  <c r="BQ29" i="1"/>
  <c r="BI29" i="1"/>
  <c r="BA29" i="1"/>
  <c r="AS29" i="1"/>
  <c r="AC29" i="1"/>
  <c r="U29" i="1"/>
  <c r="T36" i="1"/>
  <c r="V36" i="1" s="1"/>
  <c r="W36" i="1" s="1"/>
  <c r="R36" i="1"/>
  <c r="S36" i="1" s="1"/>
  <c r="L36" i="1"/>
  <c r="AS36" i="1"/>
  <c r="BI36" i="1"/>
  <c r="AS38" i="1"/>
  <c r="BI39" i="1"/>
  <c r="AS39" i="1"/>
  <c r="AK39" i="1"/>
  <c r="U39" i="1"/>
  <c r="BA39" i="1"/>
  <c r="L39" i="1"/>
  <c r="AS41" i="1"/>
  <c r="BA41" i="1"/>
  <c r="U41" i="1"/>
  <c r="L41" i="1"/>
  <c r="J41" i="1"/>
  <c r="K41" i="1" s="1"/>
  <c r="J46" i="1"/>
  <c r="K46" i="1" s="1"/>
  <c r="L21" i="1"/>
  <c r="N21" i="1" s="1"/>
  <c r="O21" i="1" s="1"/>
  <c r="AK21" i="1"/>
  <c r="BI21" i="1"/>
  <c r="R24" i="1"/>
  <c r="S24" i="1" s="1"/>
  <c r="U27" i="1"/>
  <c r="T28" i="1"/>
  <c r="L28" i="1"/>
  <c r="AS28" i="1"/>
  <c r="BI28" i="1"/>
  <c r="BI33" i="1"/>
  <c r="AS33" i="1"/>
  <c r="AK33" i="1"/>
  <c r="AC33" i="1"/>
  <c r="R33" i="1"/>
  <c r="S33" i="1" s="1"/>
  <c r="T33" i="1"/>
  <c r="L33" i="1"/>
  <c r="BQ33" i="1"/>
  <c r="M33" i="1"/>
  <c r="AS35" i="1"/>
  <c r="BI35" i="1"/>
  <c r="AK36" i="1"/>
  <c r="BQ39" i="1"/>
  <c r="BA44" i="1"/>
  <c r="T46" i="1"/>
  <c r="U12" i="1"/>
  <c r="AK12" i="1"/>
  <c r="BA12" i="1"/>
  <c r="BQ12" i="1"/>
  <c r="L17" i="1"/>
  <c r="BI20" i="1"/>
  <c r="T21" i="1"/>
  <c r="BA21" i="1"/>
  <c r="L22" i="1"/>
  <c r="U22" i="1"/>
  <c r="AS24" i="1"/>
  <c r="J27" i="1"/>
  <c r="K27" i="1" s="1"/>
  <c r="BI27" i="1"/>
  <c r="L29" i="1"/>
  <c r="T32" i="1"/>
  <c r="L32" i="1"/>
  <c r="AS32" i="1"/>
  <c r="L35" i="1"/>
  <c r="U35" i="1"/>
  <c r="AK35" i="1"/>
  <c r="AK38" i="1"/>
  <c r="BA38" i="1"/>
  <c r="J39" i="1"/>
  <c r="K39" i="1" s="1"/>
  <c r="BQ41" i="1"/>
  <c r="AK27" i="1"/>
  <c r="L38" i="1"/>
  <c r="BI38" i="1"/>
  <c r="U38" i="1"/>
  <c r="BQ38" i="1"/>
  <c r="AC38" i="1"/>
  <c r="J38" i="1"/>
  <c r="K38" i="1" s="1"/>
  <c r="R38" i="1"/>
  <c r="S38" i="1" s="1"/>
  <c r="T42" i="1"/>
  <c r="AS42" i="1"/>
  <c r="M42" i="1"/>
  <c r="N42" i="1" s="1"/>
  <c r="O42" i="1" s="1"/>
  <c r="U42" i="1"/>
  <c r="L42" i="1"/>
  <c r="AK42" i="1"/>
  <c r="J42" i="1"/>
  <c r="K42" i="1" s="1"/>
  <c r="AC42" i="1"/>
  <c r="BA42" i="1"/>
  <c r="T54" i="1"/>
  <c r="T58" i="1"/>
  <c r="L58" i="1"/>
  <c r="AC62" i="1"/>
  <c r="AC67" i="1"/>
  <c r="R54" i="1"/>
  <c r="S54" i="1" s="1"/>
  <c r="J58" i="1"/>
  <c r="K58" i="1" s="1"/>
  <c r="BQ52" i="1"/>
  <c r="BI52" i="1"/>
  <c r="AK52" i="1"/>
  <c r="J52" i="1"/>
  <c r="K52" i="1" s="1"/>
  <c r="T52" i="1"/>
  <c r="U53" i="1"/>
  <c r="AC53" i="1"/>
  <c r="BA53" i="1"/>
  <c r="BI53" i="1"/>
  <c r="L54" i="1"/>
  <c r="T67" i="1"/>
  <c r="R67" i="1"/>
  <c r="S67" i="1" s="1"/>
  <c r="BA67" i="1"/>
  <c r="U67" i="1"/>
  <c r="L67" i="1"/>
  <c r="AK67" i="1"/>
  <c r="M45" i="1"/>
  <c r="BQ47" i="1"/>
  <c r="BI47" i="1"/>
  <c r="BA47" i="1"/>
  <c r="AK47" i="1"/>
  <c r="AC47" i="1"/>
  <c r="U47" i="1"/>
  <c r="T47" i="1"/>
  <c r="L47" i="1"/>
  <c r="BQ51" i="1"/>
  <c r="AK51" i="1"/>
  <c r="T51" i="1"/>
  <c r="AC52" i="1"/>
  <c r="J53" i="1"/>
  <c r="K53" i="1" s="1"/>
  <c r="T53" i="1"/>
  <c r="U54" i="1"/>
  <c r="AS54" i="1"/>
  <c r="BQ58" i="1"/>
  <c r="AC61" i="1"/>
  <c r="U62" i="1"/>
  <c r="BQ62" i="1"/>
  <c r="M67" i="1"/>
  <c r="BQ68" i="1"/>
  <c r="AS68" i="1"/>
  <c r="AK68" i="1"/>
  <c r="U68" i="1"/>
  <c r="M68" i="1"/>
  <c r="L68" i="1"/>
  <c r="AC68" i="1"/>
  <c r="L50" i="1"/>
  <c r="L62" i="1"/>
  <c r="T62" i="1"/>
  <c r="N67" i="1"/>
  <c r="O67" i="1" s="1"/>
  <c r="AS67" i="1"/>
  <c r="BI67" i="1"/>
  <c r="AK45" i="1"/>
  <c r="BI45" i="1"/>
  <c r="J50" i="1"/>
  <c r="K50" i="1" s="1"/>
  <c r="AC50" i="1"/>
  <c r="AS50" i="1"/>
  <c r="BI50" i="1"/>
  <c r="BA52" i="1"/>
  <c r="L53" i="1"/>
  <c r="AC58" i="1"/>
  <c r="AS58" i="1"/>
  <c r="BI58" i="1"/>
  <c r="T61" i="1"/>
  <c r="AS61" i="1"/>
  <c r="AK62" i="1"/>
  <c r="BI68" i="1"/>
  <c r="M26" i="1"/>
  <c r="N26" i="1" s="1"/>
  <c r="O26" i="1" s="1"/>
  <c r="U26" i="1"/>
  <c r="AC26" i="1"/>
  <c r="AK26" i="1"/>
  <c r="AS26" i="1"/>
  <c r="BA26" i="1"/>
  <c r="BI26" i="1"/>
  <c r="BQ26" i="1"/>
  <c r="M30" i="1"/>
  <c r="U30" i="1"/>
  <c r="AC30" i="1"/>
  <c r="AK30" i="1"/>
  <c r="AS30" i="1"/>
  <c r="BA30" i="1"/>
  <c r="BI30" i="1"/>
  <c r="BQ30" i="1"/>
  <c r="M34" i="1"/>
  <c r="U34" i="1"/>
  <c r="AC34" i="1"/>
  <c r="AK34" i="1"/>
  <c r="AS34" i="1"/>
  <c r="BA34" i="1"/>
  <c r="BI34" i="1"/>
  <c r="BQ34" i="1"/>
  <c r="M37" i="1"/>
  <c r="N37" i="1" s="1"/>
  <c r="O37" i="1" s="1"/>
  <c r="AK37" i="1"/>
  <c r="BQ43" i="1"/>
  <c r="J44" i="1"/>
  <c r="K44" i="1" s="1"/>
  <c r="AK44" i="1"/>
  <c r="BI44" i="1"/>
  <c r="T45" i="1"/>
  <c r="AC45" i="1"/>
  <c r="BA45" i="1"/>
  <c r="M47" i="1"/>
  <c r="AS47" i="1"/>
  <c r="T50" i="1"/>
  <c r="U51" i="1"/>
  <c r="BA51" i="1"/>
  <c r="L52" i="1"/>
  <c r="M53" i="1"/>
  <c r="N53" i="1" s="1"/>
  <c r="O53" i="1" s="1"/>
  <c r="AK53" i="1"/>
  <c r="AS53" i="1"/>
  <c r="BQ53" i="1"/>
  <c r="AC55" i="1"/>
  <c r="BI55" i="1"/>
  <c r="L61" i="1"/>
  <c r="AK61" i="1"/>
  <c r="M62" i="1"/>
  <c r="N62" i="1" s="1"/>
  <c r="O62" i="1" s="1"/>
  <c r="AC63" i="1"/>
  <c r="J63" i="1"/>
  <c r="K63" i="1" s="1"/>
  <c r="BQ63" i="1"/>
  <c r="BI63" i="1"/>
  <c r="BA63" i="1"/>
  <c r="AS63" i="1"/>
  <c r="AK63" i="1"/>
  <c r="U63" i="1"/>
  <c r="M63" i="1"/>
  <c r="L63" i="1"/>
  <c r="BQ67" i="1"/>
  <c r="J26" i="1"/>
  <c r="K26" i="1" s="1"/>
  <c r="J34" i="1"/>
  <c r="K34" i="1" s="1"/>
  <c r="J37" i="1"/>
  <c r="K37" i="1" s="1"/>
  <c r="AC37" i="1"/>
  <c r="AS43" i="1"/>
  <c r="AK43" i="1"/>
  <c r="AC43" i="1"/>
  <c r="BI43" i="1"/>
  <c r="L45" i="1"/>
  <c r="AS45" i="1"/>
  <c r="J47" i="1"/>
  <c r="K47" i="1" s="1"/>
  <c r="U50" i="1"/>
  <c r="V50" i="1" s="1"/>
  <c r="W50" i="1" s="1"/>
  <c r="BA50" i="1"/>
  <c r="BQ50" i="1"/>
  <c r="L51" i="1"/>
  <c r="M52" i="1"/>
  <c r="AK54" i="1"/>
  <c r="BI54" i="1"/>
  <c r="BQ54" i="1"/>
  <c r="BA55" i="1"/>
  <c r="AS55" i="1"/>
  <c r="U55" i="1"/>
  <c r="M55" i="1"/>
  <c r="T55" i="1"/>
  <c r="R58" i="1"/>
  <c r="S58" i="1" s="1"/>
  <c r="AK58" i="1"/>
  <c r="BA59" i="1"/>
  <c r="U59" i="1"/>
  <c r="T59" i="1"/>
  <c r="L59" i="1"/>
  <c r="M61" i="1"/>
  <c r="BI61" i="1"/>
  <c r="AC69" i="1"/>
  <c r="BQ69" i="1"/>
  <c r="BP78" i="1"/>
  <c r="BH78" i="1"/>
  <c r="AZ78" i="1"/>
  <c r="AR78" i="1"/>
  <c r="AJ78" i="1"/>
  <c r="AB78" i="1"/>
  <c r="T78" i="1"/>
  <c r="L78" i="1"/>
  <c r="Z78" i="1"/>
  <c r="AA78" i="1" s="1"/>
  <c r="AL78" i="1"/>
  <c r="AM78" i="1" s="1"/>
  <c r="BI78" i="1"/>
  <c r="J79" i="1"/>
  <c r="K79" i="1" s="1"/>
  <c r="BJ79" i="1"/>
  <c r="BK79" i="1" s="1"/>
  <c r="BP84" i="1"/>
  <c r="L69" i="1"/>
  <c r="U69" i="1"/>
  <c r="BQ72" i="1"/>
  <c r="BI72" i="1"/>
  <c r="M72" i="1"/>
  <c r="AK72" i="1"/>
  <c r="M74" i="1"/>
  <c r="AC74" i="1"/>
  <c r="AS74" i="1"/>
  <c r="BI74" i="1"/>
  <c r="BN77" i="1"/>
  <c r="BO77" i="1" s="1"/>
  <c r="BF77" i="1"/>
  <c r="BG77" i="1" s="1"/>
  <c r="AX77" i="1"/>
  <c r="AY77" i="1" s="1"/>
  <c r="AP77" i="1"/>
  <c r="AQ77" i="1" s="1"/>
  <c r="AH77" i="1"/>
  <c r="AI77" i="1" s="1"/>
  <c r="Z77" i="1"/>
  <c r="AA77" i="1" s="1"/>
  <c r="R77" i="1"/>
  <c r="S77" i="1" s="1"/>
  <c r="J77" i="1"/>
  <c r="K77" i="1" s="1"/>
  <c r="AB77" i="1"/>
  <c r="AL77" i="1"/>
  <c r="AM77" i="1" s="1"/>
  <c r="BH77" i="1"/>
  <c r="BR77" i="1"/>
  <c r="BS77" i="1" s="1"/>
  <c r="AC78" i="1"/>
  <c r="BJ78" i="1"/>
  <c r="BK78" i="1" s="1"/>
  <c r="AL79" i="1"/>
  <c r="AM79" i="1" s="1"/>
  <c r="AX79" i="1"/>
  <c r="AY79" i="1" s="1"/>
  <c r="V84" i="1"/>
  <c r="W84" i="1" s="1"/>
  <c r="BR84" i="1"/>
  <c r="BS84" i="1" s="1"/>
  <c r="BQ93" i="1"/>
  <c r="AR93" i="1"/>
  <c r="AD93" i="1"/>
  <c r="AE93" i="1" s="1"/>
  <c r="R93" i="1"/>
  <c r="S93" i="1" s="1"/>
  <c r="BP93" i="1"/>
  <c r="BB93" i="1"/>
  <c r="BC93" i="1" s="1"/>
  <c r="AP93" i="1"/>
  <c r="AQ93" i="1" s="1"/>
  <c r="AC93" i="1"/>
  <c r="BN93" i="1"/>
  <c r="BO93" i="1" s="1"/>
  <c r="BA93" i="1"/>
  <c r="AB93" i="1"/>
  <c r="N93" i="1"/>
  <c r="O93" i="1" s="1"/>
  <c r="BJ93" i="1"/>
  <c r="BK93" i="1" s="1"/>
  <c r="AX93" i="1"/>
  <c r="AY93" i="1" s="1"/>
  <c r="AK93" i="1"/>
  <c r="L93" i="1"/>
  <c r="BH93" i="1"/>
  <c r="AT93" i="1"/>
  <c r="AU93" i="1" s="1"/>
  <c r="AH93" i="1"/>
  <c r="AI93" i="1" s="1"/>
  <c r="U93" i="1"/>
  <c r="AL93" i="1"/>
  <c r="AM93" i="1" s="1"/>
  <c r="M60" i="1"/>
  <c r="U60" i="1"/>
  <c r="AC60" i="1"/>
  <c r="AK60" i="1"/>
  <c r="AS60" i="1"/>
  <c r="BA60" i="1"/>
  <c r="BI60" i="1"/>
  <c r="BQ60" i="1"/>
  <c r="BA69" i="1"/>
  <c r="L71" i="1"/>
  <c r="AK71" i="1"/>
  <c r="BI71" i="1"/>
  <c r="T72" i="1"/>
  <c r="AC72" i="1"/>
  <c r="BQ75" i="1"/>
  <c r="BN76" i="1"/>
  <c r="BO76" i="1" s="1"/>
  <c r="BF76" i="1"/>
  <c r="BG76" i="1" s="1"/>
  <c r="AX76" i="1"/>
  <c r="AY76" i="1" s="1"/>
  <c r="AP76" i="1"/>
  <c r="AQ76" i="1" s="1"/>
  <c r="AH76" i="1"/>
  <c r="AI76" i="1" s="1"/>
  <c r="Z76" i="1"/>
  <c r="AA76" i="1" s="1"/>
  <c r="R76" i="1"/>
  <c r="S76" i="1" s="1"/>
  <c r="J76" i="1"/>
  <c r="K76" i="1" s="1"/>
  <c r="AB76" i="1"/>
  <c r="AL76" i="1"/>
  <c r="AM76" i="1" s="1"/>
  <c r="BH76" i="1"/>
  <c r="BR76" i="1"/>
  <c r="BS76" i="1" s="1"/>
  <c r="AC77" i="1"/>
  <c r="BI77" i="1"/>
  <c r="R78" i="1"/>
  <c r="S78" i="1" s="1"/>
  <c r="AD78" i="1"/>
  <c r="AE78" i="1" s="1"/>
  <c r="AX78" i="1"/>
  <c r="AY78" i="1" s="1"/>
  <c r="N79" i="1"/>
  <c r="O79" i="1" s="1"/>
  <c r="Z79" i="1"/>
  <c r="AA79" i="1" s="1"/>
  <c r="BQ91" i="1"/>
  <c r="AK91" i="1"/>
  <c r="BP91" i="1"/>
  <c r="BF91" i="1"/>
  <c r="BG91" i="1" s="1"/>
  <c r="AT91" i="1"/>
  <c r="AU91" i="1" s="1"/>
  <c r="AJ91" i="1"/>
  <c r="Z91" i="1"/>
  <c r="AA91" i="1" s="1"/>
  <c r="N91" i="1"/>
  <c r="O91" i="1" s="1"/>
  <c r="AS91" i="1"/>
  <c r="M91" i="1"/>
  <c r="BA91" i="1"/>
  <c r="U91" i="1"/>
  <c r="BI91" i="1"/>
  <c r="AC91" i="1"/>
  <c r="AH91" i="1"/>
  <c r="AI91" i="1" s="1"/>
  <c r="BJ91" i="1"/>
  <c r="BK91" i="1" s="1"/>
  <c r="J93" i="1"/>
  <c r="K93" i="1" s="1"/>
  <c r="AS93" i="1"/>
  <c r="L66" i="1"/>
  <c r="T66" i="1"/>
  <c r="AS69" i="1"/>
  <c r="BI70" i="1"/>
  <c r="T71" i="1"/>
  <c r="BA71" i="1"/>
  <c r="L72" i="1"/>
  <c r="R72" i="1"/>
  <c r="S72" i="1" s="1"/>
  <c r="BA75" i="1"/>
  <c r="U75" i="1"/>
  <c r="T75" i="1"/>
  <c r="L75" i="1"/>
  <c r="AC76" i="1"/>
  <c r="BI76" i="1"/>
  <c r="T77" i="1"/>
  <c r="AD77" i="1"/>
  <c r="AE77" i="1" s="1"/>
  <c r="AZ77" i="1"/>
  <c r="BJ77" i="1"/>
  <c r="BK77" i="1" s="1"/>
  <c r="U78" i="1"/>
  <c r="BA78" i="1"/>
  <c r="BB79" i="1"/>
  <c r="BC79" i="1" s="1"/>
  <c r="BN79" i="1"/>
  <c r="BO79" i="1" s="1"/>
  <c r="AC84" i="1"/>
  <c r="AZ84" i="1"/>
  <c r="AP86" i="1"/>
  <c r="AQ86" i="1" s="1"/>
  <c r="J91" i="1"/>
  <c r="K91" i="1" s="1"/>
  <c r="AL91" i="1"/>
  <c r="AM91" i="1" s="1"/>
  <c r="BN91" i="1"/>
  <c r="BO91" i="1" s="1"/>
  <c r="M93" i="1"/>
  <c r="BI69" i="1"/>
  <c r="T74" i="1"/>
  <c r="L74" i="1"/>
  <c r="U77" i="1"/>
  <c r="BA77" i="1"/>
  <c r="J78" i="1"/>
  <c r="K78" i="1" s="1"/>
  <c r="V78" i="1"/>
  <c r="W78" i="1" s="1"/>
  <c r="AP78" i="1"/>
  <c r="AQ78" i="1" s="1"/>
  <c r="BB78" i="1"/>
  <c r="BC78" i="1" s="1"/>
  <c r="BN78" i="1"/>
  <c r="BO78" i="1" s="1"/>
  <c r="AD79" i="1"/>
  <c r="AE79" i="1" s="1"/>
  <c r="AP79" i="1"/>
  <c r="AQ79" i="1" s="1"/>
  <c r="BN84" i="1"/>
  <c r="BO84" i="1" s="1"/>
  <c r="BF84" i="1"/>
  <c r="BG84" i="1" s="1"/>
  <c r="AX84" i="1"/>
  <c r="AY84" i="1" s="1"/>
  <c r="AP84" i="1"/>
  <c r="AQ84" i="1" s="1"/>
  <c r="AH84" i="1"/>
  <c r="AI84" i="1" s="1"/>
  <c r="Z84" i="1"/>
  <c r="AA84" i="1" s="1"/>
  <c r="R84" i="1"/>
  <c r="S84" i="1" s="1"/>
  <c r="J84" i="1"/>
  <c r="K84" i="1" s="1"/>
  <c r="AT84" i="1"/>
  <c r="AU84" i="1" s="1"/>
  <c r="AK84" i="1"/>
  <c r="AB84" i="1"/>
  <c r="BB84" i="1"/>
  <c r="BC84" i="1" s="1"/>
  <c r="AS84" i="1"/>
  <c r="AJ84" i="1"/>
  <c r="BJ84" i="1"/>
  <c r="BK84" i="1" s="1"/>
  <c r="BA84" i="1"/>
  <c r="AR84" i="1"/>
  <c r="BQ84" i="1"/>
  <c r="BH84" i="1"/>
  <c r="N84" i="1"/>
  <c r="O84" i="1" s="1"/>
  <c r="AD84" i="1"/>
  <c r="AE84" i="1" s="1"/>
  <c r="U84" i="1"/>
  <c r="L84" i="1"/>
  <c r="T93" i="1"/>
  <c r="AZ93" i="1"/>
  <c r="BQ79" i="1"/>
  <c r="BI79" i="1"/>
  <c r="BA79" i="1"/>
  <c r="AS79" i="1"/>
  <c r="AK79" i="1"/>
  <c r="AC79" i="1"/>
  <c r="U79" i="1"/>
  <c r="M79" i="1"/>
  <c r="BP79" i="1"/>
  <c r="BH79" i="1"/>
  <c r="AZ79" i="1"/>
  <c r="AR79" i="1"/>
  <c r="AJ79" i="1"/>
  <c r="AB79" i="1"/>
  <c r="T79" i="1"/>
  <c r="L79" i="1"/>
  <c r="R79" i="1"/>
  <c r="S79" i="1" s="1"/>
  <c r="BR79" i="1"/>
  <c r="BS79" i="1" s="1"/>
  <c r="AT79" i="1"/>
  <c r="AU79" i="1" s="1"/>
  <c r="BF79" i="1"/>
  <c r="BG79" i="1" s="1"/>
  <c r="N60" i="1"/>
  <c r="O60" i="1" s="1"/>
  <c r="M69" i="1"/>
  <c r="N69" i="1" s="1"/>
  <c r="O69" i="1" s="1"/>
  <c r="AK69" i="1"/>
  <c r="BA72" i="1"/>
  <c r="U74" i="1"/>
  <c r="BA74" i="1"/>
  <c r="N77" i="1"/>
  <c r="O77" i="1" s="1"/>
  <c r="AJ77" i="1"/>
  <c r="AT77" i="1"/>
  <c r="AU77" i="1" s="1"/>
  <c r="BP77" i="1"/>
  <c r="AK78" i="1"/>
  <c r="BF78" i="1"/>
  <c r="BG78" i="1" s="1"/>
  <c r="V79" i="1"/>
  <c r="W79" i="1" s="1"/>
  <c r="AH79" i="1"/>
  <c r="AI79" i="1" s="1"/>
  <c r="BP86" i="1"/>
  <c r="BH86" i="1"/>
  <c r="AZ86" i="1"/>
  <c r="AR86" i="1"/>
  <c r="AJ86" i="1"/>
  <c r="AB86" i="1"/>
  <c r="T86" i="1"/>
  <c r="L86" i="1"/>
  <c r="BN86" i="1"/>
  <c r="BO86" i="1" s="1"/>
  <c r="AD86" i="1"/>
  <c r="AE86" i="1" s="1"/>
  <c r="U86" i="1"/>
  <c r="AL86" i="1"/>
  <c r="AM86" i="1" s="1"/>
  <c r="AC86" i="1"/>
  <c r="J86" i="1"/>
  <c r="K86" i="1" s="1"/>
  <c r="AT86" i="1"/>
  <c r="AU86" i="1" s="1"/>
  <c r="AK86" i="1"/>
  <c r="R86" i="1"/>
  <c r="S86" i="1" s="1"/>
  <c r="BJ86" i="1"/>
  <c r="BK86" i="1" s="1"/>
  <c r="BA86" i="1"/>
  <c r="AH86" i="1"/>
  <c r="AI86" i="1" s="1"/>
  <c r="BQ86" i="1"/>
  <c r="AX86" i="1"/>
  <c r="AY86" i="1" s="1"/>
  <c r="N86" i="1"/>
  <c r="O86" i="1" s="1"/>
  <c r="BB86" i="1"/>
  <c r="BC86" i="1" s="1"/>
  <c r="T83" i="1"/>
  <c r="AC83" i="1"/>
  <c r="AL83" i="1"/>
  <c r="AM83" i="1" s="1"/>
  <c r="BN83" i="1"/>
  <c r="BO83" i="1" s="1"/>
  <c r="BQ87" i="1"/>
  <c r="BI87" i="1"/>
  <c r="BA87" i="1"/>
  <c r="AS87" i="1"/>
  <c r="AK87" i="1"/>
  <c r="AC87" i="1"/>
  <c r="U87" i="1"/>
  <c r="M87" i="1"/>
  <c r="AP87" i="1"/>
  <c r="AQ87" i="1" s="1"/>
  <c r="BH87" i="1"/>
  <c r="BR87" i="1"/>
  <c r="BS87" i="1" s="1"/>
  <c r="BQ89" i="1"/>
  <c r="AH89" i="1"/>
  <c r="AI89" i="1" s="1"/>
  <c r="AZ89" i="1"/>
  <c r="BI89" i="1"/>
  <c r="M83" i="1"/>
  <c r="V83" i="1"/>
  <c r="W83" i="1" s="1"/>
  <c r="AX83" i="1"/>
  <c r="AY83" i="1" s="1"/>
  <c r="BP83" i="1"/>
  <c r="AP85" i="1"/>
  <c r="AQ85" i="1" s="1"/>
  <c r="AZ85" i="1"/>
  <c r="BI85" i="1"/>
  <c r="BR85" i="1"/>
  <c r="BS85" i="1" s="1"/>
  <c r="Z87" i="1"/>
  <c r="AA87" i="1" s="1"/>
  <c r="AR87" i="1"/>
  <c r="BB87" i="1"/>
  <c r="BC87" i="1" s="1"/>
  <c r="R89" i="1"/>
  <c r="S89" i="1" s="1"/>
  <c r="AJ89" i="1"/>
  <c r="AS89" i="1"/>
  <c r="BB89" i="1"/>
  <c r="BC89" i="1" s="1"/>
  <c r="AH83" i="1"/>
  <c r="AI83" i="1" s="1"/>
  <c r="AZ83" i="1"/>
  <c r="BI83" i="1"/>
  <c r="BR83" i="1"/>
  <c r="BS83" i="1" s="1"/>
  <c r="J87" i="1"/>
  <c r="K87" i="1" s="1"/>
  <c r="AB87" i="1"/>
  <c r="AL87" i="1"/>
  <c r="AM87" i="1" s="1"/>
  <c r="T89" i="1"/>
  <c r="AC89" i="1"/>
  <c r="AL89" i="1"/>
  <c r="AM89" i="1" s="1"/>
  <c r="BN89" i="1"/>
  <c r="BO89" i="1" s="1"/>
  <c r="N81" i="1"/>
  <c r="O81" i="1" s="1"/>
  <c r="AP81" i="1"/>
  <c r="AQ81" i="1" s="1"/>
  <c r="BH81" i="1"/>
  <c r="BQ81" i="1"/>
  <c r="AH82" i="1"/>
  <c r="AI82" i="1" s="1"/>
  <c r="AZ82" i="1"/>
  <c r="BI82" i="1"/>
  <c r="BR82" i="1"/>
  <c r="BS82" i="1" s="1"/>
  <c r="Z83" i="1"/>
  <c r="AA83" i="1" s="1"/>
  <c r="AR83" i="1"/>
  <c r="BA83" i="1"/>
  <c r="BJ83" i="1"/>
  <c r="BK83" i="1" s="1"/>
  <c r="R85" i="1"/>
  <c r="S85" i="1" s="1"/>
  <c r="AB85" i="1"/>
  <c r="AK85" i="1"/>
  <c r="AT85" i="1"/>
  <c r="AU85" i="1" s="1"/>
  <c r="T87" i="1"/>
  <c r="AD87" i="1"/>
  <c r="AE87" i="1" s="1"/>
  <c r="BN87" i="1"/>
  <c r="BO87" i="1" s="1"/>
  <c r="L89" i="1"/>
  <c r="U89" i="1"/>
  <c r="AD89" i="1"/>
  <c r="AE89" i="1" s="1"/>
  <c r="BF89" i="1"/>
  <c r="BG89" i="1" s="1"/>
  <c r="AB92" i="1"/>
  <c r="BA92" i="1"/>
  <c r="AH81" i="1"/>
  <c r="AI81" i="1" s="1"/>
  <c r="AZ81" i="1"/>
  <c r="BI81" i="1"/>
  <c r="BR81" i="1"/>
  <c r="BS81" i="1" s="1"/>
  <c r="R83" i="1"/>
  <c r="S83" i="1" s="1"/>
  <c r="AJ83" i="1"/>
  <c r="AS83" i="1"/>
  <c r="BB83" i="1"/>
  <c r="BC83" i="1" s="1"/>
  <c r="J85" i="1"/>
  <c r="K85" i="1" s="1"/>
  <c r="T85" i="1"/>
  <c r="AC85" i="1"/>
  <c r="AL85" i="1"/>
  <c r="AM85" i="1" s="1"/>
  <c r="L87" i="1"/>
  <c r="V87" i="1"/>
  <c r="W87" i="1" s="1"/>
  <c r="BF87" i="1"/>
  <c r="BG87" i="1" s="1"/>
  <c r="M89" i="1"/>
  <c r="V89" i="1"/>
  <c r="W89" i="1" s="1"/>
  <c r="AX89" i="1"/>
  <c r="AY89" i="1" s="1"/>
  <c r="BP89" i="1"/>
  <c r="BN92" i="1"/>
  <c r="BO92" i="1" s="1"/>
  <c r="BF92" i="1"/>
  <c r="BG92" i="1" s="1"/>
  <c r="AX92" i="1"/>
  <c r="AY92" i="1" s="1"/>
  <c r="AP92" i="1"/>
  <c r="AQ92" i="1" s="1"/>
  <c r="AH92" i="1"/>
  <c r="AI92" i="1" s="1"/>
  <c r="Z92" i="1"/>
  <c r="AA92" i="1" s="1"/>
  <c r="R92" i="1"/>
  <c r="S92" i="1" s="1"/>
  <c r="J92" i="1"/>
  <c r="K92" i="1" s="1"/>
  <c r="BR92" i="1"/>
  <c r="BS92" i="1" s="1"/>
  <c r="BJ92" i="1"/>
  <c r="BK92" i="1" s="1"/>
  <c r="BB92" i="1"/>
  <c r="BC92" i="1" s="1"/>
  <c r="AT92" i="1"/>
  <c r="AU92" i="1" s="1"/>
  <c r="AL92" i="1"/>
  <c r="AM92" i="1" s="1"/>
  <c r="AD92" i="1"/>
  <c r="AE92" i="1" s="1"/>
  <c r="V92" i="1"/>
  <c r="W92" i="1" s="1"/>
  <c r="AC92" i="1"/>
  <c r="BP92" i="1"/>
  <c r="BQ114" i="1"/>
  <c r="L120" i="1"/>
  <c r="BI114" i="1"/>
  <c r="BQ117" i="1"/>
  <c r="BI117" i="1"/>
  <c r="AS117" i="1"/>
  <c r="AK117" i="1"/>
  <c r="R117" i="1"/>
  <c r="S117" i="1" s="1"/>
  <c r="M117" i="1"/>
  <c r="R118" i="1"/>
  <c r="S118" i="1" s="1"/>
  <c r="AC118" i="1"/>
  <c r="BA118" i="1"/>
  <c r="BI118" i="1"/>
  <c r="L119" i="1"/>
  <c r="N90" i="1"/>
  <c r="O90" i="1" s="1"/>
  <c r="V90" i="1"/>
  <c r="W90" i="1" s="1"/>
  <c r="AD90" i="1"/>
  <c r="AE90" i="1" s="1"/>
  <c r="AL90" i="1"/>
  <c r="AM90" i="1" s="1"/>
  <c r="AT90" i="1"/>
  <c r="AU90" i="1" s="1"/>
  <c r="BB90" i="1"/>
  <c r="BC90" i="1" s="1"/>
  <c r="BJ90" i="1"/>
  <c r="BK90" i="1" s="1"/>
  <c r="BR90" i="1"/>
  <c r="BS90" i="1" s="1"/>
  <c r="U114" i="1"/>
  <c r="L118" i="1"/>
  <c r="T118" i="1"/>
  <c r="J119" i="1"/>
  <c r="K119" i="1" s="1"/>
  <c r="U119" i="1"/>
  <c r="BA119" i="1"/>
  <c r="J120" i="1"/>
  <c r="K120" i="1" s="1"/>
  <c r="M114" i="1"/>
  <c r="AS114" i="1"/>
  <c r="BA116" i="1"/>
  <c r="AK116" i="1"/>
  <c r="AC116" i="1"/>
  <c r="BI116" i="1"/>
  <c r="L117" i="1"/>
  <c r="T117" i="1"/>
  <c r="M118" i="1"/>
  <c r="AS118" i="1"/>
  <c r="AK120" i="1"/>
  <c r="N80" i="1"/>
  <c r="O80" i="1" s="1"/>
  <c r="V80" i="1"/>
  <c r="W80" i="1" s="1"/>
  <c r="AD80" i="1"/>
  <c r="AE80" i="1" s="1"/>
  <c r="AL80" i="1"/>
  <c r="AM80" i="1" s="1"/>
  <c r="AT80" i="1"/>
  <c r="AU80" i="1" s="1"/>
  <c r="BB80" i="1"/>
  <c r="BC80" i="1" s="1"/>
  <c r="BJ80" i="1"/>
  <c r="BK80" i="1" s="1"/>
  <c r="BR80" i="1"/>
  <c r="BS80" i="1" s="1"/>
  <c r="N88" i="1"/>
  <c r="O88" i="1" s="1"/>
  <c r="V88" i="1"/>
  <c r="W88" i="1" s="1"/>
  <c r="AD88" i="1"/>
  <c r="AE88" i="1" s="1"/>
  <c r="AL88" i="1"/>
  <c r="AM88" i="1" s="1"/>
  <c r="AT88" i="1"/>
  <c r="AU88" i="1" s="1"/>
  <c r="BB88" i="1"/>
  <c r="BC88" i="1" s="1"/>
  <c r="BJ88" i="1"/>
  <c r="BK88" i="1" s="1"/>
  <c r="BR88" i="1"/>
  <c r="BS88" i="1" s="1"/>
  <c r="AK114" i="1"/>
  <c r="T115" i="1"/>
  <c r="L115" i="1"/>
  <c r="BI115" i="1"/>
  <c r="T116" i="1"/>
  <c r="AK119" i="1"/>
  <c r="AS119" i="1"/>
  <c r="BQ119" i="1"/>
  <c r="T114" i="1"/>
  <c r="AC114" i="1"/>
  <c r="AK118" i="1"/>
  <c r="BQ118" i="1"/>
  <c r="AC120" i="1"/>
  <c r="BI120" i="1"/>
  <c r="T124" i="1"/>
  <c r="R124" i="1"/>
  <c r="S124" i="1" s="1"/>
  <c r="BI124" i="1"/>
  <c r="BA124" i="1"/>
  <c r="AC124" i="1"/>
  <c r="U124" i="1"/>
  <c r="V124" i="1" s="1"/>
  <c r="W124" i="1" s="1"/>
  <c r="J124" i="1"/>
  <c r="K124" i="1" s="1"/>
  <c r="L124" i="1"/>
  <c r="L114" i="1"/>
  <c r="BA114" i="1"/>
  <c r="BA120" i="1"/>
  <c r="AS120" i="1"/>
  <c r="U120" i="1"/>
  <c r="M120" i="1"/>
  <c r="T120" i="1"/>
  <c r="BQ123" i="1"/>
  <c r="BI123" i="1"/>
  <c r="BA123" i="1"/>
  <c r="AS123" i="1"/>
  <c r="AK123" i="1"/>
  <c r="AC123" i="1"/>
  <c r="U123" i="1"/>
  <c r="M123" i="1"/>
  <c r="T123" i="1"/>
  <c r="L123" i="1"/>
  <c r="R119" i="1"/>
  <c r="S119" i="1" s="1"/>
  <c r="J125" i="1"/>
  <c r="K125" i="1" s="1"/>
  <c r="AK125" i="1"/>
  <c r="BA125" i="1"/>
  <c r="BI125" i="1"/>
  <c r="BQ125" i="1"/>
  <c r="N128" i="1"/>
  <c r="O128" i="1" s="1"/>
  <c r="AT128" i="1"/>
  <c r="AU128" i="1" s="1"/>
  <c r="N130" i="1"/>
  <c r="O130" i="1" s="1"/>
  <c r="AJ130" i="1"/>
  <c r="AT130" i="1"/>
  <c r="AU130" i="1" s="1"/>
  <c r="BP130" i="1"/>
  <c r="BQ132" i="1"/>
  <c r="BI132" i="1"/>
  <c r="BA132" i="1"/>
  <c r="AS132" i="1"/>
  <c r="AK132" i="1"/>
  <c r="AC132" i="1"/>
  <c r="U132" i="1"/>
  <c r="M132" i="1"/>
  <c r="AL132" i="1"/>
  <c r="AM132" i="1" s="1"/>
  <c r="BR132" i="1"/>
  <c r="BS132" i="1" s="1"/>
  <c r="AB134" i="1"/>
  <c r="AL134" i="1"/>
  <c r="AM134" i="1" s="1"/>
  <c r="AX134" i="1"/>
  <c r="AY134" i="1" s="1"/>
  <c r="BJ134" i="1"/>
  <c r="BK134" i="1" s="1"/>
  <c r="AL135" i="1"/>
  <c r="AM135" i="1" s="1"/>
  <c r="BN136" i="1"/>
  <c r="BO136" i="1" s="1"/>
  <c r="BF136" i="1"/>
  <c r="BG136" i="1" s="1"/>
  <c r="AX136" i="1"/>
  <c r="AY136" i="1" s="1"/>
  <c r="AP136" i="1"/>
  <c r="AQ136" i="1" s="1"/>
  <c r="AH136" i="1"/>
  <c r="AI136" i="1" s="1"/>
  <c r="Z136" i="1"/>
  <c r="AA136" i="1" s="1"/>
  <c r="R136" i="1"/>
  <c r="S136" i="1" s="1"/>
  <c r="J136" i="1"/>
  <c r="K136" i="1" s="1"/>
  <c r="BQ136" i="1"/>
  <c r="BI136" i="1"/>
  <c r="BA136" i="1"/>
  <c r="AS136" i="1"/>
  <c r="AK136" i="1"/>
  <c r="AC136" i="1"/>
  <c r="U136" i="1"/>
  <c r="M136" i="1"/>
  <c r="V136" i="1"/>
  <c r="W136" i="1" s="1"/>
  <c r="AL136" i="1"/>
  <c r="AM136" i="1" s="1"/>
  <c r="BB136" i="1"/>
  <c r="BC136" i="1" s="1"/>
  <c r="BR136" i="1"/>
  <c r="BS136" i="1" s="1"/>
  <c r="BB138" i="1"/>
  <c r="BC138" i="1" s="1"/>
  <c r="L127" i="1"/>
  <c r="T127" i="1"/>
  <c r="AB127" i="1"/>
  <c r="AK127" i="1"/>
  <c r="AT127" i="1"/>
  <c r="AU127" i="1" s="1"/>
  <c r="Z128" i="1"/>
  <c r="AA128" i="1" s="1"/>
  <c r="AJ128" i="1"/>
  <c r="BF128" i="1"/>
  <c r="BG128" i="1" s="1"/>
  <c r="BP128" i="1"/>
  <c r="Z130" i="1"/>
  <c r="AA130" i="1" s="1"/>
  <c r="AK130" i="1"/>
  <c r="BF130" i="1"/>
  <c r="BG130" i="1" s="1"/>
  <c r="BQ130" i="1"/>
  <c r="BP131" i="1"/>
  <c r="BH131" i="1"/>
  <c r="AZ131" i="1"/>
  <c r="AR131" i="1"/>
  <c r="AJ131" i="1"/>
  <c r="AB131" i="1"/>
  <c r="T131" i="1"/>
  <c r="L131" i="1"/>
  <c r="AL131" i="1"/>
  <c r="AM131" i="1" s="1"/>
  <c r="BR131" i="1"/>
  <c r="BS131" i="1" s="1"/>
  <c r="R132" i="1"/>
  <c r="S132" i="1" s="1"/>
  <c r="AB132" i="1"/>
  <c r="AX132" i="1"/>
  <c r="AY132" i="1" s="1"/>
  <c r="BH132" i="1"/>
  <c r="R134" i="1"/>
  <c r="S134" i="1" s="1"/>
  <c r="AC134" i="1"/>
  <c r="AZ134" i="1"/>
  <c r="N135" i="1"/>
  <c r="O135" i="1" s="1"/>
  <c r="BA135" i="1"/>
  <c r="BN135" i="1"/>
  <c r="BO135" i="1" s="1"/>
  <c r="BI138" i="1"/>
  <c r="BQ128" i="1"/>
  <c r="BI128" i="1"/>
  <c r="BA128" i="1"/>
  <c r="AS128" i="1"/>
  <c r="AK128" i="1"/>
  <c r="AC128" i="1"/>
  <c r="U128" i="1"/>
  <c r="M128" i="1"/>
  <c r="AL128" i="1"/>
  <c r="AM128" i="1" s="1"/>
  <c r="BR128" i="1"/>
  <c r="BS128" i="1" s="1"/>
  <c r="AB130" i="1"/>
  <c r="AL130" i="1"/>
  <c r="AM130" i="1" s="1"/>
  <c r="BH130" i="1"/>
  <c r="BR130" i="1"/>
  <c r="BS130" i="1" s="1"/>
  <c r="Z138" i="1"/>
  <c r="AA138" i="1" s="1"/>
  <c r="BN150" i="1"/>
  <c r="BO150" i="1" s="1"/>
  <c r="BF150" i="1"/>
  <c r="BG150" i="1" s="1"/>
  <c r="AX150" i="1"/>
  <c r="AY150" i="1" s="1"/>
  <c r="AP150" i="1"/>
  <c r="AQ150" i="1" s="1"/>
  <c r="AH150" i="1"/>
  <c r="AI150" i="1" s="1"/>
  <c r="Z150" i="1"/>
  <c r="AA150" i="1" s="1"/>
  <c r="R150" i="1"/>
  <c r="S150" i="1" s="1"/>
  <c r="J150" i="1"/>
  <c r="K150" i="1" s="1"/>
  <c r="BQ150" i="1"/>
  <c r="BI150" i="1"/>
  <c r="BA150" i="1"/>
  <c r="AS150" i="1"/>
  <c r="AK150" i="1"/>
  <c r="AC150" i="1"/>
  <c r="U150" i="1"/>
  <c r="M150" i="1"/>
  <c r="BP150" i="1"/>
  <c r="AD150" i="1"/>
  <c r="AE150" i="1" s="1"/>
  <c r="BB150" i="1"/>
  <c r="BC150" i="1" s="1"/>
  <c r="AB150" i="1"/>
  <c r="AZ150" i="1"/>
  <c r="N150" i="1"/>
  <c r="O150" i="1" s="1"/>
  <c r="AL150" i="1"/>
  <c r="AM150" i="1" s="1"/>
  <c r="L150" i="1"/>
  <c r="BJ150" i="1"/>
  <c r="BK150" i="1" s="1"/>
  <c r="AJ150" i="1"/>
  <c r="BH150" i="1"/>
  <c r="V150" i="1"/>
  <c r="W150" i="1" s="1"/>
  <c r="AT150" i="1"/>
  <c r="AU150" i="1" s="1"/>
  <c r="T150" i="1"/>
  <c r="M122" i="1"/>
  <c r="U122" i="1"/>
  <c r="AC122" i="1"/>
  <c r="AK122" i="1"/>
  <c r="AS122" i="1"/>
  <c r="BA122" i="1"/>
  <c r="BI122" i="1"/>
  <c r="BQ122" i="1"/>
  <c r="L125" i="1"/>
  <c r="BQ126" i="1"/>
  <c r="BP127" i="1"/>
  <c r="BH127" i="1"/>
  <c r="AZ127" i="1"/>
  <c r="N127" i="1"/>
  <c r="O127" i="1" s="1"/>
  <c r="V127" i="1"/>
  <c r="W127" i="1" s="1"/>
  <c r="AD127" i="1"/>
  <c r="AE127" i="1" s="1"/>
  <c r="BR127" i="1"/>
  <c r="BS127" i="1" s="1"/>
  <c r="R128" i="1"/>
  <c r="S128" i="1" s="1"/>
  <c r="AB128" i="1"/>
  <c r="AX128" i="1"/>
  <c r="AY128" i="1" s="1"/>
  <c r="BH128" i="1"/>
  <c r="R130" i="1"/>
  <c r="S130" i="1" s="1"/>
  <c r="AC130" i="1"/>
  <c r="AX130" i="1"/>
  <c r="AY130" i="1" s="1"/>
  <c r="BI130" i="1"/>
  <c r="J132" i="1"/>
  <c r="K132" i="1" s="1"/>
  <c r="T132" i="1"/>
  <c r="AP132" i="1"/>
  <c r="AQ132" i="1" s="1"/>
  <c r="AZ132" i="1"/>
  <c r="J134" i="1"/>
  <c r="K134" i="1" s="1"/>
  <c r="U134" i="1"/>
  <c r="AP134" i="1"/>
  <c r="AQ134" i="1" s="1"/>
  <c r="BB134" i="1"/>
  <c r="BC134" i="1" s="1"/>
  <c r="BP134" i="1"/>
  <c r="R135" i="1"/>
  <c r="S135" i="1" s="1"/>
  <c r="AD135" i="1"/>
  <c r="AE135" i="1" s="1"/>
  <c r="BQ135" i="1"/>
  <c r="L136" i="1"/>
  <c r="AB136" i="1"/>
  <c r="AR136" i="1"/>
  <c r="BH136" i="1"/>
  <c r="BR138" i="1"/>
  <c r="BS138" i="1" s="1"/>
  <c r="M125" i="1"/>
  <c r="N125" i="1" s="1"/>
  <c r="O125" i="1" s="1"/>
  <c r="U125" i="1"/>
  <c r="AC125" i="1"/>
  <c r="AS125" i="1"/>
  <c r="AX127" i="1"/>
  <c r="AY127" i="1" s="1"/>
  <c r="BI127" i="1"/>
  <c r="AD128" i="1"/>
  <c r="AE128" i="1" s="1"/>
  <c r="BJ128" i="1"/>
  <c r="BK128" i="1" s="1"/>
  <c r="T130" i="1"/>
  <c r="AD130" i="1"/>
  <c r="AE130" i="1" s="1"/>
  <c r="AZ130" i="1"/>
  <c r="BJ130" i="1"/>
  <c r="BK130" i="1" s="1"/>
  <c r="V132" i="1"/>
  <c r="W132" i="1" s="1"/>
  <c r="BB132" i="1"/>
  <c r="BC132" i="1" s="1"/>
  <c r="L134" i="1"/>
  <c r="V134" i="1"/>
  <c r="W134" i="1" s="1"/>
  <c r="AR134" i="1"/>
  <c r="BQ134" i="1"/>
  <c r="BP135" i="1"/>
  <c r="BH135" i="1"/>
  <c r="AZ135" i="1"/>
  <c r="AR135" i="1"/>
  <c r="AJ135" i="1"/>
  <c r="AB135" i="1"/>
  <c r="T135" i="1"/>
  <c r="L135" i="1"/>
  <c r="AS135" i="1"/>
  <c r="BF135" i="1"/>
  <c r="BG135" i="1" s="1"/>
  <c r="BR135" i="1"/>
  <c r="BS135" i="1" s="1"/>
  <c r="N136" i="1"/>
  <c r="O136" i="1" s="1"/>
  <c r="AD136" i="1"/>
  <c r="AE136" i="1" s="1"/>
  <c r="AT136" i="1"/>
  <c r="AU136" i="1" s="1"/>
  <c r="BJ136" i="1"/>
  <c r="BK136" i="1" s="1"/>
  <c r="AJ138" i="1"/>
  <c r="BQ138" i="1"/>
  <c r="BH138" i="1"/>
  <c r="AX138" i="1"/>
  <c r="AY138" i="1" s="1"/>
  <c r="N138" i="1"/>
  <c r="O138" i="1" s="1"/>
  <c r="BP138" i="1"/>
  <c r="BF138" i="1"/>
  <c r="BG138" i="1" s="1"/>
  <c r="V138" i="1"/>
  <c r="W138" i="1" s="1"/>
  <c r="M138" i="1"/>
  <c r="BN138" i="1"/>
  <c r="BO138" i="1" s="1"/>
  <c r="AD138" i="1"/>
  <c r="AE138" i="1" s="1"/>
  <c r="U138" i="1"/>
  <c r="L138" i="1"/>
  <c r="AL138" i="1"/>
  <c r="AM138" i="1" s="1"/>
  <c r="AC138" i="1"/>
  <c r="T138" i="1"/>
  <c r="J138" i="1"/>
  <c r="K138" i="1" s="1"/>
  <c r="AT138" i="1"/>
  <c r="AU138" i="1" s="1"/>
  <c r="AK138" i="1"/>
  <c r="AB138" i="1"/>
  <c r="R138" i="1"/>
  <c r="S138" i="1" s="1"/>
  <c r="BJ138" i="1"/>
  <c r="BK138" i="1" s="1"/>
  <c r="BA138" i="1"/>
  <c r="AR138" i="1"/>
  <c r="AH138" i="1"/>
  <c r="AI138" i="1" s="1"/>
  <c r="AP138" i="1"/>
  <c r="AQ138" i="1" s="1"/>
  <c r="AR150" i="1"/>
  <c r="BP161" i="1"/>
  <c r="AX161" i="1"/>
  <c r="AY161" i="1" s="1"/>
  <c r="V161" i="1"/>
  <c r="W161" i="1" s="1"/>
  <c r="M161" i="1"/>
  <c r="BF161" i="1"/>
  <c r="BG161" i="1" s="1"/>
  <c r="AD161" i="1"/>
  <c r="AE161" i="1" s="1"/>
  <c r="U161" i="1"/>
  <c r="L161" i="1"/>
  <c r="AT161" i="1"/>
  <c r="AU161" i="1" s="1"/>
  <c r="AK161" i="1"/>
  <c r="AB161" i="1"/>
  <c r="J161" i="1"/>
  <c r="K161" i="1" s="1"/>
  <c r="BH161" i="1"/>
  <c r="AR161" i="1"/>
  <c r="AC161" i="1"/>
  <c r="N161" i="1"/>
  <c r="O161" i="1" s="1"/>
  <c r="BR161" i="1"/>
  <c r="BS161" i="1" s="1"/>
  <c r="BB161" i="1"/>
  <c r="BC161" i="1" s="1"/>
  <c r="AP161" i="1"/>
  <c r="AQ161" i="1" s="1"/>
  <c r="Z161" i="1"/>
  <c r="AA161" i="1" s="1"/>
  <c r="BN161" i="1"/>
  <c r="BO161" i="1" s="1"/>
  <c r="AZ161" i="1"/>
  <c r="AJ161" i="1"/>
  <c r="BJ161" i="1"/>
  <c r="BK161" i="1" s="1"/>
  <c r="AH161" i="1"/>
  <c r="AI161" i="1" s="1"/>
  <c r="R161" i="1"/>
  <c r="S161" i="1" s="1"/>
  <c r="BI161" i="1"/>
  <c r="AS161" i="1"/>
  <c r="N129" i="1"/>
  <c r="O129" i="1" s="1"/>
  <c r="V129" i="1"/>
  <c r="W129" i="1" s="1"/>
  <c r="AD129" i="1"/>
  <c r="AE129" i="1" s="1"/>
  <c r="AL129" i="1"/>
  <c r="AM129" i="1" s="1"/>
  <c r="AT129" i="1"/>
  <c r="AU129" i="1" s="1"/>
  <c r="BB129" i="1"/>
  <c r="BC129" i="1" s="1"/>
  <c r="BJ129" i="1"/>
  <c r="BK129" i="1" s="1"/>
  <c r="BR129" i="1"/>
  <c r="BS129" i="1" s="1"/>
  <c r="J133" i="1"/>
  <c r="K133" i="1" s="1"/>
  <c r="R133" i="1"/>
  <c r="S133" i="1" s="1"/>
  <c r="Z133" i="1"/>
  <c r="AA133" i="1" s="1"/>
  <c r="AH133" i="1"/>
  <c r="AI133" i="1" s="1"/>
  <c r="AP133" i="1"/>
  <c r="AQ133" i="1" s="1"/>
  <c r="AX133" i="1"/>
  <c r="AY133" i="1" s="1"/>
  <c r="BF133" i="1"/>
  <c r="BG133" i="1" s="1"/>
  <c r="BN133" i="1"/>
  <c r="BO133" i="1" s="1"/>
  <c r="N137" i="1"/>
  <c r="O137" i="1" s="1"/>
  <c r="V137" i="1"/>
  <c r="W137" i="1" s="1"/>
  <c r="AD137" i="1"/>
  <c r="AE137" i="1" s="1"/>
  <c r="AL137" i="1"/>
  <c r="AM137" i="1" s="1"/>
  <c r="AT137" i="1"/>
  <c r="AU137" i="1" s="1"/>
  <c r="BB137" i="1"/>
  <c r="BC137" i="1" s="1"/>
  <c r="BJ137" i="1"/>
  <c r="BK137" i="1" s="1"/>
  <c r="BR137" i="1"/>
  <c r="BS137" i="1" s="1"/>
  <c r="Z139" i="1"/>
  <c r="AA139" i="1" s="1"/>
  <c r="AS139" i="1"/>
  <c r="BB139" i="1"/>
  <c r="BC139" i="1" s="1"/>
  <c r="R140" i="1"/>
  <c r="S140" i="1" s="1"/>
  <c r="AJ140" i="1"/>
  <c r="AT140" i="1"/>
  <c r="AU140" i="1" s="1"/>
  <c r="J142" i="1"/>
  <c r="K142" i="1" s="1"/>
  <c r="AB142" i="1"/>
  <c r="AK142" i="1"/>
  <c r="AT142" i="1"/>
  <c r="AU142" i="1" s="1"/>
  <c r="T143" i="1"/>
  <c r="AC143" i="1"/>
  <c r="AL143" i="1"/>
  <c r="AM143" i="1" s="1"/>
  <c r="BN143" i="1"/>
  <c r="BO143" i="1" s="1"/>
  <c r="L144" i="1"/>
  <c r="U144" i="1"/>
  <c r="AD144" i="1"/>
  <c r="AE144" i="1" s="1"/>
  <c r="BF144" i="1"/>
  <c r="BG144" i="1" s="1"/>
  <c r="L145" i="1"/>
  <c r="V145" i="1"/>
  <c r="W145" i="1" s="1"/>
  <c r="AR145" i="1"/>
  <c r="BB145" i="1"/>
  <c r="BC145" i="1" s="1"/>
  <c r="M146" i="1"/>
  <c r="AH146" i="1"/>
  <c r="AI146" i="1" s="1"/>
  <c r="AS146" i="1"/>
  <c r="BN146" i="1"/>
  <c r="BO146" i="1" s="1"/>
  <c r="N147" i="1"/>
  <c r="O147" i="1" s="1"/>
  <c r="AT147" i="1"/>
  <c r="AU147" i="1" s="1"/>
  <c r="AJ148" i="1"/>
  <c r="BP148" i="1"/>
  <c r="BN154" i="1"/>
  <c r="BO154" i="1" s="1"/>
  <c r="BQ161" i="1"/>
  <c r="BQ148" i="1"/>
  <c r="BI148" i="1"/>
  <c r="BA148" i="1"/>
  <c r="AS148" i="1"/>
  <c r="AK148" i="1"/>
  <c r="AC148" i="1"/>
  <c r="U148" i="1"/>
  <c r="M148" i="1"/>
  <c r="Z148" i="1"/>
  <c r="AA148" i="1" s="1"/>
  <c r="AL148" i="1"/>
  <c r="AM148" i="1" s="1"/>
  <c r="BF148" i="1"/>
  <c r="BG148" i="1" s="1"/>
  <c r="BR148" i="1"/>
  <c r="BS148" i="1" s="1"/>
  <c r="T161" i="1"/>
  <c r="L142" i="1"/>
  <c r="U142" i="1"/>
  <c r="AD142" i="1"/>
  <c r="AE142" i="1" s="1"/>
  <c r="BF142" i="1"/>
  <c r="BG142" i="1" s="1"/>
  <c r="N144" i="1"/>
  <c r="O144" i="1" s="1"/>
  <c r="AP144" i="1"/>
  <c r="AQ144" i="1" s="1"/>
  <c r="BH144" i="1"/>
  <c r="BQ144" i="1"/>
  <c r="Z146" i="1"/>
  <c r="AA146" i="1" s="1"/>
  <c r="AK146" i="1"/>
  <c r="BF146" i="1"/>
  <c r="BG146" i="1" s="1"/>
  <c r="BQ146" i="1"/>
  <c r="BP147" i="1"/>
  <c r="BH147" i="1"/>
  <c r="AZ147" i="1"/>
  <c r="AR147" i="1"/>
  <c r="AJ147" i="1"/>
  <c r="AB147" i="1"/>
  <c r="T147" i="1"/>
  <c r="L147" i="1"/>
  <c r="BN147" i="1"/>
  <c r="BO147" i="1" s="1"/>
  <c r="BF147" i="1"/>
  <c r="BG147" i="1" s="1"/>
  <c r="AX147" i="1"/>
  <c r="AY147" i="1" s="1"/>
  <c r="AP147" i="1"/>
  <c r="AQ147" i="1" s="1"/>
  <c r="AH147" i="1"/>
  <c r="AI147" i="1" s="1"/>
  <c r="Z147" i="1"/>
  <c r="AA147" i="1" s="1"/>
  <c r="R147" i="1"/>
  <c r="S147" i="1" s="1"/>
  <c r="J147" i="1"/>
  <c r="K147" i="1" s="1"/>
  <c r="AL147" i="1"/>
  <c r="AM147" i="1" s="1"/>
  <c r="BR147" i="1"/>
  <c r="BS147" i="1" s="1"/>
  <c r="AB148" i="1"/>
  <c r="BH148" i="1"/>
  <c r="AH144" i="1"/>
  <c r="AI144" i="1" s="1"/>
  <c r="AZ144" i="1"/>
  <c r="BI144" i="1"/>
  <c r="BR144" i="1"/>
  <c r="BS144" i="1" s="1"/>
  <c r="AB146" i="1"/>
  <c r="AL146" i="1"/>
  <c r="AM146" i="1" s="1"/>
  <c r="BH146" i="1"/>
  <c r="BR146" i="1"/>
  <c r="BS146" i="1" s="1"/>
  <c r="AC147" i="1"/>
  <c r="BI147" i="1"/>
  <c r="R148" i="1"/>
  <c r="S148" i="1" s="1"/>
  <c r="AD148" i="1"/>
  <c r="AE148" i="1" s="1"/>
  <c r="AX148" i="1"/>
  <c r="AY148" i="1" s="1"/>
  <c r="BJ148" i="1"/>
  <c r="BK148" i="1" s="1"/>
  <c r="AK154" i="1"/>
  <c r="J129" i="1"/>
  <c r="K129" i="1" s="1"/>
  <c r="R129" i="1"/>
  <c r="S129" i="1" s="1"/>
  <c r="Z129" i="1"/>
  <c r="AA129" i="1" s="1"/>
  <c r="AH129" i="1"/>
  <c r="AI129" i="1" s="1"/>
  <c r="AP129" i="1"/>
  <c r="AQ129" i="1" s="1"/>
  <c r="AX129" i="1"/>
  <c r="AY129" i="1" s="1"/>
  <c r="BF129" i="1"/>
  <c r="BG129" i="1" s="1"/>
  <c r="BN129" i="1"/>
  <c r="BO129" i="1" s="1"/>
  <c r="N133" i="1"/>
  <c r="O133" i="1" s="1"/>
  <c r="V133" i="1"/>
  <c r="W133" i="1" s="1"/>
  <c r="AD133" i="1"/>
  <c r="AE133" i="1" s="1"/>
  <c r="AL133" i="1"/>
  <c r="AM133" i="1" s="1"/>
  <c r="AT133" i="1"/>
  <c r="AU133" i="1" s="1"/>
  <c r="BB133" i="1"/>
  <c r="BC133" i="1" s="1"/>
  <c r="BJ133" i="1"/>
  <c r="BK133" i="1" s="1"/>
  <c r="BR133" i="1"/>
  <c r="BS133" i="1" s="1"/>
  <c r="J137" i="1"/>
  <c r="K137" i="1" s="1"/>
  <c r="R137" i="1"/>
  <c r="S137" i="1" s="1"/>
  <c r="Z137" i="1"/>
  <c r="AA137" i="1" s="1"/>
  <c r="AH137" i="1"/>
  <c r="AI137" i="1" s="1"/>
  <c r="AP137" i="1"/>
  <c r="AQ137" i="1" s="1"/>
  <c r="AX137" i="1"/>
  <c r="AY137" i="1" s="1"/>
  <c r="BF137" i="1"/>
  <c r="BG137" i="1" s="1"/>
  <c r="BN137" i="1"/>
  <c r="BO137" i="1" s="1"/>
  <c r="M139" i="1"/>
  <c r="V139" i="1"/>
  <c r="W139" i="1" s="1"/>
  <c r="BF139" i="1"/>
  <c r="BG139" i="1" s="1"/>
  <c r="N140" i="1"/>
  <c r="O140" i="1" s="1"/>
  <c r="AX140" i="1"/>
  <c r="AY140" i="1" s="1"/>
  <c r="BP140" i="1"/>
  <c r="N142" i="1"/>
  <c r="O142" i="1" s="1"/>
  <c r="AP142" i="1"/>
  <c r="AQ142" i="1" s="1"/>
  <c r="BH142" i="1"/>
  <c r="BQ142" i="1"/>
  <c r="AH143" i="1"/>
  <c r="AI143" i="1" s="1"/>
  <c r="AZ143" i="1"/>
  <c r="BI143" i="1"/>
  <c r="BR143" i="1"/>
  <c r="BS143" i="1" s="1"/>
  <c r="Z144" i="1"/>
  <c r="AA144" i="1" s="1"/>
  <c r="AR144" i="1"/>
  <c r="BA144" i="1"/>
  <c r="BJ144" i="1"/>
  <c r="BK144" i="1" s="1"/>
  <c r="BN145" i="1"/>
  <c r="BO145" i="1" s="1"/>
  <c r="BF145" i="1"/>
  <c r="BG145" i="1" s="1"/>
  <c r="AX145" i="1"/>
  <c r="AY145" i="1" s="1"/>
  <c r="AP145" i="1"/>
  <c r="AQ145" i="1" s="1"/>
  <c r="AH145" i="1"/>
  <c r="AI145" i="1" s="1"/>
  <c r="Z145" i="1"/>
  <c r="AA145" i="1" s="1"/>
  <c r="R145" i="1"/>
  <c r="S145" i="1" s="1"/>
  <c r="J145" i="1"/>
  <c r="K145" i="1" s="1"/>
  <c r="AB145" i="1"/>
  <c r="AL145" i="1"/>
  <c r="AM145" i="1" s="1"/>
  <c r="BH145" i="1"/>
  <c r="BR145" i="1"/>
  <c r="BS145" i="1" s="1"/>
  <c r="R146" i="1"/>
  <c r="S146" i="1" s="1"/>
  <c r="AC146" i="1"/>
  <c r="AX146" i="1"/>
  <c r="AY146" i="1" s="1"/>
  <c r="BI146" i="1"/>
  <c r="AD147" i="1"/>
  <c r="AE147" i="1" s="1"/>
  <c r="BJ147" i="1"/>
  <c r="BK147" i="1" s="1"/>
  <c r="T148" i="1"/>
  <c r="AZ148" i="1"/>
  <c r="BP158" i="1"/>
  <c r="BH158" i="1"/>
  <c r="AZ158" i="1"/>
  <c r="AR158" i="1"/>
  <c r="AJ158" i="1"/>
  <c r="AB158" i="1"/>
  <c r="T158" i="1"/>
  <c r="L158" i="1"/>
  <c r="BB158" i="1"/>
  <c r="BC158" i="1" s="1"/>
  <c r="AS158" i="1"/>
  <c r="Z158" i="1"/>
  <c r="AA158" i="1" s="1"/>
  <c r="M158" i="1"/>
  <c r="BA158" i="1"/>
  <c r="AP158" i="1"/>
  <c r="AQ158" i="1" s="1"/>
  <c r="V158" i="1"/>
  <c r="W158" i="1" s="1"/>
  <c r="BJ158" i="1"/>
  <c r="BK158" i="1" s="1"/>
  <c r="U158" i="1"/>
  <c r="J158" i="1"/>
  <c r="K158" i="1" s="1"/>
  <c r="BR158" i="1"/>
  <c r="BS158" i="1" s="1"/>
  <c r="AC158" i="1"/>
  <c r="R158" i="1"/>
  <c r="S158" i="1" s="1"/>
  <c r="AK158" i="1"/>
  <c r="BN158" i="1"/>
  <c r="BO158" i="1" s="1"/>
  <c r="AT158" i="1"/>
  <c r="AU158" i="1" s="1"/>
  <c r="AH158" i="1"/>
  <c r="AI158" i="1" s="1"/>
  <c r="N158" i="1"/>
  <c r="O158" i="1" s="1"/>
  <c r="AL161" i="1"/>
  <c r="AM161" i="1" s="1"/>
  <c r="N139" i="1"/>
  <c r="O139" i="1" s="1"/>
  <c r="AX139" i="1"/>
  <c r="AY139" i="1" s="1"/>
  <c r="BQ139" i="1"/>
  <c r="BQ140" i="1"/>
  <c r="BI140" i="1"/>
  <c r="BA140" i="1"/>
  <c r="AS140" i="1"/>
  <c r="AK140" i="1"/>
  <c r="AC140" i="1"/>
  <c r="U140" i="1"/>
  <c r="M140" i="1"/>
  <c r="AP140" i="1"/>
  <c r="AQ140" i="1" s="1"/>
  <c r="BH140" i="1"/>
  <c r="BR140" i="1"/>
  <c r="BS140" i="1" s="1"/>
  <c r="AH142" i="1"/>
  <c r="AI142" i="1" s="1"/>
  <c r="AZ142" i="1"/>
  <c r="BI142" i="1"/>
  <c r="BR142" i="1"/>
  <c r="BS142" i="1" s="1"/>
  <c r="R144" i="1"/>
  <c r="S144" i="1" s="1"/>
  <c r="AJ144" i="1"/>
  <c r="AS144" i="1"/>
  <c r="BB144" i="1"/>
  <c r="BC144" i="1" s="1"/>
  <c r="T146" i="1"/>
  <c r="AD146" i="1"/>
  <c r="AE146" i="1" s="1"/>
  <c r="AZ146" i="1"/>
  <c r="BJ146" i="1"/>
  <c r="BK146" i="1" s="1"/>
  <c r="U147" i="1"/>
  <c r="BA147" i="1"/>
  <c r="J148" i="1"/>
  <c r="K148" i="1" s="1"/>
  <c r="V148" i="1"/>
  <c r="W148" i="1" s="1"/>
  <c r="AP148" i="1"/>
  <c r="AQ148" i="1" s="1"/>
  <c r="BB148" i="1"/>
  <c r="BC148" i="1" s="1"/>
  <c r="BP154" i="1"/>
  <c r="AX154" i="1"/>
  <c r="AY154" i="1" s="1"/>
  <c r="V154" i="1"/>
  <c r="W154" i="1" s="1"/>
  <c r="M154" i="1"/>
  <c r="BJ154" i="1"/>
  <c r="BK154" i="1" s="1"/>
  <c r="AZ154" i="1"/>
  <c r="AP154" i="1"/>
  <c r="AQ154" i="1" s="1"/>
  <c r="AD154" i="1"/>
  <c r="AE154" i="1" s="1"/>
  <c r="T154" i="1"/>
  <c r="J154" i="1"/>
  <c r="K154" i="1" s="1"/>
  <c r="BI154" i="1"/>
  <c r="AC154" i="1"/>
  <c r="BR154" i="1"/>
  <c r="BS154" i="1" s="1"/>
  <c r="BH154" i="1"/>
  <c r="AL154" i="1"/>
  <c r="AM154" i="1" s="1"/>
  <c r="AB154" i="1"/>
  <c r="R154" i="1"/>
  <c r="S154" i="1" s="1"/>
  <c r="AT154" i="1"/>
  <c r="AU154" i="1" s="1"/>
  <c r="AJ154" i="1"/>
  <c r="Z154" i="1"/>
  <c r="AA154" i="1" s="1"/>
  <c r="BB154" i="1"/>
  <c r="BC154" i="1" s="1"/>
  <c r="AR154" i="1"/>
  <c r="AH154" i="1"/>
  <c r="AI154" i="1" s="1"/>
  <c r="L154" i="1"/>
  <c r="BA154" i="1"/>
  <c r="U154" i="1"/>
  <c r="BP139" i="1"/>
  <c r="BH139" i="1"/>
  <c r="AZ139" i="1"/>
  <c r="AR139" i="1"/>
  <c r="AJ139" i="1"/>
  <c r="AB139" i="1"/>
  <c r="T139" i="1"/>
  <c r="L139" i="1"/>
  <c r="AP139" i="1"/>
  <c r="AQ139" i="1" s="1"/>
  <c r="BI139" i="1"/>
  <c r="BR139" i="1"/>
  <c r="BS139" i="1" s="1"/>
  <c r="AH140" i="1"/>
  <c r="AI140" i="1" s="1"/>
  <c r="AZ140" i="1"/>
  <c r="BJ140" i="1"/>
  <c r="BK140" i="1" s="1"/>
  <c r="Z142" i="1"/>
  <c r="AA142" i="1" s="1"/>
  <c r="AR142" i="1"/>
  <c r="BA142" i="1"/>
  <c r="BJ142" i="1"/>
  <c r="BK142" i="1" s="1"/>
  <c r="J144" i="1"/>
  <c r="K144" i="1" s="1"/>
  <c r="AB144" i="1"/>
  <c r="AK144" i="1"/>
  <c r="AT144" i="1"/>
  <c r="AU144" i="1" s="1"/>
  <c r="J146" i="1"/>
  <c r="K146" i="1" s="1"/>
  <c r="U146" i="1"/>
  <c r="AP146" i="1"/>
  <c r="AQ146" i="1" s="1"/>
  <c r="BA146" i="1"/>
  <c r="V147" i="1"/>
  <c r="W147" i="1" s="1"/>
  <c r="BB147" i="1"/>
  <c r="BC147" i="1" s="1"/>
  <c r="L148" i="1"/>
  <c r="AR148" i="1"/>
  <c r="N154" i="1"/>
  <c r="O154" i="1" s="1"/>
  <c r="BA161" i="1"/>
  <c r="J155" i="1"/>
  <c r="K155" i="1" s="1"/>
  <c r="T155" i="1"/>
  <c r="AD155" i="1"/>
  <c r="AE155" i="1" s="1"/>
  <c r="AZ155" i="1"/>
  <c r="BJ155" i="1"/>
  <c r="BK155" i="1" s="1"/>
  <c r="U162" i="1"/>
  <c r="AJ162" i="1"/>
  <c r="AZ162" i="1"/>
  <c r="N151" i="1"/>
  <c r="O151" i="1" s="1"/>
  <c r="V151" i="1"/>
  <c r="W151" i="1" s="1"/>
  <c r="AD151" i="1"/>
  <c r="AE151" i="1" s="1"/>
  <c r="AL151" i="1"/>
  <c r="AM151" i="1" s="1"/>
  <c r="AT151" i="1"/>
  <c r="AU151" i="1" s="1"/>
  <c r="BB151" i="1"/>
  <c r="BC151" i="1" s="1"/>
  <c r="BJ151" i="1"/>
  <c r="BK151" i="1" s="1"/>
  <c r="BR151" i="1"/>
  <c r="BS151" i="1" s="1"/>
  <c r="U155" i="1"/>
  <c r="BA155" i="1"/>
  <c r="BJ157" i="1"/>
  <c r="BK157" i="1" s="1"/>
  <c r="BA157" i="1"/>
  <c r="AR157" i="1"/>
  <c r="AH157" i="1"/>
  <c r="AI157" i="1" s="1"/>
  <c r="AB157" i="1"/>
  <c r="AL157" i="1"/>
  <c r="AM157" i="1" s="1"/>
  <c r="BF157" i="1"/>
  <c r="BG157" i="1" s="1"/>
  <c r="BQ157" i="1"/>
  <c r="AK162" i="1"/>
  <c r="BA162" i="1"/>
  <c r="N141" i="1"/>
  <c r="O141" i="1" s="1"/>
  <c r="V141" i="1"/>
  <c r="W141" i="1" s="1"/>
  <c r="AD141" i="1"/>
  <c r="AE141" i="1" s="1"/>
  <c r="AL141" i="1"/>
  <c r="AM141" i="1" s="1"/>
  <c r="AT141" i="1"/>
  <c r="AU141" i="1" s="1"/>
  <c r="BB141" i="1"/>
  <c r="BC141" i="1" s="1"/>
  <c r="BJ141" i="1"/>
  <c r="BK141" i="1" s="1"/>
  <c r="BR141" i="1"/>
  <c r="BS141" i="1" s="1"/>
  <c r="N149" i="1"/>
  <c r="O149" i="1" s="1"/>
  <c r="V149" i="1"/>
  <c r="W149" i="1" s="1"/>
  <c r="AD149" i="1"/>
  <c r="AE149" i="1" s="1"/>
  <c r="AL149" i="1"/>
  <c r="AM149" i="1" s="1"/>
  <c r="AT149" i="1"/>
  <c r="AU149" i="1" s="1"/>
  <c r="BB149" i="1"/>
  <c r="BC149" i="1" s="1"/>
  <c r="BJ149" i="1"/>
  <c r="BK149" i="1" s="1"/>
  <c r="BR149" i="1"/>
  <c r="BS149" i="1" s="1"/>
  <c r="BF153" i="1"/>
  <c r="BG153" i="1" s="1"/>
  <c r="AD153" i="1"/>
  <c r="AE153" i="1" s="1"/>
  <c r="U153" i="1"/>
  <c r="L153" i="1"/>
  <c r="AK153" i="1"/>
  <c r="BQ153" i="1"/>
  <c r="M155" i="1"/>
  <c r="AS155" i="1"/>
  <c r="BN155" i="1"/>
  <c r="BO155" i="1" s="1"/>
  <c r="T157" i="1"/>
  <c r="AD157" i="1"/>
  <c r="AE157" i="1" s="1"/>
  <c r="AX157" i="1"/>
  <c r="AY157" i="1" s="1"/>
  <c r="BI157" i="1"/>
  <c r="BQ159" i="1"/>
  <c r="BI159" i="1"/>
  <c r="BA159" i="1"/>
  <c r="AS159" i="1"/>
  <c r="AK159" i="1"/>
  <c r="AC159" i="1"/>
  <c r="U159" i="1"/>
  <c r="M159" i="1"/>
  <c r="AT159" i="1"/>
  <c r="AU159" i="1" s="1"/>
  <c r="AJ159" i="1"/>
  <c r="R159" i="1"/>
  <c r="S159" i="1" s="1"/>
  <c r="Z159" i="1"/>
  <c r="AA159" i="1" s="1"/>
  <c r="AL159" i="1"/>
  <c r="AM159" i="1" s="1"/>
  <c r="BF159" i="1"/>
  <c r="BG159" i="1" s="1"/>
  <c r="BP159" i="1"/>
  <c r="L162" i="1"/>
  <c r="BQ155" i="1"/>
  <c r="BH155" i="1"/>
  <c r="AP155" i="1"/>
  <c r="AQ155" i="1" s="1"/>
  <c r="N155" i="1"/>
  <c r="O155" i="1" s="1"/>
  <c r="AK155" i="1"/>
  <c r="BF155" i="1"/>
  <c r="BG155" i="1" s="1"/>
  <c r="BP155" i="1"/>
  <c r="AD162" i="1"/>
  <c r="AE162" i="1" s="1"/>
  <c r="AS162" i="1"/>
  <c r="BI162" i="1"/>
  <c r="R155" i="1"/>
  <c r="S155" i="1" s="1"/>
  <c r="AB155" i="1"/>
  <c r="AL155" i="1"/>
  <c r="AM155" i="1" s="1"/>
  <c r="BR155" i="1"/>
  <c r="BS155" i="1" s="1"/>
  <c r="R162" i="1"/>
  <c r="S162" i="1" s="1"/>
  <c r="AH162" i="1"/>
  <c r="AI162" i="1" s="1"/>
  <c r="AT162" i="1"/>
  <c r="AU162" i="1" s="1"/>
  <c r="BJ162" i="1"/>
  <c r="BK162" i="1" s="1"/>
  <c r="BQ162" i="1"/>
  <c r="BH162" i="1"/>
  <c r="AP162" i="1"/>
  <c r="AQ162" i="1" s="1"/>
  <c r="N162" i="1"/>
  <c r="O162" i="1" s="1"/>
  <c r="BP162" i="1"/>
  <c r="AX162" i="1"/>
  <c r="AY162" i="1" s="1"/>
  <c r="V162" i="1"/>
  <c r="W162" i="1" s="1"/>
  <c r="M162" i="1"/>
  <c r="BN162" i="1"/>
  <c r="BO162" i="1" s="1"/>
  <c r="AL162" i="1"/>
  <c r="AM162" i="1" s="1"/>
  <c r="AC162" i="1"/>
  <c r="T162" i="1"/>
  <c r="BN156" i="1"/>
  <c r="BO156" i="1" s="1"/>
  <c r="BF156" i="1"/>
  <c r="BG156" i="1" s="1"/>
  <c r="AX156" i="1"/>
  <c r="AY156" i="1" s="1"/>
  <c r="AP156" i="1"/>
  <c r="AQ156" i="1" s="1"/>
  <c r="AH156" i="1"/>
  <c r="AI156" i="1" s="1"/>
  <c r="Z156" i="1"/>
  <c r="AA156" i="1" s="1"/>
  <c r="R156" i="1"/>
  <c r="S156" i="1" s="1"/>
  <c r="J156" i="1"/>
  <c r="K156" i="1" s="1"/>
  <c r="AZ156" i="1"/>
  <c r="BI156" i="1"/>
  <c r="BR156" i="1"/>
  <c r="BS156" i="1" s="1"/>
  <c r="BQ183" i="1"/>
  <c r="BI183" i="1"/>
  <c r="BA183" i="1"/>
  <c r="AK183" i="1"/>
  <c r="AC183" i="1"/>
  <c r="T183" i="1"/>
  <c r="L183" i="1"/>
  <c r="BQ196" i="1"/>
  <c r="BI196" i="1"/>
  <c r="BA196" i="1"/>
  <c r="AS196" i="1"/>
  <c r="AK196" i="1"/>
  <c r="AC196" i="1"/>
  <c r="M196" i="1"/>
  <c r="J196" i="1"/>
  <c r="K196" i="1" s="1"/>
  <c r="T196" i="1"/>
  <c r="BA189" i="1"/>
  <c r="U189" i="1"/>
  <c r="L189" i="1"/>
  <c r="BQ189" i="1"/>
  <c r="T189" i="1"/>
  <c r="BI189" i="1"/>
  <c r="AK189" i="1"/>
  <c r="M189" i="1"/>
  <c r="N152" i="1"/>
  <c r="O152" i="1" s="1"/>
  <c r="V152" i="1"/>
  <c r="W152" i="1" s="1"/>
  <c r="AD152" i="1"/>
  <c r="AE152" i="1" s="1"/>
  <c r="AL152" i="1"/>
  <c r="AM152" i="1" s="1"/>
  <c r="AT152" i="1"/>
  <c r="AU152" i="1" s="1"/>
  <c r="BB152" i="1"/>
  <c r="BC152" i="1" s="1"/>
  <c r="BJ152" i="1"/>
  <c r="BK152" i="1" s="1"/>
  <c r="BR152" i="1"/>
  <c r="BS152" i="1" s="1"/>
  <c r="N160" i="1"/>
  <c r="O160" i="1" s="1"/>
  <c r="V160" i="1"/>
  <c r="W160" i="1" s="1"/>
  <c r="AD160" i="1"/>
  <c r="AE160" i="1" s="1"/>
  <c r="AL160" i="1"/>
  <c r="AM160" i="1" s="1"/>
  <c r="AT160" i="1"/>
  <c r="AU160" i="1" s="1"/>
  <c r="BB160" i="1"/>
  <c r="BC160" i="1" s="1"/>
  <c r="BJ160" i="1"/>
  <c r="BK160" i="1" s="1"/>
  <c r="BR160" i="1"/>
  <c r="BS160" i="1" s="1"/>
  <c r="AC186" i="1"/>
  <c r="T192" i="1"/>
  <c r="BQ192" i="1"/>
  <c r="BI192" i="1"/>
  <c r="AC192" i="1"/>
  <c r="L192" i="1"/>
  <c r="AS192" i="1"/>
  <c r="J192" i="1"/>
  <c r="K192" i="1" s="1"/>
  <c r="AK192" i="1"/>
  <c r="L182" i="1"/>
  <c r="T182" i="1"/>
  <c r="M186" i="1"/>
  <c r="AS186" i="1"/>
  <c r="R186" i="1"/>
  <c r="S186" i="1" s="1"/>
  <c r="BQ185" i="1"/>
  <c r="U186" i="1"/>
  <c r="BA186" i="1"/>
  <c r="BQ186" i="1"/>
  <c r="AS188" i="1"/>
  <c r="BQ188" i="1"/>
  <c r="J182" i="1"/>
  <c r="BI185" i="1"/>
  <c r="AK185" i="1"/>
  <c r="U185" i="1"/>
  <c r="J186" i="1"/>
  <c r="K186" i="1" s="1"/>
  <c r="T186" i="1"/>
  <c r="T188" i="1"/>
  <c r="L188" i="1"/>
  <c r="BI188" i="1"/>
  <c r="U188" i="1"/>
  <c r="BA188" i="1"/>
  <c r="R188" i="1"/>
  <c r="S188" i="1" s="1"/>
  <c r="R192" i="1"/>
  <c r="S192" i="1" s="1"/>
  <c r="L185" i="1"/>
  <c r="AS185" i="1"/>
  <c r="BI186" i="1"/>
  <c r="AK188" i="1"/>
  <c r="M194" i="1"/>
  <c r="N194" i="1" s="1"/>
  <c r="O194" i="1" s="1"/>
  <c r="AC194" i="1"/>
  <c r="BQ195" i="1"/>
  <c r="J191" i="1"/>
  <c r="K191" i="1" s="1"/>
  <c r="BA194" i="1"/>
  <c r="BQ194" i="1"/>
  <c r="AC195" i="1"/>
  <c r="T195" i="1"/>
  <c r="L195" i="1"/>
  <c r="R195" i="1"/>
  <c r="S195" i="1" s="1"/>
  <c r="BI195" i="1"/>
  <c r="J187" i="1"/>
  <c r="K187" i="1" s="1"/>
  <c r="AC187" i="1"/>
  <c r="M191" i="1"/>
  <c r="N191" i="1" s="1"/>
  <c r="O191" i="1" s="1"/>
  <c r="AS191" i="1"/>
  <c r="J194" i="1"/>
  <c r="K194" i="1" s="1"/>
  <c r="AS194" i="1"/>
  <c r="BI194" i="1"/>
  <c r="U195" i="1"/>
  <c r="V195" i="1" s="1"/>
  <c r="W195" i="1" s="1"/>
  <c r="AK195" i="1"/>
  <c r="AK191" i="1"/>
  <c r="M195" i="1"/>
  <c r="T191" i="1"/>
  <c r="BI191" i="1"/>
  <c r="J195" i="1"/>
  <c r="K195" i="1" s="1"/>
  <c r="BA195" i="1"/>
  <c r="BA200" i="1"/>
  <c r="AS200" i="1"/>
  <c r="AK200" i="1"/>
  <c r="AC200" i="1"/>
  <c r="R200" i="1"/>
  <c r="S200" i="1" s="1"/>
  <c r="M200" i="1"/>
  <c r="T200" i="1"/>
  <c r="L200" i="1"/>
  <c r="BI200" i="1"/>
  <c r="BQ199" i="1"/>
  <c r="BI199" i="1"/>
  <c r="BA199" i="1"/>
  <c r="AS199" i="1"/>
  <c r="AK199" i="1"/>
  <c r="U199" i="1"/>
  <c r="T199" i="1"/>
  <c r="L199" i="1"/>
  <c r="AC199" i="1"/>
  <c r="J197" i="1"/>
  <c r="K197" i="1" s="1"/>
  <c r="BA201" i="1"/>
  <c r="AK204" i="1"/>
  <c r="BQ204" i="1"/>
  <c r="V206" i="1"/>
  <c r="W206" i="1" s="1"/>
  <c r="AJ206" i="1"/>
  <c r="J207" i="1"/>
  <c r="K207" i="1" s="1"/>
  <c r="Z207" i="1"/>
  <c r="AA207" i="1" s="1"/>
  <c r="AZ207" i="1"/>
  <c r="BP207" i="1"/>
  <c r="AB210" i="1"/>
  <c r="BN204" i="1"/>
  <c r="BO204" i="1" s="1"/>
  <c r="BF204" i="1"/>
  <c r="BG204" i="1" s="1"/>
  <c r="AX204" i="1"/>
  <c r="AY204" i="1" s="1"/>
  <c r="AP204" i="1"/>
  <c r="AQ204" i="1" s="1"/>
  <c r="AH204" i="1"/>
  <c r="AI204" i="1" s="1"/>
  <c r="Z204" i="1"/>
  <c r="AA204" i="1" s="1"/>
  <c r="R204" i="1"/>
  <c r="S204" i="1" s="1"/>
  <c r="J204" i="1"/>
  <c r="K204" i="1" s="1"/>
  <c r="AB204" i="1"/>
  <c r="AL204" i="1"/>
  <c r="AM204" i="1" s="1"/>
  <c r="BH204" i="1"/>
  <c r="BR204" i="1"/>
  <c r="BS204" i="1" s="1"/>
  <c r="BQ216" i="1"/>
  <c r="BH216" i="1"/>
  <c r="AX216" i="1"/>
  <c r="AY216" i="1" s="1"/>
  <c r="N216" i="1"/>
  <c r="O216" i="1" s="1"/>
  <c r="BP216" i="1"/>
  <c r="BF216" i="1"/>
  <c r="BG216" i="1" s="1"/>
  <c r="V216" i="1"/>
  <c r="W216" i="1" s="1"/>
  <c r="M216" i="1"/>
  <c r="AT216" i="1"/>
  <c r="AU216" i="1" s="1"/>
  <c r="AK216" i="1"/>
  <c r="AB216" i="1"/>
  <c r="R216" i="1"/>
  <c r="S216" i="1" s="1"/>
  <c r="BB216" i="1"/>
  <c r="BC216" i="1" s="1"/>
  <c r="AS216" i="1"/>
  <c r="AJ216" i="1"/>
  <c r="Z216" i="1"/>
  <c r="AA216" i="1" s="1"/>
  <c r="U216" i="1"/>
  <c r="AL216" i="1"/>
  <c r="AM216" i="1" s="1"/>
  <c r="T216" i="1"/>
  <c r="BA216" i="1"/>
  <c r="AH216" i="1"/>
  <c r="AI216" i="1" s="1"/>
  <c r="BR216" i="1"/>
  <c r="BS216" i="1" s="1"/>
  <c r="AZ216" i="1"/>
  <c r="BN216" i="1"/>
  <c r="BO216" i="1" s="1"/>
  <c r="AD216" i="1"/>
  <c r="AE216" i="1" s="1"/>
  <c r="L216" i="1"/>
  <c r="BJ216" i="1"/>
  <c r="BK216" i="1" s="1"/>
  <c r="AR216" i="1"/>
  <c r="BA203" i="1"/>
  <c r="AS203" i="1"/>
  <c r="AC203" i="1"/>
  <c r="U203" i="1"/>
  <c r="M203" i="1"/>
  <c r="AC204" i="1"/>
  <c r="BI204" i="1"/>
  <c r="M206" i="1"/>
  <c r="AL206" i="1"/>
  <c r="AM206" i="1" s="1"/>
  <c r="AX206" i="1"/>
  <c r="AY206" i="1" s="1"/>
  <c r="AB207" i="1"/>
  <c r="AP207" i="1"/>
  <c r="AQ207" i="1" s="1"/>
  <c r="BF207" i="1"/>
  <c r="BG207" i="1" s="1"/>
  <c r="BA210" i="1"/>
  <c r="AP210" i="1"/>
  <c r="AQ210" i="1" s="1"/>
  <c r="U210" i="1"/>
  <c r="J210" i="1"/>
  <c r="K210" i="1" s="1"/>
  <c r="BJ210" i="1"/>
  <c r="BK210" i="1" s="1"/>
  <c r="AZ210" i="1"/>
  <c r="AD210" i="1"/>
  <c r="AE210" i="1" s="1"/>
  <c r="T210" i="1"/>
  <c r="BI210" i="1"/>
  <c r="AX210" i="1"/>
  <c r="AY210" i="1" s="1"/>
  <c r="AC210" i="1"/>
  <c r="R210" i="1"/>
  <c r="S210" i="1" s="1"/>
  <c r="BQ210" i="1"/>
  <c r="BF210" i="1"/>
  <c r="BG210" i="1" s="1"/>
  <c r="AK210" i="1"/>
  <c r="Z210" i="1"/>
  <c r="AA210" i="1" s="1"/>
  <c r="BN210" i="1"/>
  <c r="BO210" i="1" s="1"/>
  <c r="AS210" i="1"/>
  <c r="AH210" i="1"/>
  <c r="AI210" i="1" s="1"/>
  <c r="M210" i="1"/>
  <c r="AJ210" i="1"/>
  <c r="J216" i="1"/>
  <c r="K216" i="1" s="1"/>
  <c r="M197" i="1"/>
  <c r="N197" i="1" s="1"/>
  <c r="O197" i="1" s="1"/>
  <c r="AC197" i="1"/>
  <c r="AK197" i="1"/>
  <c r="AS197" i="1"/>
  <c r="BA197" i="1"/>
  <c r="BI197" i="1"/>
  <c r="M201" i="1"/>
  <c r="U201" i="1"/>
  <c r="AC201" i="1"/>
  <c r="BI201" i="1"/>
  <c r="L203" i="1"/>
  <c r="BI203" i="1"/>
  <c r="T204" i="1"/>
  <c r="AD204" i="1"/>
  <c r="AE204" i="1" s="1"/>
  <c r="AZ204" i="1"/>
  <c r="BJ204" i="1"/>
  <c r="BK204" i="1" s="1"/>
  <c r="AB206" i="1"/>
  <c r="AZ206" i="1"/>
  <c r="AD207" i="1"/>
  <c r="AE207" i="1" s="1"/>
  <c r="AR207" i="1"/>
  <c r="L210" i="1"/>
  <c r="AL210" i="1"/>
  <c r="AM210" i="1" s="1"/>
  <c r="BP210" i="1"/>
  <c r="U204" i="1"/>
  <c r="BA204" i="1"/>
  <c r="R206" i="1"/>
  <c r="S206" i="1" s="1"/>
  <c r="AC206" i="1"/>
  <c r="BB206" i="1"/>
  <c r="BC206" i="1" s="1"/>
  <c r="BN206" i="1"/>
  <c r="BO206" i="1" s="1"/>
  <c r="R207" i="1"/>
  <c r="S207" i="1" s="1"/>
  <c r="BH207" i="1"/>
  <c r="N210" i="1"/>
  <c r="O210" i="1" s="1"/>
  <c r="AR210" i="1"/>
  <c r="BR210" i="1"/>
  <c r="BS210" i="1" s="1"/>
  <c r="AC216" i="1"/>
  <c r="AS201" i="1"/>
  <c r="L204" i="1"/>
  <c r="V204" i="1"/>
  <c r="W204" i="1" s="1"/>
  <c r="AR204" i="1"/>
  <c r="BB204" i="1"/>
  <c r="BC204" i="1" s="1"/>
  <c r="BJ206" i="1"/>
  <c r="BK206" i="1" s="1"/>
  <c r="BA206" i="1"/>
  <c r="AR206" i="1"/>
  <c r="Z206" i="1"/>
  <c r="AA206" i="1" s="1"/>
  <c r="BQ206" i="1"/>
  <c r="BH206" i="1"/>
  <c r="AP206" i="1"/>
  <c r="AQ206" i="1" s="1"/>
  <c r="N206" i="1"/>
  <c r="O206" i="1" s="1"/>
  <c r="AD206" i="1"/>
  <c r="AE206" i="1" s="1"/>
  <c r="BQ207" i="1"/>
  <c r="BI207" i="1"/>
  <c r="BA207" i="1"/>
  <c r="AS207" i="1"/>
  <c r="AK207" i="1"/>
  <c r="AC207" i="1"/>
  <c r="U207" i="1"/>
  <c r="M207" i="1"/>
  <c r="AT207" i="1"/>
  <c r="AU207" i="1" s="1"/>
  <c r="N207" i="1"/>
  <c r="O207" i="1" s="1"/>
  <c r="BB207" i="1"/>
  <c r="BC207" i="1" s="1"/>
  <c r="V207" i="1"/>
  <c r="W207" i="1" s="1"/>
  <c r="AH207" i="1"/>
  <c r="AI207" i="1" s="1"/>
  <c r="BJ207" i="1"/>
  <c r="BK207" i="1" s="1"/>
  <c r="AT210" i="1"/>
  <c r="AU210" i="1" s="1"/>
  <c r="AP216" i="1"/>
  <c r="AQ216" i="1" s="1"/>
  <c r="L201" i="1"/>
  <c r="N201" i="1" s="1"/>
  <c r="O201" i="1" s="1"/>
  <c r="M204" i="1"/>
  <c r="AS204" i="1"/>
  <c r="V210" i="1"/>
  <c r="W210" i="1" s="1"/>
  <c r="L209" i="1"/>
  <c r="V209" i="1"/>
  <c r="W209" i="1" s="1"/>
  <c r="AR209" i="1"/>
  <c r="BB209" i="1"/>
  <c r="BC209" i="1" s="1"/>
  <c r="BN215" i="1"/>
  <c r="BO215" i="1" s="1"/>
  <c r="BF215" i="1"/>
  <c r="BG215" i="1" s="1"/>
  <c r="AX215" i="1"/>
  <c r="AY215" i="1" s="1"/>
  <c r="AP215" i="1"/>
  <c r="AQ215" i="1" s="1"/>
  <c r="AH215" i="1"/>
  <c r="AI215" i="1" s="1"/>
  <c r="Z215" i="1"/>
  <c r="AA215" i="1" s="1"/>
  <c r="R215" i="1"/>
  <c r="S215" i="1" s="1"/>
  <c r="J215" i="1"/>
  <c r="K215" i="1" s="1"/>
  <c r="BP215" i="1"/>
  <c r="V215" i="1"/>
  <c r="W215" i="1" s="1"/>
  <c r="M215" i="1"/>
  <c r="AD215" i="1"/>
  <c r="AE215" i="1" s="1"/>
  <c r="U215" i="1"/>
  <c r="L215" i="1"/>
  <c r="BB215" i="1"/>
  <c r="BC215" i="1" s="1"/>
  <c r="AS215" i="1"/>
  <c r="AJ215" i="1"/>
  <c r="BJ215" i="1"/>
  <c r="BK215" i="1" s="1"/>
  <c r="BA215" i="1"/>
  <c r="AR215" i="1"/>
  <c r="BI215" i="1"/>
  <c r="T219" i="1"/>
  <c r="BJ219" i="1"/>
  <c r="BK219" i="1" s="1"/>
  <c r="L202" i="1"/>
  <c r="T202" i="1"/>
  <c r="N209" i="1"/>
  <c r="O209" i="1" s="1"/>
  <c r="AJ209" i="1"/>
  <c r="AT209" i="1"/>
  <c r="AU209" i="1" s="1"/>
  <c r="BP209" i="1"/>
  <c r="BP211" i="1"/>
  <c r="BH211" i="1"/>
  <c r="AZ211" i="1"/>
  <c r="AR211" i="1"/>
  <c r="AJ211" i="1"/>
  <c r="AB211" i="1"/>
  <c r="T211" i="1"/>
  <c r="L211" i="1"/>
  <c r="AL211" i="1"/>
  <c r="AM211" i="1" s="1"/>
  <c r="BR211" i="1"/>
  <c r="BS211" i="1" s="1"/>
  <c r="AC215" i="1"/>
  <c r="BP218" i="1"/>
  <c r="BH218" i="1"/>
  <c r="AZ218" i="1"/>
  <c r="AR218" i="1"/>
  <c r="AJ218" i="1"/>
  <c r="AB218" i="1"/>
  <c r="T218" i="1"/>
  <c r="L218" i="1"/>
  <c r="AT218" i="1"/>
  <c r="AU218" i="1" s="1"/>
  <c r="AK218" i="1"/>
  <c r="R218" i="1"/>
  <c r="S218" i="1" s="1"/>
  <c r="BJ218" i="1"/>
  <c r="BK218" i="1" s="1"/>
  <c r="U218" i="1"/>
  <c r="J218" i="1"/>
  <c r="K218" i="1" s="1"/>
  <c r="BI218" i="1"/>
  <c r="AX218" i="1"/>
  <c r="AY218" i="1" s="1"/>
  <c r="AD218" i="1"/>
  <c r="AE218" i="1" s="1"/>
  <c r="BN218" i="1"/>
  <c r="BO218" i="1" s="1"/>
  <c r="AS218" i="1"/>
  <c r="AH218" i="1"/>
  <c r="AI218" i="1" s="1"/>
  <c r="N218" i="1"/>
  <c r="O218" i="1" s="1"/>
  <c r="Z218" i="1"/>
  <c r="AA218" i="1" s="1"/>
  <c r="BQ218" i="1"/>
  <c r="AT219" i="1"/>
  <c r="AU219" i="1" s="1"/>
  <c r="BQ219" i="1"/>
  <c r="BI219" i="1"/>
  <c r="BA219" i="1"/>
  <c r="AS219" i="1"/>
  <c r="AK219" i="1"/>
  <c r="AC219" i="1"/>
  <c r="U219" i="1"/>
  <c r="M219" i="1"/>
  <c r="AL219" i="1"/>
  <c r="AM219" i="1" s="1"/>
  <c r="AB219" i="1"/>
  <c r="J219" i="1"/>
  <c r="K219" i="1" s="1"/>
  <c r="BH219" i="1"/>
  <c r="AX219" i="1"/>
  <c r="AY219" i="1" s="1"/>
  <c r="AD219" i="1"/>
  <c r="AE219" i="1" s="1"/>
  <c r="R219" i="1"/>
  <c r="S219" i="1" s="1"/>
  <c r="BR219" i="1"/>
  <c r="BS219" i="1" s="1"/>
  <c r="BN219" i="1"/>
  <c r="BO219" i="1" s="1"/>
  <c r="AR219" i="1"/>
  <c r="AH219" i="1"/>
  <c r="AI219" i="1" s="1"/>
  <c r="N219" i="1"/>
  <c r="O219" i="1" s="1"/>
  <c r="BB219" i="1"/>
  <c r="BC219" i="1" s="1"/>
  <c r="L219" i="1"/>
  <c r="Z219" i="1"/>
  <c r="AA219" i="1" s="1"/>
  <c r="BP219" i="1"/>
  <c r="BN209" i="1"/>
  <c r="BO209" i="1" s="1"/>
  <c r="BF209" i="1"/>
  <c r="BG209" i="1" s="1"/>
  <c r="AX209" i="1"/>
  <c r="AY209" i="1" s="1"/>
  <c r="AP209" i="1"/>
  <c r="AQ209" i="1" s="1"/>
  <c r="AH209" i="1"/>
  <c r="AI209" i="1" s="1"/>
  <c r="Z209" i="1"/>
  <c r="AA209" i="1" s="1"/>
  <c r="R209" i="1"/>
  <c r="S209" i="1" s="1"/>
  <c r="J209" i="1"/>
  <c r="K209" i="1" s="1"/>
  <c r="AB209" i="1"/>
  <c r="AL209" i="1"/>
  <c r="AM209" i="1" s="1"/>
  <c r="BH209" i="1"/>
  <c r="BR209" i="1"/>
  <c r="BS209" i="1" s="1"/>
  <c r="AC209" i="1"/>
  <c r="BI209" i="1"/>
  <c r="AZ219" i="1"/>
  <c r="T209" i="1"/>
  <c r="AD209" i="1"/>
  <c r="AE209" i="1" s="1"/>
  <c r="AZ209" i="1"/>
  <c r="BJ209" i="1"/>
  <c r="BK209" i="1" s="1"/>
  <c r="AH214" i="1"/>
  <c r="AI214" i="1" s="1"/>
  <c r="AZ214" i="1"/>
  <c r="BI214" i="1"/>
  <c r="BR214" i="1"/>
  <c r="BS214" i="1" s="1"/>
  <c r="R217" i="1"/>
  <c r="S217" i="1" s="1"/>
  <c r="AK217" i="1"/>
  <c r="BP217" i="1"/>
  <c r="BN221" i="1"/>
  <c r="BO221" i="1" s="1"/>
  <c r="AL221" i="1"/>
  <c r="AM221" i="1" s="1"/>
  <c r="AC221" i="1"/>
  <c r="T221" i="1"/>
  <c r="AK221" i="1"/>
  <c r="BQ221" i="1"/>
  <c r="N208" i="1"/>
  <c r="O208" i="1" s="1"/>
  <c r="V208" i="1"/>
  <c r="W208" i="1" s="1"/>
  <c r="AD208" i="1"/>
  <c r="AE208" i="1" s="1"/>
  <c r="AL208" i="1"/>
  <c r="AM208" i="1" s="1"/>
  <c r="AT208" i="1"/>
  <c r="AU208" i="1" s="1"/>
  <c r="BB208" i="1"/>
  <c r="BC208" i="1" s="1"/>
  <c r="BJ208" i="1"/>
  <c r="BK208" i="1" s="1"/>
  <c r="BR208" i="1"/>
  <c r="BS208" i="1" s="1"/>
  <c r="J212" i="1"/>
  <c r="K212" i="1" s="1"/>
  <c r="R212" i="1"/>
  <c r="S212" i="1" s="1"/>
  <c r="Z212" i="1"/>
  <c r="AA212" i="1" s="1"/>
  <c r="AH212" i="1"/>
  <c r="AI212" i="1" s="1"/>
  <c r="AP212" i="1"/>
  <c r="AQ212" i="1" s="1"/>
  <c r="AX212" i="1"/>
  <c r="AY212" i="1" s="1"/>
  <c r="BF212" i="1"/>
  <c r="BG212" i="1" s="1"/>
  <c r="BN212" i="1"/>
  <c r="BO212" i="1" s="1"/>
  <c r="Z214" i="1"/>
  <c r="AA214" i="1" s="1"/>
  <c r="AR214" i="1"/>
  <c r="BA214" i="1"/>
  <c r="BJ214" i="1"/>
  <c r="BK214" i="1" s="1"/>
  <c r="J217" i="1"/>
  <c r="K217" i="1" s="1"/>
  <c r="AC217" i="1"/>
  <c r="AL217" i="1"/>
  <c r="AM217" i="1" s="1"/>
  <c r="BF217" i="1"/>
  <c r="BG217" i="1" s="1"/>
  <c r="BQ217" i="1"/>
  <c r="R221" i="1"/>
  <c r="S221" i="1" s="1"/>
  <c r="AB221" i="1"/>
  <c r="AX221" i="1"/>
  <c r="AY221" i="1" s="1"/>
  <c r="BH221" i="1"/>
  <c r="BR221" i="1"/>
  <c r="BS221" i="1" s="1"/>
  <c r="N205" i="1"/>
  <c r="O205" i="1" s="1"/>
  <c r="V205" i="1"/>
  <c r="W205" i="1" s="1"/>
  <c r="AD205" i="1"/>
  <c r="AE205" i="1" s="1"/>
  <c r="AL205" i="1"/>
  <c r="AM205" i="1" s="1"/>
  <c r="AT205" i="1"/>
  <c r="AU205" i="1" s="1"/>
  <c r="BB205" i="1"/>
  <c r="BC205" i="1" s="1"/>
  <c r="BJ205" i="1"/>
  <c r="BK205" i="1" s="1"/>
  <c r="BR205" i="1"/>
  <c r="BS205" i="1" s="1"/>
  <c r="M212" i="1"/>
  <c r="U212" i="1"/>
  <c r="AC212" i="1"/>
  <c r="AK212" i="1"/>
  <c r="AS212" i="1"/>
  <c r="BA212" i="1"/>
  <c r="BI212" i="1"/>
  <c r="BQ212" i="1"/>
  <c r="N213" i="1"/>
  <c r="O213" i="1" s="1"/>
  <c r="V213" i="1"/>
  <c r="W213" i="1" s="1"/>
  <c r="AD213" i="1"/>
  <c r="AE213" i="1" s="1"/>
  <c r="AL213" i="1"/>
  <c r="AM213" i="1" s="1"/>
  <c r="AT213" i="1"/>
  <c r="AU213" i="1" s="1"/>
  <c r="BB213" i="1"/>
  <c r="BC213" i="1" s="1"/>
  <c r="BJ213" i="1"/>
  <c r="BK213" i="1" s="1"/>
  <c r="BR213" i="1"/>
  <c r="BS213" i="1" s="1"/>
  <c r="T214" i="1"/>
  <c r="AC214" i="1"/>
  <c r="AL214" i="1"/>
  <c r="AM214" i="1" s="1"/>
  <c r="BN214" i="1"/>
  <c r="BO214" i="1" s="1"/>
  <c r="N217" i="1"/>
  <c r="O217" i="1" s="1"/>
  <c r="AZ217" i="1"/>
  <c r="BJ217" i="1"/>
  <c r="BK217" i="1" s="1"/>
  <c r="L221" i="1"/>
  <c r="V221" i="1"/>
  <c r="W221" i="1" s="1"/>
  <c r="BA221" i="1"/>
  <c r="N212" i="1"/>
  <c r="O212" i="1" s="1"/>
  <c r="V212" i="1"/>
  <c r="W212" i="1" s="1"/>
  <c r="AD212" i="1"/>
  <c r="AE212" i="1" s="1"/>
  <c r="AL212" i="1"/>
  <c r="AM212" i="1" s="1"/>
  <c r="AT212" i="1"/>
  <c r="AU212" i="1" s="1"/>
  <c r="BB212" i="1"/>
  <c r="BC212" i="1" s="1"/>
  <c r="BJ212" i="1"/>
  <c r="BK212" i="1" s="1"/>
  <c r="BR212" i="1"/>
  <c r="BS212" i="1" s="1"/>
  <c r="L214" i="1"/>
  <c r="U214" i="1"/>
  <c r="AD214" i="1"/>
  <c r="AE214" i="1" s="1"/>
  <c r="BF214" i="1"/>
  <c r="BG214" i="1" s="1"/>
  <c r="BB217" i="1"/>
  <c r="BC217" i="1" s="1"/>
  <c r="AS217" i="1"/>
  <c r="AJ217" i="1"/>
  <c r="AB217" i="1"/>
  <c r="T217" i="1"/>
  <c r="L217" i="1"/>
  <c r="AP217" i="1"/>
  <c r="AQ217" i="1" s="1"/>
  <c r="BA217" i="1"/>
  <c r="M221" i="1"/>
  <c r="AH221" i="1"/>
  <c r="AI221" i="1" s="1"/>
  <c r="AR221" i="1"/>
  <c r="BB221" i="1"/>
  <c r="BC221" i="1" s="1"/>
  <c r="N220" i="1"/>
  <c r="O220" i="1" s="1"/>
  <c r="V220" i="1"/>
  <c r="W220" i="1" s="1"/>
  <c r="AD220" i="1"/>
  <c r="AE220" i="1" s="1"/>
  <c r="AL220" i="1"/>
  <c r="AM220" i="1" s="1"/>
  <c r="AT220" i="1"/>
  <c r="AU220" i="1" s="1"/>
  <c r="BB220" i="1"/>
  <c r="BC220" i="1" s="1"/>
  <c r="BJ220" i="1"/>
  <c r="BK220" i="1" s="1"/>
  <c r="BR220" i="1"/>
  <c r="BS220" i="1" s="1"/>
  <c r="F244" i="1"/>
  <c r="F253" i="1"/>
  <c r="F251" i="1"/>
  <c r="F247" i="1"/>
  <c r="F257" i="1"/>
  <c r="F256" i="1"/>
  <c r="F255" i="1"/>
  <c r="F248" i="1"/>
  <c r="F263" i="1"/>
  <c r="F265" i="1"/>
  <c r="F264" i="1"/>
  <c r="F259" i="1"/>
  <c r="F260" i="1"/>
  <c r="F267" i="1"/>
  <c r="F268" i="1"/>
  <c r="F269" i="1"/>
  <c r="F287" i="1"/>
  <c r="F288" i="1"/>
  <c r="F289" i="1"/>
  <c r="F272" i="1"/>
  <c r="F271" i="1"/>
  <c r="F295" i="1"/>
  <c r="F296" i="1"/>
  <c r="F297" i="1"/>
  <c r="F283" i="1"/>
  <c r="F299" i="1"/>
  <c r="AV308" i="1"/>
  <c r="AN308" i="1"/>
  <c r="AF308" i="1"/>
  <c r="X308" i="1"/>
  <c r="BL308" i="1"/>
  <c r="P308" i="1"/>
  <c r="F281" i="1"/>
  <c r="BD308" i="1"/>
  <c r="AN307" i="1"/>
  <c r="AF307" i="1"/>
  <c r="X307" i="1"/>
  <c r="P307" i="1"/>
  <c r="BD307" i="1"/>
  <c r="X303" i="1"/>
  <c r="AV303" i="1"/>
  <c r="AF309" i="1"/>
  <c r="BD303" i="1"/>
  <c r="P306" i="1"/>
  <c r="AN309" i="1"/>
  <c r="BL303" i="1"/>
  <c r="P305" i="1"/>
  <c r="X306" i="1"/>
  <c r="AV309" i="1"/>
  <c r="P304" i="1"/>
  <c r="X305" i="1"/>
  <c r="AF306" i="1"/>
  <c r="BD309" i="1"/>
  <c r="V188" i="1" l="1"/>
  <c r="W188" i="1" s="1"/>
  <c r="V47" i="1"/>
  <c r="W47" i="1" s="1"/>
  <c r="L181" i="1"/>
  <c r="V51" i="1"/>
  <c r="W51" i="1" s="1"/>
  <c r="V74" i="1"/>
  <c r="W74" i="1" s="1"/>
  <c r="N52" i="1"/>
  <c r="O52" i="1" s="1"/>
  <c r="AC13" i="1"/>
  <c r="N123" i="1"/>
  <c r="O123" i="1" s="1"/>
  <c r="N63" i="1"/>
  <c r="O63" i="1" s="1"/>
  <c r="N34" i="1"/>
  <c r="O34" i="1" s="1"/>
  <c r="N25" i="1"/>
  <c r="O25" i="1" s="1"/>
  <c r="V114" i="1"/>
  <c r="W114" i="1" s="1"/>
  <c r="N47" i="1"/>
  <c r="O47" i="1" s="1"/>
  <c r="V191" i="1"/>
  <c r="W191" i="1" s="1"/>
  <c r="V19" i="1"/>
  <c r="W19" i="1" s="1"/>
  <c r="V59" i="1"/>
  <c r="W59" i="1" s="1"/>
  <c r="V67" i="1"/>
  <c r="W67" i="1" s="1"/>
  <c r="V62" i="1"/>
  <c r="W62" i="1" s="1"/>
  <c r="J54" i="1"/>
  <c r="K54" i="1" s="1"/>
  <c r="N38" i="1"/>
  <c r="O38" i="1" s="1"/>
  <c r="R14" i="1"/>
  <c r="J55" i="1"/>
  <c r="K55" i="1" s="1"/>
  <c r="Y98" i="1" a="1"/>
  <c r="Y98" i="1" s="1"/>
  <c r="Y254" i="1" s="1"/>
  <c r="V25" i="1"/>
  <c r="W25" i="1" s="1"/>
  <c r="J199" i="1"/>
  <c r="K199" i="1" s="1"/>
  <c r="U200" i="1"/>
  <c r="M124" i="1"/>
  <c r="J69" i="1"/>
  <c r="K69" i="1" s="1"/>
  <c r="V53" i="1"/>
  <c r="W53" i="1" s="1"/>
  <c r="V46" i="1"/>
  <c r="W46" i="1" s="1"/>
  <c r="M50" i="1"/>
  <c r="N50" i="1" s="1"/>
  <c r="O50" i="1" s="1"/>
  <c r="N203" i="1"/>
  <c r="O203" i="1" s="1"/>
  <c r="V199" i="1"/>
  <c r="W199" i="1" s="1"/>
  <c r="T119" i="1"/>
  <c r="N120" i="1"/>
  <c r="O120" i="1" s="1"/>
  <c r="M119" i="1"/>
  <c r="N119" i="1" s="1"/>
  <c r="O119" i="1" s="1"/>
  <c r="R68" i="1"/>
  <c r="S68" i="1" s="1"/>
  <c r="N30" i="1"/>
  <c r="O30" i="1" s="1"/>
  <c r="J30" i="1"/>
  <c r="K30" i="1" s="1"/>
  <c r="R52" i="1"/>
  <c r="S52" i="1" s="1"/>
  <c r="N46" i="1"/>
  <c r="O46" i="1" s="1"/>
  <c r="J25" i="1"/>
  <c r="K25" i="1" s="1"/>
  <c r="R199" i="1"/>
  <c r="S199" i="1" s="1"/>
  <c r="J201" i="1"/>
  <c r="K201" i="1" s="1"/>
  <c r="J200" i="1"/>
  <c r="K200" i="1" s="1"/>
  <c r="N195" i="1"/>
  <c r="O195" i="1" s="1"/>
  <c r="V186" i="1"/>
  <c r="W186" i="1" s="1"/>
  <c r="J183" i="1"/>
  <c r="K183" i="1" s="1"/>
  <c r="V120" i="1"/>
  <c r="W120" i="1" s="1"/>
  <c r="N114" i="1"/>
  <c r="O114" i="1" s="1"/>
  <c r="R74" i="1"/>
  <c r="S74" i="1" s="1"/>
  <c r="U61" i="1"/>
  <c r="V61" i="1" s="1"/>
  <c r="W61" i="1" s="1"/>
  <c r="J29" i="1"/>
  <c r="K29" i="1" s="1"/>
  <c r="N35" i="1"/>
  <c r="O35" i="1" s="1"/>
  <c r="R196" i="1"/>
  <c r="S196" i="1" s="1"/>
  <c r="R183" i="1"/>
  <c r="S183" i="1" s="1"/>
  <c r="V55" i="1"/>
  <c r="W55" i="1" s="1"/>
  <c r="R51" i="1"/>
  <c r="S51" i="1" s="1"/>
  <c r="R50" i="1"/>
  <c r="S50" i="1" s="1"/>
  <c r="U18" i="1"/>
  <c r="V18" i="1" s="1"/>
  <c r="W18" i="1" s="1"/>
  <c r="N18" i="1"/>
  <c r="O18" i="1" s="1"/>
  <c r="N122" i="1"/>
  <c r="O122" i="1" s="1"/>
  <c r="R42" i="1"/>
  <c r="S42" i="1" s="1"/>
  <c r="Q97" i="1"/>
  <c r="Q250" i="1" s="1"/>
  <c r="U33" i="1"/>
  <c r="AW98" i="1" a="1"/>
  <c r="AW98" i="1" s="1"/>
  <c r="AW254" i="1" s="1"/>
  <c r="U117" i="1"/>
  <c r="V119" i="1"/>
  <c r="W119" i="1" s="1"/>
  <c r="J68" i="1"/>
  <c r="K68" i="1" s="1"/>
  <c r="J67" i="1"/>
  <c r="K67" i="1" s="1"/>
  <c r="V54" i="1"/>
  <c r="W54" i="1" s="1"/>
  <c r="M41" i="1"/>
  <c r="N41" i="1" s="1"/>
  <c r="O41" i="1" s="1"/>
  <c r="N200" i="1"/>
  <c r="O200" i="1" s="1"/>
  <c r="V189" i="1"/>
  <c r="W189" i="1" s="1"/>
  <c r="N74" i="1"/>
  <c r="O74" i="1" s="1"/>
  <c r="V42" i="1"/>
  <c r="W42" i="1" s="1"/>
  <c r="N68" i="1"/>
  <c r="O68" i="1" s="1"/>
  <c r="N189" i="1"/>
  <c r="O189" i="1" s="1"/>
  <c r="V200" i="1"/>
  <c r="W200" i="1" s="1"/>
  <c r="V123" i="1"/>
  <c r="W123" i="1" s="1"/>
  <c r="BQ201" i="1"/>
  <c r="AK193" i="1"/>
  <c r="BA185" i="1"/>
  <c r="K182" i="1"/>
  <c r="Q227" i="1" a="1"/>
  <c r="Q227" i="1" s="1"/>
  <c r="Q226" i="1" a="1"/>
  <c r="Q226" i="1" s="1"/>
  <c r="Q256" i="1" s="1"/>
  <c r="Q225" i="1"/>
  <c r="Q252" i="1" s="1"/>
  <c r="Q223" i="1"/>
  <c r="Q244" i="1" s="1"/>
  <c r="Q224" i="1"/>
  <c r="Q248" i="1" s="1"/>
  <c r="U182" i="1"/>
  <c r="BQ116" i="1"/>
  <c r="BI119" i="1"/>
  <c r="J118" i="1"/>
  <c r="K118" i="1" s="1"/>
  <c r="J75" i="1"/>
  <c r="K75" i="1" s="1"/>
  <c r="M75" i="1"/>
  <c r="N75" i="1" s="1"/>
  <c r="O75" i="1" s="1"/>
  <c r="BQ37" i="1"/>
  <c r="U58" i="1"/>
  <c r="V58" i="1" s="1"/>
  <c r="W58" i="1" s="1"/>
  <c r="BI51" i="1"/>
  <c r="AK28" i="1"/>
  <c r="BQ66" i="1"/>
  <c r="BQ121" i="1"/>
  <c r="BA66" i="1"/>
  <c r="BA126" i="1"/>
  <c r="AK49" i="1"/>
  <c r="U57" i="1"/>
  <c r="U70" i="1"/>
  <c r="U121" i="1"/>
  <c r="R46" i="1"/>
  <c r="S46" i="1" s="1"/>
  <c r="BA24" i="1"/>
  <c r="BQ15" i="1"/>
  <c r="V21" i="1"/>
  <c r="W21" i="1" s="1"/>
  <c r="BM99" i="1" a="1"/>
  <c r="BM99" i="1" s="1"/>
  <c r="I167" i="1" a="1"/>
  <c r="I167" i="1" s="1"/>
  <c r="I255" i="1" s="1"/>
  <c r="I168" i="1" a="1"/>
  <c r="I168" i="1" s="1"/>
  <c r="I165" i="1"/>
  <c r="I247" i="1" s="1"/>
  <c r="I164" i="1"/>
  <c r="I243" i="1" s="1"/>
  <c r="I166" i="1"/>
  <c r="I251" i="1" s="1"/>
  <c r="M113" i="1"/>
  <c r="J113" i="1"/>
  <c r="J190" i="1"/>
  <c r="K190" i="1" s="1"/>
  <c r="M190" i="1"/>
  <c r="N190" i="1" s="1"/>
  <c r="O190" i="1" s="1"/>
  <c r="AS23" i="1"/>
  <c r="AC31" i="1"/>
  <c r="AC64" i="1"/>
  <c r="AC57" i="1"/>
  <c r="AC202" i="1"/>
  <c r="AS181" i="1"/>
  <c r="AS112" i="1"/>
  <c r="AS13" i="1"/>
  <c r="Y96" i="1"/>
  <c r="Y246" i="1" s="1"/>
  <c r="AS57" i="1"/>
  <c r="AS16" i="1"/>
  <c r="BI64" i="1"/>
  <c r="BI40" i="1"/>
  <c r="AC193" i="1"/>
  <c r="BQ200" i="1"/>
  <c r="AC191" i="1"/>
  <c r="BQ191" i="1"/>
  <c r="R191" i="1"/>
  <c r="S191" i="1" s="1"/>
  <c r="M188" i="1"/>
  <c r="N188" i="1" s="1"/>
  <c r="O188" i="1" s="1"/>
  <c r="J188" i="1"/>
  <c r="K188" i="1" s="1"/>
  <c r="I227" i="1" a="1"/>
  <c r="I227" i="1" s="1"/>
  <c r="I223" i="1"/>
  <c r="I244" i="1" s="1"/>
  <c r="I226" i="1" a="1"/>
  <c r="I226" i="1" s="1"/>
  <c r="I256" i="1" s="1"/>
  <c r="I224" i="1"/>
  <c r="I248" i="1" s="1"/>
  <c r="I225" i="1"/>
  <c r="I252" i="1" s="1"/>
  <c r="M182" i="1"/>
  <c r="H227" i="1" a="1"/>
  <c r="H227" i="1" s="1"/>
  <c r="H223" i="1"/>
  <c r="H226" i="1" a="1"/>
  <c r="H226" i="1" s="1"/>
  <c r="H225" i="1"/>
  <c r="H224" i="1"/>
  <c r="R189" i="1"/>
  <c r="S189" i="1" s="1"/>
  <c r="J189" i="1"/>
  <c r="K189" i="1" s="1"/>
  <c r="M183" i="1"/>
  <c r="N183" i="1" s="1"/>
  <c r="O183" i="1" s="1"/>
  <c r="AK124" i="1"/>
  <c r="N118" i="1"/>
  <c r="O118" i="1" s="1"/>
  <c r="U118" i="1"/>
  <c r="V118" i="1" s="1"/>
  <c r="W118" i="1" s="1"/>
  <c r="J116" i="1"/>
  <c r="K116" i="1" s="1"/>
  <c r="M116" i="1"/>
  <c r="N116" i="1" s="1"/>
  <c r="O116" i="1" s="1"/>
  <c r="AC117" i="1"/>
  <c r="J114" i="1"/>
  <c r="K114" i="1" s="1"/>
  <c r="V75" i="1"/>
  <c r="W75" i="1" s="1"/>
  <c r="BQ74" i="1"/>
  <c r="N61" i="1"/>
  <c r="O61" i="1" s="1"/>
  <c r="R59" i="1"/>
  <c r="S59" i="1" s="1"/>
  <c r="BI59" i="1"/>
  <c r="U45" i="1"/>
  <c r="V45" i="1" s="1"/>
  <c r="W45" i="1" s="1"/>
  <c r="R45" i="1"/>
  <c r="S45" i="1" s="1"/>
  <c r="BI62" i="1"/>
  <c r="AK59" i="1"/>
  <c r="M54" i="1"/>
  <c r="N54" i="1" s="1"/>
  <c r="O54" i="1" s="1"/>
  <c r="U52" i="1"/>
  <c r="V52" i="1" s="1"/>
  <c r="W52" i="1" s="1"/>
  <c r="AS62" i="1"/>
  <c r="T68" i="1"/>
  <c r="V68" i="1" s="1"/>
  <c r="W68" i="1" s="1"/>
  <c r="V28" i="1"/>
  <c r="W28" i="1" s="1"/>
  <c r="U23" i="1"/>
  <c r="BA33" i="1"/>
  <c r="AK29" i="1"/>
  <c r="AK23" i="1"/>
  <c r="BQ17" i="1"/>
  <c r="BQ71" i="1"/>
  <c r="BA40" i="1"/>
  <c r="U73" i="1"/>
  <c r="U198" i="1"/>
  <c r="AK40" i="1"/>
  <c r="BA15" i="1"/>
  <c r="AB10" i="1"/>
  <c r="Z10" i="1"/>
  <c r="AD10" i="1" s="1"/>
  <c r="BM95" i="1"/>
  <c r="BM242" i="1" s="1"/>
  <c r="M15" i="1"/>
  <c r="N15" i="1" s="1"/>
  <c r="O15" i="1" s="1"/>
  <c r="J15" i="1"/>
  <c r="K15" i="1" s="1"/>
  <c r="J64" i="1"/>
  <c r="K64" i="1" s="1"/>
  <c r="M64" i="1"/>
  <c r="N64" i="1" s="1"/>
  <c r="O64" i="1" s="1"/>
  <c r="J70" i="1"/>
  <c r="K70" i="1" s="1"/>
  <c r="M70" i="1"/>
  <c r="N70" i="1" s="1"/>
  <c r="O70" i="1" s="1"/>
  <c r="M121" i="1"/>
  <c r="N121" i="1" s="1"/>
  <c r="O121" i="1" s="1"/>
  <c r="J121" i="1"/>
  <c r="K121" i="1" s="1"/>
  <c r="AC65" i="1"/>
  <c r="AW99" i="1" a="1"/>
  <c r="AW99" i="1" s="1"/>
  <c r="Y97" i="1"/>
  <c r="Y250" i="1" s="1"/>
  <c r="AS40" i="1"/>
  <c r="AS184" i="1"/>
  <c r="N27" i="1"/>
  <c r="O27" i="1" s="1"/>
  <c r="BA16" i="1"/>
  <c r="BE97" i="1"/>
  <c r="BE250" i="1" s="1"/>
  <c r="BE96" i="1"/>
  <c r="BE246" i="1" s="1"/>
  <c r="BE95" i="1"/>
  <c r="BE242" i="1" s="1"/>
  <c r="BE99" i="1" a="1"/>
  <c r="BE99" i="1" s="1"/>
  <c r="BE98" i="1" a="1"/>
  <c r="BE98" i="1" s="1"/>
  <c r="BE254" i="1" s="1"/>
  <c r="BI15" i="1"/>
  <c r="BI65" i="1"/>
  <c r="BI56" i="1"/>
  <c r="BE167" i="1" a="1"/>
  <c r="BE167" i="1" s="1"/>
  <c r="BE255" i="1" s="1"/>
  <c r="BE168" i="1" a="1"/>
  <c r="BE168" i="1" s="1"/>
  <c r="BE164" i="1"/>
  <c r="BE243" i="1" s="1"/>
  <c r="BE165" i="1"/>
  <c r="BE247" i="1" s="1"/>
  <c r="BE166" i="1"/>
  <c r="BE251" i="1" s="1"/>
  <c r="BI113" i="1"/>
  <c r="BI190" i="1"/>
  <c r="AO13" i="1"/>
  <c r="R21" i="1"/>
  <c r="S21" i="1" s="1"/>
  <c r="J203" i="1"/>
  <c r="K203" i="1" s="1"/>
  <c r="U193" i="1"/>
  <c r="L186" i="1"/>
  <c r="BM226" i="1" a="1"/>
  <c r="BM226" i="1" s="1"/>
  <c r="BM256" i="1" s="1"/>
  <c r="BM227" i="1" a="1"/>
  <c r="BM227" i="1" s="1"/>
  <c r="BM224" i="1"/>
  <c r="BM248" i="1" s="1"/>
  <c r="BM225" i="1"/>
  <c r="BM252" i="1" s="1"/>
  <c r="BM223" i="1"/>
  <c r="BM244" i="1" s="1"/>
  <c r="BQ182" i="1"/>
  <c r="L196" i="1"/>
  <c r="N196" i="1" s="1"/>
  <c r="O196" i="1" s="1"/>
  <c r="U196" i="1"/>
  <c r="V196" i="1" s="1"/>
  <c r="W196" i="1" s="1"/>
  <c r="U183" i="1"/>
  <c r="V183" i="1" s="1"/>
  <c r="W183" i="1" s="1"/>
  <c r="J122" i="1"/>
  <c r="K122" i="1" s="1"/>
  <c r="AS124" i="1"/>
  <c r="BA117" i="1"/>
  <c r="R116" i="1"/>
  <c r="S116" i="1" s="1"/>
  <c r="U116" i="1"/>
  <c r="V116" i="1" s="1"/>
  <c r="W116" i="1" s="1"/>
  <c r="J117" i="1"/>
  <c r="K117" i="1" s="1"/>
  <c r="R120" i="1"/>
  <c r="S120" i="1" s="1"/>
  <c r="AC119" i="1"/>
  <c r="AC75" i="1"/>
  <c r="AK70" i="1"/>
  <c r="M59" i="1"/>
  <c r="N59" i="1" s="1"/>
  <c r="O59" i="1" s="1"/>
  <c r="J59" i="1"/>
  <c r="K59" i="1" s="1"/>
  <c r="BQ59" i="1"/>
  <c r="BA43" i="1"/>
  <c r="J61" i="1"/>
  <c r="K61" i="1" s="1"/>
  <c r="M58" i="1"/>
  <c r="N58" i="1" s="1"/>
  <c r="O58" i="1" s="1"/>
  <c r="R62" i="1"/>
  <c r="S62" i="1" s="1"/>
  <c r="BA54" i="1"/>
  <c r="J51" i="1"/>
  <c r="K51" i="1" s="1"/>
  <c r="M51" i="1"/>
  <c r="N51" i="1" s="1"/>
  <c r="O51" i="1" s="1"/>
  <c r="N45" i="1"/>
  <c r="O45" i="1" s="1"/>
  <c r="BA62" i="1"/>
  <c r="BQ42" i="1"/>
  <c r="T38" i="1"/>
  <c r="V38" i="1" s="1"/>
  <c r="W38" i="1" s="1"/>
  <c r="AK31" i="1"/>
  <c r="J36" i="1"/>
  <c r="K36" i="1" s="1"/>
  <c r="M36" i="1"/>
  <c r="N36" i="1" s="1"/>
  <c r="O36" i="1" s="1"/>
  <c r="BI41" i="1"/>
  <c r="BQ73" i="1"/>
  <c r="BQ190" i="1"/>
  <c r="BA56" i="1"/>
  <c r="BA121" i="1"/>
  <c r="BA190" i="1"/>
  <c r="AK56" i="1"/>
  <c r="AK121" i="1"/>
  <c r="AK198" i="1"/>
  <c r="U40" i="1"/>
  <c r="U71" i="1"/>
  <c r="V71" i="1" s="1"/>
  <c r="W71" i="1" s="1"/>
  <c r="R71" i="1"/>
  <c r="S71" i="1" s="1"/>
  <c r="U187" i="1"/>
  <c r="U202" i="1"/>
  <c r="V202" i="1" s="1"/>
  <c r="W202" i="1" s="1"/>
  <c r="R202" i="1"/>
  <c r="S202" i="1" s="1"/>
  <c r="BQ36" i="1"/>
  <c r="AC28" i="1"/>
  <c r="AK15" i="1"/>
  <c r="L19" i="1"/>
  <c r="N19" i="1" s="1"/>
  <c r="O19" i="1" s="1"/>
  <c r="AS17" i="1"/>
  <c r="AO97" i="1"/>
  <c r="AO250" i="1" s="1"/>
  <c r="AO96" i="1"/>
  <c r="AO246" i="1" s="1"/>
  <c r="AO95" i="1"/>
  <c r="AO242" i="1" s="1"/>
  <c r="AO99" i="1" a="1"/>
  <c r="AO99" i="1" s="1"/>
  <c r="AO98" i="1" a="1"/>
  <c r="AO98" i="1" s="1"/>
  <c r="AO254" i="1" s="1"/>
  <c r="J23" i="1"/>
  <c r="K23" i="1" s="1"/>
  <c r="M23" i="1"/>
  <c r="N23" i="1" s="1"/>
  <c r="O23" i="1" s="1"/>
  <c r="BM96" i="1"/>
  <c r="BM246" i="1" s="1"/>
  <c r="M20" i="1"/>
  <c r="N20" i="1" s="1"/>
  <c r="O20" i="1" s="1"/>
  <c r="J20" i="1"/>
  <c r="K20" i="1" s="1"/>
  <c r="M65" i="1"/>
  <c r="N65" i="1" s="1"/>
  <c r="O65" i="1" s="1"/>
  <c r="J65" i="1"/>
  <c r="K65" i="1" s="1"/>
  <c r="M48" i="1"/>
  <c r="N48" i="1" s="1"/>
  <c r="O48" i="1" s="1"/>
  <c r="J48" i="1"/>
  <c r="K48" i="1" s="1"/>
  <c r="M126" i="1"/>
  <c r="N126" i="1" s="1"/>
  <c r="O126" i="1" s="1"/>
  <c r="J126" i="1"/>
  <c r="K126" i="1" s="1"/>
  <c r="BE13" i="1"/>
  <c r="AC66" i="1"/>
  <c r="AC73" i="1"/>
  <c r="E10" i="1"/>
  <c r="M10" i="1"/>
  <c r="M181" i="1" s="1"/>
  <c r="AW95" i="1"/>
  <c r="AW242" i="1" s="1"/>
  <c r="AS121" i="1"/>
  <c r="BI181" i="1"/>
  <c r="BI112" i="1"/>
  <c r="BI13" i="1"/>
  <c r="AG98" i="1" a="1"/>
  <c r="AG98" i="1" s="1"/>
  <c r="AG254" i="1" s="1"/>
  <c r="C9" i="1"/>
  <c r="B9" i="1"/>
  <c r="BI23" i="1"/>
  <c r="BI66" i="1"/>
  <c r="BI57" i="1"/>
  <c r="BI121" i="1"/>
  <c r="M193" i="1"/>
  <c r="N193" i="1" s="1"/>
  <c r="O193" i="1" s="1"/>
  <c r="J193" i="1"/>
  <c r="K193" i="1" s="1"/>
  <c r="BQ203" i="1"/>
  <c r="M199" i="1"/>
  <c r="N199" i="1" s="1"/>
  <c r="O199" i="1" s="1"/>
  <c r="M185" i="1"/>
  <c r="N185" i="1" s="1"/>
  <c r="O185" i="1" s="1"/>
  <c r="J185" i="1"/>
  <c r="K185" i="1" s="1"/>
  <c r="BE227" i="1" a="1"/>
  <c r="BE227" i="1" s="1"/>
  <c r="BE225" i="1"/>
  <c r="BE252" i="1" s="1"/>
  <c r="BE226" i="1" a="1"/>
  <c r="BE226" i="1" s="1"/>
  <c r="BE256" i="1" s="1"/>
  <c r="BE224" i="1"/>
  <c r="BE248" i="1" s="1"/>
  <c r="BE223" i="1"/>
  <c r="BE244" i="1" s="1"/>
  <c r="BI182" i="1"/>
  <c r="M192" i="1"/>
  <c r="N192" i="1" s="1"/>
  <c r="O192" i="1" s="1"/>
  <c r="AC189" i="1"/>
  <c r="J123" i="1"/>
  <c r="K123" i="1" s="1"/>
  <c r="BQ120" i="1"/>
  <c r="R114" i="1"/>
  <c r="S114" i="1" s="1"/>
  <c r="V117" i="1"/>
  <c r="W117" i="1" s="1"/>
  <c r="N117" i="1"/>
  <c r="O117" i="1" s="1"/>
  <c r="AK75" i="1"/>
  <c r="AK74" i="1"/>
  <c r="R53" i="1"/>
  <c r="S53" i="1" s="1"/>
  <c r="T17" i="1"/>
  <c r="V17" i="1" s="1"/>
  <c r="W17" i="1" s="1"/>
  <c r="R17" i="1"/>
  <c r="S17" i="1" s="1"/>
  <c r="J33" i="1"/>
  <c r="K33" i="1" s="1"/>
  <c r="U31" i="1"/>
  <c r="R28" i="1"/>
  <c r="S28" i="1" s="1"/>
  <c r="AC41" i="1"/>
  <c r="BQ70" i="1"/>
  <c r="BQ184" i="1"/>
  <c r="BA57" i="1"/>
  <c r="BA70" i="1"/>
  <c r="AK57" i="1"/>
  <c r="AG168" i="1" a="1"/>
  <c r="AG168" i="1" s="1"/>
  <c r="AG167" i="1" a="1"/>
  <c r="AG167" i="1" s="1"/>
  <c r="AG255" i="1" s="1"/>
  <c r="AG165" i="1"/>
  <c r="AG247" i="1" s="1"/>
  <c r="AG166" i="1"/>
  <c r="AG251" i="1" s="1"/>
  <c r="AG164" i="1"/>
  <c r="AG243" i="1" s="1"/>
  <c r="AK113" i="1"/>
  <c r="U49" i="1"/>
  <c r="U184" i="1"/>
  <c r="BA36" i="1"/>
  <c r="N28" i="1"/>
  <c r="O28" i="1" s="1"/>
  <c r="U24" i="1"/>
  <c r="V24" i="1" s="1"/>
  <c r="W24" i="1" s="1"/>
  <c r="U15" i="1"/>
  <c r="AJ10" i="1"/>
  <c r="AH10" i="1"/>
  <c r="AL10" i="1" s="1"/>
  <c r="BM97" i="1"/>
  <c r="BM250" i="1" s="1"/>
  <c r="J45" i="1"/>
  <c r="K45" i="1" s="1"/>
  <c r="M66" i="1"/>
  <c r="N66" i="1" s="1"/>
  <c r="O66" i="1" s="1"/>
  <c r="J66" i="1"/>
  <c r="K66" i="1" s="1"/>
  <c r="J49" i="1"/>
  <c r="K49" i="1" s="1"/>
  <c r="M49" i="1"/>
  <c r="N49" i="1" s="1"/>
  <c r="O49" i="1" s="1"/>
  <c r="J198" i="1"/>
  <c r="K198" i="1" s="1"/>
  <c r="M198" i="1"/>
  <c r="N198" i="1" s="1"/>
  <c r="O198" i="1" s="1"/>
  <c r="AC112" i="1"/>
  <c r="AC23" i="1"/>
  <c r="AC70" i="1"/>
  <c r="AC184" i="1"/>
  <c r="M17" i="1"/>
  <c r="N17" i="1" s="1"/>
  <c r="O17" i="1" s="1"/>
  <c r="J17" i="1"/>
  <c r="K17" i="1" s="1"/>
  <c r="AW96" i="1"/>
  <c r="AW246" i="1" s="1"/>
  <c r="AS64" i="1"/>
  <c r="AS48" i="1"/>
  <c r="AS126" i="1"/>
  <c r="AS198" i="1"/>
  <c r="BQ16" i="1"/>
  <c r="AG99" i="1" a="1"/>
  <c r="AG99" i="1" s="1"/>
  <c r="I98" i="1" a="1"/>
  <c r="I98" i="1" s="1"/>
  <c r="I254" i="1" s="1"/>
  <c r="BI126" i="1"/>
  <c r="BI198" i="1"/>
  <c r="J22" i="1"/>
  <c r="K22" i="1" s="1"/>
  <c r="BQ193" i="1"/>
  <c r="AS195" i="1"/>
  <c r="AK187" i="1"/>
  <c r="AW227" i="1" a="1"/>
  <c r="AW227" i="1" s="1"/>
  <c r="AW226" i="1" a="1"/>
  <c r="AW226" i="1" s="1"/>
  <c r="AW256" i="1" s="1"/>
  <c r="AW223" i="1"/>
  <c r="AW244" i="1" s="1"/>
  <c r="AW225" i="1"/>
  <c r="AW252" i="1" s="1"/>
  <c r="AW224" i="1"/>
  <c r="AW248" i="1" s="1"/>
  <c r="BA182" i="1"/>
  <c r="U192" i="1"/>
  <c r="V192" i="1" s="1"/>
  <c r="W192" i="1" s="1"/>
  <c r="R123" i="1"/>
  <c r="S123" i="1" s="1"/>
  <c r="AS75" i="1"/>
  <c r="N72" i="1"/>
  <c r="O72" i="1" s="1"/>
  <c r="AC59" i="1"/>
  <c r="N55" i="1"/>
  <c r="O55" i="1" s="1"/>
  <c r="AC51" i="1"/>
  <c r="AC54" i="1"/>
  <c r="N33" i="1"/>
  <c r="O33" i="1" s="1"/>
  <c r="N22" i="1"/>
  <c r="O22" i="1" s="1"/>
  <c r="BA20" i="1"/>
  <c r="BQ56" i="1"/>
  <c r="BA73" i="1"/>
  <c r="BA198" i="1"/>
  <c r="AK64" i="1"/>
  <c r="AK126" i="1"/>
  <c r="AK202" i="1"/>
  <c r="Q167" i="1" a="1"/>
  <c r="Q167" i="1" s="1"/>
  <c r="Q255" i="1" s="1"/>
  <c r="Q168" i="1" a="1"/>
  <c r="Q168" i="1" s="1"/>
  <c r="Q166" i="1"/>
  <c r="Q251" i="1" s="1"/>
  <c r="Q164" i="1"/>
  <c r="Q243" i="1" s="1"/>
  <c r="Q165" i="1"/>
  <c r="Q247" i="1" s="1"/>
  <c r="U113" i="1"/>
  <c r="BQ31" i="1"/>
  <c r="AK32" i="1"/>
  <c r="AC21" i="1"/>
  <c r="U48" i="1"/>
  <c r="AG13" i="1"/>
  <c r="AK10" i="1"/>
  <c r="AK112" i="1" s="1"/>
  <c r="E7" i="1"/>
  <c r="S14" i="1"/>
  <c r="T10" i="1"/>
  <c r="T112" i="1" s="1"/>
  <c r="R10" i="1"/>
  <c r="V10" i="1" s="1"/>
  <c r="V112" i="1" s="1"/>
  <c r="Q98" i="1" a="1"/>
  <c r="Q98" i="1" s="1"/>
  <c r="Q254" i="1" s="1"/>
  <c r="P13" i="1"/>
  <c r="M40" i="1"/>
  <c r="N40" i="1" s="1"/>
  <c r="O40" i="1" s="1"/>
  <c r="J40" i="1"/>
  <c r="K40" i="1" s="1"/>
  <c r="M71" i="1"/>
  <c r="N71" i="1" s="1"/>
  <c r="O71" i="1" s="1"/>
  <c r="J71" i="1"/>
  <c r="K71" i="1" s="1"/>
  <c r="J72" i="1"/>
  <c r="K72" i="1" s="1"/>
  <c r="M115" i="1"/>
  <c r="N115" i="1" s="1"/>
  <c r="O115" i="1" s="1"/>
  <c r="J115" i="1"/>
  <c r="K115" i="1" s="1"/>
  <c r="J202" i="1"/>
  <c r="K202" i="1" s="1"/>
  <c r="M202" i="1"/>
  <c r="N202" i="1" s="1"/>
  <c r="O202" i="1" s="1"/>
  <c r="AC40" i="1"/>
  <c r="AW97" i="1"/>
  <c r="AW250" i="1" s="1"/>
  <c r="AS65" i="1"/>
  <c r="AS49" i="1"/>
  <c r="BI25" i="1"/>
  <c r="M16" i="1"/>
  <c r="N16" i="1" s="1"/>
  <c r="O16" i="1" s="1"/>
  <c r="AG95" i="1"/>
  <c r="AG242" i="1" s="1"/>
  <c r="I99" i="1" a="1"/>
  <c r="I99" i="1" s="1"/>
  <c r="D181" i="1"/>
  <c r="D112" i="1"/>
  <c r="D13" i="1"/>
  <c r="BI193" i="1"/>
  <c r="AC185" i="1"/>
  <c r="AO226" i="1" a="1"/>
  <c r="AO226" i="1" s="1"/>
  <c r="AO256" i="1" s="1"/>
  <c r="AO225" i="1"/>
  <c r="AO252" i="1" s="1"/>
  <c r="AO227" i="1" a="1"/>
  <c r="AO227" i="1" s="1"/>
  <c r="AO224" i="1"/>
  <c r="AO248" i="1" s="1"/>
  <c r="AO223" i="1"/>
  <c r="AO244" i="1" s="1"/>
  <c r="AS182" i="1"/>
  <c r="AK186" i="1"/>
  <c r="AS189" i="1"/>
  <c r="AS183" i="1"/>
  <c r="BQ124" i="1"/>
  <c r="AS116" i="1"/>
  <c r="U72" i="1"/>
  <c r="V72" i="1" s="1"/>
  <c r="W72" i="1" s="1"/>
  <c r="M43" i="1"/>
  <c r="N43" i="1" s="1"/>
  <c r="O43" i="1" s="1"/>
  <c r="J43" i="1"/>
  <c r="K43" i="1" s="1"/>
  <c r="AK50" i="1"/>
  <c r="V33" i="1"/>
  <c r="W33" i="1" s="1"/>
  <c r="BA48" i="1"/>
  <c r="BQ48" i="1"/>
  <c r="BQ57" i="1"/>
  <c r="BM168" i="1" a="1"/>
  <c r="BM168" i="1" s="1"/>
  <c r="BM167" i="1" a="1"/>
  <c r="BM167" i="1" s="1"/>
  <c r="BM255" i="1" s="1"/>
  <c r="BM164" i="1"/>
  <c r="BM243" i="1" s="1"/>
  <c r="BM166" i="1"/>
  <c r="BM251" i="1" s="1"/>
  <c r="BM165" i="1"/>
  <c r="BM247" i="1" s="1"/>
  <c r="BQ113" i="1"/>
  <c r="BA49" i="1"/>
  <c r="BA202" i="1"/>
  <c r="AK65" i="1"/>
  <c r="U64" i="1"/>
  <c r="U126" i="1"/>
  <c r="BQ32" i="1"/>
  <c r="H96" i="1"/>
  <c r="H99" i="1" a="1"/>
  <c r="H99" i="1" s="1"/>
  <c r="H98" i="1" a="1"/>
  <c r="H98" i="1" s="1"/>
  <c r="H97" i="1"/>
  <c r="H95" i="1"/>
  <c r="L14" i="1"/>
  <c r="N14" i="1" s="1"/>
  <c r="BA181" i="1"/>
  <c r="BA112" i="1"/>
  <c r="BA13" i="1"/>
  <c r="Q99" i="1" a="1"/>
  <c r="Q99" i="1" s="1"/>
  <c r="J28" i="1"/>
  <c r="K28" i="1" s="1"/>
  <c r="M73" i="1"/>
  <c r="N73" i="1" s="1"/>
  <c r="O73" i="1" s="1"/>
  <c r="J73" i="1"/>
  <c r="K73" i="1" s="1"/>
  <c r="L13" i="1"/>
  <c r="AC48" i="1"/>
  <c r="AC121" i="1"/>
  <c r="AC190" i="1"/>
  <c r="AS15" i="1"/>
  <c r="AS66" i="1"/>
  <c r="AS115" i="1"/>
  <c r="AO112" i="1"/>
  <c r="AG96" i="1"/>
  <c r="AG246" i="1" s="1"/>
  <c r="BE112" i="1"/>
  <c r="J14" i="1"/>
  <c r="I95" i="1"/>
  <c r="I242" i="1" s="1"/>
  <c r="BI48" i="1"/>
  <c r="BI73" i="1"/>
  <c r="BI202" i="1"/>
  <c r="BA193" i="1"/>
  <c r="AC188" i="1"/>
  <c r="AG227" i="1" a="1"/>
  <c r="AG227" i="1" s="1"/>
  <c r="AG226" i="1" a="1"/>
  <c r="AG226" i="1" s="1"/>
  <c r="AG256" i="1" s="1"/>
  <c r="AG224" i="1"/>
  <c r="AG248" i="1" s="1"/>
  <c r="AG223" i="1"/>
  <c r="AG244" i="1" s="1"/>
  <c r="AG225" i="1"/>
  <c r="AG252" i="1" s="1"/>
  <c r="AK182" i="1"/>
  <c r="N124" i="1"/>
  <c r="O124" i="1" s="1"/>
  <c r="BI75" i="1"/>
  <c r="AS59" i="1"/>
  <c r="U43" i="1"/>
  <c r="BA68" i="1"/>
  <c r="BA58" i="1"/>
  <c r="AS51" i="1"/>
  <c r="AK41" i="1"/>
  <c r="U32" i="1"/>
  <c r="V32" i="1" s="1"/>
  <c r="W32" i="1" s="1"/>
  <c r="R32" i="1"/>
  <c r="S32" i="1" s="1"/>
  <c r="M29" i="1"/>
  <c r="N29" i="1" s="1"/>
  <c r="O29" i="1" s="1"/>
  <c r="AC24" i="1"/>
  <c r="BQ49" i="1"/>
  <c r="BQ64" i="1"/>
  <c r="BQ115" i="1"/>
  <c r="BQ198" i="1"/>
  <c r="BA64" i="1"/>
  <c r="BA115" i="1"/>
  <c r="BA184" i="1"/>
  <c r="AK66" i="1"/>
  <c r="AK184" i="1"/>
  <c r="R55" i="1"/>
  <c r="S55" i="1" s="1"/>
  <c r="U65" i="1"/>
  <c r="R115" i="1"/>
  <c r="S115" i="1" s="1"/>
  <c r="U115" i="1"/>
  <c r="V115" i="1" s="1"/>
  <c r="W115" i="1" s="1"/>
  <c r="R19" i="1"/>
  <c r="S19" i="1" s="1"/>
  <c r="AK181" i="1"/>
  <c r="AW112" i="1"/>
  <c r="Q95" i="1"/>
  <c r="Q242" i="1" s="1"/>
  <c r="M56" i="1"/>
  <c r="N56" i="1" s="1"/>
  <c r="O56" i="1" s="1"/>
  <c r="J56" i="1"/>
  <c r="K56" i="1" s="1"/>
  <c r="J74" i="1"/>
  <c r="K74" i="1" s="1"/>
  <c r="M184" i="1"/>
  <c r="N184" i="1" s="1"/>
  <c r="O184" i="1" s="1"/>
  <c r="J184" i="1"/>
  <c r="K184" i="1" s="1"/>
  <c r="BQ181" i="1"/>
  <c r="BQ112" i="1"/>
  <c r="BQ13" i="1"/>
  <c r="L112" i="1"/>
  <c r="AC15" i="1"/>
  <c r="AC49" i="1"/>
  <c r="AC126" i="1"/>
  <c r="BH10" i="1"/>
  <c r="BF10" i="1"/>
  <c r="BJ10" i="1" s="1"/>
  <c r="AR10" i="1"/>
  <c r="AP10" i="1"/>
  <c r="AT10" i="1" s="1"/>
  <c r="Y99" i="1" a="1"/>
  <c r="Y99" i="1" s="1"/>
  <c r="AS31" i="1"/>
  <c r="AS73" i="1"/>
  <c r="AO167" i="1" a="1"/>
  <c r="AO167" i="1" s="1"/>
  <c r="AO255" i="1" s="1"/>
  <c r="AO168" i="1" a="1"/>
  <c r="AO168" i="1" s="1"/>
  <c r="AO165" i="1"/>
  <c r="AO247" i="1" s="1"/>
  <c r="AO166" i="1"/>
  <c r="AO251" i="1" s="1"/>
  <c r="AO164" i="1"/>
  <c r="AO243" i="1" s="1"/>
  <c r="AS113" i="1"/>
  <c r="AS190" i="1"/>
  <c r="AO181" i="1"/>
  <c r="AC16" i="1"/>
  <c r="AG97" i="1"/>
  <c r="AG250" i="1" s="1"/>
  <c r="BE181" i="1"/>
  <c r="I96" i="1"/>
  <c r="I246" i="1" s="1"/>
  <c r="BI31" i="1"/>
  <c r="BI49" i="1"/>
  <c r="BI184" i="1"/>
  <c r="J10" i="1"/>
  <c r="AS193" i="1"/>
  <c r="AK203" i="1"/>
  <c r="BQ187" i="1"/>
  <c r="R182" i="1"/>
  <c r="Y227" i="1" a="1"/>
  <c r="Y227" i="1" s="1"/>
  <c r="Y224" i="1"/>
  <c r="Y248" i="1" s="1"/>
  <c r="Y225" i="1"/>
  <c r="Y252" i="1" s="1"/>
  <c r="Y226" i="1" a="1"/>
  <c r="Y226" i="1" s="1"/>
  <c r="Y256" i="1" s="1"/>
  <c r="Y223" i="1"/>
  <c r="Y244" i="1" s="1"/>
  <c r="AC182" i="1"/>
  <c r="AC115" i="1"/>
  <c r="R75" i="1"/>
  <c r="S75" i="1" s="1"/>
  <c r="AC71" i="1"/>
  <c r="J60" i="1"/>
  <c r="K60" i="1" s="1"/>
  <c r="J62" i="1"/>
  <c r="K62" i="1" s="1"/>
  <c r="AS52" i="1"/>
  <c r="R63" i="1"/>
  <c r="S63" i="1" s="1"/>
  <c r="R47" i="1"/>
  <c r="S47" i="1" s="1"/>
  <c r="J24" i="1"/>
  <c r="K24" i="1" s="1"/>
  <c r="M24" i="1"/>
  <c r="N24" i="1" s="1"/>
  <c r="O24" i="1" s="1"/>
  <c r="AK20" i="1"/>
  <c r="BA17" i="1"/>
  <c r="J35" i="1"/>
  <c r="K35" i="1" s="1"/>
  <c r="M39" i="1"/>
  <c r="N39" i="1" s="1"/>
  <c r="O39" i="1" s="1"/>
  <c r="AK22" i="1"/>
  <c r="BQ45" i="1"/>
  <c r="BQ65" i="1"/>
  <c r="BQ202" i="1"/>
  <c r="BA65" i="1"/>
  <c r="AW168" i="1" a="1"/>
  <c r="AW168" i="1" s="1"/>
  <c r="AW167" i="1" a="1"/>
  <c r="AW167" i="1" s="1"/>
  <c r="AW255" i="1" s="1"/>
  <c r="AW166" i="1"/>
  <c r="AW251" i="1" s="1"/>
  <c r="AW165" i="1"/>
  <c r="AW247" i="1" s="1"/>
  <c r="AW164" i="1"/>
  <c r="AW243" i="1" s="1"/>
  <c r="BA113" i="1"/>
  <c r="BA187" i="1"/>
  <c r="AK48" i="1"/>
  <c r="AK73" i="1"/>
  <c r="AK190" i="1"/>
  <c r="U56" i="1"/>
  <c r="R66" i="1"/>
  <c r="S66" i="1" s="1"/>
  <c r="U66" i="1"/>
  <c r="V66" i="1" s="1"/>
  <c r="W66" i="1" s="1"/>
  <c r="U190" i="1"/>
  <c r="AS46" i="1"/>
  <c r="BA31" i="1"/>
  <c r="AG112" i="1"/>
  <c r="AW13" i="1"/>
  <c r="AW181" i="1"/>
  <c r="AC17" i="1"/>
  <c r="BM98" i="1" a="1"/>
  <c r="BM98" i="1" s="1"/>
  <c r="BM254" i="1" s="1"/>
  <c r="Q96" i="1"/>
  <c r="Q246" i="1" s="1"/>
  <c r="M31" i="1"/>
  <c r="N31" i="1" s="1"/>
  <c r="O31" i="1" s="1"/>
  <c r="J31" i="1"/>
  <c r="K31" i="1" s="1"/>
  <c r="M32" i="1"/>
  <c r="N32" i="1" s="1"/>
  <c r="O32" i="1" s="1"/>
  <c r="J32" i="1"/>
  <c r="K32" i="1" s="1"/>
  <c r="M57" i="1"/>
  <c r="N57" i="1" s="1"/>
  <c r="O57" i="1" s="1"/>
  <c r="J57" i="1"/>
  <c r="K57" i="1" s="1"/>
  <c r="N187" i="1"/>
  <c r="O187" i="1" s="1"/>
  <c r="T14" i="1"/>
  <c r="V14" i="1" s="1"/>
  <c r="AS14" i="1"/>
  <c r="AC56" i="1"/>
  <c r="Y167" i="1" a="1"/>
  <c r="Y167" i="1" s="1"/>
  <c r="Y255" i="1" s="1"/>
  <c r="Y168" i="1" a="1"/>
  <c r="Y168" i="1" s="1"/>
  <c r="Y164" i="1"/>
  <c r="Y243" i="1" s="1"/>
  <c r="Y165" i="1"/>
  <c r="Y247" i="1" s="1"/>
  <c r="Y166" i="1"/>
  <c r="Y251" i="1" s="1"/>
  <c r="AC113" i="1"/>
  <c r="AC198" i="1"/>
  <c r="H167" i="1" a="1"/>
  <c r="H167" i="1" s="1"/>
  <c r="H168" i="1" a="1"/>
  <c r="H168" i="1" s="1"/>
  <c r="H166" i="1"/>
  <c r="H164" i="1"/>
  <c r="H165" i="1"/>
  <c r="L113" i="1"/>
  <c r="Y95" i="1"/>
  <c r="Y242" i="1" s="1"/>
  <c r="AS56" i="1"/>
  <c r="AS202" i="1"/>
  <c r="P112" i="1"/>
  <c r="T203" i="1"/>
  <c r="V203" i="1" s="1"/>
  <c r="W203" i="1" s="1"/>
  <c r="R181" i="1"/>
  <c r="T198" i="1"/>
  <c r="T193" i="1"/>
  <c r="T190" i="1"/>
  <c r="T184" i="1"/>
  <c r="T187" i="1"/>
  <c r="T122" i="1"/>
  <c r="V122" i="1" s="1"/>
  <c r="W122" i="1" s="1"/>
  <c r="T121" i="1"/>
  <c r="T126" i="1"/>
  <c r="T70" i="1"/>
  <c r="T73" i="1"/>
  <c r="T57" i="1"/>
  <c r="T56" i="1"/>
  <c r="T65" i="1"/>
  <c r="T64" i="1"/>
  <c r="T63" i="1"/>
  <c r="V63" i="1" s="1"/>
  <c r="W63" i="1" s="1"/>
  <c r="T49" i="1"/>
  <c r="T48" i="1"/>
  <c r="T43" i="1"/>
  <c r="T23" i="1"/>
  <c r="T22" i="1"/>
  <c r="V22" i="1" s="1"/>
  <c r="W22" i="1" s="1"/>
  <c r="T34" i="1"/>
  <c r="V34" i="1" s="1"/>
  <c r="W34" i="1" s="1"/>
  <c r="T31" i="1"/>
  <c r="R13" i="1"/>
  <c r="T39" i="1"/>
  <c r="V39" i="1" s="1"/>
  <c r="W39" i="1" s="1"/>
  <c r="T40" i="1"/>
  <c r="T16" i="1"/>
  <c r="V16" i="1" s="1"/>
  <c r="W16" i="1" s="1"/>
  <c r="T12" i="1"/>
  <c r="X13" i="1"/>
  <c r="V13" i="1"/>
  <c r="P8" i="1"/>
  <c r="T15" i="1"/>
  <c r="U181" i="1"/>
  <c r="U112" i="1"/>
  <c r="U13" i="1"/>
  <c r="I97" i="1"/>
  <c r="I250" i="1" s="1"/>
  <c r="I253" i="1" s="1"/>
  <c r="AX10" i="1"/>
  <c r="BB10" i="1" s="1"/>
  <c r="I13" i="1"/>
  <c r="I245" i="1" l="1"/>
  <c r="AW257" i="1"/>
  <c r="V181" i="1"/>
  <c r="D220" i="1"/>
  <c r="Q245" i="1"/>
  <c r="R112" i="1"/>
  <c r="D157" i="1"/>
  <c r="Q253" i="1"/>
  <c r="M112" i="1"/>
  <c r="Y257" i="1"/>
  <c r="Q257" i="1"/>
  <c r="Y245" i="1"/>
  <c r="I249" i="1"/>
  <c r="AK98" i="1" a="1"/>
  <c r="AK98" i="1" s="1"/>
  <c r="AK254" i="1" s="1"/>
  <c r="AC95" i="1"/>
  <c r="AC242" i="1" s="1"/>
  <c r="V184" i="1"/>
  <c r="W184" i="1" s="1"/>
  <c r="L226" i="1" a="1"/>
  <c r="L226" i="1" s="1"/>
  <c r="L256" i="1" s="1"/>
  <c r="V23" i="1"/>
  <c r="W23" i="1" s="1"/>
  <c r="I257" i="1"/>
  <c r="L224" i="1"/>
  <c r="BM257" i="1"/>
  <c r="AW245" i="1"/>
  <c r="R73" i="1"/>
  <c r="S73" i="1" s="1"/>
  <c r="AC97" i="1"/>
  <c r="AC250" i="1" s="1"/>
  <c r="R43" i="1"/>
  <c r="S43" i="1" s="1"/>
  <c r="BM253" i="1"/>
  <c r="R15" i="1"/>
  <c r="S15" i="1" s="1"/>
  <c r="U95" i="1"/>
  <c r="U242" i="1" s="1"/>
  <c r="BI96" i="1"/>
  <c r="BI246" i="1" s="1"/>
  <c r="AK99" i="1" a="1"/>
  <c r="AK99" i="1" s="1"/>
  <c r="AK258" i="1" s="1"/>
  <c r="BQ95" i="1"/>
  <c r="BQ242" i="1" s="1"/>
  <c r="BA96" i="1"/>
  <c r="BA246" i="1" s="1"/>
  <c r="V190" i="1"/>
  <c r="W190" i="1" s="1"/>
  <c r="W14" i="1"/>
  <c r="N103" i="1" a="1"/>
  <c r="N103" i="1" s="1"/>
  <c r="N104" i="1" a="1"/>
  <c r="N104" i="1" s="1"/>
  <c r="N274" i="1" s="1"/>
  <c r="N106" i="1" a="1"/>
  <c r="N106" i="1" s="1"/>
  <c r="N107" i="1" a="1"/>
  <c r="N107" i="1" s="1"/>
  <c r="N286" i="1" s="1"/>
  <c r="O14" i="1"/>
  <c r="BE260" i="1"/>
  <c r="BE228" i="1"/>
  <c r="D82" i="1"/>
  <c r="D93" i="1"/>
  <c r="D136" i="1"/>
  <c r="D129" i="1"/>
  <c r="D145" i="1"/>
  <c r="D159" i="1"/>
  <c r="D152" i="1"/>
  <c r="D206" i="1"/>
  <c r="D213" i="1"/>
  <c r="V40" i="1"/>
  <c r="W40" i="1" s="1"/>
  <c r="X112" i="1"/>
  <c r="R198" i="1"/>
  <c r="S198" i="1" s="1"/>
  <c r="H252" i="1"/>
  <c r="J225" i="1"/>
  <c r="L248" i="1"/>
  <c r="R70" i="1"/>
  <c r="S70" i="1" s="1"/>
  <c r="P227" i="1" a="1"/>
  <c r="P227" i="1" s="1"/>
  <c r="J231" i="1" a="1"/>
  <c r="J231" i="1" s="1"/>
  <c r="P99" i="1" a="1"/>
  <c r="P99" i="1" s="1"/>
  <c r="Y260" i="1"/>
  <c r="Y228" i="1"/>
  <c r="AS166" i="1"/>
  <c r="AS251" i="1" s="1"/>
  <c r="AS167" i="1" a="1"/>
  <c r="AS167" i="1" s="1"/>
  <c r="AS255" i="1" s="1"/>
  <c r="AS168" i="1" a="1"/>
  <c r="AS168" i="1" s="1"/>
  <c r="AS165" i="1"/>
  <c r="AS247" i="1" s="1"/>
  <c r="AS164" i="1"/>
  <c r="AS243" i="1" s="1"/>
  <c r="AK13" i="1"/>
  <c r="H254" i="1"/>
  <c r="J98" i="1"/>
  <c r="AO260" i="1"/>
  <c r="AO228" i="1"/>
  <c r="AG257" i="1"/>
  <c r="R29" i="1"/>
  <c r="S29" i="1" s="1"/>
  <c r="T29" i="1"/>
  <c r="V29" i="1" s="1"/>
  <c r="W29" i="1" s="1"/>
  <c r="L167" i="1" a="1"/>
  <c r="L167" i="1" s="1"/>
  <c r="L165" i="1"/>
  <c r="L168" i="1" a="1"/>
  <c r="L168" i="1" s="1"/>
  <c r="L166" i="1"/>
  <c r="L164" i="1"/>
  <c r="P97" i="1"/>
  <c r="Q249" i="1"/>
  <c r="R190" i="1"/>
  <c r="S190" i="1" s="1"/>
  <c r="N10" i="1"/>
  <c r="J13" i="1"/>
  <c r="J181" i="1"/>
  <c r="J112" i="1"/>
  <c r="AG253" i="1"/>
  <c r="AK95" i="1"/>
  <c r="AK242" i="1" s="1"/>
  <c r="R65" i="1"/>
  <c r="S65" i="1" s="1"/>
  <c r="V43" i="1"/>
  <c r="W43" i="1" s="1"/>
  <c r="AG260" i="1"/>
  <c r="AG228" i="1"/>
  <c r="AC96" i="1"/>
  <c r="AC246" i="1" s="1"/>
  <c r="H258" i="1"/>
  <c r="J99" i="1"/>
  <c r="H100" i="1"/>
  <c r="AW260" i="1"/>
  <c r="AW228" i="1"/>
  <c r="R184" i="1"/>
  <c r="S184" i="1" s="1"/>
  <c r="D85" i="1"/>
  <c r="D78" i="1"/>
  <c r="D130" i="1"/>
  <c r="D133" i="1"/>
  <c r="D141" i="1"/>
  <c r="D137" i="1"/>
  <c r="D156" i="1"/>
  <c r="D207" i="1"/>
  <c r="D214" i="1"/>
  <c r="M13" i="1"/>
  <c r="BQ224" i="1"/>
  <c r="BQ248" i="1" s="1"/>
  <c r="BQ225" i="1"/>
  <c r="BQ252" i="1" s="1"/>
  <c r="BQ223" i="1"/>
  <c r="BQ244" i="1" s="1"/>
  <c r="BQ226" i="1" a="1"/>
  <c r="BQ226" i="1" s="1"/>
  <c r="BQ256" i="1" s="1"/>
  <c r="BQ227" i="1" a="1"/>
  <c r="BQ227" i="1" s="1"/>
  <c r="T13" i="1"/>
  <c r="BI97" i="1"/>
  <c r="BI250" i="1" s="1"/>
  <c r="BM245" i="1"/>
  <c r="V198" i="1"/>
  <c r="W198" i="1" s="1"/>
  <c r="R23" i="1"/>
  <c r="S23" i="1" s="1"/>
  <c r="H256" i="1"/>
  <c r="J226" i="1"/>
  <c r="I260" i="1"/>
  <c r="I228" i="1"/>
  <c r="L225" i="1"/>
  <c r="V70" i="1"/>
  <c r="W70" i="1" s="1"/>
  <c r="U224" i="1"/>
  <c r="U248" i="1" s="1"/>
  <c r="U227" i="1" a="1"/>
  <c r="U227" i="1" s="1"/>
  <c r="U223" i="1"/>
  <c r="U244" i="1" s="1"/>
  <c r="U226" i="1" a="1"/>
  <c r="U226" i="1" s="1"/>
  <c r="U256" i="1" s="1"/>
  <c r="U225" i="1"/>
  <c r="U252" i="1" s="1"/>
  <c r="V182" i="1"/>
  <c r="J234" i="1" a="1"/>
  <c r="J234" i="1" s="1"/>
  <c r="H244" i="1"/>
  <c r="J223" i="1"/>
  <c r="BA95" i="1"/>
  <c r="BA242" i="1" s="1"/>
  <c r="I259" i="1"/>
  <c r="I169" i="1"/>
  <c r="R57" i="1"/>
  <c r="S57" i="1" s="1"/>
  <c r="N186" i="1"/>
  <c r="O186" i="1" s="1"/>
  <c r="T30" i="1"/>
  <c r="V30" i="1" s="1"/>
  <c r="W30" i="1" s="1"/>
  <c r="R30" i="1"/>
  <c r="S30" i="1" s="1"/>
  <c r="T26" i="1"/>
  <c r="V26" i="1" s="1"/>
  <c r="W26" i="1" s="1"/>
  <c r="R26" i="1"/>
  <c r="S26" i="1" s="1"/>
  <c r="T185" i="1"/>
  <c r="V185" i="1" s="1"/>
  <c r="W185" i="1" s="1"/>
  <c r="R185" i="1"/>
  <c r="S185" i="1" s="1"/>
  <c r="D88" i="1"/>
  <c r="D150" i="1"/>
  <c r="D210" i="1"/>
  <c r="BI95" i="1"/>
  <c r="BI242" i="1" s="1"/>
  <c r="T20" i="1"/>
  <c r="V20" i="1" s="1"/>
  <c r="W20" i="1" s="1"/>
  <c r="R20" i="1"/>
  <c r="S20" i="1" s="1"/>
  <c r="T35" i="1"/>
  <c r="V35" i="1" s="1"/>
  <c r="W35" i="1" s="1"/>
  <c r="R35" i="1"/>
  <c r="S35" i="1" s="1"/>
  <c r="T44" i="1"/>
  <c r="V44" i="1" s="1"/>
  <c r="W44" i="1" s="1"/>
  <c r="R44" i="1"/>
  <c r="S44" i="1" s="1"/>
  <c r="T125" i="1"/>
  <c r="V125" i="1" s="1"/>
  <c r="W125" i="1" s="1"/>
  <c r="R125" i="1"/>
  <c r="S125" i="1" s="1"/>
  <c r="T197" i="1"/>
  <c r="V197" i="1" s="1"/>
  <c r="W197" i="1" s="1"/>
  <c r="R197" i="1"/>
  <c r="S197" i="1" s="1"/>
  <c r="H243" i="1"/>
  <c r="J164" i="1"/>
  <c r="AS99" i="1" a="1"/>
  <c r="AS99" i="1" s="1"/>
  <c r="AS98" i="1" a="1"/>
  <c r="AS98" i="1" s="1"/>
  <c r="AS254" i="1" s="1"/>
  <c r="AS96" i="1"/>
  <c r="AS246" i="1" s="1"/>
  <c r="AS95" i="1"/>
  <c r="AS242" i="1" s="1"/>
  <c r="AS97" i="1"/>
  <c r="AS250" i="1" s="1"/>
  <c r="AC224" i="1"/>
  <c r="AC248" i="1" s="1"/>
  <c r="AC227" i="1" a="1"/>
  <c r="AC227" i="1" s="1"/>
  <c r="AC223" i="1"/>
  <c r="AC244" i="1" s="1"/>
  <c r="AC226" i="1" a="1"/>
  <c r="AC226" i="1" s="1"/>
  <c r="AC256" i="1" s="1"/>
  <c r="AC225" i="1"/>
  <c r="AC252" i="1" s="1"/>
  <c r="J107" i="1" a="1"/>
  <c r="J107" i="1" s="1"/>
  <c r="J286" i="1" s="1"/>
  <c r="J103" i="1" a="1"/>
  <c r="J103" i="1" s="1"/>
  <c r="J104" i="1" a="1"/>
  <c r="J104" i="1" s="1"/>
  <c r="J274" i="1" s="1"/>
  <c r="J106" i="1" a="1"/>
  <c r="J106" i="1" s="1"/>
  <c r="K14" i="1"/>
  <c r="AC98" i="1" a="1"/>
  <c r="AC98" i="1" s="1"/>
  <c r="AC254" i="1" s="1"/>
  <c r="Q258" i="1"/>
  <c r="Q100" i="1"/>
  <c r="U97" i="1"/>
  <c r="U250" i="1" s="1"/>
  <c r="Q259" i="1"/>
  <c r="Q169" i="1"/>
  <c r="M98" i="1" a="1"/>
  <c r="M98" i="1" s="1"/>
  <c r="M254" i="1" s="1"/>
  <c r="V15" i="1"/>
  <c r="W15" i="1" s="1"/>
  <c r="V49" i="1"/>
  <c r="W49" i="1" s="1"/>
  <c r="AG259" i="1"/>
  <c r="AG169" i="1"/>
  <c r="BI227" i="1" a="1"/>
  <c r="BI227" i="1" s="1"/>
  <c r="BI224" i="1"/>
  <c r="BI248" i="1" s="1"/>
  <c r="BI226" i="1" a="1"/>
  <c r="BI226" i="1" s="1"/>
  <c r="BI256" i="1" s="1"/>
  <c r="BI223" i="1"/>
  <c r="BI244" i="1" s="1"/>
  <c r="BI225" i="1"/>
  <c r="BI252" i="1" s="1"/>
  <c r="D76" i="1"/>
  <c r="D84" i="1"/>
  <c r="D92" i="1"/>
  <c r="D89" i="1"/>
  <c r="D86" i="1"/>
  <c r="D127" i="1"/>
  <c r="D135" i="1"/>
  <c r="D131" i="1"/>
  <c r="D160" i="1"/>
  <c r="D154" i="1"/>
  <c r="D204" i="1"/>
  <c r="D221" i="1"/>
  <c r="D212" i="1"/>
  <c r="D216" i="1"/>
  <c r="BQ97" i="1"/>
  <c r="BQ250" i="1" s="1"/>
  <c r="AO257" i="1"/>
  <c r="R187" i="1"/>
  <c r="S187" i="1" s="1"/>
  <c r="BE257" i="1"/>
  <c r="T181" i="1"/>
  <c r="BI98" i="1" a="1"/>
  <c r="BI98" i="1" s="1"/>
  <c r="BI254" i="1" s="1"/>
  <c r="V73" i="1"/>
  <c r="W73" i="1" s="1"/>
  <c r="H260" i="1"/>
  <c r="J227" i="1"/>
  <c r="H228" i="1"/>
  <c r="V57" i="1"/>
  <c r="W57" i="1" s="1"/>
  <c r="V65" i="1"/>
  <c r="W65" i="1" s="1"/>
  <c r="I258" i="1"/>
  <c r="I100" i="1"/>
  <c r="D134" i="1"/>
  <c r="BE259" i="1"/>
  <c r="BE169" i="1"/>
  <c r="R37" i="1"/>
  <c r="S37" i="1" s="1"/>
  <c r="T37" i="1"/>
  <c r="V37" i="1" s="1"/>
  <c r="W37" i="1" s="1"/>
  <c r="R194" i="1"/>
  <c r="S194" i="1" s="1"/>
  <c r="T194" i="1"/>
  <c r="V194" i="1" s="1"/>
  <c r="W194" i="1" s="1"/>
  <c r="R201" i="1"/>
  <c r="S201" i="1" s="1"/>
  <c r="T201" i="1"/>
  <c r="H251" i="1"/>
  <c r="J166" i="1"/>
  <c r="Y258" i="1"/>
  <c r="Y100" i="1"/>
  <c r="AK227" i="1" a="1"/>
  <c r="AK227" i="1" s="1"/>
  <c r="AK224" i="1"/>
  <c r="AK248" i="1" s="1"/>
  <c r="AK225" i="1"/>
  <c r="AK252" i="1" s="1"/>
  <c r="AK223" i="1"/>
  <c r="AK244" i="1" s="1"/>
  <c r="AK226" i="1" a="1"/>
  <c r="AK226" i="1" s="1"/>
  <c r="AK256" i="1" s="1"/>
  <c r="AG249" i="1"/>
  <c r="AC99" i="1" a="1"/>
  <c r="AC99" i="1" s="1"/>
  <c r="R126" i="1"/>
  <c r="S126" i="1" s="1"/>
  <c r="BM259" i="1"/>
  <c r="BM169" i="1"/>
  <c r="AG245" i="1"/>
  <c r="U98" i="1" a="1"/>
  <c r="U98" i="1" s="1"/>
  <c r="U254" i="1" s="1"/>
  <c r="R48" i="1"/>
  <c r="S48" i="1" s="1"/>
  <c r="BA227" i="1" a="1"/>
  <c r="BA227" i="1" s="1"/>
  <c r="BA224" i="1"/>
  <c r="BA248" i="1" s="1"/>
  <c r="BA226" i="1" a="1"/>
  <c r="BA226" i="1" s="1"/>
  <c r="BA256" i="1" s="1"/>
  <c r="BA223" i="1"/>
  <c r="BA244" i="1" s="1"/>
  <c r="BA225" i="1"/>
  <c r="BA252" i="1" s="1"/>
  <c r="AW249" i="1"/>
  <c r="M99" i="1" a="1"/>
  <c r="M99" i="1" s="1"/>
  <c r="R49" i="1"/>
  <c r="S49" i="1" s="1"/>
  <c r="D81" i="1"/>
  <c r="D80" i="1"/>
  <c r="D128" i="1"/>
  <c r="D148" i="1"/>
  <c r="D140" i="1"/>
  <c r="D149" i="1"/>
  <c r="D162" i="1"/>
  <c r="D208" i="1"/>
  <c r="D215" i="1"/>
  <c r="E181" i="1"/>
  <c r="E112" i="1"/>
  <c r="E13" i="1"/>
  <c r="E207" i="1"/>
  <c r="E209" i="1"/>
  <c r="E204" i="1"/>
  <c r="E183" i="1"/>
  <c r="E182" i="1"/>
  <c r="E148" i="1"/>
  <c r="E152" i="1"/>
  <c r="E144" i="1"/>
  <c r="E135" i="1"/>
  <c r="E118" i="1"/>
  <c r="E137" i="1"/>
  <c r="E79" i="1"/>
  <c r="E78" i="1"/>
  <c r="E47" i="1"/>
  <c r="E76" i="1"/>
  <c r="E54" i="1"/>
  <c r="E61" i="1"/>
  <c r="E51" i="1"/>
  <c r="E27" i="1"/>
  <c r="E41" i="1"/>
  <c r="E213" i="1"/>
  <c r="E208" i="1"/>
  <c r="E200" i="1"/>
  <c r="E184" i="1"/>
  <c r="E159" i="1"/>
  <c r="E140" i="1"/>
  <c r="E139" i="1"/>
  <c r="E147" i="1"/>
  <c r="E126" i="1"/>
  <c r="E119" i="1"/>
  <c r="E133" i="1"/>
  <c r="E92" i="1"/>
  <c r="E89" i="1"/>
  <c r="E39" i="1"/>
  <c r="E71" i="1"/>
  <c r="E42" i="1"/>
  <c r="E60" i="1"/>
  <c r="E67" i="1"/>
  <c r="E26" i="1"/>
  <c r="E36" i="1"/>
  <c r="E24" i="1"/>
  <c r="E15" i="1"/>
  <c r="E219" i="1"/>
  <c r="E221" i="1"/>
  <c r="E196" i="1"/>
  <c r="E192" i="1"/>
  <c r="E188" i="1"/>
  <c r="E187" i="1"/>
  <c r="E161" i="1"/>
  <c r="E142" i="1"/>
  <c r="E153" i="1"/>
  <c r="E127" i="1"/>
  <c r="E134" i="1"/>
  <c r="E122" i="1"/>
  <c r="E81" i="1"/>
  <c r="E85" i="1"/>
  <c r="E75" i="1"/>
  <c r="E65" i="1"/>
  <c r="E29" i="1"/>
  <c r="E62" i="1"/>
  <c r="E52" i="1"/>
  <c r="E35" i="1"/>
  <c r="E40" i="1"/>
  <c r="E23" i="1"/>
  <c r="E216" i="1"/>
  <c r="E210" i="1"/>
  <c r="E197" i="1"/>
  <c r="E199" i="1"/>
  <c r="E185" i="1"/>
  <c r="E162" i="1"/>
  <c r="E158" i="1"/>
  <c r="E141" i="1"/>
  <c r="E149" i="1"/>
  <c r="E130" i="1"/>
  <c r="E123" i="1"/>
  <c r="E116" i="1"/>
  <c r="E80" i="1"/>
  <c r="E88" i="1"/>
  <c r="E70" i="1"/>
  <c r="E77" i="1"/>
  <c r="E59" i="1"/>
  <c r="E50" i="1"/>
  <c r="E53" i="1"/>
  <c r="E34" i="1"/>
  <c r="E25" i="1"/>
  <c r="E220" i="1"/>
  <c r="B220" i="1" s="1"/>
  <c r="E206" i="1"/>
  <c r="E189" i="1"/>
  <c r="E193" i="1"/>
  <c r="E195" i="1"/>
  <c r="E155" i="1"/>
  <c r="E150" i="1"/>
  <c r="E132" i="1"/>
  <c r="E136" i="1"/>
  <c r="E129" i="1"/>
  <c r="E114" i="1"/>
  <c r="E117" i="1"/>
  <c r="E72" i="1"/>
  <c r="E74" i="1"/>
  <c r="E64" i="1"/>
  <c r="E73" i="1"/>
  <c r="E43" i="1"/>
  <c r="E49" i="1"/>
  <c r="E38" i="1"/>
  <c r="E31" i="1"/>
  <c r="E45" i="1"/>
  <c r="E18" i="1"/>
  <c r="E20" i="1"/>
  <c r="E217" i="1"/>
  <c r="E205" i="1"/>
  <c r="E203" i="1"/>
  <c r="E201" i="1"/>
  <c r="E190" i="1"/>
  <c r="E156" i="1"/>
  <c r="E157" i="1"/>
  <c r="C157" i="1" s="1"/>
  <c r="E145" i="1"/>
  <c r="E128" i="1"/>
  <c r="E120" i="1"/>
  <c r="E113" i="1"/>
  <c r="E93" i="1"/>
  <c r="E82" i="1"/>
  <c r="E69" i="1"/>
  <c r="E56" i="1"/>
  <c r="E66" i="1"/>
  <c r="E30" i="1"/>
  <c r="E46" i="1"/>
  <c r="E19" i="1"/>
  <c r="E28" i="1"/>
  <c r="E37" i="1"/>
  <c r="E212" i="1"/>
  <c r="E215" i="1"/>
  <c r="E202" i="1"/>
  <c r="E191" i="1"/>
  <c r="E186" i="1"/>
  <c r="E160" i="1"/>
  <c r="E151" i="1"/>
  <c r="E143" i="1"/>
  <c r="E124" i="1"/>
  <c r="E131" i="1"/>
  <c r="E87" i="1"/>
  <c r="E91" i="1"/>
  <c r="E84" i="1"/>
  <c r="E63" i="1"/>
  <c r="E48" i="1"/>
  <c r="E58" i="1"/>
  <c r="E22" i="1"/>
  <c r="E33" i="1"/>
  <c r="E14" i="1"/>
  <c r="E21" i="1"/>
  <c r="E17" i="1"/>
  <c r="E218" i="1"/>
  <c r="E211" i="1"/>
  <c r="E214" i="1"/>
  <c r="E194" i="1"/>
  <c r="E198" i="1"/>
  <c r="E154" i="1"/>
  <c r="E138" i="1"/>
  <c r="E146" i="1"/>
  <c r="E125" i="1"/>
  <c r="E121" i="1"/>
  <c r="E115" i="1"/>
  <c r="E90" i="1"/>
  <c r="E86" i="1"/>
  <c r="E55" i="1"/>
  <c r="E83" i="1"/>
  <c r="E57" i="1"/>
  <c r="E44" i="1"/>
  <c r="E68" i="1"/>
  <c r="E32" i="1"/>
  <c r="E16" i="1"/>
  <c r="BQ96" i="1"/>
  <c r="BQ246" i="1" s="1"/>
  <c r="AO258" i="1"/>
  <c r="AO100" i="1"/>
  <c r="V187" i="1"/>
  <c r="W187" i="1" s="1"/>
  <c r="V193" i="1"/>
  <c r="W193" i="1" s="1"/>
  <c r="BE258" i="1"/>
  <c r="BE100" i="1"/>
  <c r="BI99" i="1" a="1"/>
  <c r="BI99" i="1" s="1"/>
  <c r="M224" i="1"/>
  <c r="M248" i="1" s="1"/>
  <c r="M227" i="1" a="1"/>
  <c r="M227" i="1" s="1"/>
  <c r="M225" i="1"/>
  <c r="M252" i="1" s="1"/>
  <c r="M223" i="1"/>
  <c r="M244" i="1" s="1"/>
  <c r="M226" i="1" a="1"/>
  <c r="M226" i="1" s="1"/>
  <c r="M256" i="1" s="1"/>
  <c r="N182" i="1"/>
  <c r="BA97" i="1"/>
  <c r="BA250" i="1" s="1"/>
  <c r="BM258" i="1"/>
  <c r="BM100" i="1"/>
  <c r="P223" i="1"/>
  <c r="Z181" i="1"/>
  <c r="AD181" i="1"/>
  <c r="AD112" i="1"/>
  <c r="Z112" i="1"/>
  <c r="Z13" i="1"/>
  <c r="AB12" i="1"/>
  <c r="AB181" i="1" s="1"/>
  <c r="X8" i="1"/>
  <c r="AD13" i="1"/>
  <c r="H259" i="1"/>
  <c r="H169" i="1"/>
  <c r="J168" i="1"/>
  <c r="P96" i="1"/>
  <c r="R56" i="1"/>
  <c r="S56" i="1" s="1"/>
  <c r="AW259" i="1"/>
  <c r="AW169" i="1"/>
  <c r="AO259" i="1"/>
  <c r="AO169" i="1"/>
  <c r="L95" i="1"/>
  <c r="L99" i="1" a="1"/>
  <c r="L99" i="1" s="1"/>
  <c r="L98" i="1" a="1"/>
  <c r="L98" i="1" s="1"/>
  <c r="L96" i="1"/>
  <c r="L97" i="1"/>
  <c r="V126" i="1"/>
  <c r="W126" i="1" s="1"/>
  <c r="AS227" i="1" a="1"/>
  <c r="AS227" i="1" s="1"/>
  <c r="AS224" i="1"/>
  <c r="AS248" i="1" s="1"/>
  <c r="AS223" i="1"/>
  <c r="AS244" i="1" s="1"/>
  <c r="AS225" i="1"/>
  <c r="AS252" i="1" s="1"/>
  <c r="AS226" i="1" a="1"/>
  <c r="AS226" i="1" s="1"/>
  <c r="AS256" i="1" s="1"/>
  <c r="U99" i="1" a="1"/>
  <c r="U99" i="1" s="1"/>
  <c r="V48" i="1"/>
  <c r="W48" i="1" s="1"/>
  <c r="M97" i="1"/>
  <c r="M250" i="1" s="1"/>
  <c r="AK167" i="1" a="1"/>
  <c r="AK167" i="1" s="1"/>
  <c r="AK255" i="1" s="1"/>
  <c r="AK166" i="1"/>
  <c r="AK251" i="1" s="1"/>
  <c r="AK168" i="1" a="1"/>
  <c r="AK168" i="1" s="1"/>
  <c r="AK164" i="1"/>
  <c r="AK243" i="1" s="1"/>
  <c r="AK165" i="1"/>
  <c r="AK247" i="1" s="1"/>
  <c r="V31" i="1"/>
  <c r="W31" i="1" s="1"/>
  <c r="R34" i="1"/>
  <c r="S34" i="1" s="1"/>
  <c r="D87" i="1"/>
  <c r="D79" i="1"/>
  <c r="D144" i="1"/>
  <c r="D138" i="1"/>
  <c r="D153" i="1"/>
  <c r="D161" i="1"/>
  <c r="D209" i="1"/>
  <c r="D217" i="1"/>
  <c r="BQ98" i="1" a="1"/>
  <c r="BQ98" i="1" s="1"/>
  <c r="BQ254" i="1" s="1"/>
  <c r="AO245" i="1"/>
  <c r="BM260" i="1"/>
  <c r="BM228" i="1"/>
  <c r="R193" i="1"/>
  <c r="S193" i="1" s="1"/>
  <c r="BE245" i="1"/>
  <c r="Y253" i="1"/>
  <c r="L227" i="1" a="1"/>
  <c r="L227" i="1" s="1"/>
  <c r="BA98" i="1" a="1"/>
  <c r="BA98" i="1" s="1"/>
  <c r="BA254" i="1" s="1"/>
  <c r="J173" i="1" a="1"/>
  <c r="J173" i="1" s="1"/>
  <c r="J275" i="1" s="1"/>
  <c r="J176" i="1" a="1"/>
  <c r="J176" i="1" s="1"/>
  <c r="J287" i="1" s="1"/>
  <c r="J175" i="1" a="1"/>
  <c r="J175" i="1" s="1"/>
  <c r="J172" i="1" a="1"/>
  <c r="J172" i="1" s="1"/>
  <c r="K113" i="1"/>
  <c r="P225" i="1"/>
  <c r="D83" i="1"/>
  <c r="D142" i="1"/>
  <c r="D211" i="1"/>
  <c r="R27" i="1"/>
  <c r="S27" i="1" s="1"/>
  <c r="T27" i="1"/>
  <c r="V27" i="1" s="1"/>
  <c r="W27" i="1" s="1"/>
  <c r="P167" i="1" a="1"/>
  <c r="P167" i="1" s="1"/>
  <c r="P168" i="1" a="1"/>
  <c r="P168" i="1" s="1"/>
  <c r="P166" i="1"/>
  <c r="P165" i="1"/>
  <c r="P164" i="1"/>
  <c r="T113" i="1"/>
  <c r="V113" i="1" s="1"/>
  <c r="Y259" i="1"/>
  <c r="Y169" i="1"/>
  <c r="P98" i="1" a="1"/>
  <c r="P98" i="1" s="1"/>
  <c r="V56" i="1"/>
  <c r="W56" i="1" s="1"/>
  <c r="AK97" i="1"/>
  <c r="AK250" i="1" s="1"/>
  <c r="H242" i="1"/>
  <c r="J95" i="1"/>
  <c r="V64" i="1"/>
  <c r="W64" i="1" s="1"/>
  <c r="U96" i="1"/>
  <c r="U246" i="1" s="1"/>
  <c r="R113" i="1"/>
  <c r="M95" i="1"/>
  <c r="M242" i="1" s="1"/>
  <c r="R31" i="1"/>
  <c r="S31" i="1" s="1"/>
  <c r="D90" i="1"/>
  <c r="D146" i="1"/>
  <c r="D151" i="1"/>
  <c r="D139" i="1"/>
  <c r="D158" i="1"/>
  <c r="D219" i="1"/>
  <c r="D218" i="1"/>
  <c r="X181" i="1"/>
  <c r="BQ99" i="1" a="1"/>
  <c r="BQ99" i="1" s="1"/>
  <c r="BM249" i="1"/>
  <c r="AO249" i="1"/>
  <c r="R22" i="1"/>
  <c r="S22" i="1" s="1"/>
  <c r="BI166" i="1"/>
  <c r="BI251" i="1" s="1"/>
  <c r="BI167" i="1" a="1"/>
  <c r="BI167" i="1" s="1"/>
  <c r="BI255" i="1" s="1"/>
  <c r="BI168" i="1" a="1"/>
  <c r="BI168" i="1" s="1"/>
  <c r="BI164" i="1"/>
  <c r="BI243" i="1" s="1"/>
  <c r="BI165" i="1"/>
  <c r="BI247" i="1" s="1"/>
  <c r="BE249" i="1"/>
  <c r="AW258" i="1"/>
  <c r="AW261" i="1" s="1"/>
  <c r="AW265" i="1" s="1"/>
  <c r="AW100" i="1"/>
  <c r="R122" i="1"/>
  <c r="S122" i="1" s="1"/>
  <c r="L223" i="1"/>
  <c r="BA99" i="1" a="1"/>
  <c r="BA99" i="1" s="1"/>
  <c r="M166" i="1"/>
  <c r="M251" i="1" s="1"/>
  <c r="M167" i="1" a="1"/>
  <c r="M167" i="1" s="1"/>
  <c r="M255" i="1" s="1"/>
  <c r="M165" i="1"/>
  <c r="M247" i="1" s="1"/>
  <c r="M168" i="1" a="1"/>
  <c r="M168" i="1" s="1"/>
  <c r="M164" i="1"/>
  <c r="M243" i="1" s="1"/>
  <c r="N113" i="1"/>
  <c r="R121" i="1"/>
  <c r="S121" i="1" s="1"/>
  <c r="P226" i="1" a="1"/>
  <c r="P226" i="1" s="1"/>
  <c r="Q260" i="1"/>
  <c r="Q228" i="1"/>
  <c r="J235" i="1" a="1"/>
  <c r="J235" i="1" s="1"/>
  <c r="J288" i="1" s="1"/>
  <c r="H247" i="1"/>
  <c r="J165" i="1"/>
  <c r="AC166" i="1"/>
  <c r="AC251" i="1" s="1"/>
  <c r="AC253" i="1" s="1"/>
  <c r="AC167" i="1" a="1"/>
  <c r="AC167" i="1" s="1"/>
  <c r="AC255" i="1" s="1"/>
  <c r="AC168" i="1" a="1"/>
  <c r="AC168" i="1" s="1"/>
  <c r="AC164" i="1"/>
  <c r="AC243" i="1" s="1"/>
  <c r="AC165" i="1"/>
  <c r="AC247" i="1" s="1"/>
  <c r="H246" i="1"/>
  <c r="J96" i="1"/>
  <c r="M96" i="1"/>
  <c r="M246" i="1" s="1"/>
  <c r="R69" i="1"/>
  <c r="S69" i="1" s="1"/>
  <c r="T69" i="1"/>
  <c r="V69" i="1" s="1"/>
  <c r="W69" i="1" s="1"/>
  <c r="H255" i="1"/>
  <c r="J167" i="1"/>
  <c r="T41" i="1"/>
  <c r="V41" i="1" s="1"/>
  <c r="W41" i="1" s="1"/>
  <c r="R41" i="1"/>
  <c r="S41" i="1" s="1"/>
  <c r="T60" i="1"/>
  <c r="R60" i="1"/>
  <c r="S60" i="1" s="1"/>
  <c r="P95" i="1"/>
  <c r="BA167" i="1" a="1"/>
  <c r="BA167" i="1" s="1"/>
  <c r="BA255" i="1" s="1"/>
  <c r="BA166" i="1"/>
  <c r="BA251" i="1" s="1"/>
  <c r="BA168" i="1" a="1"/>
  <c r="BA168" i="1" s="1"/>
  <c r="BA164" i="1"/>
  <c r="BA243" i="1" s="1"/>
  <c r="BA165" i="1"/>
  <c r="BA247" i="1" s="1"/>
  <c r="S182" i="1"/>
  <c r="AK96" i="1"/>
  <c r="AK246" i="1" s="1"/>
  <c r="H250" i="1"/>
  <c r="J97" i="1"/>
  <c r="R64" i="1"/>
  <c r="S64" i="1" s="1"/>
  <c r="BQ167" i="1" a="1"/>
  <c r="BQ167" i="1" s="1"/>
  <c r="BQ255" i="1" s="1"/>
  <c r="BQ166" i="1"/>
  <c r="BQ251" i="1" s="1"/>
  <c r="BQ168" i="1" a="1"/>
  <c r="BQ168" i="1" s="1"/>
  <c r="BQ165" i="1"/>
  <c r="BQ247" i="1" s="1"/>
  <c r="BQ164" i="1"/>
  <c r="BQ243" i="1" s="1"/>
  <c r="AW253" i="1"/>
  <c r="U167" i="1" a="1"/>
  <c r="U167" i="1" s="1"/>
  <c r="U255" i="1" s="1"/>
  <c r="U166" i="1"/>
  <c r="U251" i="1" s="1"/>
  <c r="U168" i="1" a="1"/>
  <c r="U168" i="1" s="1"/>
  <c r="U165" i="1"/>
  <c r="U247" i="1" s="1"/>
  <c r="U164" i="1"/>
  <c r="U243" i="1" s="1"/>
  <c r="U245" i="1" s="1"/>
  <c r="AG258" i="1"/>
  <c r="AG261" i="1" s="1"/>
  <c r="AG265" i="1" s="1"/>
  <c r="AG100" i="1"/>
  <c r="R39" i="1"/>
  <c r="S39" i="1" s="1"/>
  <c r="D77" i="1"/>
  <c r="D91" i="1"/>
  <c r="D132" i="1"/>
  <c r="D143" i="1"/>
  <c r="D155" i="1"/>
  <c r="D147" i="1"/>
  <c r="D205" i="1"/>
  <c r="AO253" i="1"/>
  <c r="R40" i="1"/>
  <c r="S40" i="1" s="1"/>
  <c r="BE253" i="1"/>
  <c r="H248" i="1"/>
  <c r="J224" i="1"/>
  <c r="R203" i="1"/>
  <c r="S203" i="1" s="1"/>
  <c r="Y249" i="1"/>
  <c r="V121" i="1"/>
  <c r="W121" i="1" s="1"/>
  <c r="P224" i="1"/>
  <c r="J232" i="1" a="1"/>
  <c r="J232" i="1" s="1"/>
  <c r="J276" i="1" s="1"/>
  <c r="R16" i="1"/>
  <c r="S16" i="1" s="1"/>
  <c r="AK257" i="1" l="1"/>
  <c r="BI249" i="1"/>
  <c r="AK249" i="1"/>
  <c r="H253" i="1"/>
  <c r="BQ245" i="1"/>
  <c r="BA249" i="1"/>
  <c r="H245" i="1"/>
  <c r="I261" i="1"/>
  <c r="I265" i="1" s="1"/>
  <c r="AC245" i="1"/>
  <c r="T223" i="1"/>
  <c r="T244" i="1" s="1"/>
  <c r="M245" i="1"/>
  <c r="BE261" i="1"/>
  <c r="BE265" i="1" s="1"/>
  <c r="AK253" i="1"/>
  <c r="BA257" i="1"/>
  <c r="J246" i="1"/>
  <c r="K96" i="1"/>
  <c r="P254" i="1"/>
  <c r="R98" i="1"/>
  <c r="J248" i="1"/>
  <c r="K248" i="1" s="1"/>
  <c r="K224" i="1"/>
  <c r="C205" i="1"/>
  <c r="B205" i="1"/>
  <c r="C132" i="1"/>
  <c r="B132" i="1"/>
  <c r="J255" i="1"/>
  <c r="K255" i="1" s="1"/>
  <c r="K167" i="1"/>
  <c r="U249" i="1"/>
  <c r="P252" i="1"/>
  <c r="R225" i="1"/>
  <c r="J283" i="1"/>
  <c r="J291" i="1" s="1"/>
  <c r="J177" i="1"/>
  <c r="B209" i="1"/>
  <c r="C209" i="1"/>
  <c r="J259" i="1"/>
  <c r="K259" i="1" s="1"/>
  <c r="K168" i="1"/>
  <c r="AB195" i="1"/>
  <c r="Z195" i="1"/>
  <c r="AA195" i="1" s="1"/>
  <c r="AB185" i="1"/>
  <c r="AD185" i="1" s="1"/>
  <c r="AE185" i="1" s="1"/>
  <c r="Z185" i="1"/>
  <c r="AA185" i="1" s="1"/>
  <c r="AB17" i="1"/>
  <c r="AD17" i="1" s="1"/>
  <c r="AE17" i="1" s="1"/>
  <c r="Z17" i="1"/>
  <c r="AA17" i="1" s="1"/>
  <c r="Z53" i="1"/>
  <c r="AA53" i="1" s="1"/>
  <c r="AB53" i="1"/>
  <c r="AD53" i="1" s="1"/>
  <c r="AE53" i="1" s="1"/>
  <c r="AB51" i="1"/>
  <c r="AD51" i="1" s="1"/>
  <c r="AE51" i="1" s="1"/>
  <c r="Z51" i="1"/>
  <c r="AA51" i="1" s="1"/>
  <c r="AB32" i="1"/>
  <c r="AD32" i="1" s="1"/>
  <c r="AE32" i="1" s="1"/>
  <c r="Z32" i="1"/>
  <c r="AA32" i="1" s="1"/>
  <c r="AB37" i="1"/>
  <c r="AD37" i="1" s="1"/>
  <c r="AE37" i="1" s="1"/>
  <c r="Z37" i="1"/>
  <c r="AA37" i="1" s="1"/>
  <c r="AB29" i="1"/>
  <c r="Z29" i="1"/>
  <c r="AA29" i="1" s="1"/>
  <c r="AB23" i="1"/>
  <c r="Z23" i="1"/>
  <c r="AA23" i="1" s="1"/>
  <c r="AB48" i="1"/>
  <c r="AD48" i="1" s="1"/>
  <c r="AE48" i="1" s="1"/>
  <c r="Z48" i="1"/>
  <c r="AA48" i="1" s="1"/>
  <c r="AB117" i="1"/>
  <c r="Z117" i="1"/>
  <c r="AA117" i="1" s="1"/>
  <c r="AB190" i="1"/>
  <c r="AD190" i="1" s="1"/>
  <c r="AE190" i="1" s="1"/>
  <c r="Z190" i="1"/>
  <c r="AA190" i="1" s="1"/>
  <c r="AO262" i="1"/>
  <c r="AO101" i="1"/>
  <c r="B162" i="1"/>
  <c r="C162" i="1"/>
  <c r="B80" i="1"/>
  <c r="C80" i="1"/>
  <c r="U257" i="1"/>
  <c r="T95" i="1"/>
  <c r="H264" i="1"/>
  <c r="J230" i="1"/>
  <c r="K230" i="1" s="1"/>
  <c r="J228" i="1"/>
  <c r="K228" i="1" s="1"/>
  <c r="H229" i="1"/>
  <c r="B154" i="1"/>
  <c r="C154" i="1"/>
  <c r="B84" i="1"/>
  <c r="C84" i="1"/>
  <c r="M257" i="1"/>
  <c r="Q263" i="1"/>
  <c r="Q170" i="1"/>
  <c r="BI245" i="1"/>
  <c r="T225" i="1"/>
  <c r="J244" i="1"/>
  <c r="K244" i="1" s="1"/>
  <c r="J237" i="1" a="1"/>
  <c r="J237" i="1" s="1"/>
  <c r="J296" i="1" s="1"/>
  <c r="K223" i="1"/>
  <c r="C78" i="1"/>
  <c r="B78" i="1"/>
  <c r="L259" i="1"/>
  <c r="L169" i="1"/>
  <c r="N168" i="1"/>
  <c r="H257" i="1"/>
  <c r="B145" i="1"/>
  <c r="C145" i="1"/>
  <c r="BQ259" i="1"/>
  <c r="BQ169" i="1"/>
  <c r="BQ263" i="1" s="1"/>
  <c r="C91" i="1"/>
  <c r="B91" i="1"/>
  <c r="AC259" i="1"/>
  <c r="AC169" i="1"/>
  <c r="AC263" i="1" s="1"/>
  <c r="M259" i="1"/>
  <c r="M169" i="1"/>
  <c r="M263" i="1" s="1"/>
  <c r="BQ258" i="1"/>
  <c r="BQ100" i="1"/>
  <c r="BQ262" i="1" s="1"/>
  <c r="C90" i="1"/>
  <c r="B90" i="1"/>
  <c r="T167" i="1" a="1"/>
  <c r="T167" i="1" s="1"/>
  <c r="T168" i="1" a="1"/>
  <c r="T168" i="1" s="1"/>
  <c r="T164" i="1"/>
  <c r="T165" i="1"/>
  <c r="T166" i="1"/>
  <c r="M253" i="1"/>
  <c r="L250" i="1"/>
  <c r="N97" i="1"/>
  <c r="H263" i="1"/>
  <c r="J169" i="1"/>
  <c r="K169" i="1" s="1"/>
  <c r="J171" i="1"/>
  <c r="K171" i="1" s="1"/>
  <c r="H170" i="1"/>
  <c r="AB186" i="1"/>
  <c r="Z186" i="1"/>
  <c r="AA186" i="1" s="1"/>
  <c r="AB119" i="1"/>
  <c r="AD119" i="1" s="1"/>
  <c r="AE119" i="1" s="1"/>
  <c r="Z119" i="1"/>
  <c r="AA119" i="1" s="1"/>
  <c r="AB200" i="1"/>
  <c r="Z200" i="1"/>
  <c r="AA200" i="1" s="1"/>
  <c r="AB43" i="1"/>
  <c r="Z43" i="1"/>
  <c r="AA43" i="1" s="1"/>
  <c r="AB36" i="1"/>
  <c r="Z36" i="1"/>
  <c r="AA36" i="1" s="1"/>
  <c r="AB33" i="1"/>
  <c r="Z33" i="1"/>
  <c r="AA33" i="1" s="1"/>
  <c r="Z58" i="1"/>
  <c r="AA58" i="1" s="1"/>
  <c r="AB58" i="1"/>
  <c r="AD58" i="1" s="1"/>
  <c r="AE58" i="1" s="1"/>
  <c r="X95" i="1"/>
  <c r="X99" i="1" a="1"/>
  <c r="X99" i="1" s="1"/>
  <c r="X96" i="1"/>
  <c r="X98" i="1" a="1"/>
  <c r="X98" i="1" s="1"/>
  <c r="X97" i="1"/>
  <c r="AB14" i="1"/>
  <c r="Z14" i="1"/>
  <c r="AB30" i="1"/>
  <c r="Z30" i="1"/>
  <c r="AA30" i="1" s="1"/>
  <c r="AB40" i="1"/>
  <c r="Z40" i="1"/>
  <c r="AA40" i="1" s="1"/>
  <c r="AB49" i="1"/>
  <c r="Z49" i="1"/>
  <c r="AA49" i="1" s="1"/>
  <c r="AB193" i="1"/>
  <c r="Z193" i="1"/>
  <c r="AA193" i="1" s="1"/>
  <c r="AO261" i="1"/>
  <c r="AO265" i="1" s="1"/>
  <c r="B149" i="1"/>
  <c r="C149" i="1"/>
  <c r="B81" i="1"/>
  <c r="C81" i="1"/>
  <c r="T96" i="1"/>
  <c r="J260" i="1"/>
  <c r="K260" i="1" s="1"/>
  <c r="K227" i="1"/>
  <c r="C160" i="1"/>
  <c r="B160" i="1"/>
  <c r="J256" i="1"/>
  <c r="K256" i="1" s="1"/>
  <c r="K226" i="1"/>
  <c r="C85" i="1"/>
  <c r="B85" i="1"/>
  <c r="L247" i="1"/>
  <c r="N165" i="1"/>
  <c r="AS259" i="1"/>
  <c r="AS169" i="1"/>
  <c r="AS263" i="1" s="1"/>
  <c r="T227" i="1" a="1"/>
  <c r="T227" i="1" s="1"/>
  <c r="B129" i="1"/>
  <c r="C129" i="1"/>
  <c r="N270" i="1"/>
  <c r="N105" i="1"/>
  <c r="R106" i="1" a="1"/>
  <c r="R106" i="1" s="1"/>
  <c r="P242" i="1"/>
  <c r="R95" i="1"/>
  <c r="Q264" i="1"/>
  <c r="Q229" i="1"/>
  <c r="L244" i="1"/>
  <c r="N223" i="1"/>
  <c r="B158" i="1"/>
  <c r="C158" i="1"/>
  <c r="P243" i="1"/>
  <c r="R164" i="1"/>
  <c r="R103" i="1" a="1"/>
  <c r="R103" i="1" s="1"/>
  <c r="L246" i="1"/>
  <c r="N96" i="1"/>
  <c r="AB114" i="1"/>
  <c r="AD114" i="1" s="1"/>
  <c r="AE114" i="1" s="1"/>
  <c r="Z114" i="1"/>
  <c r="AA114" i="1" s="1"/>
  <c r="AB54" i="1"/>
  <c r="AD54" i="1" s="1"/>
  <c r="AE54" i="1" s="1"/>
  <c r="Z54" i="1"/>
  <c r="AA54" i="1" s="1"/>
  <c r="AB124" i="1"/>
  <c r="Z124" i="1"/>
  <c r="AA124" i="1" s="1"/>
  <c r="AB67" i="1"/>
  <c r="AD67" i="1" s="1"/>
  <c r="AE67" i="1" s="1"/>
  <c r="Z67" i="1"/>
  <c r="AA67" i="1" s="1"/>
  <c r="AB38" i="1"/>
  <c r="Z38" i="1"/>
  <c r="AA38" i="1" s="1"/>
  <c r="AB21" i="1"/>
  <c r="Z21" i="1"/>
  <c r="AA21" i="1" s="1"/>
  <c r="AB28" i="1"/>
  <c r="Z28" i="1"/>
  <c r="AA28" i="1" s="1"/>
  <c r="AB35" i="1"/>
  <c r="AD35" i="1" s="1"/>
  <c r="AE35" i="1" s="1"/>
  <c r="Z35" i="1"/>
  <c r="AA35" i="1" s="1"/>
  <c r="Z52" i="1"/>
  <c r="AA52" i="1" s="1"/>
  <c r="AB52" i="1"/>
  <c r="AD52" i="1" s="1"/>
  <c r="AE52" i="1" s="1"/>
  <c r="AB60" i="1"/>
  <c r="AD60" i="1" s="1"/>
  <c r="AE60" i="1" s="1"/>
  <c r="Z60" i="1"/>
  <c r="AA60" i="1" s="1"/>
  <c r="AB122" i="1"/>
  <c r="Z122" i="1"/>
  <c r="AA122" i="1" s="1"/>
  <c r="AB184" i="1"/>
  <c r="AD184" i="1" s="1"/>
  <c r="AE184" i="1" s="1"/>
  <c r="Z184" i="1"/>
  <c r="AA184" i="1" s="1"/>
  <c r="AB197" i="1"/>
  <c r="Z197" i="1"/>
  <c r="AA197" i="1" s="1"/>
  <c r="N234" i="1" a="1"/>
  <c r="N234" i="1" s="1"/>
  <c r="N231" i="1" a="1"/>
  <c r="N231" i="1" s="1"/>
  <c r="N232" i="1" a="1"/>
  <c r="N232" i="1" s="1"/>
  <c r="N276" i="1" s="1"/>
  <c r="N235" i="1" a="1"/>
  <c r="N235" i="1" s="1"/>
  <c r="N288" i="1" s="1"/>
  <c r="O182" i="1"/>
  <c r="C140" i="1"/>
  <c r="B140" i="1"/>
  <c r="J251" i="1"/>
  <c r="K251" i="1" s="1"/>
  <c r="K166" i="1"/>
  <c r="BQ253" i="1"/>
  <c r="B131" i="1"/>
  <c r="C131" i="1"/>
  <c r="B76" i="1"/>
  <c r="C76" i="1"/>
  <c r="J282" i="1"/>
  <c r="J108" i="1"/>
  <c r="AS253" i="1"/>
  <c r="U260" i="1"/>
  <c r="U228" i="1"/>
  <c r="U264" i="1" s="1"/>
  <c r="B156" i="1"/>
  <c r="C156" i="1"/>
  <c r="L255" i="1"/>
  <c r="N167" i="1"/>
  <c r="J272" i="1"/>
  <c r="J233" i="1"/>
  <c r="C136" i="1"/>
  <c r="B136" i="1"/>
  <c r="R104" i="1" a="1"/>
  <c r="R104" i="1" s="1"/>
  <c r="R274" i="1" s="1"/>
  <c r="C220" i="1"/>
  <c r="P248" i="1"/>
  <c r="R224" i="1"/>
  <c r="C139" i="1"/>
  <c r="B139" i="1"/>
  <c r="P247" i="1"/>
  <c r="R165" i="1"/>
  <c r="BM264" i="1"/>
  <c r="BM229" i="1"/>
  <c r="C79" i="1"/>
  <c r="B79" i="1"/>
  <c r="U258" i="1"/>
  <c r="U100" i="1"/>
  <c r="U262" i="1" s="1"/>
  <c r="L254" i="1"/>
  <c r="N98" i="1"/>
  <c r="AW263" i="1"/>
  <c r="AW170" i="1"/>
  <c r="Z69" i="1"/>
  <c r="AA69" i="1" s="1"/>
  <c r="AB69" i="1"/>
  <c r="AD69" i="1" s="1"/>
  <c r="AE69" i="1" s="1"/>
  <c r="AB68" i="1"/>
  <c r="AD68" i="1" s="1"/>
  <c r="AE68" i="1" s="1"/>
  <c r="Z68" i="1"/>
  <c r="AA68" i="1" s="1"/>
  <c r="AB120" i="1"/>
  <c r="Z120" i="1"/>
  <c r="AA120" i="1" s="1"/>
  <c r="AB22" i="1"/>
  <c r="AD22" i="1" s="1"/>
  <c r="AE22" i="1" s="1"/>
  <c r="Z22" i="1"/>
  <c r="AA22" i="1" s="1"/>
  <c r="AB191" i="1"/>
  <c r="AD191" i="1" s="1"/>
  <c r="AE191" i="1" s="1"/>
  <c r="Z191" i="1"/>
  <c r="AA191" i="1" s="1"/>
  <c r="AB46" i="1"/>
  <c r="Z46" i="1"/>
  <c r="AA46" i="1" s="1"/>
  <c r="AB18" i="1"/>
  <c r="AD18" i="1" s="1"/>
  <c r="AE18" i="1" s="1"/>
  <c r="Z18" i="1"/>
  <c r="AA18" i="1" s="1"/>
  <c r="AB13" i="1"/>
  <c r="AB112" i="1"/>
  <c r="AB27" i="1"/>
  <c r="AD27" i="1" s="1"/>
  <c r="AE27" i="1" s="1"/>
  <c r="Z27" i="1"/>
  <c r="AA27" i="1" s="1"/>
  <c r="AB61" i="1"/>
  <c r="AD61" i="1" s="1"/>
  <c r="AE61" i="1" s="1"/>
  <c r="Z61" i="1"/>
  <c r="AA61" i="1" s="1"/>
  <c r="AB55" i="1"/>
  <c r="AD55" i="1" s="1"/>
  <c r="AE55" i="1" s="1"/>
  <c r="Z55" i="1"/>
  <c r="AA55" i="1" s="1"/>
  <c r="AB125" i="1"/>
  <c r="Z125" i="1"/>
  <c r="AA125" i="1" s="1"/>
  <c r="AB188" i="1"/>
  <c r="AD188" i="1" s="1"/>
  <c r="AE188" i="1" s="1"/>
  <c r="Z188" i="1"/>
  <c r="AA188" i="1" s="1"/>
  <c r="AB198" i="1"/>
  <c r="AD198" i="1" s="1"/>
  <c r="AE198" i="1" s="1"/>
  <c r="Z198" i="1"/>
  <c r="AA198" i="1" s="1"/>
  <c r="BM262" i="1"/>
  <c r="BM101" i="1"/>
  <c r="BQ249" i="1"/>
  <c r="B215" i="1"/>
  <c r="C215" i="1"/>
  <c r="C148" i="1"/>
  <c r="B148" i="1"/>
  <c r="M258" i="1"/>
  <c r="M100" i="1"/>
  <c r="M262" i="1" s="1"/>
  <c r="AC258" i="1"/>
  <c r="AC100" i="1"/>
  <c r="AC262" i="1" s="1"/>
  <c r="C135" i="1"/>
  <c r="B135" i="1"/>
  <c r="AG263" i="1"/>
  <c r="AG170" i="1"/>
  <c r="J277" i="1"/>
  <c r="AS245" i="1"/>
  <c r="C210" i="1"/>
  <c r="B210" i="1"/>
  <c r="I263" i="1"/>
  <c r="I170" i="1"/>
  <c r="C137" i="1"/>
  <c r="B137" i="1"/>
  <c r="H262" i="1"/>
  <c r="J100" i="1"/>
  <c r="K100" i="1" s="1"/>
  <c r="J102" i="1"/>
  <c r="K102" i="1" s="1"/>
  <c r="H101" i="1"/>
  <c r="AG264" i="1"/>
  <c r="AG229" i="1"/>
  <c r="P260" i="1"/>
  <c r="P228" i="1"/>
  <c r="R227" i="1"/>
  <c r="C213" i="1"/>
  <c r="B213" i="1"/>
  <c r="C93" i="1"/>
  <c r="B93" i="1"/>
  <c r="T224" i="1"/>
  <c r="N226" i="1"/>
  <c r="C155" i="1"/>
  <c r="B155" i="1"/>
  <c r="AG262" i="1"/>
  <c r="AG101" i="1"/>
  <c r="R231" i="1" a="1"/>
  <c r="R231" i="1" s="1"/>
  <c r="J247" i="1"/>
  <c r="K247" i="1" s="1"/>
  <c r="K165" i="1"/>
  <c r="P256" i="1"/>
  <c r="R226" i="1"/>
  <c r="C151" i="1"/>
  <c r="B151" i="1"/>
  <c r="R175" i="1" a="1"/>
  <c r="R175" i="1" s="1"/>
  <c r="R176" i="1" a="1"/>
  <c r="R176" i="1" s="1"/>
  <c r="R287" i="1" s="1"/>
  <c r="R172" i="1" a="1"/>
  <c r="R172" i="1" s="1"/>
  <c r="R173" i="1" a="1"/>
  <c r="R173" i="1" s="1"/>
  <c r="R275" i="1" s="1"/>
  <c r="S113" i="1"/>
  <c r="P251" i="1"/>
  <c r="R166" i="1"/>
  <c r="C161" i="1"/>
  <c r="B161" i="1"/>
  <c r="L258" i="1"/>
  <c r="L100" i="1"/>
  <c r="N99" i="1"/>
  <c r="AB66" i="1"/>
  <c r="Z66" i="1"/>
  <c r="AA66" i="1" s="1"/>
  <c r="Z42" i="1"/>
  <c r="AA42" i="1" s="1"/>
  <c r="AB42" i="1"/>
  <c r="AD42" i="1" s="1"/>
  <c r="AE42" i="1" s="1"/>
  <c r="AB74" i="1"/>
  <c r="Z74" i="1"/>
  <c r="AA74" i="1" s="1"/>
  <c r="AB192" i="1"/>
  <c r="Z192" i="1"/>
  <c r="AA192" i="1" s="1"/>
  <c r="AB187" i="1"/>
  <c r="Z187" i="1"/>
  <c r="AA187" i="1" s="1"/>
  <c r="Z19" i="1"/>
  <c r="AA19" i="1" s="1"/>
  <c r="AB19" i="1"/>
  <c r="AD19" i="1" s="1"/>
  <c r="AE19" i="1" s="1"/>
  <c r="X227" i="1" a="1"/>
  <c r="X227" i="1" s="1"/>
  <c r="X226" i="1" a="1"/>
  <c r="X226" i="1" s="1"/>
  <c r="X225" i="1"/>
  <c r="X224" i="1"/>
  <c r="X223" i="1"/>
  <c r="AB182" i="1"/>
  <c r="Z182" i="1"/>
  <c r="AB15" i="1"/>
  <c r="AD15" i="1" s="1"/>
  <c r="AE15" i="1" s="1"/>
  <c r="Z15" i="1"/>
  <c r="AA15" i="1" s="1"/>
  <c r="AB31" i="1"/>
  <c r="Z31" i="1"/>
  <c r="AA31" i="1" s="1"/>
  <c r="AB63" i="1"/>
  <c r="AD63" i="1" s="1"/>
  <c r="AE63" i="1" s="1"/>
  <c r="Z63" i="1"/>
  <c r="AA63" i="1" s="1"/>
  <c r="AB56" i="1"/>
  <c r="AD56" i="1" s="1"/>
  <c r="AE56" i="1" s="1"/>
  <c r="Z56" i="1"/>
  <c r="AA56" i="1" s="1"/>
  <c r="AB121" i="1"/>
  <c r="AD121" i="1" s="1"/>
  <c r="AE121" i="1" s="1"/>
  <c r="Z121" i="1"/>
  <c r="AA121" i="1" s="1"/>
  <c r="AB201" i="1"/>
  <c r="AD201" i="1" s="1"/>
  <c r="AE201" i="1" s="1"/>
  <c r="Z201" i="1"/>
  <c r="AA201" i="1" s="1"/>
  <c r="BM261" i="1"/>
  <c r="BM265" i="1" s="1"/>
  <c r="B208" i="1"/>
  <c r="C208" i="1"/>
  <c r="C128" i="1"/>
  <c r="B128" i="1"/>
  <c r="AK260" i="1"/>
  <c r="AK228" i="1"/>
  <c r="AK264" i="1" s="1"/>
  <c r="Y262" i="1"/>
  <c r="Y101" i="1"/>
  <c r="BE263" i="1"/>
  <c r="BE170" i="1"/>
  <c r="C216" i="1"/>
  <c r="B216" i="1"/>
  <c r="C127" i="1"/>
  <c r="B127" i="1"/>
  <c r="U253" i="1"/>
  <c r="J270" i="1"/>
  <c r="J105" i="1"/>
  <c r="AS249" i="1"/>
  <c r="B150" i="1"/>
  <c r="C150" i="1"/>
  <c r="T226" i="1" a="1"/>
  <c r="T226" i="1" s="1"/>
  <c r="BI253" i="1"/>
  <c r="BQ260" i="1"/>
  <c r="BQ228" i="1"/>
  <c r="BQ264" i="1" s="1"/>
  <c r="C141" i="1"/>
  <c r="B141" i="1"/>
  <c r="J258" i="1"/>
  <c r="K99" i="1"/>
  <c r="N13" i="1"/>
  <c r="N112" i="1"/>
  <c r="N181" i="1"/>
  <c r="P250" i="1"/>
  <c r="R97" i="1"/>
  <c r="N224" i="1"/>
  <c r="C206" i="1"/>
  <c r="B206" i="1"/>
  <c r="C82" i="1"/>
  <c r="B82" i="1"/>
  <c r="B157" i="1"/>
  <c r="R234" i="1" a="1"/>
  <c r="R234" i="1" s="1"/>
  <c r="BA258" i="1"/>
  <c r="BA100" i="1"/>
  <c r="BA262" i="1" s="1"/>
  <c r="AW262" i="1"/>
  <c r="AW101" i="1"/>
  <c r="BI259" i="1"/>
  <c r="BI169" i="1"/>
  <c r="BI263" i="1" s="1"/>
  <c r="C218" i="1"/>
  <c r="B218" i="1"/>
  <c r="C146" i="1"/>
  <c r="B146" i="1"/>
  <c r="P259" i="1"/>
  <c r="P169" i="1"/>
  <c r="R168" i="1"/>
  <c r="C211" i="1"/>
  <c r="B211" i="1"/>
  <c r="C153" i="1"/>
  <c r="B153" i="1"/>
  <c r="AK259" i="1"/>
  <c r="AK169" i="1"/>
  <c r="AK263" i="1" s="1"/>
  <c r="AS260" i="1"/>
  <c r="AS228" i="1"/>
  <c r="AS264" i="1" s="1"/>
  <c r="L242" i="1"/>
  <c r="N95" i="1"/>
  <c r="AB62" i="1"/>
  <c r="AD62" i="1" s="1"/>
  <c r="AE62" i="1" s="1"/>
  <c r="Z62" i="1"/>
  <c r="AA62" i="1" s="1"/>
  <c r="AB199" i="1"/>
  <c r="Z199" i="1"/>
  <c r="AA199" i="1" s="1"/>
  <c r="AB70" i="1"/>
  <c r="Z70" i="1"/>
  <c r="AA70" i="1" s="1"/>
  <c r="AB196" i="1"/>
  <c r="AD196" i="1" s="1"/>
  <c r="AE196" i="1" s="1"/>
  <c r="Z196" i="1"/>
  <c r="AA196" i="1" s="1"/>
  <c r="AB189" i="1"/>
  <c r="Z189" i="1"/>
  <c r="AA189" i="1" s="1"/>
  <c r="Z183" i="1"/>
  <c r="AA183" i="1" s="1"/>
  <c r="AB183" i="1"/>
  <c r="AD183" i="1" s="1"/>
  <c r="AE183" i="1" s="1"/>
  <c r="AB116" i="1"/>
  <c r="AD116" i="1" s="1"/>
  <c r="AE116" i="1" s="1"/>
  <c r="Z116" i="1"/>
  <c r="AA116" i="1" s="1"/>
  <c r="AB24" i="1"/>
  <c r="AD24" i="1" s="1"/>
  <c r="AE24" i="1" s="1"/>
  <c r="Z24" i="1"/>
  <c r="AA24" i="1" s="1"/>
  <c r="AB34" i="1"/>
  <c r="Z34" i="1"/>
  <c r="AA34" i="1" s="1"/>
  <c r="AB64" i="1"/>
  <c r="Z64" i="1"/>
  <c r="AA64" i="1" s="1"/>
  <c r="AB57" i="1"/>
  <c r="AD57" i="1" s="1"/>
  <c r="AE57" i="1" s="1"/>
  <c r="Z57" i="1"/>
  <c r="AA57" i="1" s="1"/>
  <c r="AB126" i="1"/>
  <c r="Z126" i="1"/>
  <c r="AA126" i="1" s="1"/>
  <c r="Z194" i="1"/>
  <c r="AA194" i="1" s="1"/>
  <c r="AB194" i="1"/>
  <c r="AD194" i="1" s="1"/>
  <c r="AE194" i="1" s="1"/>
  <c r="BA253" i="1"/>
  <c r="BI258" i="1"/>
  <c r="BI100" i="1"/>
  <c r="BI262" i="1" s="1"/>
  <c r="BA260" i="1"/>
  <c r="BA228" i="1"/>
  <c r="BA264" i="1" s="1"/>
  <c r="Y261" i="1"/>
  <c r="Y265" i="1" s="1"/>
  <c r="T98" i="1" a="1"/>
  <c r="T98" i="1" s="1"/>
  <c r="V201" i="1"/>
  <c r="W201" i="1" s="1"/>
  <c r="B212" i="1"/>
  <c r="C212" i="1"/>
  <c r="B86" i="1"/>
  <c r="C86" i="1"/>
  <c r="Q262" i="1"/>
  <c r="Q101" i="1"/>
  <c r="J289" i="1"/>
  <c r="AC260" i="1"/>
  <c r="AC228" i="1"/>
  <c r="AC264" i="1" s="1"/>
  <c r="AS257" i="1"/>
  <c r="C88" i="1"/>
  <c r="B88" i="1"/>
  <c r="J284" i="1"/>
  <c r="J292" i="1" s="1"/>
  <c r="J236" i="1"/>
  <c r="C214" i="1"/>
  <c r="B214" i="1"/>
  <c r="B133" i="1"/>
  <c r="C133" i="1"/>
  <c r="AW264" i="1"/>
  <c r="AW229" i="1"/>
  <c r="H261" i="1"/>
  <c r="AK245" i="1"/>
  <c r="AO264" i="1"/>
  <c r="AO229" i="1"/>
  <c r="BE264" i="1"/>
  <c r="BE229" i="1"/>
  <c r="AK100" i="1"/>
  <c r="AK262" i="1" s="1"/>
  <c r="C77" i="1"/>
  <c r="B77" i="1"/>
  <c r="B147" i="1"/>
  <c r="C147" i="1"/>
  <c r="V175" i="1" a="1"/>
  <c r="V175" i="1" s="1"/>
  <c r="V172" i="1" a="1"/>
  <c r="V172" i="1" s="1"/>
  <c r="V176" i="1" a="1"/>
  <c r="V176" i="1" s="1"/>
  <c r="V287" i="1" s="1"/>
  <c r="V173" i="1" a="1"/>
  <c r="V173" i="1" s="1"/>
  <c r="V275" i="1" s="1"/>
  <c r="W113" i="1"/>
  <c r="C143" i="1"/>
  <c r="B143" i="1"/>
  <c r="V60" i="1"/>
  <c r="W60" i="1" s="1"/>
  <c r="R235" i="1" a="1"/>
  <c r="R235" i="1" s="1"/>
  <c r="R288" i="1" s="1"/>
  <c r="P255" i="1"/>
  <c r="R167" i="1"/>
  <c r="C142" i="1"/>
  <c r="B142" i="1"/>
  <c r="L260" i="1"/>
  <c r="L228" i="1"/>
  <c r="N227" i="1"/>
  <c r="BQ257" i="1"/>
  <c r="C138" i="1"/>
  <c r="B138" i="1"/>
  <c r="C87" i="1"/>
  <c r="B87" i="1"/>
  <c r="AO263" i="1"/>
  <c r="AO170" i="1"/>
  <c r="AB20" i="1"/>
  <c r="AD20" i="1" s="1"/>
  <c r="AE20" i="1" s="1"/>
  <c r="Z20" i="1"/>
  <c r="AA20" i="1" s="1"/>
  <c r="AB115" i="1"/>
  <c r="AD115" i="1" s="1"/>
  <c r="AE115" i="1" s="1"/>
  <c r="Z115" i="1"/>
  <c r="AA115" i="1" s="1"/>
  <c r="AB71" i="1"/>
  <c r="AD71" i="1" s="1"/>
  <c r="AE71" i="1" s="1"/>
  <c r="Z71" i="1"/>
  <c r="AA71" i="1" s="1"/>
  <c r="AB59" i="1"/>
  <c r="AD59" i="1" s="1"/>
  <c r="AE59" i="1" s="1"/>
  <c r="Z59" i="1"/>
  <c r="AA59" i="1" s="1"/>
  <c r="AB44" i="1"/>
  <c r="Z44" i="1"/>
  <c r="AA44" i="1" s="1"/>
  <c r="Z123" i="1"/>
  <c r="AA123" i="1" s="1"/>
  <c r="AB123" i="1"/>
  <c r="AD123" i="1" s="1"/>
  <c r="AE123" i="1" s="1"/>
  <c r="AB16" i="1"/>
  <c r="AD16" i="1" s="1"/>
  <c r="AE16" i="1" s="1"/>
  <c r="Z16" i="1"/>
  <c r="AA16" i="1" s="1"/>
  <c r="AB26" i="1"/>
  <c r="AD26" i="1" s="1"/>
  <c r="AE26" i="1" s="1"/>
  <c r="Z26" i="1"/>
  <c r="AA26" i="1" s="1"/>
  <c r="AB41" i="1"/>
  <c r="AD41" i="1" s="1"/>
  <c r="AE41" i="1" s="1"/>
  <c r="Z41" i="1"/>
  <c r="AA41" i="1" s="1"/>
  <c r="AB65" i="1"/>
  <c r="AD65" i="1" s="1"/>
  <c r="AE65" i="1" s="1"/>
  <c r="Z65" i="1"/>
  <c r="AA65" i="1" s="1"/>
  <c r="AB73" i="1"/>
  <c r="Z73" i="1"/>
  <c r="AA73" i="1" s="1"/>
  <c r="X167" i="1" a="1"/>
  <c r="X167" i="1" s="1"/>
  <c r="X168" i="1" a="1"/>
  <c r="X168" i="1" s="1"/>
  <c r="X166" i="1"/>
  <c r="X165" i="1"/>
  <c r="X164" i="1"/>
  <c r="AB113" i="1"/>
  <c r="Z113" i="1"/>
  <c r="AB203" i="1"/>
  <c r="AD203" i="1" s="1"/>
  <c r="AE203" i="1" s="1"/>
  <c r="Z203" i="1"/>
  <c r="AA203" i="1" s="1"/>
  <c r="M260" i="1"/>
  <c r="M228" i="1"/>
  <c r="M264" i="1" s="1"/>
  <c r="BM263" i="1"/>
  <c r="BM170" i="1"/>
  <c r="T97" i="1"/>
  <c r="C134" i="1"/>
  <c r="B134" i="1"/>
  <c r="BI257" i="1"/>
  <c r="B221" i="1"/>
  <c r="C221" i="1"/>
  <c r="C89" i="1"/>
  <c r="B89" i="1"/>
  <c r="BI260" i="1"/>
  <c r="BI228" i="1"/>
  <c r="BI264" i="1" s="1"/>
  <c r="Q261" i="1"/>
  <c r="Q265" i="1" s="1"/>
  <c r="AS258" i="1"/>
  <c r="AS100" i="1"/>
  <c r="AS262" i="1" s="1"/>
  <c r="BA245" i="1"/>
  <c r="V232" i="1" a="1"/>
  <c r="V232" i="1" s="1"/>
  <c r="V276" i="1" s="1"/>
  <c r="V234" i="1" a="1"/>
  <c r="V234" i="1" s="1"/>
  <c r="V231" i="1" a="1"/>
  <c r="V231" i="1" s="1"/>
  <c r="W182" i="1"/>
  <c r="L252" i="1"/>
  <c r="N225" i="1"/>
  <c r="C207" i="1"/>
  <c r="B207" i="1"/>
  <c r="C130" i="1"/>
  <c r="B130" i="1"/>
  <c r="AC249" i="1"/>
  <c r="L243" i="1"/>
  <c r="N164" i="1"/>
  <c r="Y264" i="1"/>
  <c r="Y229" i="1"/>
  <c r="P258" i="1"/>
  <c r="R99" i="1"/>
  <c r="P100" i="1"/>
  <c r="J252" i="1"/>
  <c r="K252" i="1" s="1"/>
  <c r="K225" i="1"/>
  <c r="B152" i="1"/>
  <c r="C152" i="1"/>
  <c r="V103" i="1" a="1"/>
  <c r="V103" i="1" s="1"/>
  <c r="U259" i="1"/>
  <c r="U169" i="1"/>
  <c r="U263" i="1" s="1"/>
  <c r="H249" i="1"/>
  <c r="C219" i="1"/>
  <c r="B219" i="1"/>
  <c r="R107" i="1" a="1"/>
  <c r="R107" i="1" s="1"/>
  <c r="R286" i="1" s="1"/>
  <c r="J250" i="1"/>
  <c r="K97" i="1"/>
  <c r="R232" i="1" a="1"/>
  <c r="R232" i="1" s="1"/>
  <c r="R276" i="1" s="1"/>
  <c r="BA259" i="1"/>
  <c r="BA169" i="1"/>
  <c r="BA263" i="1" s="1"/>
  <c r="M249" i="1"/>
  <c r="N173" i="1" a="1"/>
  <c r="N173" i="1" s="1"/>
  <c r="N275" i="1" s="1"/>
  <c r="N175" i="1" a="1"/>
  <c r="N175" i="1" s="1"/>
  <c r="N176" i="1" a="1"/>
  <c r="N176" i="1" s="1"/>
  <c r="N287" i="1" s="1"/>
  <c r="N172" i="1" a="1"/>
  <c r="N172" i="1" s="1"/>
  <c r="O113" i="1"/>
  <c r="J242" i="1"/>
  <c r="K95" i="1"/>
  <c r="J109" i="1" a="1"/>
  <c r="J109" i="1" s="1"/>
  <c r="J294" i="1" s="1"/>
  <c r="Y263" i="1"/>
  <c r="Y170" i="1"/>
  <c r="B83" i="1"/>
  <c r="C83" i="1"/>
  <c r="J271" i="1"/>
  <c r="J174" i="1"/>
  <c r="C217" i="1"/>
  <c r="B217" i="1"/>
  <c r="C144" i="1"/>
  <c r="B144" i="1"/>
  <c r="P246" i="1"/>
  <c r="R96" i="1"/>
  <c r="AB202" i="1"/>
  <c r="AD202" i="1" s="1"/>
  <c r="AE202" i="1" s="1"/>
  <c r="Z202" i="1"/>
  <c r="AA202" i="1" s="1"/>
  <c r="AB75" i="1"/>
  <c r="AD75" i="1" s="1"/>
  <c r="AE75" i="1" s="1"/>
  <c r="Z75" i="1"/>
  <c r="AA75" i="1" s="1"/>
  <c r="AB72" i="1"/>
  <c r="AD72" i="1" s="1"/>
  <c r="AE72" i="1" s="1"/>
  <c r="Z72" i="1"/>
  <c r="AA72" i="1" s="1"/>
  <c r="AB45" i="1"/>
  <c r="AD45" i="1" s="1"/>
  <c r="AE45" i="1" s="1"/>
  <c r="Z45" i="1"/>
  <c r="AA45" i="1" s="1"/>
  <c r="AB39" i="1"/>
  <c r="AD39" i="1" s="1"/>
  <c r="AE39" i="1" s="1"/>
  <c r="Z39" i="1"/>
  <c r="AA39" i="1" s="1"/>
  <c r="Z50" i="1"/>
  <c r="AA50" i="1" s="1"/>
  <c r="AB50" i="1"/>
  <c r="AB25" i="1"/>
  <c r="Z25" i="1"/>
  <c r="AA25" i="1" s="1"/>
  <c r="AH181" i="1"/>
  <c r="AL181" i="1"/>
  <c r="AH112" i="1"/>
  <c r="AL112" i="1"/>
  <c r="AF8" i="1"/>
  <c r="AH13" i="1"/>
  <c r="AL13" i="1"/>
  <c r="AJ12" i="1"/>
  <c r="AF112" i="1"/>
  <c r="AF13" i="1"/>
  <c r="AF181" i="1"/>
  <c r="AB47" i="1"/>
  <c r="AD47" i="1" s="1"/>
  <c r="AE47" i="1" s="1"/>
  <c r="Z47" i="1"/>
  <c r="AA47" i="1" s="1"/>
  <c r="AB118" i="1"/>
  <c r="AD118" i="1" s="1"/>
  <c r="AE118" i="1" s="1"/>
  <c r="Z118" i="1"/>
  <c r="AA118" i="1" s="1"/>
  <c r="P244" i="1"/>
  <c r="R223" i="1"/>
  <c r="BE262" i="1"/>
  <c r="BE101" i="1"/>
  <c r="T99" i="1" a="1"/>
  <c r="T99" i="1" s="1"/>
  <c r="I262" i="1"/>
  <c r="I101" i="1"/>
  <c r="B204" i="1"/>
  <c r="C204" i="1"/>
  <c r="B92" i="1"/>
  <c r="C92" i="1"/>
  <c r="AC257" i="1"/>
  <c r="J243" i="1"/>
  <c r="K243" i="1" s="1"/>
  <c r="J178" i="1" a="1"/>
  <c r="J178" i="1" s="1"/>
  <c r="J295" i="1" s="1"/>
  <c r="K164" i="1"/>
  <c r="I264" i="1"/>
  <c r="I229" i="1"/>
  <c r="L251" i="1"/>
  <c r="N166" i="1"/>
  <c r="J254" i="1"/>
  <c r="K98" i="1"/>
  <c r="C159" i="1"/>
  <c r="B159" i="1"/>
  <c r="N282" i="1"/>
  <c r="N108" i="1"/>
  <c r="V107" i="1" a="1"/>
  <c r="V107" i="1" s="1"/>
  <c r="V286" i="1" s="1"/>
  <c r="N277" i="1" l="1"/>
  <c r="H265" i="1"/>
  <c r="J238" i="1"/>
  <c r="AK261" i="1"/>
  <c r="AK265" i="1" s="1"/>
  <c r="N289" i="1"/>
  <c r="V223" i="1"/>
  <c r="V244" i="1" s="1"/>
  <c r="W244" i="1" s="1"/>
  <c r="R289" i="1"/>
  <c r="AS261" i="1"/>
  <c r="AS265" i="1" s="1"/>
  <c r="U261" i="1"/>
  <c r="U265" i="1" s="1"/>
  <c r="V104" i="1" a="1"/>
  <c r="V104" i="1" s="1"/>
  <c r="V274" i="1" s="1"/>
  <c r="V277" i="1" s="1"/>
  <c r="J229" i="1"/>
  <c r="K229" i="1" s="1"/>
  <c r="BA261" i="1"/>
  <c r="BA265" i="1" s="1"/>
  <c r="P249" i="1"/>
  <c r="P253" i="1"/>
  <c r="L257" i="1"/>
  <c r="M261" i="1"/>
  <c r="M265" i="1" s="1"/>
  <c r="AJ202" i="1"/>
  <c r="AL202" i="1" s="1"/>
  <c r="AM202" i="1" s="1"/>
  <c r="AH202" i="1"/>
  <c r="AI202" i="1" s="1"/>
  <c r="AJ199" i="1"/>
  <c r="AL199" i="1" s="1"/>
  <c r="AM199" i="1" s="1"/>
  <c r="AH199" i="1"/>
  <c r="AI199" i="1" s="1"/>
  <c r="AJ66" i="1"/>
  <c r="AL66" i="1" s="1"/>
  <c r="AM66" i="1" s="1"/>
  <c r="AH66" i="1"/>
  <c r="AI66" i="1" s="1"/>
  <c r="V283" i="1"/>
  <c r="V291" i="1" s="1"/>
  <c r="V177" i="1"/>
  <c r="AD64" i="1"/>
  <c r="AE64" i="1" s="1"/>
  <c r="X250" i="1"/>
  <c r="Z97" i="1"/>
  <c r="AD33" i="1"/>
  <c r="AE33" i="1" s="1"/>
  <c r="N250" i="1"/>
  <c r="O97" i="1"/>
  <c r="T258" i="1"/>
  <c r="T100" i="1"/>
  <c r="V99" i="1"/>
  <c r="AJ114" i="1"/>
  <c r="AL114" i="1" s="1"/>
  <c r="AM114" i="1" s="1"/>
  <c r="AH114" i="1"/>
  <c r="AI114" i="1" s="1"/>
  <c r="AJ17" i="1"/>
  <c r="AL17" i="1" s="1"/>
  <c r="AM17" i="1" s="1"/>
  <c r="AH17" i="1"/>
  <c r="AI17" i="1" s="1"/>
  <c r="AJ186" i="1"/>
  <c r="AL186" i="1" s="1"/>
  <c r="AM186" i="1" s="1"/>
  <c r="AH186" i="1"/>
  <c r="AI186" i="1" s="1"/>
  <c r="AJ200" i="1"/>
  <c r="AL200" i="1" s="1"/>
  <c r="AM200" i="1" s="1"/>
  <c r="AH200" i="1"/>
  <c r="AI200" i="1" s="1"/>
  <c r="AH192" i="1"/>
  <c r="AI192" i="1" s="1"/>
  <c r="AJ192" i="1"/>
  <c r="AL192" i="1" s="1"/>
  <c r="AM192" i="1" s="1"/>
  <c r="AJ32" i="1"/>
  <c r="AL32" i="1" s="1"/>
  <c r="AM32" i="1" s="1"/>
  <c r="AH32" i="1"/>
  <c r="AI32" i="1" s="1"/>
  <c r="AJ50" i="1"/>
  <c r="AL50" i="1" s="1"/>
  <c r="AM50" i="1" s="1"/>
  <c r="AH50" i="1"/>
  <c r="AI50" i="1" s="1"/>
  <c r="AJ15" i="1"/>
  <c r="AL15" i="1" s="1"/>
  <c r="AM15" i="1" s="1"/>
  <c r="AH15" i="1"/>
  <c r="AI15" i="1" s="1"/>
  <c r="AJ29" i="1"/>
  <c r="AL29" i="1" s="1"/>
  <c r="AM29" i="1" s="1"/>
  <c r="AH29" i="1"/>
  <c r="AI29" i="1" s="1"/>
  <c r="AJ55" i="1"/>
  <c r="AL55" i="1" s="1"/>
  <c r="AM55" i="1" s="1"/>
  <c r="AH55" i="1"/>
  <c r="AI55" i="1" s="1"/>
  <c r="AJ48" i="1"/>
  <c r="AL48" i="1" s="1"/>
  <c r="AM48" i="1" s="1"/>
  <c r="AH48" i="1"/>
  <c r="AI48" i="1" s="1"/>
  <c r="AJ116" i="1"/>
  <c r="AL116" i="1" s="1"/>
  <c r="AM116" i="1" s="1"/>
  <c r="AH116" i="1"/>
  <c r="AI116" i="1" s="1"/>
  <c r="AJ197" i="1"/>
  <c r="AL197" i="1" s="1"/>
  <c r="AM197" i="1" s="1"/>
  <c r="AH197" i="1"/>
  <c r="AI197" i="1" s="1"/>
  <c r="J245" i="1"/>
  <c r="K245" i="1" s="1"/>
  <c r="K242" i="1"/>
  <c r="P261" i="1"/>
  <c r="V284" i="1"/>
  <c r="V292" i="1" s="1"/>
  <c r="V236" i="1"/>
  <c r="X243" i="1"/>
  <c r="Z164" i="1"/>
  <c r="R259" i="1"/>
  <c r="S259" i="1" s="1"/>
  <c r="S168" i="1"/>
  <c r="J298" i="1"/>
  <c r="J273" i="1"/>
  <c r="J281" i="1" s="1"/>
  <c r="J278" i="1"/>
  <c r="X260" i="1"/>
  <c r="X228" i="1"/>
  <c r="Z227" i="1"/>
  <c r="L262" i="1"/>
  <c r="N102" i="1"/>
  <c r="O102" i="1" s="1"/>
  <c r="N100" i="1"/>
  <c r="O100" i="1" s="1"/>
  <c r="P264" i="1"/>
  <c r="R230" i="1"/>
  <c r="S230" i="1" s="1"/>
  <c r="R228" i="1"/>
  <c r="S228" i="1" s="1"/>
  <c r="P229" i="1"/>
  <c r="R229" i="1" s="1"/>
  <c r="S229" i="1" s="1"/>
  <c r="AD21" i="1"/>
  <c r="AE21" i="1" s="1"/>
  <c r="L249" i="1"/>
  <c r="AD49" i="1"/>
  <c r="AE49" i="1" s="1"/>
  <c r="X254" i="1"/>
  <c r="Z98" i="1"/>
  <c r="L253" i="1"/>
  <c r="AJ41" i="1"/>
  <c r="AL41" i="1" s="1"/>
  <c r="AM41" i="1" s="1"/>
  <c r="AH41" i="1"/>
  <c r="AI41" i="1" s="1"/>
  <c r="AJ119" i="1"/>
  <c r="AL119" i="1" s="1"/>
  <c r="AM119" i="1" s="1"/>
  <c r="AH119" i="1"/>
  <c r="AI119" i="1" s="1"/>
  <c r="AF96" i="1"/>
  <c r="AF99" i="1" a="1"/>
  <c r="AF99" i="1" s="1"/>
  <c r="AF98" i="1" a="1"/>
  <c r="AF98" i="1" s="1"/>
  <c r="AF95" i="1"/>
  <c r="AF97" i="1"/>
  <c r="AJ14" i="1"/>
  <c r="AH14" i="1"/>
  <c r="AJ18" i="1"/>
  <c r="AL18" i="1" s="1"/>
  <c r="AM18" i="1" s="1"/>
  <c r="AH18" i="1"/>
  <c r="AI18" i="1" s="1"/>
  <c r="AP181" i="1"/>
  <c r="AT181" i="1"/>
  <c r="AP112" i="1"/>
  <c r="AT112" i="1"/>
  <c r="AP13" i="1"/>
  <c r="AR12" i="1"/>
  <c r="AT13" i="1"/>
  <c r="AN8" i="1"/>
  <c r="AN112" i="1"/>
  <c r="AN13" i="1"/>
  <c r="AN181" i="1"/>
  <c r="AJ45" i="1"/>
  <c r="AL45" i="1" s="1"/>
  <c r="AM45" i="1" s="1"/>
  <c r="AH45" i="1"/>
  <c r="AI45" i="1" s="1"/>
  <c r="AJ193" i="1"/>
  <c r="AL193" i="1" s="1"/>
  <c r="AM193" i="1" s="1"/>
  <c r="AH193" i="1"/>
  <c r="AI193" i="1" s="1"/>
  <c r="AD50" i="1"/>
  <c r="AE50" i="1" s="1"/>
  <c r="R246" i="1"/>
  <c r="S96" i="1"/>
  <c r="J299" i="1"/>
  <c r="J279" i="1"/>
  <c r="R258" i="1"/>
  <c r="S99" i="1"/>
  <c r="X256" i="1"/>
  <c r="Z226" i="1"/>
  <c r="AD192" i="1"/>
  <c r="AE192" i="1" s="1"/>
  <c r="N258" i="1"/>
  <c r="O99" i="1"/>
  <c r="R251" i="1"/>
  <c r="S251" i="1" s="1"/>
  <c r="S166" i="1"/>
  <c r="N284" i="1"/>
  <c r="N292" i="1" s="1"/>
  <c r="N236" i="1"/>
  <c r="N246" i="1"/>
  <c r="O96" i="1"/>
  <c r="T255" i="1"/>
  <c r="V167" i="1"/>
  <c r="AD117" i="1"/>
  <c r="AE117" i="1" s="1"/>
  <c r="N251" i="1"/>
  <c r="O251" i="1" s="1"/>
  <c r="O166" i="1"/>
  <c r="AJ61" i="1"/>
  <c r="AL61" i="1" s="1"/>
  <c r="AM61" i="1" s="1"/>
  <c r="AH61" i="1"/>
  <c r="AI61" i="1" s="1"/>
  <c r="AH21" i="1"/>
  <c r="AI21" i="1" s="1"/>
  <c r="AJ21" i="1"/>
  <c r="AL21" i="1" s="1"/>
  <c r="AM21" i="1" s="1"/>
  <c r="AJ115" i="1"/>
  <c r="AL115" i="1" s="1"/>
  <c r="AM115" i="1" s="1"/>
  <c r="AH115" i="1"/>
  <c r="AI115" i="1" s="1"/>
  <c r="AJ124" i="1"/>
  <c r="AL124" i="1" s="1"/>
  <c r="AM124" i="1" s="1"/>
  <c r="AH124" i="1"/>
  <c r="AI124" i="1" s="1"/>
  <c r="AJ118" i="1"/>
  <c r="AH118" i="1"/>
  <c r="AI118" i="1" s="1"/>
  <c r="AH38" i="1"/>
  <c r="AI38" i="1" s="1"/>
  <c r="AJ38" i="1"/>
  <c r="AL38" i="1" s="1"/>
  <c r="AM38" i="1" s="1"/>
  <c r="AJ68" i="1"/>
  <c r="AL68" i="1" s="1"/>
  <c r="AM68" i="1" s="1"/>
  <c r="AH68" i="1"/>
  <c r="AI68" i="1" s="1"/>
  <c r="AJ30" i="1"/>
  <c r="AL30" i="1" s="1"/>
  <c r="AM30" i="1" s="1"/>
  <c r="AH30" i="1"/>
  <c r="AI30" i="1" s="1"/>
  <c r="AJ56" i="1"/>
  <c r="AL56" i="1" s="1"/>
  <c r="AM56" i="1" s="1"/>
  <c r="AH56" i="1"/>
  <c r="AI56" i="1" s="1"/>
  <c r="AJ49" i="1"/>
  <c r="AL49" i="1" s="1"/>
  <c r="AM49" i="1" s="1"/>
  <c r="AH49" i="1"/>
  <c r="AI49" i="1" s="1"/>
  <c r="AJ121" i="1"/>
  <c r="AH121" i="1"/>
  <c r="AI121" i="1" s="1"/>
  <c r="AJ184" i="1"/>
  <c r="AL184" i="1" s="1"/>
  <c r="AM184" i="1" s="1"/>
  <c r="AH184" i="1"/>
  <c r="AI184" i="1" s="1"/>
  <c r="AJ198" i="1"/>
  <c r="AH198" i="1"/>
  <c r="AI198" i="1" s="1"/>
  <c r="V235" i="1" a="1"/>
  <c r="V235" i="1" s="1"/>
  <c r="V288" i="1" s="1"/>
  <c r="V289" i="1" s="1"/>
  <c r="X247" i="1"/>
  <c r="Z165" i="1"/>
  <c r="AD34" i="1"/>
  <c r="AE34" i="1" s="1"/>
  <c r="AD199" i="1"/>
  <c r="AE199" i="1" s="1"/>
  <c r="P263" i="1"/>
  <c r="R171" i="1"/>
  <c r="S171" i="1" s="1"/>
  <c r="R169" i="1"/>
  <c r="S169" i="1" s="1"/>
  <c r="P170" i="1"/>
  <c r="R170" i="1" s="1"/>
  <c r="S170" i="1" s="1"/>
  <c r="N248" i="1"/>
  <c r="O248" i="1" s="1"/>
  <c r="O224" i="1"/>
  <c r="AD74" i="1"/>
  <c r="AE74" i="1" s="1"/>
  <c r="L261" i="1"/>
  <c r="L265" i="1" s="1"/>
  <c r="N256" i="1"/>
  <c r="O256" i="1" s="1"/>
  <c r="O226" i="1"/>
  <c r="AD120" i="1"/>
  <c r="AE120" i="1" s="1"/>
  <c r="N254" i="1"/>
  <c r="O98" i="1"/>
  <c r="R248" i="1"/>
  <c r="S248" i="1" s="1"/>
  <c r="S224" i="1"/>
  <c r="J300" i="1"/>
  <c r="J280" i="1"/>
  <c r="AD197" i="1"/>
  <c r="AE197" i="1" s="1"/>
  <c r="R270" i="1"/>
  <c r="R105" i="1"/>
  <c r="N247" i="1"/>
  <c r="O247" i="1" s="1"/>
  <c r="O165" i="1"/>
  <c r="X246" i="1"/>
  <c r="Z96" i="1"/>
  <c r="AD36" i="1"/>
  <c r="AE36" i="1" s="1"/>
  <c r="N259" i="1"/>
  <c r="O259" i="1" s="1"/>
  <c r="O168" i="1"/>
  <c r="AJ189" i="1"/>
  <c r="AL189" i="1" s="1"/>
  <c r="AM189" i="1" s="1"/>
  <c r="AH189" i="1"/>
  <c r="AI189" i="1" s="1"/>
  <c r="AJ62" i="1"/>
  <c r="AL62" i="1" s="1"/>
  <c r="AM62" i="1" s="1"/>
  <c r="AH62" i="1"/>
  <c r="AI62" i="1" s="1"/>
  <c r="V272" i="1"/>
  <c r="V233" i="1"/>
  <c r="AB167" i="1" a="1"/>
  <c r="AB167" i="1" s="1"/>
  <c r="AB164" i="1"/>
  <c r="AB168" i="1" a="1"/>
  <c r="AB168" i="1" s="1"/>
  <c r="AB165" i="1"/>
  <c r="AB166" i="1"/>
  <c r="AD113" i="1"/>
  <c r="L264" i="1"/>
  <c r="N230" i="1"/>
  <c r="O230" i="1" s="1"/>
  <c r="N228" i="1"/>
  <c r="O228" i="1" s="1"/>
  <c r="AD70" i="1"/>
  <c r="AE70" i="1" s="1"/>
  <c r="J110" i="1"/>
  <c r="AJ196" i="1"/>
  <c r="AL196" i="1" s="1"/>
  <c r="AM196" i="1" s="1"/>
  <c r="AH196" i="1"/>
  <c r="AI196" i="1" s="1"/>
  <c r="AJ74" i="1"/>
  <c r="AL74" i="1" s="1"/>
  <c r="AM74" i="1" s="1"/>
  <c r="AH74" i="1"/>
  <c r="AI74" i="1" s="1"/>
  <c r="AJ58" i="1"/>
  <c r="AL58" i="1" s="1"/>
  <c r="AM58" i="1" s="1"/>
  <c r="AH58" i="1"/>
  <c r="AI58" i="1" s="1"/>
  <c r="AJ72" i="1"/>
  <c r="AH72" i="1"/>
  <c r="AI72" i="1" s="1"/>
  <c r="N271" i="1"/>
  <c r="N174" i="1"/>
  <c r="X251" i="1"/>
  <c r="Z166" i="1"/>
  <c r="AD126" i="1"/>
  <c r="AE126" i="1" s="1"/>
  <c r="J261" i="1"/>
  <c r="K261" i="1" s="1"/>
  <c r="K258" i="1"/>
  <c r="T256" i="1"/>
  <c r="V226" i="1"/>
  <c r="Z235" i="1" a="1"/>
  <c r="Z235" i="1" s="1"/>
  <c r="Z288" i="1" s="1"/>
  <c r="Z234" i="1" a="1"/>
  <c r="Z234" i="1" s="1"/>
  <c r="Z231" i="1" a="1"/>
  <c r="Z231" i="1" s="1"/>
  <c r="Z232" i="1" a="1"/>
  <c r="Z232" i="1" s="1"/>
  <c r="Z276" i="1" s="1"/>
  <c r="AA182" i="1"/>
  <c r="R272" i="1"/>
  <c r="R233" i="1"/>
  <c r="T248" i="1"/>
  <c r="V224" i="1"/>
  <c r="AD46" i="1"/>
  <c r="AE46" i="1" s="1"/>
  <c r="N255" i="1"/>
  <c r="O255" i="1" s="1"/>
  <c r="O167" i="1"/>
  <c r="AD38" i="1"/>
  <c r="AE38" i="1" s="1"/>
  <c r="R243" i="1"/>
  <c r="S243" i="1" s="1"/>
  <c r="R178" i="1" a="1"/>
  <c r="R178" i="1" s="1"/>
  <c r="R295" i="1" s="1"/>
  <c r="S164" i="1"/>
  <c r="R242" i="1"/>
  <c r="S95" i="1"/>
  <c r="R109" i="1" a="1"/>
  <c r="R109" i="1" s="1"/>
  <c r="R294" i="1" s="1"/>
  <c r="N278" i="1"/>
  <c r="AD40" i="1"/>
  <c r="AE40" i="1" s="1"/>
  <c r="X258" i="1"/>
  <c r="X100" i="1"/>
  <c r="Z99" i="1"/>
  <c r="AD186" i="1"/>
  <c r="AE186" i="1" s="1"/>
  <c r="V106" i="1" a="1"/>
  <c r="V106" i="1" s="1"/>
  <c r="L263" i="1"/>
  <c r="N171" i="1"/>
  <c r="O171" i="1" s="1"/>
  <c r="N169" i="1"/>
  <c r="O169" i="1" s="1"/>
  <c r="J268" i="1"/>
  <c r="K268" i="1" s="1"/>
  <c r="J264" i="1"/>
  <c r="K264" i="1" s="1"/>
  <c r="K254" i="1"/>
  <c r="J257" i="1"/>
  <c r="K257" i="1" s="1"/>
  <c r="R244" i="1"/>
  <c r="S244" i="1" s="1"/>
  <c r="R237" i="1" a="1"/>
  <c r="R237" i="1" s="1"/>
  <c r="R296" i="1" s="1"/>
  <c r="S223" i="1"/>
  <c r="AJ16" i="1"/>
  <c r="AL16" i="1" s="1"/>
  <c r="AM16" i="1" s="1"/>
  <c r="AH16" i="1"/>
  <c r="AI16" i="1" s="1"/>
  <c r="AF227" i="1" a="1"/>
  <c r="AF227" i="1" s="1"/>
  <c r="AF225" i="1"/>
  <c r="AF226" i="1" a="1"/>
  <c r="AF226" i="1" s="1"/>
  <c r="AF224" i="1"/>
  <c r="AF223" i="1"/>
  <c r="AJ182" i="1"/>
  <c r="AH182" i="1"/>
  <c r="AJ60" i="1"/>
  <c r="AL60" i="1" s="1"/>
  <c r="AM60" i="1" s="1"/>
  <c r="AH60" i="1"/>
  <c r="AI60" i="1" s="1"/>
  <c r="AJ126" i="1"/>
  <c r="AL126" i="1" s="1"/>
  <c r="AM126" i="1" s="1"/>
  <c r="AH126" i="1"/>
  <c r="AI126" i="1" s="1"/>
  <c r="R284" i="1"/>
  <c r="R292" i="1" s="1"/>
  <c r="R236" i="1"/>
  <c r="R283" i="1"/>
  <c r="R291" i="1" s="1"/>
  <c r="R177" i="1"/>
  <c r="R260" i="1"/>
  <c r="S260" i="1" s="1"/>
  <c r="S227" i="1"/>
  <c r="J266" i="1"/>
  <c r="K266" i="1" s="1"/>
  <c r="J262" i="1"/>
  <c r="K262" i="1" s="1"/>
  <c r="T246" i="1"/>
  <c r="V96" i="1"/>
  <c r="AJ75" i="1"/>
  <c r="AL75" i="1" s="1"/>
  <c r="AM75" i="1" s="1"/>
  <c r="AH75" i="1"/>
  <c r="AI75" i="1" s="1"/>
  <c r="AJ59" i="1"/>
  <c r="AL59" i="1" s="1"/>
  <c r="AM59" i="1" s="1"/>
  <c r="AH59" i="1"/>
  <c r="AI59" i="1" s="1"/>
  <c r="AJ33" i="1"/>
  <c r="AL33" i="1" s="1"/>
  <c r="AM33" i="1" s="1"/>
  <c r="AH33" i="1"/>
  <c r="AI33" i="1" s="1"/>
  <c r="AJ22" i="1"/>
  <c r="AL22" i="1" s="1"/>
  <c r="AM22" i="1" s="1"/>
  <c r="AH22" i="1"/>
  <c r="AI22" i="1" s="1"/>
  <c r="AJ20" i="1"/>
  <c r="AL20" i="1" s="1"/>
  <c r="AM20" i="1" s="1"/>
  <c r="AH20" i="1"/>
  <c r="AI20" i="1" s="1"/>
  <c r="AJ57" i="1"/>
  <c r="AH57" i="1"/>
  <c r="AI57" i="1" s="1"/>
  <c r="AF167" i="1" a="1"/>
  <c r="AF167" i="1" s="1"/>
  <c r="AF168" i="1" a="1"/>
  <c r="AF168" i="1" s="1"/>
  <c r="AF165" i="1"/>
  <c r="AF166" i="1"/>
  <c r="AF164" i="1"/>
  <c r="AJ113" i="1"/>
  <c r="AH113" i="1"/>
  <c r="AH201" i="1"/>
  <c r="AI201" i="1" s="1"/>
  <c r="AJ201" i="1"/>
  <c r="AH25" i="1"/>
  <c r="AI25" i="1" s="1"/>
  <c r="AJ25" i="1"/>
  <c r="AL25" i="1" s="1"/>
  <c r="AM25" i="1" s="1"/>
  <c r="AJ69" i="1"/>
  <c r="AH69" i="1"/>
  <c r="AI69" i="1" s="1"/>
  <c r="AJ52" i="1"/>
  <c r="AL52" i="1" s="1"/>
  <c r="AM52" i="1" s="1"/>
  <c r="AH52" i="1"/>
  <c r="AI52" i="1" s="1"/>
  <c r="AJ47" i="1"/>
  <c r="AL47" i="1" s="1"/>
  <c r="AM47" i="1" s="1"/>
  <c r="AH47" i="1"/>
  <c r="AI47" i="1" s="1"/>
  <c r="AJ54" i="1"/>
  <c r="AH54" i="1"/>
  <c r="AI54" i="1" s="1"/>
  <c r="AJ194" i="1"/>
  <c r="AL194" i="1" s="1"/>
  <c r="AM194" i="1" s="1"/>
  <c r="AH194" i="1"/>
  <c r="AI194" i="1" s="1"/>
  <c r="AJ28" i="1"/>
  <c r="AL28" i="1" s="1"/>
  <c r="AM28" i="1" s="1"/>
  <c r="AH28" i="1"/>
  <c r="AI28" i="1" s="1"/>
  <c r="AJ37" i="1"/>
  <c r="AL37" i="1" s="1"/>
  <c r="AM37" i="1" s="1"/>
  <c r="AH37" i="1"/>
  <c r="AI37" i="1" s="1"/>
  <c r="AJ63" i="1"/>
  <c r="AL63" i="1" s="1"/>
  <c r="AM63" i="1" s="1"/>
  <c r="AH63" i="1"/>
  <c r="AI63" i="1" s="1"/>
  <c r="AJ73" i="1"/>
  <c r="AL73" i="1" s="1"/>
  <c r="AM73" i="1" s="1"/>
  <c r="AH73" i="1"/>
  <c r="AI73" i="1" s="1"/>
  <c r="AJ117" i="1"/>
  <c r="AL117" i="1" s="1"/>
  <c r="AM117" i="1" s="1"/>
  <c r="AH117" i="1"/>
  <c r="AI117" i="1" s="1"/>
  <c r="AJ190" i="1"/>
  <c r="AL190" i="1" s="1"/>
  <c r="AM190" i="1" s="1"/>
  <c r="AH190" i="1"/>
  <c r="AI190" i="1" s="1"/>
  <c r="AJ203" i="1"/>
  <c r="AH203" i="1"/>
  <c r="AI203" i="1" s="1"/>
  <c r="K250" i="1"/>
  <c r="J253" i="1"/>
  <c r="K253" i="1" s="1"/>
  <c r="N243" i="1"/>
  <c r="O243" i="1" s="1"/>
  <c r="N178" i="1" a="1"/>
  <c r="N178" i="1" s="1"/>
  <c r="N295" i="1" s="1"/>
  <c r="O164" i="1"/>
  <c r="X259" i="1"/>
  <c r="X169" i="1"/>
  <c r="Z168" i="1"/>
  <c r="AD44" i="1"/>
  <c r="AE44" i="1" s="1"/>
  <c r="R255" i="1"/>
  <c r="S255" i="1" s="1"/>
  <c r="S167" i="1"/>
  <c r="AD189" i="1"/>
  <c r="AE189" i="1" s="1"/>
  <c r="AB225" i="1"/>
  <c r="AB227" i="1" a="1"/>
  <c r="AB227" i="1" s="1"/>
  <c r="AB223" i="1"/>
  <c r="AB226" i="1" a="1"/>
  <c r="AB226" i="1" s="1"/>
  <c r="AB224" i="1"/>
  <c r="AD182" i="1"/>
  <c r="P245" i="1"/>
  <c r="X242" i="1"/>
  <c r="Z95" i="1"/>
  <c r="AD43" i="1"/>
  <c r="AE43" i="1" s="1"/>
  <c r="J170" i="1"/>
  <c r="K170" i="1" s="1"/>
  <c r="T251" i="1"/>
  <c r="V166" i="1"/>
  <c r="T242" i="1"/>
  <c r="V95" i="1"/>
  <c r="AD23" i="1"/>
  <c r="AE23" i="1" s="1"/>
  <c r="R252" i="1"/>
  <c r="S252" i="1" s="1"/>
  <c r="S225" i="1"/>
  <c r="K246" i="1"/>
  <c r="J249" i="1"/>
  <c r="K249" i="1" s="1"/>
  <c r="AJ195" i="1"/>
  <c r="AL195" i="1" s="1"/>
  <c r="AM195" i="1" s="1"/>
  <c r="AH195" i="1"/>
  <c r="AI195" i="1" s="1"/>
  <c r="AJ43" i="1"/>
  <c r="AL43" i="1" s="1"/>
  <c r="AM43" i="1" s="1"/>
  <c r="AH43" i="1"/>
  <c r="AI43" i="1" s="1"/>
  <c r="AJ67" i="1"/>
  <c r="AL67" i="1" s="1"/>
  <c r="AM67" i="1" s="1"/>
  <c r="AH67" i="1"/>
  <c r="AI67" i="1" s="1"/>
  <c r="AJ51" i="1"/>
  <c r="AL51" i="1" s="1"/>
  <c r="AM51" i="1" s="1"/>
  <c r="AH51" i="1"/>
  <c r="AI51" i="1" s="1"/>
  <c r="AJ23" i="1"/>
  <c r="AL23" i="1" s="1"/>
  <c r="AM23" i="1" s="1"/>
  <c r="AH23" i="1"/>
  <c r="AI23" i="1" s="1"/>
  <c r="AJ40" i="1"/>
  <c r="AL40" i="1" s="1"/>
  <c r="AM40" i="1" s="1"/>
  <c r="AH40" i="1"/>
  <c r="AI40" i="1" s="1"/>
  <c r="AJ31" i="1"/>
  <c r="AL31" i="1" s="1"/>
  <c r="AM31" i="1" s="1"/>
  <c r="AH31" i="1"/>
  <c r="AI31" i="1" s="1"/>
  <c r="AJ64" i="1"/>
  <c r="AL64" i="1" s="1"/>
  <c r="AM64" i="1" s="1"/>
  <c r="AH64" i="1"/>
  <c r="AI64" i="1" s="1"/>
  <c r="AJ71" i="1"/>
  <c r="AL71" i="1" s="1"/>
  <c r="AM71" i="1" s="1"/>
  <c r="AH71" i="1"/>
  <c r="AI71" i="1" s="1"/>
  <c r="AJ122" i="1"/>
  <c r="AL122" i="1" s="1"/>
  <c r="AM122" i="1" s="1"/>
  <c r="AH122" i="1"/>
  <c r="AI122" i="1" s="1"/>
  <c r="AJ187" i="1"/>
  <c r="AL187" i="1" s="1"/>
  <c r="AM187" i="1" s="1"/>
  <c r="AH187" i="1"/>
  <c r="AI187" i="1" s="1"/>
  <c r="X255" i="1"/>
  <c r="Z167" i="1"/>
  <c r="R250" i="1"/>
  <c r="S97" i="1"/>
  <c r="X244" i="1"/>
  <c r="Z223" i="1"/>
  <c r="R256" i="1"/>
  <c r="S256" i="1" s="1"/>
  <c r="S226" i="1"/>
  <c r="J101" i="1"/>
  <c r="K101" i="1" s="1"/>
  <c r="AD125" i="1"/>
  <c r="AE125" i="1" s="1"/>
  <c r="R277" i="1"/>
  <c r="R282" i="1"/>
  <c r="R108" i="1"/>
  <c r="AD30" i="1"/>
  <c r="AE30" i="1" s="1"/>
  <c r="T247" i="1"/>
  <c r="V165" i="1"/>
  <c r="AD195" i="1"/>
  <c r="AE195" i="1" s="1"/>
  <c r="R254" i="1"/>
  <c r="S98" i="1"/>
  <c r="AJ42" i="1"/>
  <c r="AL42" i="1" s="1"/>
  <c r="AM42" i="1" s="1"/>
  <c r="AH42" i="1"/>
  <c r="AI42" i="1" s="1"/>
  <c r="AH183" i="1"/>
  <c r="AI183" i="1" s="1"/>
  <c r="AJ183" i="1"/>
  <c r="AL183" i="1" s="1"/>
  <c r="AM183" i="1" s="1"/>
  <c r="N283" i="1"/>
  <c r="N291" i="1" s="1"/>
  <c r="N177" i="1"/>
  <c r="V270" i="1"/>
  <c r="N252" i="1"/>
  <c r="O252" i="1" s="1"/>
  <c r="O225" i="1"/>
  <c r="N242" i="1"/>
  <c r="O95" i="1"/>
  <c r="N109" i="1" a="1"/>
  <c r="N109" i="1" s="1"/>
  <c r="N290" i="1"/>
  <c r="AJ185" i="1"/>
  <c r="AL185" i="1" s="1"/>
  <c r="AM185" i="1" s="1"/>
  <c r="AH185" i="1"/>
  <c r="AI185" i="1" s="1"/>
  <c r="AJ27" i="1"/>
  <c r="AH27" i="1"/>
  <c r="AI27" i="1" s="1"/>
  <c r="AJ53" i="1"/>
  <c r="AL53" i="1" s="1"/>
  <c r="AM53" i="1" s="1"/>
  <c r="AH53" i="1"/>
  <c r="AI53" i="1" s="1"/>
  <c r="AJ35" i="1"/>
  <c r="AL35" i="1" s="1"/>
  <c r="AM35" i="1" s="1"/>
  <c r="AH35" i="1"/>
  <c r="AI35" i="1" s="1"/>
  <c r="AJ36" i="1"/>
  <c r="AL36" i="1" s="1"/>
  <c r="AM36" i="1" s="1"/>
  <c r="AH36" i="1"/>
  <c r="AI36" i="1" s="1"/>
  <c r="AH123" i="1"/>
  <c r="AI123" i="1" s="1"/>
  <c r="AJ123" i="1"/>
  <c r="AH24" i="1"/>
  <c r="AI24" i="1" s="1"/>
  <c r="AJ24" i="1"/>
  <c r="AL24" i="1" s="1"/>
  <c r="AM24" i="1" s="1"/>
  <c r="AJ46" i="1"/>
  <c r="AL46" i="1" s="1"/>
  <c r="AM46" i="1" s="1"/>
  <c r="AH46" i="1"/>
  <c r="AI46" i="1" s="1"/>
  <c r="AJ34" i="1"/>
  <c r="AL34" i="1" s="1"/>
  <c r="AM34" i="1" s="1"/>
  <c r="AH34" i="1"/>
  <c r="AI34" i="1" s="1"/>
  <c r="AJ65" i="1"/>
  <c r="AL65" i="1" s="1"/>
  <c r="AM65" i="1" s="1"/>
  <c r="AH65" i="1"/>
  <c r="AI65" i="1" s="1"/>
  <c r="AJ70" i="1"/>
  <c r="AL70" i="1" s="1"/>
  <c r="AM70" i="1" s="1"/>
  <c r="AH70" i="1"/>
  <c r="AI70" i="1" s="1"/>
  <c r="AJ125" i="1"/>
  <c r="AL125" i="1" s="1"/>
  <c r="AM125" i="1" s="1"/>
  <c r="AH125" i="1"/>
  <c r="AI125" i="1" s="1"/>
  <c r="T250" i="1"/>
  <c r="V97" i="1"/>
  <c r="J265" i="1"/>
  <c r="K265" i="1" s="1"/>
  <c r="J269" i="1"/>
  <c r="K269" i="1" s="1"/>
  <c r="BI261" i="1"/>
  <c r="BI265" i="1" s="1"/>
  <c r="L245" i="1"/>
  <c r="X248" i="1"/>
  <c r="Z224" i="1"/>
  <c r="AD187" i="1"/>
  <c r="AE187" i="1" s="1"/>
  <c r="R271" i="1"/>
  <c r="R174" i="1"/>
  <c r="AC261" i="1"/>
  <c r="AC265" i="1" s="1"/>
  <c r="R247" i="1"/>
  <c r="S247" i="1" s="1"/>
  <c r="S165" i="1"/>
  <c r="J290" i="1"/>
  <c r="J285" i="1"/>
  <c r="J293" i="1" s="1"/>
  <c r="AD122" i="1"/>
  <c r="AE122" i="1" s="1"/>
  <c r="Z106" i="1" a="1"/>
  <c r="Z106" i="1" s="1"/>
  <c r="Z107" i="1" a="1"/>
  <c r="Z107" i="1" s="1"/>
  <c r="Z286" i="1" s="1"/>
  <c r="Z103" i="1" a="1"/>
  <c r="Z103" i="1" s="1"/>
  <c r="Z104" i="1" a="1"/>
  <c r="Z104" i="1" s="1"/>
  <c r="Z274" i="1" s="1"/>
  <c r="AA14" i="1"/>
  <c r="AD200" i="1"/>
  <c r="AE200" i="1" s="1"/>
  <c r="T243" i="1"/>
  <c r="V164" i="1"/>
  <c r="BQ261" i="1"/>
  <c r="BQ265" i="1" s="1"/>
  <c r="AD29" i="1"/>
  <c r="AE29" i="1" s="1"/>
  <c r="P257" i="1"/>
  <c r="AJ191" i="1"/>
  <c r="AL191" i="1" s="1"/>
  <c r="AM191" i="1" s="1"/>
  <c r="AH191" i="1"/>
  <c r="AI191" i="1" s="1"/>
  <c r="AJ19" i="1"/>
  <c r="AL19" i="1" s="1"/>
  <c r="AM19" i="1" s="1"/>
  <c r="AH19" i="1"/>
  <c r="AI19" i="1" s="1"/>
  <c r="AJ120" i="1"/>
  <c r="AL120" i="1" s="1"/>
  <c r="AM120" i="1" s="1"/>
  <c r="AH120" i="1"/>
  <c r="AI120" i="1" s="1"/>
  <c r="AJ181" i="1"/>
  <c r="AJ112" i="1"/>
  <c r="AJ13" i="1"/>
  <c r="AH39" i="1"/>
  <c r="AI39" i="1" s="1"/>
  <c r="AJ39" i="1"/>
  <c r="AL39" i="1" s="1"/>
  <c r="AM39" i="1" s="1"/>
  <c r="AJ26" i="1"/>
  <c r="AL26" i="1" s="1"/>
  <c r="AM26" i="1" s="1"/>
  <c r="AH26" i="1"/>
  <c r="AI26" i="1" s="1"/>
  <c r="AJ44" i="1"/>
  <c r="AL44" i="1" s="1"/>
  <c r="AM44" i="1" s="1"/>
  <c r="AH44" i="1"/>
  <c r="AI44" i="1" s="1"/>
  <c r="AH188" i="1"/>
  <c r="AI188" i="1" s="1"/>
  <c r="AJ188" i="1"/>
  <c r="AL188" i="1" s="1"/>
  <c r="AM188" i="1" s="1"/>
  <c r="AD25" i="1"/>
  <c r="AE25" i="1" s="1"/>
  <c r="J179" i="1"/>
  <c r="J297" i="1"/>
  <c r="P262" i="1"/>
  <c r="R100" i="1"/>
  <c r="S100" i="1" s="1"/>
  <c r="R102" i="1"/>
  <c r="S102" i="1" s="1"/>
  <c r="P101" i="1"/>
  <c r="R101" i="1" s="1"/>
  <c r="S101" i="1" s="1"/>
  <c r="Z176" i="1" a="1"/>
  <c r="Z176" i="1" s="1"/>
  <c r="Z287" i="1" s="1"/>
  <c r="Z173" i="1" a="1"/>
  <c r="Z173" i="1" s="1"/>
  <c r="Z275" i="1" s="1"/>
  <c r="Z175" i="1" a="1"/>
  <c r="Z175" i="1" s="1"/>
  <c r="Z172" i="1" a="1"/>
  <c r="Z172" i="1" s="1"/>
  <c r="AA113" i="1"/>
  <c r="AD73" i="1"/>
  <c r="AE73" i="1" s="1"/>
  <c r="N260" i="1"/>
  <c r="O260" i="1" s="1"/>
  <c r="O227" i="1"/>
  <c r="V271" i="1"/>
  <c r="V174" i="1"/>
  <c r="T254" i="1"/>
  <c r="V98" i="1"/>
  <c r="AD31" i="1"/>
  <c r="AE31" i="1" s="1"/>
  <c r="X252" i="1"/>
  <c r="Z225" i="1"/>
  <c r="AD66" i="1"/>
  <c r="AE66" i="1" s="1"/>
  <c r="N272" i="1"/>
  <c r="N233" i="1"/>
  <c r="AD28" i="1"/>
  <c r="AE28" i="1" s="1"/>
  <c r="AD124" i="1"/>
  <c r="AE124" i="1" s="1"/>
  <c r="N244" i="1"/>
  <c r="O244" i="1" s="1"/>
  <c r="N237" i="1" a="1"/>
  <c r="N237" i="1" s="1"/>
  <c r="N296" i="1" s="1"/>
  <c r="O223" i="1"/>
  <c r="T260" i="1"/>
  <c r="T228" i="1"/>
  <c r="V227" i="1"/>
  <c r="AD193" i="1"/>
  <c r="AE193" i="1" s="1"/>
  <c r="AB99" i="1" a="1"/>
  <c r="AB99" i="1" s="1"/>
  <c r="AB98" i="1" a="1"/>
  <c r="AB98" i="1" s="1"/>
  <c r="AB97" i="1"/>
  <c r="AB96" i="1"/>
  <c r="AB95" i="1"/>
  <c r="AD14" i="1"/>
  <c r="J263" i="1"/>
  <c r="K263" i="1" s="1"/>
  <c r="J267" i="1"/>
  <c r="K267" i="1" s="1"/>
  <c r="T259" i="1"/>
  <c r="T169" i="1"/>
  <c r="V168" i="1"/>
  <c r="T252" i="1"/>
  <c r="V225" i="1"/>
  <c r="W223" i="1" l="1"/>
  <c r="V237" i="1" a="1"/>
  <c r="V237" i="1" s="1"/>
  <c r="V296" i="1" s="1"/>
  <c r="V300" i="1" s="1"/>
  <c r="V105" i="1"/>
  <c r="N273" i="1"/>
  <c r="N281" i="1" s="1"/>
  <c r="N238" i="1"/>
  <c r="X245" i="1"/>
  <c r="N285" i="1"/>
  <c r="N293" i="1" s="1"/>
  <c r="R297" i="1"/>
  <c r="AB250" i="1"/>
  <c r="AD97" i="1"/>
  <c r="Z284" i="1"/>
  <c r="Z292" i="1" s="1"/>
  <c r="Z236" i="1"/>
  <c r="AR16" i="1"/>
  <c r="AT16" i="1" s="1"/>
  <c r="AU16" i="1" s="1"/>
  <c r="AP16" i="1"/>
  <c r="AQ16" i="1" s="1"/>
  <c r="AB258" i="1"/>
  <c r="AD99" i="1"/>
  <c r="AB100" i="1"/>
  <c r="Z259" i="1"/>
  <c r="AA259" i="1" s="1"/>
  <c r="AA168" i="1"/>
  <c r="AL69" i="1"/>
  <c r="AM69" i="1" s="1"/>
  <c r="AJ167" i="1" a="1"/>
  <c r="AJ167" i="1" s="1"/>
  <c r="AJ168" i="1" a="1"/>
  <c r="AJ168" i="1" s="1"/>
  <c r="AJ166" i="1"/>
  <c r="AJ164" i="1"/>
  <c r="AJ165" i="1"/>
  <c r="AL113" i="1"/>
  <c r="AB251" i="1"/>
  <c r="AD166" i="1"/>
  <c r="AR58" i="1"/>
  <c r="AP58" i="1"/>
  <c r="AQ58" i="1" s="1"/>
  <c r="AR24" i="1"/>
  <c r="AP24" i="1"/>
  <c r="AQ24" i="1" s="1"/>
  <c r="AR75" i="1"/>
  <c r="AP75" i="1"/>
  <c r="AQ75" i="1" s="1"/>
  <c r="AR196" i="1"/>
  <c r="AT196" i="1" s="1"/>
  <c r="AU196" i="1" s="1"/>
  <c r="AP196" i="1"/>
  <c r="AQ196" i="1" s="1"/>
  <c r="AR194" i="1"/>
  <c r="AT194" i="1" s="1"/>
  <c r="AU194" i="1" s="1"/>
  <c r="AP194" i="1"/>
  <c r="AQ194" i="1" s="1"/>
  <c r="AP22" i="1"/>
  <c r="AQ22" i="1" s="1"/>
  <c r="AR22" i="1"/>
  <c r="AT22" i="1" s="1"/>
  <c r="AU22" i="1" s="1"/>
  <c r="AR15" i="1"/>
  <c r="AT15" i="1" s="1"/>
  <c r="AU15" i="1" s="1"/>
  <c r="AP15" i="1"/>
  <c r="AQ15" i="1" s="1"/>
  <c r="AR26" i="1"/>
  <c r="AT26" i="1" s="1"/>
  <c r="AU26" i="1" s="1"/>
  <c r="AP26" i="1"/>
  <c r="AQ26" i="1" s="1"/>
  <c r="AR61" i="1"/>
  <c r="AT61" i="1" s="1"/>
  <c r="AU61" i="1" s="1"/>
  <c r="AP61" i="1"/>
  <c r="AQ61" i="1" s="1"/>
  <c r="AP71" i="1"/>
  <c r="AQ71" i="1" s="1"/>
  <c r="AR71" i="1"/>
  <c r="AR116" i="1"/>
  <c r="AT116" i="1" s="1"/>
  <c r="AU116" i="1" s="1"/>
  <c r="AP116" i="1"/>
  <c r="AQ116" i="1" s="1"/>
  <c r="AR185" i="1"/>
  <c r="AT185" i="1" s="1"/>
  <c r="AU185" i="1" s="1"/>
  <c r="AP185" i="1"/>
  <c r="AQ185" i="1" s="1"/>
  <c r="AF258" i="1"/>
  <c r="AH99" i="1"/>
  <c r="AF100" i="1"/>
  <c r="R268" i="1"/>
  <c r="S268" i="1" s="1"/>
  <c r="R264" i="1"/>
  <c r="S264" i="1" s="1"/>
  <c r="V278" i="1"/>
  <c r="V273" i="1"/>
  <c r="V281" i="1" s="1"/>
  <c r="AH175" i="1" a="1"/>
  <c r="AH175" i="1" s="1"/>
  <c r="AH172" i="1" a="1"/>
  <c r="AH172" i="1" s="1"/>
  <c r="AH173" i="1" a="1"/>
  <c r="AH173" i="1" s="1"/>
  <c r="AH275" i="1" s="1"/>
  <c r="AH176" i="1" a="1"/>
  <c r="AH176" i="1" s="1"/>
  <c r="AH287" i="1" s="1"/>
  <c r="AI113" i="1"/>
  <c r="AL57" i="1"/>
  <c r="AM57" i="1" s="1"/>
  <c r="V248" i="1"/>
  <c r="W248" i="1" s="1"/>
  <c r="W224" i="1"/>
  <c r="AD176" i="1" a="1"/>
  <c r="AD176" i="1" s="1"/>
  <c r="AD287" i="1" s="1"/>
  <c r="AD173" i="1" a="1"/>
  <c r="AD173" i="1" s="1"/>
  <c r="AD275" i="1" s="1"/>
  <c r="AD175" i="1" a="1"/>
  <c r="AD175" i="1" s="1"/>
  <c r="AD172" i="1" a="1"/>
  <c r="AD172" i="1" s="1"/>
  <c r="AE113" i="1"/>
  <c r="V280" i="1"/>
  <c r="R298" i="1"/>
  <c r="R278" i="1"/>
  <c r="R273" i="1"/>
  <c r="R281" i="1" s="1"/>
  <c r="N257" i="1"/>
  <c r="O257" i="1" s="1"/>
  <c r="O254" i="1"/>
  <c r="N261" i="1"/>
  <c r="O261" i="1" s="1"/>
  <c r="O258" i="1"/>
  <c r="AP45" i="1"/>
  <c r="AQ45" i="1" s="1"/>
  <c r="AR45" i="1"/>
  <c r="AT45" i="1" s="1"/>
  <c r="AU45" i="1" s="1"/>
  <c r="AR69" i="1"/>
  <c r="AT69" i="1" s="1"/>
  <c r="AU69" i="1" s="1"/>
  <c r="AP69" i="1"/>
  <c r="AQ69" i="1" s="1"/>
  <c r="AR192" i="1"/>
  <c r="AT192" i="1" s="1"/>
  <c r="AU192" i="1" s="1"/>
  <c r="AP192" i="1"/>
  <c r="AQ192" i="1" s="1"/>
  <c r="AR20" i="1"/>
  <c r="AT20" i="1" s="1"/>
  <c r="AU20" i="1" s="1"/>
  <c r="AP20" i="1"/>
  <c r="AQ20" i="1" s="1"/>
  <c r="AR40" i="1"/>
  <c r="AT40" i="1" s="1"/>
  <c r="AU40" i="1" s="1"/>
  <c r="AP40" i="1"/>
  <c r="AQ40" i="1" s="1"/>
  <c r="N294" i="1"/>
  <c r="N110" i="1"/>
  <c r="AL72" i="1"/>
  <c r="AM72" i="1" s="1"/>
  <c r="AL198" i="1"/>
  <c r="AM198" i="1" s="1"/>
  <c r="AL118" i="1"/>
  <c r="AM118" i="1" s="1"/>
  <c r="AR201" i="1"/>
  <c r="AT201" i="1" s="1"/>
  <c r="AU201" i="1" s="1"/>
  <c r="AP201" i="1"/>
  <c r="AQ201" i="1" s="1"/>
  <c r="V254" i="1"/>
  <c r="W98" i="1"/>
  <c r="R179" i="1"/>
  <c r="S254" i="1"/>
  <c r="R257" i="1"/>
  <c r="S257" i="1" s="1"/>
  <c r="Z244" i="1"/>
  <c r="AA244" i="1" s="1"/>
  <c r="Z237" i="1" a="1"/>
  <c r="Z237" i="1" s="1"/>
  <c r="Z296" i="1" s="1"/>
  <c r="AA223" i="1"/>
  <c r="AD234" i="1" a="1"/>
  <c r="AD234" i="1" s="1"/>
  <c r="AD231" i="1" a="1"/>
  <c r="AD231" i="1" s="1"/>
  <c r="AD232" i="1" a="1"/>
  <c r="AD232" i="1" s="1"/>
  <c r="AD276" i="1" s="1"/>
  <c r="AD235" i="1" a="1"/>
  <c r="AD235" i="1" s="1"/>
  <c r="AD288" i="1" s="1"/>
  <c r="AE182" i="1"/>
  <c r="X263" i="1"/>
  <c r="Z169" i="1"/>
  <c r="AA169" i="1" s="1"/>
  <c r="Z171" i="1"/>
  <c r="AA171" i="1" s="1"/>
  <c r="X170" i="1"/>
  <c r="Z170" i="1" s="1"/>
  <c r="AA170" i="1" s="1"/>
  <c r="AF243" i="1"/>
  <c r="AH164" i="1"/>
  <c r="AH232" i="1" a="1"/>
  <c r="AH232" i="1" s="1"/>
  <c r="AH276" i="1" s="1"/>
  <c r="AH235" i="1" a="1"/>
  <c r="AH235" i="1" s="1"/>
  <c r="AH288" i="1" s="1"/>
  <c r="AH234" i="1" a="1"/>
  <c r="AH234" i="1" s="1"/>
  <c r="AH231" i="1" a="1"/>
  <c r="AH231" i="1" s="1"/>
  <c r="AI182" i="1"/>
  <c r="R238" i="1"/>
  <c r="AB247" i="1"/>
  <c r="AD165" i="1"/>
  <c r="Z246" i="1"/>
  <c r="AA96" i="1"/>
  <c r="N249" i="1"/>
  <c r="O249" i="1" s="1"/>
  <c r="O246" i="1"/>
  <c r="R249" i="1"/>
  <c r="S249" i="1" s="1"/>
  <c r="S246" i="1"/>
  <c r="AR17" i="1"/>
  <c r="AT17" i="1" s="1"/>
  <c r="AU17" i="1" s="1"/>
  <c r="AP17" i="1"/>
  <c r="AQ17" i="1" s="1"/>
  <c r="AR25" i="1"/>
  <c r="AP25" i="1"/>
  <c r="AQ25" i="1" s="1"/>
  <c r="AR117" i="1"/>
  <c r="AT117" i="1" s="1"/>
  <c r="AU117" i="1" s="1"/>
  <c r="AP117" i="1"/>
  <c r="AQ117" i="1" s="1"/>
  <c r="AP18" i="1"/>
  <c r="AQ18" i="1" s="1"/>
  <c r="AR18" i="1"/>
  <c r="AR66" i="1"/>
  <c r="AP66" i="1"/>
  <c r="AQ66" i="1" s="1"/>
  <c r="AR186" i="1"/>
  <c r="AP186" i="1"/>
  <c r="AQ186" i="1" s="1"/>
  <c r="AR19" i="1"/>
  <c r="AT19" i="1" s="1"/>
  <c r="AU19" i="1" s="1"/>
  <c r="AP19" i="1"/>
  <c r="AQ19" i="1" s="1"/>
  <c r="AP35" i="1"/>
  <c r="AQ35" i="1" s="1"/>
  <c r="AR35" i="1"/>
  <c r="AT35" i="1" s="1"/>
  <c r="AU35" i="1" s="1"/>
  <c r="AR37" i="1"/>
  <c r="AT37" i="1" s="1"/>
  <c r="AU37" i="1" s="1"/>
  <c r="AP37" i="1"/>
  <c r="AQ37" i="1" s="1"/>
  <c r="AR60" i="1"/>
  <c r="AP60" i="1"/>
  <c r="AQ60" i="1" s="1"/>
  <c r="AR70" i="1"/>
  <c r="AT70" i="1" s="1"/>
  <c r="AU70" i="1" s="1"/>
  <c r="AP70" i="1"/>
  <c r="AQ70" i="1" s="1"/>
  <c r="AN167" i="1" a="1"/>
  <c r="AN167" i="1" s="1"/>
  <c r="AN168" i="1" a="1"/>
  <c r="AN168" i="1" s="1"/>
  <c r="AN166" i="1"/>
  <c r="AN165" i="1"/>
  <c r="AN164" i="1"/>
  <c r="AR113" i="1"/>
  <c r="AP113" i="1"/>
  <c r="AR188" i="1"/>
  <c r="AT188" i="1" s="1"/>
  <c r="AU188" i="1" s="1"/>
  <c r="AP188" i="1"/>
  <c r="AQ188" i="1" s="1"/>
  <c r="AF246" i="1"/>
  <c r="AH96" i="1"/>
  <c r="Z250" i="1"/>
  <c r="AA97" i="1"/>
  <c r="AB254" i="1"/>
  <c r="AD98" i="1"/>
  <c r="V251" i="1"/>
  <c r="W251" i="1" s="1"/>
  <c r="W166" i="1"/>
  <c r="AF254" i="1"/>
  <c r="AH98" i="1"/>
  <c r="Z243" i="1"/>
  <c r="AA243" i="1" s="1"/>
  <c r="Z178" i="1" a="1"/>
  <c r="Z178" i="1" s="1"/>
  <c r="Z295" i="1" s="1"/>
  <c r="AA164" i="1"/>
  <c r="T257" i="1"/>
  <c r="R266" i="1"/>
  <c r="S266" i="1" s="1"/>
  <c r="R262" i="1"/>
  <c r="S262" i="1" s="1"/>
  <c r="R299" i="1"/>
  <c r="R279" i="1"/>
  <c r="AL123" i="1"/>
  <c r="AM123" i="1" s="1"/>
  <c r="O242" i="1"/>
  <c r="N245" i="1"/>
  <c r="O245" i="1" s="1"/>
  <c r="R290" i="1"/>
  <c r="R285" i="1"/>
  <c r="R293" i="1" s="1"/>
  <c r="AB248" i="1"/>
  <c r="AD224" i="1"/>
  <c r="AL203" i="1"/>
  <c r="AM203" i="1" s="1"/>
  <c r="AL54" i="1"/>
  <c r="AM54" i="1" s="1"/>
  <c r="AF251" i="1"/>
  <c r="AH166" i="1"/>
  <c r="AJ225" i="1"/>
  <c r="AJ227" i="1" a="1"/>
  <c r="AJ227" i="1" s="1"/>
  <c r="AJ223" i="1"/>
  <c r="AJ224" i="1"/>
  <c r="AJ226" i="1" a="1"/>
  <c r="AJ226" i="1" s="1"/>
  <c r="AL182" i="1"/>
  <c r="Z258" i="1"/>
  <c r="AA99" i="1"/>
  <c r="V256" i="1"/>
  <c r="W256" i="1" s="1"/>
  <c r="W226" i="1"/>
  <c r="Z251" i="1"/>
  <c r="AA251" i="1" s="1"/>
  <c r="AA166" i="1"/>
  <c r="AB259" i="1"/>
  <c r="AB169" i="1"/>
  <c r="AD168" i="1"/>
  <c r="X249" i="1"/>
  <c r="Z256" i="1"/>
  <c r="AA256" i="1" s="1"/>
  <c r="AA226" i="1"/>
  <c r="AR28" i="1"/>
  <c r="AP28" i="1"/>
  <c r="AQ28" i="1" s="1"/>
  <c r="AR195" i="1"/>
  <c r="AP195" i="1"/>
  <c r="AQ195" i="1" s="1"/>
  <c r="AP114" i="1"/>
  <c r="AQ114" i="1" s="1"/>
  <c r="AR114" i="1"/>
  <c r="AR200" i="1"/>
  <c r="AP200" i="1"/>
  <c r="AQ200" i="1" s="1"/>
  <c r="AR59" i="1"/>
  <c r="AT59" i="1" s="1"/>
  <c r="AU59" i="1" s="1"/>
  <c r="AP59" i="1"/>
  <c r="AQ59" i="1" s="1"/>
  <c r="AR72" i="1"/>
  <c r="AT72" i="1" s="1"/>
  <c r="AU72" i="1" s="1"/>
  <c r="AP72" i="1"/>
  <c r="AQ72" i="1" s="1"/>
  <c r="AR30" i="1"/>
  <c r="AP30" i="1"/>
  <c r="AQ30" i="1" s="1"/>
  <c r="AR44" i="1"/>
  <c r="AP44" i="1"/>
  <c r="AQ44" i="1" s="1"/>
  <c r="AR63" i="1"/>
  <c r="AT63" i="1" s="1"/>
  <c r="AU63" i="1" s="1"/>
  <c r="AP63" i="1"/>
  <c r="AQ63" i="1" s="1"/>
  <c r="AR52" i="1"/>
  <c r="AT52" i="1" s="1"/>
  <c r="AU52" i="1" s="1"/>
  <c r="AP52" i="1"/>
  <c r="AQ52" i="1" s="1"/>
  <c r="AR73" i="1"/>
  <c r="AT73" i="1" s="1"/>
  <c r="AU73" i="1" s="1"/>
  <c r="AP73" i="1"/>
  <c r="AQ73" i="1" s="1"/>
  <c r="V258" i="1"/>
  <c r="W99" i="1"/>
  <c r="X253" i="1"/>
  <c r="AB246" i="1"/>
  <c r="AD96" i="1"/>
  <c r="AF260" i="1"/>
  <c r="AF228" i="1"/>
  <c r="AH227" i="1"/>
  <c r="AR115" i="1"/>
  <c r="AT115" i="1" s="1"/>
  <c r="AU115" i="1" s="1"/>
  <c r="AP115" i="1"/>
  <c r="AQ115" i="1" s="1"/>
  <c r="AR202" i="1"/>
  <c r="AT202" i="1" s="1"/>
  <c r="AU202" i="1" s="1"/>
  <c r="AP202" i="1"/>
  <c r="AQ202" i="1" s="1"/>
  <c r="AX181" i="1"/>
  <c r="BB181" i="1"/>
  <c r="AX112" i="1"/>
  <c r="BB112" i="1"/>
  <c r="AX13" i="1"/>
  <c r="AV8" i="1"/>
  <c r="BB13" i="1"/>
  <c r="AZ12" i="1"/>
  <c r="AV13" i="1"/>
  <c r="AV181" i="1"/>
  <c r="AV112" i="1"/>
  <c r="AR57" i="1"/>
  <c r="AT57" i="1" s="1"/>
  <c r="AU57" i="1" s="1"/>
  <c r="AP57" i="1"/>
  <c r="AQ57" i="1" s="1"/>
  <c r="AR126" i="1"/>
  <c r="AT126" i="1" s="1"/>
  <c r="AU126" i="1" s="1"/>
  <c r="AP126" i="1"/>
  <c r="AQ126" i="1" s="1"/>
  <c r="AR190" i="1"/>
  <c r="AT190" i="1" s="1"/>
  <c r="AU190" i="1" s="1"/>
  <c r="AP190" i="1"/>
  <c r="AQ190" i="1" s="1"/>
  <c r="N300" i="1"/>
  <c r="N280" i="1"/>
  <c r="V252" i="1"/>
  <c r="W252" i="1" s="1"/>
  <c r="W225" i="1"/>
  <c r="AD106" i="1" a="1"/>
  <c r="AD106" i="1" s="1"/>
  <c r="AD107" i="1" a="1"/>
  <c r="AD107" i="1" s="1"/>
  <c r="AD286" i="1" s="1"/>
  <c r="AD103" i="1" a="1"/>
  <c r="AD103" i="1" s="1"/>
  <c r="AD104" i="1" a="1"/>
  <c r="AD104" i="1" s="1"/>
  <c r="AD274" i="1" s="1"/>
  <c r="AE14" i="1"/>
  <c r="V260" i="1"/>
  <c r="W260" i="1" s="1"/>
  <c r="W227" i="1"/>
  <c r="Z271" i="1"/>
  <c r="Z174" i="1"/>
  <c r="Z277" i="1"/>
  <c r="V250" i="1"/>
  <c r="W97" i="1"/>
  <c r="AL27" i="1"/>
  <c r="AM27" i="1" s="1"/>
  <c r="AB256" i="1"/>
  <c r="AD226" i="1"/>
  <c r="AF247" i="1"/>
  <c r="AH165" i="1"/>
  <c r="V246" i="1"/>
  <c r="W96" i="1"/>
  <c r="AF244" i="1"/>
  <c r="AH223" i="1"/>
  <c r="X262" i="1"/>
  <c r="Z102" i="1"/>
  <c r="AA102" i="1" s="1"/>
  <c r="Z100" i="1"/>
  <c r="AA100" i="1" s="1"/>
  <c r="X101" i="1"/>
  <c r="Z101" i="1" s="1"/>
  <c r="AA101" i="1" s="1"/>
  <c r="R300" i="1"/>
  <c r="R280" i="1"/>
  <c r="AB243" i="1"/>
  <c r="AD164" i="1"/>
  <c r="Z247" i="1"/>
  <c r="AA247" i="1" s="1"/>
  <c r="AA165" i="1"/>
  <c r="AR183" i="1"/>
  <c r="AT183" i="1" s="1"/>
  <c r="AU183" i="1" s="1"/>
  <c r="AP183" i="1"/>
  <c r="AQ183" i="1" s="1"/>
  <c r="AR41" i="1"/>
  <c r="AT41" i="1" s="1"/>
  <c r="AU41" i="1" s="1"/>
  <c r="AP41" i="1"/>
  <c r="AQ41" i="1" s="1"/>
  <c r="AR118" i="1"/>
  <c r="AT118" i="1" s="1"/>
  <c r="AU118" i="1" s="1"/>
  <c r="AP118" i="1"/>
  <c r="AQ118" i="1" s="1"/>
  <c r="AP54" i="1"/>
  <c r="AQ54" i="1" s="1"/>
  <c r="AR54" i="1"/>
  <c r="AT54" i="1" s="1"/>
  <c r="AU54" i="1" s="1"/>
  <c r="AN227" i="1" a="1"/>
  <c r="AN227" i="1" s="1"/>
  <c r="AN226" i="1" a="1"/>
  <c r="AN226" i="1" s="1"/>
  <c r="AN223" i="1"/>
  <c r="AN224" i="1"/>
  <c r="AN225" i="1"/>
  <c r="AR182" i="1"/>
  <c r="AP182" i="1"/>
  <c r="AR68" i="1"/>
  <c r="AP68" i="1"/>
  <c r="AQ68" i="1" s="1"/>
  <c r="AR32" i="1"/>
  <c r="AT32" i="1" s="1"/>
  <c r="AU32" i="1" s="1"/>
  <c r="AP32" i="1"/>
  <c r="AQ32" i="1" s="1"/>
  <c r="AR27" i="1"/>
  <c r="AT27" i="1" s="1"/>
  <c r="AU27" i="1" s="1"/>
  <c r="AP27" i="1"/>
  <c r="AQ27" i="1" s="1"/>
  <c r="AR64" i="1"/>
  <c r="AT64" i="1" s="1"/>
  <c r="AU64" i="1" s="1"/>
  <c r="AP64" i="1"/>
  <c r="AQ64" i="1" s="1"/>
  <c r="AR43" i="1"/>
  <c r="AT43" i="1" s="1"/>
  <c r="AU43" i="1" s="1"/>
  <c r="AP43" i="1"/>
  <c r="AQ43" i="1" s="1"/>
  <c r="AP125" i="1"/>
  <c r="AQ125" i="1" s="1"/>
  <c r="AR125" i="1"/>
  <c r="AT125" i="1" s="1"/>
  <c r="AU125" i="1" s="1"/>
  <c r="AR191" i="1"/>
  <c r="AT191" i="1" s="1"/>
  <c r="AU191" i="1" s="1"/>
  <c r="AP191" i="1"/>
  <c r="AQ191" i="1" s="1"/>
  <c r="AH106" i="1" a="1"/>
  <c r="AH106" i="1" s="1"/>
  <c r="AH107" i="1" a="1"/>
  <c r="AH107" i="1" s="1"/>
  <c r="AH286" i="1" s="1"/>
  <c r="AH103" i="1" a="1"/>
  <c r="AH103" i="1" s="1"/>
  <c r="AH104" i="1" a="1"/>
  <c r="AH104" i="1" s="1"/>
  <c r="AH274" i="1" s="1"/>
  <c r="AI14" i="1"/>
  <c r="J301" i="1"/>
  <c r="T262" i="1"/>
  <c r="V100" i="1"/>
  <c r="W100" i="1" s="1"/>
  <c r="V102" i="1"/>
  <c r="W102" i="1" s="1"/>
  <c r="V259" i="1"/>
  <c r="W259" i="1" s="1"/>
  <c r="W168" i="1"/>
  <c r="V279" i="1"/>
  <c r="T263" i="1"/>
  <c r="V169" i="1"/>
  <c r="W169" i="1" s="1"/>
  <c r="V171" i="1"/>
  <c r="W171" i="1" s="1"/>
  <c r="AB242" i="1"/>
  <c r="AD95" i="1"/>
  <c r="T264" i="1"/>
  <c r="V230" i="1"/>
  <c r="W230" i="1" s="1"/>
  <c r="V228" i="1"/>
  <c r="W228" i="1" s="1"/>
  <c r="Z252" i="1"/>
  <c r="AA252" i="1" s="1"/>
  <c r="AA225" i="1"/>
  <c r="Z283" i="1"/>
  <c r="Z291" i="1" s="1"/>
  <c r="Z177" i="1"/>
  <c r="Z270" i="1"/>
  <c r="Z105" i="1"/>
  <c r="T253" i="1"/>
  <c r="S250" i="1"/>
  <c r="R253" i="1"/>
  <c r="S253" i="1" s="1"/>
  <c r="V242" i="1"/>
  <c r="W95" i="1"/>
  <c r="V109" i="1" a="1"/>
  <c r="V109" i="1" s="1"/>
  <c r="Z242" i="1"/>
  <c r="AA95" i="1"/>
  <c r="Z109" i="1" a="1"/>
  <c r="Z109" i="1" s="1"/>
  <c r="Z294" i="1" s="1"/>
  <c r="AB244" i="1"/>
  <c r="AD223" i="1"/>
  <c r="AF259" i="1"/>
  <c r="AF169" i="1"/>
  <c r="AH168" i="1"/>
  <c r="T249" i="1"/>
  <c r="AF248" i="1"/>
  <c r="AH224" i="1"/>
  <c r="X261" i="1"/>
  <c r="R245" i="1"/>
  <c r="S245" i="1" s="1"/>
  <c r="S242" i="1"/>
  <c r="AB255" i="1"/>
  <c r="AD167" i="1"/>
  <c r="AL121" i="1"/>
  <c r="AM121" i="1" s="1"/>
  <c r="AR123" i="1"/>
  <c r="AT123" i="1" s="1"/>
  <c r="AU123" i="1" s="1"/>
  <c r="AP123" i="1"/>
  <c r="AQ123" i="1" s="1"/>
  <c r="AN97" i="1"/>
  <c r="AN99" i="1" a="1"/>
  <c r="AN99" i="1" s="1"/>
  <c r="AN98" i="1" a="1"/>
  <c r="AN98" i="1" s="1"/>
  <c r="AN96" i="1"/>
  <c r="AN95" i="1"/>
  <c r="AR14" i="1"/>
  <c r="AP14" i="1"/>
  <c r="AP119" i="1"/>
  <c r="AQ119" i="1" s="1"/>
  <c r="AR119" i="1"/>
  <c r="AR42" i="1"/>
  <c r="AT42" i="1" s="1"/>
  <c r="AU42" i="1" s="1"/>
  <c r="AP42" i="1"/>
  <c r="AQ42" i="1" s="1"/>
  <c r="AR124" i="1"/>
  <c r="AP124" i="1"/>
  <c r="AQ124" i="1" s="1"/>
  <c r="AP53" i="1"/>
  <c r="AQ53" i="1" s="1"/>
  <c r="AR53" i="1"/>
  <c r="AT53" i="1" s="1"/>
  <c r="AU53" i="1" s="1"/>
  <c r="AR33" i="1"/>
  <c r="AP33" i="1"/>
  <c r="AQ33" i="1" s="1"/>
  <c r="AR23" i="1"/>
  <c r="AT23" i="1" s="1"/>
  <c r="AU23" i="1" s="1"/>
  <c r="AP23" i="1"/>
  <c r="AQ23" i="1" s="1"/>
  <c r="AR31" i="1"/>
  <c r="AP31" i="1"/>
  <c r="AQ31" i="1" s="1"/>
  <c r="AR65" i="1"/>
  <c r="AT65" i="1" s="1"/>
  <c r="AU65" i="1" s="1"/>
  <c r="AP65" i="1"/>
  <c r="AQ65" i="1" s="1"/>
  <c r="AR47" i="1"/>
  <c r="AT47" i="1" s="1"/>
  <c r="AU47" i="1" s="1"/>
  <c r="AP47" i="1"/>
  <c r="AQ47" i="1" s="1"/>
  <c r="AR187" i="1"/>
  <c r="AT187" i="1" s="1"/>
  <c r="AU187" i="1" s="1"/>
  <c r="AP187" i="1"/>
  <c r="AQ187" i="1" s="1"/>
  <c r="AR197" i="1"/>
  <c r="AP197" i="1"/>
  <c r="AQ197" i="1" s="1"/>
  <c r="AJ99" i="1" a="1"/>
  <c r="AJ99" i="1" s="1"/>
  <c r="AJ98" i="1" a="1"/>
  <c r="AJ98" i="1" s="1"/>
  <c r="AJ95" i="1"/>
  <c r="AJ97" i="1"/>
  <c r="AJ96" i="1"/>
  <c r="AL14" i="1"/>
  <c r="Z254" i="1"/>
  <c r="AA98" i="1"/>
  <c r="N266" i="1"/>
  <c r="O266" i="1" s="1"/>
  <c r="N262" i="1"/>
  <c r="O262" i="1" s="1"/>
  <c r="P265" i="1"/>
  <c r="T261" i="1"/>
  <c r="Z289" i="1"/>
  <c r="Z248" i="1"/>
  <c r="AA248" i="1" s="1"/>
  <c r="AA224" i="1"/>
  <c r="V247" i="1"/>
  <c r="W247" i="1" s="1"/>
  <c r="W165" i="1"/>
  <c r="Z255" i="1"/>
  <c r="AA255" i="1" s="1"/>
  <c r="AA167" i="1"/>
  <c r="T245" i="1"/>
  <c r="AB260" i="1"/>
  <c r="AB228" i="1"/>
  <c r="AD227" i="1"/>
  <c r="AL201" i="1"/>
  <c r="AM201" i="1" s="1"/>
  <c r="AF255" i="1"/>
  <c r="AH167" i="1"/>
  <c r="AF256" i="1"/>
  <c r="AH226" i="1"/>
  <c r="N263" i="1"/>
  <c r="O263" i="1" s="1"/>
  <c r="N267" i="1"/>
  <c r="O267" i="1" s="1"/>
  <c r="N179" i="1"/>
  <c r="N269" i="1"/>
  <c r="O269" i="1" s="1"/>
  <c r="N265" i="1"/>
  <c r="O265" i="1" s="1"/>
  <c r="R261" i="1"/>
  <c r="S261" i="1" s="1"/>
  <c r="S258" i="1"/>
  <c r="AR120" i="1"/>
  <c r="AT120" i="1" s="1"/>
  <c r="AU120" i="1" s="1"/>
  <c r="AP120" i="1"/>
  <c r="AQ120" i="1" s="1"/>
  <c r="AR203" i="1"/>
  <c r="AT203" i="1" s="1"/>
  <c r="AU203" i="1" s="1"/>
  <c r="AP203" i="1"/>
  <c r="AQ203" i="1" s="1"/>
  <c r="AR62" i="1"/>
  <c r="AT62" i="1" s="1"/>
  <c r="AU62" i="1" s="1"/>
  <c r="AP62" i="1"/>
  <c r="AQ62" i="1" s="1"/>
  <c r="AR38" i="1"/>
  <c r="AP38" i="1"/>
  <c r="AQ38" i="1" s="1"/>
  <c r="AR74" i="1"/>
  <c r="AP74" i="1"/>
  <c r="AQ74" i="1" s="1"/>
  <c r="AR51" i="1"/>
  <c r="AT51" i="1" s="1"/>
  <c r="AU51" i="1" s="1"/>
  <c r="AP51" i="1"/>
  <c r="AQ51" i="1" s="1"/>
  <c r="AR39" i="1"/>
  <c r="AT39" i="1" s="1"/>
  <c r="AU39" i="1" s="1"/>
  <c r="AP39" i="1"/>
  <c r="AQ39" i="1" s="1"/>
  <c r="AR112" i="1"/>
  <c r="AR181" i="1"/>
  <c r="AR13" i="1"/>
  <c r="AR34" i="1"/>
  <c r="AT34" i="1" s="1"/>
  <c r="AU34" i="1" s="1"/>
  <c r="AP34" i="1"/>
  <c r="AQ34" i="1" s="1"/>
  <c r="AR55" i="1"/>
  <c r="AT55" i="1" s="1"/>
  <c r="AU55" i="1" s="1"/>
  <c r="AP55" i="1"/>
  <c r="AQ55" i="1" s="1"/>
  <c r="AR48" i="1"/>
  <c r="AP48" i="1"/>
  <c r="AQ48" i="1" s="1"/>
  <c r="AR121" i="1"/>
  <c r="AT121" i="1" s="1"/>
  <c r="AU121" i="1" s="1"/>
  <c r="AP121" i="1"/>
  <c r="AQ121" i="1" s="1"/>
  <c r="AR193" i="1"/>
  <c r="AP193" i="1"/>
  <c r="AQ193" i="1" s="1"/>
  <c r="AF250" i="1"/>
  <c r="AH97" i="1"/>
  <c r="X257" i="1"/>
  <c r="Z260" i="1"/>
  <c r="AA260" i="1" s="1"/>
  <c r="AA227" i="1"/>
  <c r="V243" i="1"/>
  <c r="W243" i="1" s="1"/>
  <c r="W164" i="1"/>
  <c r="V178" i="1" a="1"/>
  <c r="V178" i="1" s="1"/>
  <c r="Z282" i="1"/>
  <c r="Z108" i="1"/>
  <c r="AB252" i="1"/>
  <c r="AD225" i="1"/>
  <c r="AF252" i="1"/>
  <c r="AH225" i="1"/>
  <c r="V282" i="1"/>
  <c r="V108" i="1"/>
  <c r="Z272" i="1"/>
  <c r="Z233" i="1"/>
  <c r="N299" i="1"/>
  <c r="N279" i="1"/>
  <c r="N268" i="1"/>
  <c r="O268" i="1" s="1"/>
  <c r="N264" i="1"/>
  <c r="O264" i="1" s="1"/>
  <c r="R110" i="1"/>
  <c r="R267" i="1"/>
  <c r="S267" i="1" s="1"/>
  <c r="R263" i="1"/>
  <c r="S263" i="1" s="1"/>
  <c r="V255" i="1"/>
  <c r="W255" i="1" s="1"/>
  <c r="W167" i="1"/>
  <c r="AR50" i="1"/>
  <c r="AP50" i="1"/>
  <c r="AQ50" i="1" s="1"/>
  <c r="AR189" i="1"/>
  <c r="AP189" i="1"/>
  <c r="AQ189" i="1" s="1"/>
  <c r="AR46" i="1"/>
  <c r="AT46" i="1" s="1"/>
  <c r="AU46" i="1" s="1"/>
  <c r="AP46" i="1"/>
  <c r="AQ46" i="1" s="1"/>
  <c r="AR199" i="1"/>
  <c r="AP199" i="1"/>
  <c r="AQ199" i="1" s="1"/>
  <c r="AR67" i="1"/>
  <c r="AT67" i="1" s="1"/>
  <c r="AU67" i="1" s="1"/>
  <c r="AP67" i="1"/>
  <c r="AQ67" i="1" s="1"/>
  <c r="AR36" i="1"/>
  <c r="AP36" i="1"/>
  <c r="AQ36" i="1" s="1"/>
  <c r="AR21" i="1"/>
  <c r="AT21" i="1" s="1"/>
  <c r="AU21" i="1" s="1"/>
  <c r="AP21" i="1"/>
  <c r="AQ21" i="1" s="1"/>
  <c r="AR29" i="1"/>
  <c r="AP29" i="1"/>
  <c r="AQ29" i="1" s="1"/>
  <c r="AR56" i="1"/>
  <c r="AT56" i="1" s="1"/>
  <c r="AU56" i="1" s="1"/>
  <c r="AP56" i="1"/>
  <c r="AQ56" i="1" s="1"/>
  <c r="AR49" i="1"/>
  <c r="AP49" i="1"/>
  <c r="AQ49" i="1" s="1"/>
  <c r="AR122" i="1"/>
  <c r="AP122" i="1"/>
  <c r="AQ122" i="1" s="1"/>
  <c r="AR184" i="1"/>
  <c r="AT184" i="1" s="1"/>
  <c r="AU184" i="1" s="1"/>
  <c r="AP184" i="1"/>
  <c r="AQ184" i="1" s="1"/>
  <c r="AR198" i="1"/>
  <c r="AT198" i="1" s="1"/>
  <c r="AU198" i="1" s="1"/>
  <c r="AP198" i="1"/>
  <c r="AQ198" i="1" s="1"/>
  <c r="AF242" i="1"/>
  <c r="AH95" i="1"/>
  <c r="X264" i="1"/>
  <c r="Z230" i="1"/>
  <c r="AA230" i="1" s="1"/>
  <c r="Z228" i="1"/>
  <c r="AA228" i="1" s="1"/>
  <c r="X229" i="1"/>
  <c r="Z229" i="1" s="1"/>
  <c r="AA229" i="1" s="1"/>
  <c r="N253" i="1"/>
  <c r="O253" i="1" s="1"/>
  <c r="O250" i="1"/>
  <c r="Z297" i="1" l="1"/>
  <c r="V238" i="1"/>
  <c r="AF245" i="1"/>
  <c r="X265" i="1"/>
  <c r="Z265" i="1" s="1"/>
  <c r="AA265" i="1" s="1"/>
  <c r="AH289" i="1"/>
  <c r="Z238" i="1"/>
  <c r="AB249" i="1"/>
  <c r="AD289" i="1"/>
  <c r="AH277" i="1"/>
  <c r="Z179" i="1"/>
  <c r="T265" i="1"/>
  <c r="V269" i="1" s="1"/>
  <c r="W269" i="1" s="1"/>
  <c r="AB245" i="1"/>
  <c r="AD277" i="1"/>
  <c r="AD282" i="1"/>
  <c r="AD108" i="1"/>
  <c r="AX18" i="1"/>
  <c r="AY18" i="1" s="1"/>
  <c r="AZ18" i="1"/>
  <c r="BB18" i="1" s="1"/>
  <c r="BC18" i="1" s="1"/>
  <c r="AZ75" i="1"/>
  <c r="BB75" i="1" s="1"/>
  <c r="BC75" i="1" s="1"/>
  <c r="AX75" i="1"/>
  <c r="AY75" i="1" s="1"/>
  <c r="AX192" i="1"/>
  <c r="AY192" i="1" s="1"/>
  <c r="AZ192" i="1"/>
  <c r="BB192" i="1" s="1"/>
  <c r="BC192" i="1" s="1"/>
  <c r="AZ15" i="1"/>
  <c r="BB15" i="1" s="1"/>
  <c r="BC15" i="1" s="1"/>
  <c r="AX15" i="1"/>
  <c r="AY15" i="1" s="1"/>
  <c r="AZ70" i="1"/>
  <c r="BB70" i="1" s="1"/>
  <c r="BC70" i="1" s="1"/>
  <c r="AX70" i="1"/>
  <c r="AY70" i="1" s="1"/>
  <c r="AJ260" i="1"/>
  <c r="AJ228" i="1"/>
  <c r="AL227" i="1"/>
  <c r="AD248" i="1"/>
  <c r="AE248" i="1" s="1"/>
  <c r="AE224" i="1"/>
  <c r="Z253" i="1"/>
  <c r="AA253" i="1" s="1"/>
  <c r="AA250" i="1"/>
  <c r="AR168" i="1" a="1"/>
  <c r="AR168" i="1" s="1"/>
  <c r="AR165" i="1"/>
  <c r="AR167" i="1" a="1"/>
  <c r="AR167" i="1" s="1"/>
  <c r="AR164" i="1"/>
  <c r="AR166" i="1"/>
  <c r="AT113" i="1"/>
  <c r="V257" i="1"/>
  <c r="W257" i="1" s="1"/>
  <c r="W254" i="1"/>
  <c r="AJ259" i="1"/>
  <c r="AL168" i="1"/>
  <c r="AJ169" i="1"/>
  <c r="AB261" i="1"/>
  <c r="AB265" i="1" s="1"/>
  <c r="AH242" i="1"/>
  <c r="AI95" i="1"/>
  <c r="AH109" i="1" a="1"/>
  <c r="AH109" i="1" s="1"/>
  <c r="AH294" i="1" s="1"/>
  <c r="Z285" i="1"/>
  <c r="Z293" i="1" s="1"/>
  <c r="Z290" i="1"/>
  <c r="AH250" i="1"/>
  <c r="AI97" i="1"/>
  <c r="AA254" i="1"/>
  <c r="Z257" i="1"/>
  <c r="AA257" i="1" s="1"/>
  <c r="AT197" i="1"/>
  <c r="AU197" i="1" s="1"/>
  <c r="AT31" i="1"/>
  <c r="AU31" i="1" s="1"/>
  <c r="AT124" i="1"/>
  <c r="AU124" i="1" s="1"/>
  <c r="AN246" i="1"/>
  <c r="AP96" i="1"/>
  <c r="AD255" i="1"/>
  <c r="AE255" i="1" s="1"/>
  <c r="AE167" i="1"/>
  <c r="AH259" i="1"/>
  <c r="AI259" i="1" s="1"/>
  <c r="AI168" i="1"/>
  <c r="Z245" i="1"/>
  <c r="AA245" i="1" s="1"/>
  <c r="AA242" i="1"/>
  <c r="AN256" i="1"/>
  <c r="AP226" i="1"/>
  <c r="V249" i="1"/>
  <c r="W249" i="1" s="1"/>
  <c r="W246" i="1"/>
  <c r="Z299" i="1"/>
  <c r="Z279" i="1"/>
  <c r="AZ69" i="1"/>
  <c r="BB69" i="1" s="1"/>
  <c r="BC69" i="1" s="1"/>
  <c r="AX69" i="1"/>
  <c r="AY69" i="1" s="1"/>
  <c r="AZ54" i="1"/>
  <c r="BB54" i="1" s="1"/>
  <c r="BC54" i="1" s="1"/>
  <c r="AX54" i="1"/>
  <c r="AY54" i="1" s="1"/>
  <c r="AX46" i="1"/>
  <c r="AY46" i="1" s="1"/>
  <c r="AZ46" i="1"/>
  <c r="BB46" i="1" s="1"/>
  <c r="BC46" i="1" s="1"/>
  <c r="AZ66" i="1"/>
  <c r="BB66" i="1" s="1"/>
  <c r="BC66" i="1" s="1"/>
  <c r="AX66" i="1"/>
  <c r="AY66" i="1" s="1"/>
  <c r="AX124" i="1"/>
  <c r="AY124" i="1" s="1"/>
  <c r="AZ124" i="1"/>
  <c r="BB124" i="1" s="1"/>
  <c r="BC124" i="1" s="1"/>
  <c r="AZ189" i="1"/>
  <c r="BB189" i="1" s="1"/>
  <c r="BC189" i="1" s="1"/>
  <c r="AX189" i="1"/>
  <c r="AY189" i="1" s="1"/>
  <c r="AZ13" i="1"/>
  <c r="AZ112" i="1"/>
  <c r="AZ181" i="1"/>
  <c r="AZ24" i="1"/>
  <c r="BB24" i="1" s="1"/>
  <c r="BC24" i="1" s="1"/>
  <c r="AX24" i="1"/>
  <c r="AY24" i="1" s="1"/>
  <c r="AZ49" i="1"/>
  <c r="BB49" i="1" s="1"/>
  <c r="BC49" i="1" s="1"/>
  <c r="AX49" i="1"/>
  <c r="AY49" i="1" s="1"/>
  <c r="AZ72" i="1"/>
  <c r="BB72" i="1" s="1"/>
  <c r="BC72" i="1" s="1"/>
  <c r="AX72" i="1"/>
  <c r="AY72" i="1" s="1"/>
  <c r="AZ126" i="1"/>
  <c r="BB126" i="1" s="1"/>
  <c r="BC126" i="1" s="1"/>
  <c r="AX126" i="1"/>
  <c r="AY126" i="1" s="1"/>
  <c r="AZ185" i="1"/>
  <c r="BB185" i="1" s="1"/>
  <c r="BC185" i="1" s="1"/>
  <c r="AX185" i="1"/>
  <c r="AY185" i="1" s="1"/>
  <c r="AZ198" i="1"/>
  <c r="BB198" i="1" s="1"/>
  <c r="BC198" i="1" s="1"/>
  <c r="AX198" i="1"/>
  <c r="AY198" i="1" s="1"/>
  <c r="AF264" i="1"/>
  <c r="AH230" i="1"/>
  <c r="AI230" i="1" s="1"/>
  <c r="AH228" i="1"/>
  <c r="AI228" i="1" s="1"/>
  <c r="AF229" i="1"/>
  <c r="AH229" i="1" s="1"/>
  <c r="AI229" i="1" s="1"/>
  <c r="AT44" i="1"/>
  <c r="AU44" i="1" s="1"/>
  <c r="AT200" i="1"/>
  <c r="AU200" i="1" s="1"/>
  <c r="AJ252" i="1"/>
  <c r="AL225" i="1"/>
  <c r="AH254" i="1"/>
  <c r="AI98" i="1"/>
  <c r="AN243" i="1"/>
  <c r="AP164" i="1"/>
  <c r="AT60" i="1"/>
  <c r="AU60" i="1" s="1"/>
  <c r="AT186" i="1"/>
  <c r="AU186" i="1" s="1"/>
  <c r="AT25" i="1"/>
  <c r="AU25" i="1" s="1"/>
  <c r="AH272" i="1"/>
  <c r="AH233" i="1"/>
  <c r="AD251" i="1"/>
  <c r="AE251" i="1" s="1"/>
  <c r="AE166" i="1"/>
  <c r="AJ255" i="1"/>
  <c r="AL167" i="1"/>
  <c r="Z268" i="1"/>
  <c r="AA268" i="1" s="1"/>
  <c r="Z264" i="1"/>
  <c r="AA264" i="1" s="1"/>
  <c r="AT48" i="1"/>
  <c r="AU48" i="1" s="1"/>
  <c r="AH256" i="1"/>
  <c r="AI256" i="1" s="1"/>
  <c r="AI226" i="1"/>
  <c r="AN254" i="1"/>
  <c r="AP98" i="1"/>
  <c r="AF263" i="1"/>
  <c r="AH171" i="1"/>
  <c r="AI171" i="1" s="1"/>
  <c r="AH169" i="1"/>
  <c r="AI169" i="1" s="1"/>
  <c r="AF170" i="1"/>
  <c r="AH170" i="1" s="1"/>
  <c r="AI170" i="1" s="1"/>
  <c r="V294" i="1"/>
  <c r="V110" i="1"/>
  <c r="Z110" i="1"/>
  <c r="V268" i="1"/>
  <c r="W268" i="1" s="1"/>
  <c r="V264" i="1"/>
  <c r="W264" i="1" s="1"/>
  <c r="AN260" i="1"/>
  <c r="AN228" i="1"/>
  <c r="AP227" i="1"/>
  <c r="AH247" i="1"/>
  <c r="AI247" i="1" s="1"/>
  <c r="AI165" i="1"/>
  <c r="AZ55" i="1"/>
  <c r="BB55" i="1" s="1"/>
  <c r="BC55" i="1" s="1"/>
  <c r="AX55" i="1"/>
  <c r="AY55" i="1" s="1"/>
  <c r="AZ38" i="1"/>
  <c r="BB38" i="1" s="1"/>
  <c r="BC38" i="1" s="1"/>
  <c r="AX38" i="1"/>
  <c r="AY38" i="1" s="1"/>
  <c r="AZ68" i="1"/>
  <c r="BB68" i="1" s="1"/>
  <c r="BC68" i="1" s="1"/>
  <c r="AX68" i="1"/>
  <c r="AY68" i="1" s="1"/>
  <c r="AZ117" i="1"/>
  <c r="AX117" i="1"/>
  <c r="AY117" i="1" s="1"/>
  <c r="AZ196" i="1"/>
  <c r="BB196" i="1" s="1"/>
  <c r="BC196" i="1" s="1"/>
  <c r="AX196" i="1"/>
  <c r="AY196" i="1" s="1"/>
  <c r="BF181" i="1"/>
  <c r="BJ181" i="1"/>
  <c r="BJ112" i="1"/>
  <c r="BF112" i="1"/>
  <c r="BF13" i="1"/>
  <c r="BJ13" i="1"/>
  <c r="BD8" i="1"/>
  <c r="BH12" i="1"/>
  <c r="BD112" i="1"/>
  <c r="BD181" i="1"/>
  <c r="BD13" i="1"/>
  <c r="AZ27" i="1"/>
  <c r="BB27" i="1" s="1"/>
  <c r="BC27" i="1" s="1"/>
  <c r="AX27" i="1"/>
  <c r="AY27" i="1" s="1"/>
  <c r="AZ29" i="1"/>
  <c r="BB29" i="1" s="1"/>
  <c r="BC29" i="1" s="1"/>
  <c r="AX29" i="1"/>
  <c r="AY29" i="1" s="1"/>
  <c r="AZ63" i="1"/>
  <c r="BB63" i="1" s="1"/>
  <c r="BC63" i="1" s="1"/>
  <c r="AX63" i="1"/>
  <c r="AY63" i="1" s="1"/>
  <c r="AZ73" i="1"/>
  <c r="BB73" i="1" s="1"/>
  <c r="BC73" i="1" s="1"/>
  <c r="AX73" i="1"/>
  <c r="AY73" i="1" s="1"/>
  <c r="AZ122" i="1"/>
  <c r="BB122" i="1" s="1"/>
  <c r="BC122" i="1" s="1"/>
  <c r="AX122" i="1"/>
  <c r="AY122" i="1" s="1"/>
  <c r="AZ190" i="1"/>
  <c r="BB190" i="1" s="1"/>
  <c r="BC190" i="1" s="1"/>
  <c r="AX190" i="1"/>
  <c r="AY190" i="1" s="1"/>
  <c r="AX203" i="1"/>
  <c r="AY203" i="1" s="1"/>
  <c r="AZ203" i="1"/>
  <c r="BB203" i="1" s="1"/>
  <c r="BC203" i="1" s="1"/>
  <c r="AT114" i="1"/>
  <c r="AU114" i="1" s="1"/>
  <c r="AH251" i="1"/>
  <c r="AI251" i="1" s="1"/>
  <c r="AI166" i="1"/>
  <c r="AF257" i="1"/>
  <c r="AN247" i="1"/>
  <c r="AP165" i="1"/>
  <c r="AH284" i="1"/>
  <c r="AH292" i="1" s="1"/>
  <c r="AH236" i="1"/>
  <c r="Z267" i="1"/>
  <c r="AA267" i="1" s="1"/>
  <c r="Z263" i="1"/>
  <c r="AA263" i="1" s="1"/>
  <c r="AD271" i="1"/>
  <c r="AD174" i="1"/>
  <c r="AN242" i="1"/>
  <c r="AP95" i="1"/>
  <c r="V295" i="1"/>
  <c r="V299" i="1" s="1"/>
  <c r="V179" i="1"/>
  <c r="AF253" i="1"/>
  <c r="AL107" i="1" a="1"/>
  <c r="AL107" i="1" s="1"/>
  <c r="AL286" i="1" s="1"/>
  <c r="AL103" i="1" a="1"/>
  <c r="AL103" i="1" s="1"/>
  <c r="AL104" i="1" a="1"/>
  <c r="AL104" i="1" s="1"/>
  <c r="AL274" i="1" s="1"/>
  <c r="AL106" i="1" a="1"/>
  <c r="AL106" i="1" s="1"/>
  <c r="AM14" i="1"/>
  <c r="V285" i="1"/>
  <c r="V293" i="1" s="1"/>
  <c r="V290" i="1"/>
  <c r="AJ246" i="1"/>
  <c r="AL96" i="1"/>
  <c r="AN258" i="1"/>
  <c r="AP99" i="1"/>
  <c r="AN100" i="1"/>
  <c r="Z298" i="1"/>
  <c r="Z278" i="1"/>
  <c r="Z273" i="1"/>
  <c r="Z281" i="1" s="1"/>
  <c r="AD242" i="1"/>
  <c r="AE95" i="1"/>
  <c r="AD109" i="1" a="1"/>
  <c r="AD109" i="1" s="1"/>
  <c r="AD294" i="1" s="1"/>
  <c r="AH270" i="1"/>
  <c r="AH105" i="1"/>
  <c r="AT68" i="1"/>
  <c r="AU68" i="1" s="1"/>
  <c r="AX114" i="1"/>
  <c r="AY114" i="1" s="1"/>
  <c r="AZ114" i="1"/>
  <c r="BB114" i="1" s="1"/>
  <c r="BC114" i="1" s="1"/>
  <c r="AZ50" i="1"/>
  <c r="BB50" i="1" s="1"/>
  <c r="BC50" i="1" s="1"/>
  <c r="AX50" i="1"/>
  <c r="AY50" i="1" s="1"/>
  <c r="AZ22" i="1"/>
  <c r="BB22" i="1" s="1"/>
  <c r="BC22" i="1" s="1"/>
  <c r="AX22" i="1"/>
  <c r="AY22" i="1" s="1"/>
  <c r="AV226" i="1" a="1"/>
  <c r="AV226" i="1" s="1"/>
  <c r="AV227" i="1" a="1"/>
  <c r="AV227" i="1" s="1"/>
  <c r="AV225" i="1"/>
  <c r="AV223" i="1"/>
  <c r="AV224" i="1"/>
  <c r="AZ182" i="1"/>
  <c r="AX182" i="1"/>
  <c r="AZ41" i="1"/>
  <c r="BB41" i="1" s="1"/>
  <c r="BC41" i="1" s="1"/>
  <c r="AX41" i="1"/>
  <c r="AY41" i="1" s="1"/>
  <c r="AZ74" i="1"/>
  <c r="BB74" i="1" s="1"/>
  <c r="BC74" i="1" s="1"/>
  <c r="AX74" i="1"/>
  <c r="AY74" i="1" s="1"/>
  <c r="AZ59" i="1"/>
  <c r="BB59" i="1" s="1"/>
  <c r="BC59" i="1" s="1"/>
  <c r="AX59" i="1"/>
  <c r="AY59" i="1" s="1"/>
  <c r="AZ31" i="1"/>
  <c r="BB31" i="1" s="1"/>
  <c r="BC31" i="1" s="1"/>
  <c r="AX31" i="1"/>
  <c r="AY31" i="1" s="1"/>
  <c r="AZ30" i="1"/>
  <c r="BB30" i="1" s="1"/>
  <c r="BC30" i="1" s="1"/>
  <c r="AX30" i="1"/>
  <c r="AY30" i="1" s="1"/>
  <c r="AZ64" i="1"/>
  <c r="BB64" i="1" s="1"/>
  <c r="BC64" i="1" s="1"/>
  <c r="AX64" i="1"/>
  <c r="AY64" i="1" s="1"/>
  <c r="AZ71" i="1"/>
  <c r="BB71" i="1" s="1"/>
  <c r="BC71" i="1" s="1"/>
  <c r="AX71" i="1"/>
  <c r="AY71" i="1" s="1"/>
  <c r="AZ193" i="1"/>
  <c r="BB193" i="1" s="1"/>
  <c r="BC193" i="1" s="1"/>
  <c r="AX193" i="1"/>
  <c r="AY193" i="1" s="1"/>
  <c r="AD246" i="1"/>
  <c r="AE96" i="1"/>
  <c r="AT30" i="1"/>
  <c r="AU30" i="1" s="1"/>
  <c r="AD259" i="1"/>
  <c r="AE259" i="1" s="1"/>
  <c r="AE168" i="1"/>
  <c r="AA258" i="1"/>
  <c r="Z261" i="1"/>
  <c r="AA261" i="1" s="1"/>
  <c r="AH246" i="1"/>
  <c r="AI96" i="1"/>
  <c r="AN251" i="1"/>
  <c r="AP166" i="1"/>
  <c r="AT66" i="1"/>
  <c r="AU66" i="1" s="1"/>
  <c r="Z249" i="1"/>
  <c r="AA249" i="1" s="1"/>
  <c r="AA246" i="1"/>
  <c r="AD283" i="1"/>
  <c r="AD291" i="1" s="1"/>
  <c r="AD177" i="1"/>
  <c r="AT75" i="1"/>
  <c r="AU75" i="1" s="1"/>
  <c r="AB264" i="1"/>
  <c r="AD228" i="1"/>
  <c r="AE228" i="1" s="1"/>
  <c r="AD230" i="1"/>
  <c r="AE230" i="1" s="1"/>
  <c r="AT122" i="1"/>
  <c r="AU122" i="1" s="1"/>
  <c r="AN244" i="1"/>
  <c r="AP223" i="1"/>
  <c r="AX120" i="1"/>
  <c r="AY120" i="1" s="1"/>
  <c r="AZ120" i="1"/>
  <c r="BB120" i="1" s="1"/>
  <c r="BC120" i="1" s="1"/>
  <c r="AZ62" i="1"/>
  <c r="BB62" i="1" s="1"/>
  <c r="BC62" i="1" s="1"/>
  <c r="AX62" i="1"/>
  <c r="AY62" i="1" s="1"/>
  <c r="AX186" i="1"/>
  <c r="AY186" i="1" s="1"/>
  <c r="AZ186" i="1"/>
  <c r="BB186" i="1" s="1"/>
  <c r="BC186" i="1" s="1"/>
  <c r="AZ17" i="1"/>
  <c r="BB17" i="1" s="1"/>
  <c r="BC17" i="1" s="1"/>
  <c r="AX17" i="1"/>
  <c r="AY17" i="1" s="1"/>
  <c r="AZ26" i="1"/>
  <c r="BB26" i="1" s="1"/>
  <c r="BC26" i="1" s="1"/>
  <c r="AX26" i="1"/>
  <c r="AY26" i="1" s="1"/>
  <c r="AZ48" i="1"/>
  <c r="BB48" i="1" s="1"/>
  <c r="BC48" i="1" s="1"/>
  <c r="AX48" i="1"/>
  <c r="AY48" i="1" s="1"/>
  <c r="AV167" i="1" a="1"/>
  <c r="AV167" i="1" s="1"/>
  <c r="AV168" i="1" a="1"/>
  <c r="AV168" i="1" s="1"/>
  <c r="AV164" i="1"/>
  <c r="AV165" i="1"/>
  <c r="AV166" i="1"/>
  <c r="AZ113" i="1"/>
  <c r="AX113" i="1"/>
  <c r="AX194" i="1"/>
  <c r="AY194" i="1" s="1"/>
  <c r="AZ194" i="1"/>
  <c r="BB194" i="1" s="1"/>
  <c r="BC194" i="1" s="1"/>
  <c r="AH260" i="1"/>
  <c r="AI260" i="1" s="1"/>
  <c r="AI227" i="1"/>
  <c r="V261" i="1"/>
  <c r="W261" i="1" s="1"/>
  <c r="W258" i="1"/>
  <c r="AT49" i="1"/>
  <c r="AU49" i="1" s="1"/>
  <c r="AT36" i="1"/>
  <c r="AU36" i="1" s="1"/>
  <c r="AT189" i="1"/>
  <c r="AU189" i="1" s="1"/>
  <c r="AH255" i="1"/>
  <c r="AI255" i="1" s="1"/>
  <c r="AI167" i="1"/>
  <c r="AT50" i="1"/>
  <c r="AU50" i="1" s="1"/>
  <c r="AH252" i="1"/>
  <c r="AI252" i="1" s="1"/>
  <c r="AI225" i="1"/>
  <c r="AT193" i="1"/>
  <c r="AU193" i="1" s="1"/>
  <c r="V265" i="1"/>
  <c r="W265" i="1" s="1"/>
  <c r="AJ250" i="1"/>
  <c r="AL97" i="1"/>
  <c r="AT119" i="1"/>
  <c r="AU119" i="1" s="1"/>
  <c r="AN250" i="1"/>
  <c r="AP97" i="1"/>
  <c r="W242" i="1"/>
  <c r="V245" i="1"/>
  <c r="W245" i="1" s="1"/>
  <c r="AP234" i="1" a="1"/>
  <c r="AP234" i="1" s="1"/>
  <c r="AP235" i="1" a="1"/>
  <c r="AP235" i="1" s="1"/>
  <c r="AP288" i="1" s="1"/>
  <c r="AP231" i="1" a="1"/>
  <c r="AP231" i="1" s="1"/>
  <c r="AP232" i="1" a="1"/>
  <c r="AP232" i="1" s="1"/>
  <c r="AP276" i="1" s="1"/>
  <c r="AQ182" i="1"/>
  <c r="V253" i="1"/>
  <c r="W253" i="1" s="1"/>
  <c r="W250" i="1"/>
  <c r="AZ32" i="1"/>
  <c r="BB32" i="1" s="1"/>
  <c r="BC32" i="1" s="1"/>
  <c r="AX32" i="1"/>
  <c r="AY32" i="1" s="1"/>
  <c r="AZ58" i="1"/>
  <c r="BB58" i="1" s="1"/>
  <c r="BC58" i="1" s="1"/>
  <c r="AX58" i="1"/>
  <c r="AY58" i="1" s="1"/>
  <c r="AX118" i="1"/>
  <c r="AY118" i="1" s="1"/>
  <c r="AZ118" i="1"/>
  <c r="BB118" i="1" s="1"/>
  <c r="BC118" i="1" s="1"/>
  <c r="AZ19" i="1"/>
  <c r="AX19" i="1"/>
  <c r="AY19" i="1" s="1"/>
  <c r="AZ61" i="1"/>
  <c r="BB61" i="1" s="1"/>
  <c r="BC61" i="1" s="1"/>
  <c r="AX61" i="1"/>
  <c r="AY61" i="1" s="1"/>
  <c r="AZ51" i="1"/>
  <c r="BB51" i="1" s="1"/>
  <c r="BC51" i="1" s="1"/>
  <c r="AX51" i="1"/>
  <c r="AY51" i="1" s="1"/>
  <c r="AZ16" i="1"/>
  <c r="BB16" i="1" s="1"/>
  <c r="BC16" i="1" s="1"/>
  <c r="AX16" i="1"/>
  <c r="AY16" i="1" s="1"/>
  <c r="AZ34" i="1"/>
  <c r="BB34" i="1" s="1"/>
  <c r="BC34" i="1" s="1"/>
  <c r="AX34" i="1"/>
  <c r="AY34" i="1" s="1"/>
  <c r="AZ35" i="1"/>
  <c r="BB35" i="1" s="1"/>
  <c r="BC35" i="1" s="1"/>
  <c r="AX35" i="1"/>
  <c r="AY35" i="1" s="1"/>
  <c r="AZ65" i="1"/>
  <c r="BB65" i="1" s="1"/>
  <c r="BC65" i="1" s="1"/>
  <c r="AX65" i="1"/>
  <c r="AY65" i="1" s="1"/>
  <c r="AZ121" i="1"/>
  <c r="AX121" i="1"/>
  <c r="AY121" i="1" s="1"/>
  <c r="AZ187" i="1"/>
  <c r="AX187" i="1"/>
  <c r="AY187" i="1" s="1"/>
  <c r="AB263" i="1"/>
  <c r="AD171" i="1"/>
  <c r="AE171" i="1" s="1"/>
  <c r="AD169" i="1"/>
  <c r="AE169" i="1" s="1"/>
  <c r="AL232" i="1" a="1"/>
  <c r="AL232" i="1" s="1"/>
  <c r="AL276" i="1" s="1"/>
  <c r="AL235" i="1" a="1"/>
  <c r="AL235" i="1" s="1"/>
  <c r="AL288" i="1" s="1"/>
  <c r="AL234" i="1" a="1"/>
  <c r="AL234" i="1" s="1"/>
  <c r="AL231" i="1" a="1"/>
  <c r="AL231" i="1" s="1"/>
  <c r="AM182" i="1"/>
  <c r="AF249" i="1"/>
  <c r="AN259" i="1"/>
  <c r="AN169" i="1"/>
  <c r="AP168" i="1"/>
  <c r="AT18" i="1"/>
  <c r="AU18" i="1" s="1"/>
  <c r="AD247" i="1"/>
  <c r="AE247" i="1" s="1"/>
  <c r="AE165" i="1"/>
  <c r="AT71" i="1"/>
  <c r="AU71" i="1" s="1"/>
  <c r="AL175" i="1" a="1"/>
  <c r="AL175" i="1" s="1"/>
  <c r="AL176" i="1" a="1"/>
  <c r="AL176" i="1" s="1"/>
  <c r="AL287" i="1" s="1"/>
  <c r="AL172" i="1" a="1"/>
  <c r="AL172" i="1" s="1"/>
  <c r="AL173" i="1" a="1"/>
  <c r="AL173" i="1" s="1"/>
  <c r="AL275" i="1" s="1"/>
  <c r="AM113" i="1"/>
  <c r="AT38" i="1"/>
  <c r="AU38" i="1" s="1"/>
  <c r="AH282" i="1"/>
  <c r="AH108" i="1"/>
  <c r="AR227" i="1" a="1"/>
  <c r="AR227" i="1" s="1"/>
  <c r="AR225" i="1"/>
  <c r="AR224" i="1"/>
  <c r="AR226" i="1" a="1"/>
  <c r="AR226" i="1" s="1"/>
  <c r="AR223" i="1"/>
  <c r="AT182" i="1"/>
  <c r="AD243" i="1"/>
  <c r="AE243" i="1" s="1"/>
  <c r="AD178" i="1" a="1"/>
  <c r="AD178" i="1" s="1"/>
  <c r="AD295" i="1" s="1"/>
  <c r="AE164" i="1"/>
  <c r="Z266" i="1"/>
  <c r="AA266" i="1" s="1"/>
  <c r="Z262" i="1"/>
  <c r="AA262" i="1" s="1"/>
  <c r="AZ33" i="1"/>
  <c r="BB33" i="1" s="1"/>
  <c r="BC33" i="1" s="1"/>
  <c r="AX33" i="1"/>
  <c r="AY33" i="1" s="1"/>
  <c r="AX28" i="1"/>
  <c r="AY28" i="1" s="1"/>
  <c r="AZ28" i="1"/>
  <c r="BB28" i="1" s="1"/>
  <c r="BC28" i="1" s="1"/>
  <c r="AX25" i="1"/>
  <c r="AY25" i="1" s="1"/>
  <c r="AZ25" i="1"/>
  <c r="BB25" i="1" s="1"/>
  <c r="BC25" i="1" s="1"/>
  <c r="AZ42" i="1"/>
  <c r="BB42" i="1" s="1"/>
  <c r="BC42" i="1" s="1"/>
  <c r="AX42" i="1"/>
  <c r="AY42" i="1" s="1"/>
  <c r="AZ202" i="1"/>
  <c r="BB202" i="1" s="1"/>
  <c r="BC202" i="1" s="1"/>
  <c r="AX202" i="1"/>
  <c r="AY202" i="1" s="1"/>
  <c r="AZ67" i="1"/>
  <c r="BB67" i="1" s="1"/>
  <c r="BC67" i="1" s="1"/>
  <c r="AX67" i="1"/>
  <c r="AY67" i="1" s="1"/>
  <c r="AZ47" i="1"/>
  <c r="BB47" i="1" s="1"/>
  <c r="BC47" i="1" s="1"/>
  <c r="AX47" i="1"/>
  <c r="AY47" i="1" s="1"/>
  <c r="AZ20" i="1"/>
  <c r="BB20" i="1" s="1"/>
  <c r="BC20" i="1" s="1"/>
  <c r="AX20" i="1"/>
  <c r="AY20" i="1" s="1"/>
  <c r="AX37" i="1"/>
  <c r="AY37" i="1" s="1"/>
  <c r="AZ37" i="1"/>
  <c r="BB37" i="1" s="1"/>
  <c r="BC37" i="1" s="1"/>
  <c r="AZ60" i="1"/>
  <c r="BB60" i="1" s="1"/>
  <c r="BC60" i="1" s="1"/>
  <c r="AX60" i="1"/>
  <c r="AY60" i="1" s="1"/>
  <c r="AZ40" i="1"/>
  <c r="AX40" i="1"/>
  <c r="AY40" i="1" s="1"/>
  <c r="AT195" i="1"/>
  <c r="AU195" i="1" s="1"/>
  <c r="AJ256" i="1"/>
  <c r="AL226" i="1"/>
  <c r="AD254" i="1"/>
  <c r="AE98" i="1"/>
  <c r="AN255" i="1"/>
  <c r="AP167" i="1"/>
  <c r="AH243" i="1"/>
  <c r="AI243" i="1" s="1"/>
  <c r="AH178" i="1" a="1"/>
  <c r="AH178" i="1" s="1"/>
  <c r="AH295" i="1" s="1"/>
  <c r="AI164" i="1"/>
  <c r="N297" i="1"/>
  <c r="N298" i="1"/>
  <c r="N301" i="1" s="1"/>
  <c r="AH271" i="1"/>
  <c r="AH174" i="1"/>
  <c r="AF262" i="1"/>
  <c r="AH102" i="1"/>
  <c r="AI102" i="1" s="1"/>
  <c r="AH100" i="1"/>
  <c r="AI100" i="1" s="1"/>
  <c r="AF101" i="1"/>
  <c r="AH101" i="1" s="1"/>
  <c r="AI101" i="1" s="1"/>
  <c r="AT24" i="1"/>
  <c r="AU24" i="1" s="1"/>
  <c r="AJ247" i="1"/>
  <c r="AL165" i="1"/>
  <c r="AD250" i="1"/>
  <c r="AE97" i="1"/>
  <c r="Z300" i="1"/>
  <c r="Z280" i="1"/>
  <c r="AT74" i="1"/>
  <c r="AU74" i="1" s="1"/>
  <c r="R269" i="1"/>
  <c r="S269" i="1" s="1"/>
  <c r="R265" i="1"/>
  <c r="S265" i="1" s="1"/>
  <c r="AJ242" i="1"/>
  <c r="AL95" i="1"/>
  <c r="AT33" i="1"/>
  <c r="AU33" i="1" s="1"/>
  <c r="AD244" i="1"/>
  <c r="AE244" i="1" s="1"/>
  <c r="AD237" i="1" a="1"/>
  <c r="AD237" i="1" s="1"/>
  <c r="AD296" i="1" s="1"/>
  <c r="AE223" i="1"/>
  <c r="AT29" i="1"/>
  <c r="AU29" i="1" s="1"/>
  <c r="AT199" i="1"/>
  <c r="AU199" i="1" s="1"/>
  <c r="AD252" i="1"/>
  <c r="AE252" i="1" s="1"/>
  <c r="AE225" i="1"/>
  <c r="AD260" i="1"/>
  <c r="AE260" i="1" s="1"/>
  <c r="AE227" i="1"/>
  <c r="AJ254" i="1"/>
  <c r="AL98" i="1"/>
  <c r="AP107" i="1" a="1"/>
  <c r="AP107" i="1" s="1"/>
  <c r="AP286" i="1" s="1"/>
  <c r="AP103" i="1" a="1"/>
  <c r="AP103" i="1" s="1"/>
  <c r="AP104" i="1" a="1"/>
  <c r="AP104" i="1" s="1"/>
  <c r="AP274" i="1" s="1"/>
  <c r="AP106" i="1" a="1"/>
  <c r="AP106" i="1" s="1"/>
  <c r="AQ14" i="1"/>
  <c r="AH248" i="1"/>
  <c r="AI248" i="1" s="1"/>
  <c r="AI224" i="1"/>
  <c r="V266" i="1"/>
  <c r="W266" i="1" s="1"/>
  <c r="V262" i="1"/>
  <c r="W262" i="1" s="1"/>
  <c r="AN252" i="1"/>
  <c r="AP225" i="1"/>
  <c r="AH244" i="1"/>
  <c r="AI244" i="1" s="1"/>
  <c r="AH237" i="1" a="1"/>
  <c r="AH237" i="1" s="1"/>
  <c r="AH296" i="1" s="1"/>
  <c r="AI223" i="1"/>
  <c r="AD256" i="1"/>
  <c r="AE256" i="1" s="1"/>
  <c r="AE226" i="1"/>
  <c r="AD270" i="1"/>
  <c r="AD105" i="1"/>
  <c r="AZ183" i="1"/>
  <c r="BB183" i="1" s="1"/>
  <c r="BC183" i="1" s="1"/>
  <c r="AX183" i="1"/>
  <c r="AY183" i="1" s="1"/>
  <c r="AZ195" i="1"/>
  <c r="BB195" i="1" s="1"/>
  <c r="BC195" i="1" s="1"/>
  <c r="AX195" i="1"/>
  <c r="AY195" i="1" s="1"/>
  <c r="AZ199" i="1"/>
  <c r="BB199" i="1" s="1"/>
  <c r="BC199" i="1" s="1"/>
  <c r="AX199" i="1"/>
  <c r="AY199" i="1" s="1"/>
  <c r="AZ200" i="1"/>
  <c r="BB200" i="1" s="1"/>
  <c r="BC200" i="1" s="1"/>
  <c r="AX200" i="1"/>
  <c r="AY200" i="1" s="1"/>
  <c r="AZ53" i="1"/>
  <c r="BB53" i="1" s="1"/>
  <c r="BC53" i="1" s="1"/>
  <c r="AX53" i="1"/>
  <c r="AY53" i="1" s="1"/>
  <c r="AZ52" i="1"/>
  <c r="AX52" i="1"/>
  <c r="AY52" i="1" s="1"/>
  <c r="AX21" i="1"/>
  <c r="AY21" i="1" s="1"/>
  <c r="AZ21" i="1"/>
  <c r="BB21" i="1" s="1"/>
  <c r="BC21" i="1" s="1"/>
  <c r="AZ43" i="1"/>
  <c r="BB43" i="1" s="1"/>
  <c r="BC43" i="1" s="1"/>
  <c r="AX43" i="1"/>
  <c r="AY43" i="1" s="1"/>
  <c r="AZ45" i="1"/>
  <c r="BB45" i="1" s="1"/>
  <c r="BC45" i="1" s="1"/>
  <c r="AX45" i="1"/>
  <c r="AY45" i="1" s="1"/>
  <c r="AZ56" i="1"/>
  <c r="BB56" i="1" s="1"/>
  <c r="BC56" i="1" s="1"/>
  <c r="AX56" i="1"/>
  <c r="AY56" i="1" s="1"/>
  <c r="AZ116" i="1"/>
  <c r="BB116" i="1" s="1"/>
  <c r="BC116" i="1" s="1"/>
  <c r="AX116" i="1"/>
  <c r="AY116" i="1" s="1"/>
  <c r="AZ191" i="1"/>
  <c r="BB191" i="1" s="1"/>
  <c r="BC191" i="1" s="1"/>
  <c r="AX191" i="1"/>
  <c r="AY191" i="1" s="1"/>
  <c r="AZ201" i="1"/>
  <c r="AX201" i="1"/>
  <c r="AY201" i="1" s="1"/>
  <c r="AJ248" i="1"/>
  <c r="AL224" i="1"/>
  <c r="AB257" i="1"/>
  <c r="AD272" i="1"/>
  <c r="AD233" i="1"/>
  <c r="R301" i="1"/>
  <c r="AH283" i="1"/>
  <c r="AH291" i="1" s="1"/>
  <c r="AH177" i="1"/>
  <c r="AH258" i="1"/>
  <c r="AI99" i="1"/>
  <c r="AJ243" i="1"/>
  <c r="AL164" i="1"/>
  <c r="AB262" i="1"/>
  <c r="AD102" i="1"/>
  <c r="AE102" i="1" s="1"/>
  <c r="AD100" i="1"/>
  <c r="AE100" i="1" s="1"/>
  <c r="AB253" i="1"/>
  <c r="AJ258" i="1"/>
  <c r="AJ100" i="1"/>
  <c r="AL99" i="1"/>
  <c r="AR99" i="1" a="1"/>
  <c r="AR99" i="1" s="1"/>
  <c r="AR98" i="1" a="1"/>
  <c r="AR98" i="1" s="1"/>
  <c r="AR96" i="1"/>
  <c r="AR97" i="1"/>
  <c r="AR95" i="1"/>
  <c r="AT14" i="1"/>
  <c r="V267" i="1"/>
  <c r="W267" i="1" s="1"/>
  <c r="V263" i="1"/>
  <c r="W263" i="1" s="1"/>
  <c r="AN248" i="1"/>
  <c r="AP224" i="1"/>
  <c r="AZ123" i="1"/>
  <c r="BB123" i="1" s="1"/>
  <c r="BC123" i="1" s="1"/>
  <c r="AX123" i="1"/>
  <c r="AY123" i="1" s="1"/>
  <c r="AV95" i="1"/>
  <c r="AV99" i="1" a="1"/>
  <c r="AV99" i="1" s="1"/>
  <c r="AV97" i="1"/>
  <c r="AV98" i="1" a="1"/>
  <c r="AV98" i="1" s="1"/>
  <c r="AV96" i="1"/>
  <c r="AZ14" i="1"/>
  <c r="AX14" i="1"/>
  <c r="AZ119" i="1"/>
  <c r="BB119" i="1" s="1"/>
  <c r="BC119" i="1" s="1"/>
  <c r="AX119" i="1"/>
  <c r="AY119" i="1" s="1"/>
  <c r="AZ115" i="1"/>
  <c r="BB115" i="1" s="1"/>
  <c r="BC115" i="1" s="1"/>
  <c r="AX115" i="1"/>
  <c r="AY115" i="1" s="1"/>
  <c r="AZ188" i="1"/>
  <c r="BB188" i="1" s="1"/>
  <c r="BC188" i="1" s="1"/>
  <c r="AX188" i="1"/>
  <c r="AY188" i="1" s="1"/>
  <c r="AZ39" i="1"/>
  <c r="BB39" i="1" s="1"/>
  <c r="BC39" i="1" s="1"/>
  <c r="AX39" i="1"/>
  <c r="AY39" i="1" s="1"/>
  <c r="AZ36" i="1"/>
  <c r="BB36" i="1" s="1"/>
  <c r="BC36" i="1" s="1"/>
  <c r="AX36" i="1"/>
  <c r="AY36" i="1" s="1"/>
  <c r="AZ23" i="1"/>
  <c r="AX23" i="1"/>
  <c r="AY23" i="1" s="1"/>
  <c r="AX44" i="1"/>
  <c r="AY44" i="1" s="1"/>
  <c r="AZ44" i="1"/>
  <c r="BB44" i="1" s="1"/>
  <c r="BC44" i="1" s="1"/>
  <c r="AZ57" i="1"/>
  <c r="AX57" i="1"/>
  <c r="AY57" i="1" s="1"/>
  <c r="AX125" i="1"/>
  <c r="AY125" i="1" s="1"/>
  <c r="AZ125" i="1"/>
  <c r="BB125" i="1" s="1"/>
  <c r="BC125" i="1" s="1"/>
  <c r="AZ184" i="1"/>
  <c r="BB184" i="1" s="1"/>
  <c r="BC184" i="1" s="1"/>
  <c r="AX184" i="1"/>
  <c r="AY184" i="1" s="1"/>
  <c r="AZ197" i="1"/>
  <c r="BB197" i="1" s="1"/>
  <c r="BC197" i="1" s="1"/>
  <c r="AX197" i="1"/>
  <c r="AY197" i="1" s="1"/>
  <c r="AT28" i="1"/>
  <c r="AU28" i="1" s="1"/>
  <c r="AJ244" i="1"/>
  <c r="AL223" i="1"/>
  <c r="AP175" i="1" a="1"/>
  <c r="AP175" i="1" s="1"/>
  <c r="AP173" i="1" a="1"/>
  <c r="AP173" i="1" s="1"/>
  <c r="AP275" i="1" s="1"/>
  <c r="AP176" i="1" a="1"/>
  <c r="AP176" i="1" s="1"/>
  <c r="AP287" i="1" s="1"/>
  <c r="AP172" i="1" a="1"/>
  <c r="AP172" i="1" s="1"/>
  <c r="AQ113" i="1"/>
  <c r="AD284" i="1"/>
  <c r="AD292" i="1" s="1"/>
  <c r="AD236" i="1"/>
  <c r="AF261" i="1"/>
  <c r="AF265" i="1" s="1"/>
  <c r="AT58" i="1"/>
  <c r="AU58" i="1" s="1"/>
  <c r="AJ251" i="1"/>
  <c r="AL166" i="1"/>
  <c r="AD258" i="1"/>
  <c r="AE99" i="1"/>
  <c r="AJ257" i="1" l="1"/>
  <c r="Z269" i="1"/>
  <c r="AA269" i="1" s="1"/>
  <c r="AJ261" i="1"/>
  <c r="AL277" i="1"/>
  <c r="AD297" i="1"/>
  <c r="AN261" i="1"/>
  <c r="AJ245" i="1"/>
  <c r="BH195" i="1"/>
  <c r="BJ195" i="1" s="1"/>
  <c r="BK195" i="1" s="1"/>
  <c r="BF195" i="1"/>
  <c r="BG195" i="1" s="1"/>
  <c r="BH30" i="1"/>
  <c r="BJ30" i="1" s="1"/>
  <c r="BK30" i="1" s="1"/>
  <c r="BF30" i="1"/>
  <c r="BG30" i="1" s="1"/>
  <c r="BH197" i="1"/>
  <c r="BJ197" i="1" s="1"/>
  <c r="BK197" i="1" s="1"/>
  <c r="BF197" i="1"/>
  <c r="BG197" i="1" s="1"/>
  <c r="AP254" i="1"/>
  <c r="AQ98" i="1"/>
  <c r="AR243" i="1"/>
  <c r="AT164" i="1"/>
  <c r="AL260" i="1"/>
  <c r="AM260" i="1" s="1"/>
  <c r="AM227" i="1"/>
  <c r="AV254" i="1"/>
  <c r="AX98" i="1"/>
  <c r="AR246" i="1"/>
  <c r="AT96" i="1"/>
  <c r="AL248" i="1"/>
  <c r="AM248" i="1" s="1"/>
  <c r="AM224" i="1"/>
  <c r="AL242" i="1"/>
  <c r="AM95" i="1"/>
  <c r="AL109" i="1" a="1"/>
  <c r="AL109" i="1" s="1"/>
  <c r="AL294" i="1" s="1"/>
  <c r="AR256" i="1"/>
  <c r="AT226" i="1"/>
  <c r="AV247" i="1"/>
  <c r="AX165" i="1"/>
  <c r="AP244" i="1"/>
  <c r="AQ244" i="1" s="1"/>
  <c r="AP237" i="1" a="1"/>
  <c r="AP237" i="1" s="1"/>
  <c r="AP296" i="1" s="1"/>
  <c r="AQ223" i="1"/>
  <c r="AV244" i="1"/>
  <c r="AX223" i="1"/>
  <c r="AL246" i="1"/>
  <c r="AM96" i="1"/>
  <c r="AL270" i="1"/>
  <c r="AL105" i="1"/>
  <c r="BH43" i="1"/>
  <c r="BJ43" i="1" s="1"/>
  <c r="BK43" i="1" s="1"/>
  <c r="BF43" i="1"/>
  <c r="BG43" i="1" s="1"/>
  <c r="BH32" i="1"/>
  <c r="BJ32" i="1" s="1"/>
  <c r="BK32" i="1" s="1"/>
  <c r="BF32" i="1"/>
  <c r="BG32" i="1" s="1"/>
  <c r="BH38" i="1"/>
  <c r="BF38" i="1"/>
  <c r="BG38" i="1" s="1"/>
  <c r="BH66" i="1"/>
  <c r="BF66" i="1"/>
  <c r="BG66" i="1" s="1"/>
  <c r="BH19" i="1"/>
  <c r="BJ19" i="1" s="1"/>
  <c r="BK19" i="1" s="1"/>
  <c r="BF19" i="1"/>
  <c r="BG19" i="1" s="1"/>
  <c r="BF124" i="1"/>
  <c r="BG124" i="1" s="1"/>
  <c r="BH124" i="1"/>
  <c r="BJ124" i="1" s="1"/>
  <c r="BK124" i="1" s="1"/>
  <c r="BN181" i="1"/>
  <c r="BR181" i="1"/>
  <c r="BR112" i="1"/>
  <c r="BN112" i="1"/>
  <c r="BN13" i="1"/>
  <c r="BR13" i="1"/>
  <c r="BL8" i="1"/>
  <c r="BP12" i="1"/>
  <c r="BL181" i="1"/>
  <c r="BL112" i="1"/>
  <c r="BL13" i="1"/>
  <c r="BH27" i="1"/>
  <c r="BJ27" i="1" s="1"/>
  <c r="BK27" i="1" s="1"/>
  <c r="BF27" i="1"/>
  <c r="BG27" i="1" s="1"/>
  <c r="BH65" i="1"/>
  <c r="BJ65" i="1" s="1"/>
  <c r="BK65" i="1" s="1"/>
  <c r="BF65" i="1"/>
  <c r="BG65" i="1" s="1"/>
  <c r="BH61" i="1"/>
  <c r="BJ61" i="1" s="1"/>
  <c r="BK61" i="1" s="1"/>
  <c r="BF61" i="1"/>
  <c r="BG61" i="1" s="1"/>
  <c r="BD167" i="1" a="1"/>
  <c r="BD167" i="1" s="1"/>
  <c r="BD168" i="1" a="1"/>
  <c r="BD168" i="1" s="1"/>
  <c r="BD166" i="1"/>
  <c r="BD164" i="1"/>
  <c r="BD165" i="1"/>
  <c r="BH113" i="1"/>
  <c r="BF113" i="1"/>
  <c r="BH116" i="1"/>
  <c r="BJ116" i="1" s="1"/>
  <c r="BK116" i="1" s="1"/>
  <c r="BF116" i="1"/>
  <c r="BG116" i="1" s="1"/>
  <c r="AN257" i="1"/>
  <c r="AH253" i="1"/>
  <c r="AI253" i="1" s="1"/>
  <c r="AI250" i="1"/>
  <c r="AL259" i="1"/>
  <c r="AM259" i="1" s="1"/>
  <c r="AM168" i="1"/>
  <c r="AR255" i="1"/>
  <c r="AT167" i="1"/>
  <c r="AJ264" i="1"/>
  <c r="AL228" i="1"/>
  <c r="AM228" i="1" s="1"/>
  <c r="AL230" i="1"/>
  <c r="AM230" i="1" s="1"/>
  <c r="AL256" i="1"/>
  <c r="AM256" i="1" s="1"/>
  <c r="AM226" i="1"/>
  <c r="AD263" i="1"/>
  <c r="AE263" i="1" s="1"/>
  <c r="AD267" i="1"/>
  <c r="AE267" i="1" s="1"/>
  <c r="AR254" i="1"/>
  <c r="AT98" i="1"/>
  <c r="AD266" i="1"/>
  <c r="AE266" i="1" s="1"/>
  <c r="AD262" i="1"/>
  <c r="AE262" i="1" s="1"/>
  <c r="BB52" i="1"/>
  <c r="BC52" i="1" s="1"/>
  <c r="AR248" i="1"/>
  <c r="AT224" i="1"/>
  <c r="AL272" i="1"/>
  <c r="AL233" i="1"/>
  <c r="BB187" i="1"/>
  <c r="BC187" i="1" s="1"/>
  <c r="BB19" i="1"/>
  <c r="BC19" i="1" s="1"/>
  <c r="AP250" i="1"/>
  <c r="AQ97" i="1"/>
  <c r="AV243" i="1"/>
  <c r="AX164" i="1"/>
  <c r="AP251" i="1"/>
  <c r="AQ251" i="1" s="1"/>
  <c r="AQ166" i="1"/>
  <c r="AV252" i="1"/>
  <c r="AX225" i="1"/>
  <c r="AE242" i="1"/>
  <c r="AD245" i="1"/>
  <c r="AE245" i="1" s="1"/>
  <c r="AJ249" i="1"/>
  <c r="AL289" i="1"/>
  <c r="AD179" i="1"/>
  <c r="BH187" i="1"/>
  <c r="BJ187" i="1" s="1"/>
  <c r="BK187" i="1" s="1"/>
  <c r="BF187" i="1"/>
  <c r="BG187" i="1" s="1"/>
  <c r="BH36" i="1"/>
  <c r="BJ36" i="1" s="1"/>
  <c r="BK36" i="1" s="1"/>
  <c r="BF36" i="1"/>
  <c r="BG36" i="1" s="1"/>
  <c r="BH33" i="1"/>
  <c r="BJ33" i="1" s="1"/>
  <c r="BK33" i="1" s="1"/>
  <c r="BF33" i="1"/>
  <c r="BG33" i="1" s="1"/>
  <c r="BF28" i="1"/>
  <c r="BG28" i="1" s="1"/>
  <c r="BH28" i="1"/>
  <c r="BH62" i="1"/>
  <c r="BJ62" i="1" s="1"/>
  <c r="BK62" i="1" s="1"/>
  <c r="BF62" i="1"/>
  <c r="BG62" i="1" s="1"/>
  <c r="BH202" i="1"/>
  <c r="BJ202" i="1" s="1"/>
  <c r="BK202" i="1" s="1"/>
  <c r="BF202" i="1"/>
  <c r="BG202" i="1" s="1"/>
  <c r="BH74" i="1"/>
  <c r="BJ74" i="1" s="1"/>
  <c r="BK74" i="1" s="1"/>
  <c r="BF74" i="1"/>
  <c r="BG74" i="1" s="1"/>
  <c r="BH31" i="1"/>
  <c r="BJ31" i="1" s="1"/>
  <c r="BK31" i="1" s="1"/>
  <c r="BF31" i="1"/>
  <c r="BG31" i="1" s="1"/>
  <c r="BH45" i="1"/>
  <c r="BJ45" i="1" s="1"/>
  <c r="BK45" i="1" s="1"/>
  <c r="BF45" i="1"/>
  <c r="BG45" i="1" s="1"/>
  <c r="BH71" i="1"/>
  <c r="BJ71" i="1" s="1"/>
  <c r="BK71" i="1" s="1"/>
  <c r="BF71" i="1"/>
  <c r="BG71" i="1" s="1"/>
  <c r="BH117" i="1"/>
  <c r="BJ117" i="1" s="1"/>
  <c r="BK117" i="1" s="1"/>
  <c r="BF117" i="1"/>
  <c r="BG117" i="1" s="1"/>
  <c r="BF188" i="1"/>
  <c r="BG188" i="1" s="1"/>
  <c r="BH188" i="1"/>
  <c r="BJ188" i="1" s="1"/>
  <c r="BK188" i="1" s="1"/>
  <c r="AI254" i="1"/>
  <c r="AH257" i="1"/>
  <c r="AI257" i="1" s="1"/>
  <c r="AR247" i="1"/>
  <c r="AT165" i="1"/>
  <c r="AP248" i="1"/>
  <c r="AQ248" i="1" s="1"/>
  <c r="AQ224" i="1"/>
  <c r="AV251" i="1"/>
  <c r="AX166" i="1"/>
  <c r="BH37" i="1"/>
  <c r="BJ37" i="1" s="1"/>
  <c r="BK37" i="1" s="1"/>
  <c r="BF37" i="1"/>
  <c r="BG37" i="1" s="1"/>
  <c r="BH58" i="1"/>
  <c r="BJ58" i="1" s="1"/>
  <c r="BK58" i="1" s="1"/>
  <c r="BF58" i="1"/>
  <c r="BG58" i="1" s="1"/>
  <c r="BH29" i="1"/>
  <c r="BF29" i="1"/>
  <c r="BG29" i="1" s="1"/>
  <c r="BH64" i="1"/>
  <c r="BJ64" i="1" s="1"/>
  <c r="BK64" i="1" s="1"/>
  <c r="BF64" i="1"/>
  <c r="BG64" i="1" s="1"/>
  <c r="BH122" i="1"/>
  <c r="BJ122" i="1" s="1"/>
  <c r="BK122" i="1" s="1"/>
  <c r="BF122" i="1"/>
  <c r="BG122" i="1" s="1"/>
  <c r="AL255" i="1"/>
  <c r="AM255" i="1" s="1"/>
  <c r="AM167" i="1"/>
  <c r="AD253" i="1"/>
  <c r="AE253" i="1" s="1"/>
  <c r="AE250" i="1"/>
  <c r="AH266" i="1"/>
  <c r="AI266" i="1" s="1"/>
  <c r="AH262" i="1"/>
  <c r="AI262" i="1" s="1"/>
  <c r="AR252" i="1"/>
  <c r="AT225" i="1"/>
  <c r="AL271" i="1"/>
  <c r="AL174" i="1"/>
  <c r="AL284" i="1"/>
  <c r="AL292" i="1" s="1"/>
  <c r="AL236" i="1"/>
  <c r="AN253" i="1"/>
  <c r="AV259" i="1"/>
  <c r="AV169" i="1"/>
  <c r="AX168" i="1"/>
  <c r="AV260" i="1"/>
  <c r="AX227" i="1"/>
  <c r="AV228" i="1"/>
  <c r="AD299" i="1"/>
  <c r="AD279" i="1"/>
  <c r="BH186" i="1"/>
  <c r="BJ186" i="1" s="1"/>
  <c r="BK186" i="1" s="1"/>
  <c r="BF186" i="1"/>
  <c r="BG186" i="1" s="1"/>
  <c r="BF35" i="1"/>
  <c r="BG35" i="1" s="1"/>
  <c r="BH35" i="1"/>
  <c r="BJ35" i="1" s="1"/>
  <c r="BK35" i="1" s="1"/>
  <c r="BH189" i="1"/>
  <c r="BF189" i="1"/>
  <c r="BG189" i="1" s="1"/>
  <c r="BH21" i="1"/>
  <c r="BJ21" i="1" s="1"/>
  <c r="BK21" i="1" s="1"/>
  <c r="BF21" i="1"/>
  <c r="BG21" i="1" s="1"/>
  <c r="BH68" i="1"/>
  <c r="BF68" i="1"/>
  <c r="BG68" i="1" s="1"/>
  <c r="BH199" i="1"/>
  <c r="BJ199" i="1" s="1"/>
  <c r="BK199" i="1" s="1"/>
  <c r="BF199" i="1"/>
  <c r="BG199" i="1" s="1"/>
  <c r="BF67" i="1"/>
  <c r="BG67" i="1" s="1"/>
  <c r="BH67" i="1"/>
  <c r="BJ67" i="1" s="1"/>
  <c r="BK67" i="1" s="1"/>
  <c r="BH20" i="1"/>
  <c r="BJ20" i="1" s="1"/>
  <c r="BK20" i="1" s="1"/>
  <c r="BF20" i="1"/>
  <c r="BG20" i="1" s="1"/>
  <c r="BH34" i="1"/>
  <c r="BJ34" i="1" s="1"/>
  <c r="BK34" i="1" s="1"/>
  <c r="BF34" i="1"/>
  <c r="BG34" i="1" s="1"/>
  <c r="BF47" i="1"/>
  <c r="BG47" i="1" s="1"/>
  <c r="BH47" i="1"/>
  <c r="BJ47" i="1" s="1"/>
  <c r="BK47" i="1" s="1"/>
  <c r="BH55" i="1"/>
  <c r="BJ55" i="1" s="1"/>
  <c r="BK55" i="1" s="1"/>
  <c r="BF55" i="1"/>
  <c r="BG55" i="1" s="1"/>
  <c r="BF125" i="1"/>
  <c r="BG125" i="1" s="1"/>
  <c r="BH125" i="1"/>
  <c r="BJ125" i="1" s="1"/>
  <c r="BK125" i="1" s="1"/>
  <c r="BH194" i="1"/>
  <c r="BJ194" i="1" s="1"/>
  <c r="BK194" i="1" s="1"/>
  <c r="BF194" i="1"/>
  <c r="BG194" i="1" s="1"/>
  <c r="BB117" i="1"/>
  <c r="BC117" i="1" s="1"/>
  <c r="V297" i="1"/>
  <c r="AL252" i="1"/>
  <c r="AM252" i="1" s="1"/>
  <c r="AM225" i="1"/>
  <c r="D197" i="1"/>
  <c r="AR259" i="1"/>
  <c r="AR169" i="1"/>
  <c r="AT168" i="1"/>
  <c r="AL254" i="1"/>
  <c r="AM98" i="1"/>
  <c r="AV258" i="1"/>
  <c r="AV100" i="1"/>
  <c r="AX99" i="1"/>
  <c r="AL244" i="1"/>
  <c r="AM244" i="1" s="1"/>
  <c r="AL237" i="1" a="1"/>
  <c r="AL237" i="1" s="1"/>
  <c r="AL296" i="1" s="1"/>
  <c r="AM223" i="1"/>
  <c r="AP259" i="1"/>
  <c r="AQ259" i="1" s="1"/>
  <c r="AQ168" i="1"/>
  <c r="AV255" i="1"/>
  <c r="AX167" i="1"/>
  <c r="AV256" i="1"/>
  <c r="AX226" i="1"/>
  <c r="BF192" i="1"/>
  <c r="BG192" i="1" s="1"/>
  <c r="BH192" i="1"/>
  <c r="BJ192" i="1" s="1"/>
  <c r="BK192" i="1" s="1"/>
  <c r="BH17" i="1"/>
  <c r="BJ17" i="1" s="1"/>
  <c r="BK17" i="1" s="1"/>
  <c r="BF17" i="1"/>
  <c r="BG17" i="1" s="1"/>
  <c r="BF196" i="1"/>
  <c r="BG196" i="1" s="1"/>
  <c r="BH196" i="1"/>
  <c r="BJ196" i="1" s="1"/>
  <c r="BK196" i="1" s="1"/>
  <c r="BD96" i="1"/>
  <c r="BD99" i="1" a="1"/>
  <c r="BD99" i="1" s="1"/>
  <c r="BD98" i="1" a="1"/>
  <c r="BD98" i="1" s="1"/>
  <c r="BD97" i="1"/>
  <c r="BD95" i="1"/>
  <c r="BH14" i="1"/>
  <c r="BF14" i="1"/>
  <c r="BH18" i="1"/>
  <c r="BF18" i="1"/>
  <c r="BG18" i="1" s="1"/>
  <c r="BH119" i="1"/>
  <c r="BF119" i="1"/>
  <c r="BG119" i="1" s="1"/>
  <c r="BH22" i="1"/>
  <c r="BJ22" i="1" s="1"/>
  <c r="BK22" i="1" s="1"/>
  <c r="BF22" i="1"/>
  <c r="BG22" i="1" s="1"/>
  <c r="BH26" i="1"/>
  <c r="BJ26" i="1" s="1"/>
  <c r="BK26" i="1" s="1"/>
  <c r="BF26" i="1"/>
  <c r="BG26" i="1" s="1"/>
  <c r="BH48" i="1"/>
  <c r="BJ48" i="1" s="1"/>
  <c r="BK48" i="1" s="1"/>
  <c r="BF48" i="1"/>
  <c r="BG48" i="1" s="1"/>
  <c r="BH56" i="1"/>
  <c r="BJ56" i="1" s="1"/>
  <c r="BK56" i="1" s="1"/>
  <c r="BF56" i="1"/>
  <c r="BG56" i="1" s="1"/>
  <c r="BH121" i="1"/>
  <c r="BJ121" i="1" s="1"/>
  <c r="BK121" i="1" s="1"/>
  <c r="BF121" i="1"/>
  <c r="BG121" i="1" s="1"/>
  <c r="BH184" i="1"/>
  <c r="BJ184" i="1" s="1"/>
  <c r="BK184" i="1" s="1"/>
  <c r="BF184" i="1"/>
  <c r="BG184" i="1" s="1"/>
  <c r="BH198" i="1"/>
  <c r="BJ198" i="1" s="1"/>
  <c r="BK198" i="1" s="1"/>
  <c r="BF198" i="1"/>
  <c r="BG198" i="1" s="1"/>
  <c r="AP260" i="1"/>
  <c r="AQ260" i="1" s="1"/>
  <c r="AQ227" i="1"/>
  <c r="AH297" i="1"/>
  <c r="AR250" i="1"/>
  <c r="AT97" i="1"/>
  <c r="AR244" i="1"/>
  <c r="AT223" i="1"/>
  <c r="AV248" i="1"/>
  <c r="AX224" i="1"/>
  <c r="AR258" i="1"/>
  <c r="AR100" i="1"/>
  <c r="AT99" i="1"/>
  <c r="AL243" i="1"/>
  <c r="AM243" i="1" s="1"/>
  <c r="AM164" i="1"/>
  <c r="AL178" i="1" a="1"/>
  <c r="AL178" i="1" s="1"/>
  <c r="AL295" i="1" s="1"/>
  <c r="AV242" i="1"/>
  <c r="AX95" i="1"/>
  <c r="AL258" i="1"/>
  <c r="AM99" i="1"/>
  <c r="BB201" i="1"/>
  <c r="BC201" i="1" s="1"/>
  <c r="AR260" i="1"/>
  <c r="AR228" i="1"/>
  <c r="AT227" i="1"/>
  <c r="BB121" i="1"/>
  <c r="BC121" i="1" s="1"/>
  <c r="D121" i="1"/>
  <c r="AJ262" i="1"/>
  <c r="AL102" i="1"/>
  <c r="AM102" i="1" s="1"/>
  <c r="AL100" i="1"/>
  <c r="AM100" i="1" s="1"/>
  <c r="AD238" i="1"/>
  <c r="AP252" i="1"/>
  <c r="AQ252" i="1" s="1"/>
  <c r="AQ225" i="1"/>
  <c r="AH179" i="1"/>
  <c r="BB40" i="1"/>
  <c r="BC40" i="1" s="1"/>
  <c r="AL283" i="1"/>
  <c r="AL291" i="1" s="1"/>
  <c r="AL177" i="1"/>
  <c r="AN263" i="1"/>
  <c r="AP169" i="1"/>
  <c r="AQ169" i="1" s="1"/>
  <c r="AP171" i="1"/>
  <c r="AQ171" i="1" s="1"/>
  <c r="AN170" i="1"/>
  <c r="AP170" i="1" s="1"/>
  <c r="AQ170" i="1" s="1"/>
  <c r="AP272" i="1"/>
  <c r="AP233" i="1"/>
  <c r="AH249" i="1"/>
  <c r="AI249" i="1" s="1"/>
  <c r="AI246" i="1"/>
  <c r="AD249" i="1"/>
  <c r="AE249" i="1" s="1"/>
  <c r="AE246" i="1"/>
  <c r="AH110" i="1"/>
  <c r="Z301" i="1"/>
  <c r="BH120" i="1"/>
  <c r="BJ120" i="1" s="1"/>
  <c r="BK120" i="1" s="1"/>
  <c r="BF120" i="1"/>
  <c r="BG120" i="1" s="1"/>
  <c r="BF46" i="1"/>
  <c r="BG46" i="1" s="1"/>
  <c r="BH46" i="1"/>
  <c r="BJ46" i="1" s="1"/>
  <c r="BK46" i="1" s="1"/>
  <c r="BF183" i="1"/>
  <c r="BG183" i="1" s="1"/>
  <c r="BH183" i="1"/>
  <c r="BJ183" i="1" s="1"/>
  <c r="BK183" i="1" s="1"/>
  <c r="BF16" i="1"/>
  <c r="BG16" i="1" s="1"/>
  <c r="BH16" i="1"/>
  <c r="BJ16" i="1" s="1"/>
  <c r="BK16" i="1" s="1"/>
  <c r="BH114" i="1"/>
  <c r="BJ114" i="1" s="1"/>
  <c r="BK114" i="1" s="1"/>
  <c r="BF114" i="1"/>
  <c r="BG114" i="1" s="1"/>
  <c r="BH115" i="1"/>
  <c r="BJ115" i="1" s="1"/>
  <c r="BK115" i="1" s="1"/>
  <c r="BF115" i="1"/>
  <c r="BG115" i="1" s="1"/>
  <c r="BH24" i="1"/>
  <c r="BF24" i="1"/>
  <c r="BG24" i="1" s="1"/>
  <c r="BH39" i="1"/>
  <c r="BJ39" i="1" s="1"/>
  <c r="BK39" i="1" s="1"/>
  <c r="BF39" i="1"/>
  <c r="BG39" i="1" s="1"/>
  <c r="BH40" i="1"/>
  <c r="BJ40" i="1" s="1"/>
  <c r="BK40" i="1" s="1"/>
  <c r="BF40" i="1"/>
  <c r="BG40" i="1" s="1"/>
  <c r="BH49" i="1"/>
  <c r="BF49" i="1"/>
  <c r="BG49" i="1" s="1"/>
  <c r="BH57" i="1"/>
  <c r="BJ57" i="1" s="1"/>
  <c r="BK57" i="1" s="1"/>
  <c r="BF57" i="1"/>
  <c r="BG57" i="1" s="1"/>
  <c r="BH126" i="1"/>
  <c r="BJ126" i="1" s="1"/>
  <c r="BK126" i="1" s="1"/>
  <c r="BF126" i="1"/>
  <c r="BG126" i="1" s="1"/>
  <c r="BH185" i="1"/>
  <c r="BJ185" i="1" s="1"/>
  <c r="BK185" i="1" s="1"/>
  <c r="BF185" i="1"/>
  <c r="BG185" i="1" s="1"/>
  <c r="BH193" i="1"/>
  <c r="BF193" i="1"/>
  <c r="BG193" i="1" s="1"/>
  <c r="AN264" i="1"/>
  <c r="AP230" i="1"/>
  <c r="AQ230" i="1" s="1"/>
  <c r="AP228" i="1"/>
  <c r="AQ228" i="1" s="1"/>
  <c r="AN229" i="1"/>
  <c r="AP229" i="1" s="1"/>
  <c r="AQ229" i="1" s="1"/>
  <c r="AH268" i="1"/>
  <c r="AI268" i="1" s="1"/>
  <c r="AH264" i="1"/>
  <c r="AI264" i="1" s="1"/>
  <c r="AP256" i="1"/>
  <c r="AQ256" i="1" s="1"/>
  <c r="AQ226" i="1"/>
  <c r="AP246" i="1"/>
  <c r="AQ96" i="1"/>
  <c r="AP247" i="1"/>
  <c r="AQ247" i="1" s="1"/>
  <c r="AQ165" i="1"/>
  <c r="BH51" i="1"/>
  <c r="BJ51" i="1" s="1"/>
  <c r="BK51" i="1" s="1"/>
  <c r="BF51" i="1"/>
  <c r="BG51" i="1" s="1"/>
  <c r="BH200" i="1"/>
  <c r="BJ200" i="1" s="1"/>
  <c r="BK200" i="1" s="1"/>
  <c r="BF200" i="1"/>
  <c r="BG200" i="1" s="1"/>
  <c r="BH181" i="1"/>
  <c r="BH112" i="1"/>
  <c r="BH13" i="1"/>
  <c r="BH73" i="1"/>
  <c r="BJ73" i="1" s="1"/>
  <c r="BK73" i="1" s="1"/>
  <c r="BF73" i="1"/>
  <c r="BG73" i="1" s="1"/>
  <c r="AJ263" i="1"/>
  <c r="AL169" i="1"/>
  <c r="AM169" i="1" s="1"/>
  <c r="AL171" i="1"/>
  <c r="AM171" i="1" s="1"/>
  <c r="AP282" i="1"/>
  <c r="AP108" i="1"/>
  <c r="AL247" i="1"/>
  <c r="AM247" i="1" s="1"/>
  <c r="AM165" i="1"/>
  <c r="AP255" i="1"/>
  <c r="AQ255" i="1" s="1"/>
  <c r="AQ167" i="1"/>
  <c r="AP277" i="1"/>
  <c r="AD261" i="1"/>
  <c r="AE261" i="1" s="1"/>
  <c r="AE258" i="1"/>
  <c r="AX104" i="1" a="1"/>
  <c r="AX104" i="1" s="1"/>
  <c r="AX274" i="1" s="1"/>
  <c r="AX106" i="1" a="1"/>
  <c r="AX106" i="1" s="1"/>
  <c r="AX107" i="1" a="1"/>
  <c r="AX107" i="1" s="1"/>
  <c r="AX286" i="1" s="1"/>
  <c r="AX103" i="1" a="1"/>
  <c r="AX103" i="1" s="1"/>
  <c r="AY14" i="1"/>
  <c r="AT103" i="1" a="1"/>
  <c r="AT103" i="1" s="1"/>
  <c r="AT104" i="1" a="1"/>
  <c r="AT104" i="1" s="1"/>
  <c r="AT274" i="1" s="1"/>
  <c r="AT106" i="1" a="1"/>
  <c r="AT106" i="1" s="1"/>
  <c r="AT107" i="1" a="1"/>
  <c r="AT107" i="1" s="1"/>
  <c r="AT286" i="1" s="1"/>
  <c r="AU14" i="1"/>
  <c r="AH261" i="1"/>
  <c r="AI261" i="1" s="1"/>
  <c r="AI258" i="1"/>
  <c r="AD300" i="1"/>
  <c r="AD280" i="1"/>
  <c r="AD110" i="1"/>
  <c r="AP270" i="1"/>
  <c r="AP105" i="1"/>
  <c r="D199" i="1"/>
  <c r="D74" i="1"/>
  <c r="AH299" i="1"/>
  <c r="AH279" i="1"/>
  <c r="AH285" i="1"/>
  <c r="AH293" i="1" s="1"/>
  <c r="AH290" i="1"/>
  <c r="AL250" i="1"/>
  <c r="AM97" i="1"/>
  <c r="AX175" i="1" a="1"/>
  <c r="AX175" i="1" s="1"/>
  <c r="AX172" i="1" a="1"/>
  <c r="AX172" i="1" s="1"/>
  <c r="AX176" i="1" a="1"/>
  <c r="AX176" i="1" s="1"/>
  <c r="AX287" i="1" s="1"/>
  <c r="AX173" i="1" a="1"/>
  <c r="AX173" i="1" s="1"/>
  <c r="AX275" i="1" s="1"/>
  <c r="AY113" i="1"/>
  <c r="AX232" i="1" a="1"/>
  <c r="AX232" i="1" s="1"/>
  <c r="AX276" i="1" s="1"/>
  <c r="AX234" i="1" a="1"/>
  <c r="AX234" i="1" s="1"/>
  <c r="AX235" i="1" a="1"/>
  <c r="AX235" i="1" s="1"/>
  <c r="AX288" i="1" s="1"/>
  <c r="AX231" i="1" a="1"/>
  <c r="AX231" i="1" s="1"/>
  <c r="AY182" i="1"/>
  <c r="AN262" i="1"/>
  <c r="AP102" i="1"/>
  <c r="AQ102" i="1" s="1"/>
  <c r="AP100" i="1"/>
  <c r="AQ100" i="1" s="1"/>
  <c r="AN101" i="1"/>
  <c r="AP101" i="1" s="1"/>
  <c r="AQ101" i="1" s="1"/>
  <c r="AP242" i="1"/>
  <c r="AQ95" i="1"/>
  <c r="AP109" i="1" a="1"/>
  <c r="AP109" i="1" s="1"/>
  <c r="AP294" i="1" s="1"/>
  <c r="BH59" i="1"/>
  <c r="BJ59" i="1" s="1"/>
  <c r="BK59" i="1" s="1"/>
  <c r="BF59" i="1"/>
  <c r="BG59" i="1" s="1"/>
  <c r="BH201" i="1"/>
  <c r="BJ201" i="1" s="1"/>
  <c r="BK201" i="1" s="1"/>
  <c r="BF201" i="1"/>
  <c r="BG201" i="1" s="1"/>
  <c r="BF123" i="1"/>
  <c r="BG123" i="1" s="1"/>
  <c r="BH123" i="1"/>
  <c r="BD227" i="1" a="1"/>
  <c r="BD227" i="1" s="1"/>
  <c r="BD225" i="1"/>
  <c r="BD226" i="1" a="1"/>
  <c r="BD226" i="1" s="1"/>
  <c r="BD224" i="1"/>
  <c r="BD223" i="1"/>
  <c r="BH182" i="1"/>
  <c r="BF182" i="1"/>
  <c r="BH69" i="1"/>
  <c r="BJ69" i="1" s="1"/>
  <c r="BK69" i="1" s="1"/>
  <c r="BF69" i="1"/>
  <c r="BG69" i="1" s="1"/>
  <c r="BH75" i="1"/>
  <c r="BF75" i="1"/>
  <c r="BG75" i="1" s="1"/>
  <c r="BH15" i="1"/>
  <c r="BJ15" i="1" s="1"/>
  <c r="BK15" i="1" s="1"/>
  <c r="BF15" i="1"/>
  <c r="BG15" i="1" s="1"/>
  <c r="BH41" i="1"/>
  <c r="BJ41" i="1" s="1"/>
  <c r="BK41" i="1" s="1"/>
  <c r="BF41" i="1"/>
  <c r="BG41" i="1" s="1"/>
  <c r="BH52" i="1"/>
  <c r="BJ52" i="1" s="1"/>
  <c r="BK52" i="1" s="1"/>
  <c r="BF52" i="1"/>
  <c r="BG52" i="1" s="1"/>
  <c r="BF72" i="1"/>
  <c r="BG72" i="1" s="1"/>
  <c r="BH72" i="1"/>
  <c r="BH60" i="1"/>
  <c r="BJ60" i="1" s="1"/>
  <c r="BK60" i="1" s="1"/>
  <c r="BF60" i="1"/>
  <c r="BG60" i="1" s="1"/>
  <c r="BF203" i="1"/>
  <c r="BG203" i="1" s="1"/>
  <c r="BH203" i="1"/>
  <c r="BJ203" i="1" s="1"/>
  <c r="BK203" i="1" s="1"/>
  <c r="AH238" i="1"/>
  <c r="AN249" i="1"/>
  <c r="AH245" i="1"/>
  <c r="AI245" i="1" s="1"/>
  <c r="AI242" i="1"/>
  <c r="AT173" i="1" a="1"/>
  <c r="AT173" i="1" s="1"/>
  <c r="AT275" i="1" s="1"/>
  <c r="AT176" i="1" a="1"/>
  <c r="AT176" i="1" s="1"/>
  <c r="AT287" i="1" s="1"/>
  <c r="AT172" i="1" a="1"/>
  <c r="AT172" i="1" s="1"/>
  <c r="AT175" i="1" a="1"/>
  <c r="AT175" i="1" s="1"/>
  <c r="AU113" i="1"/>
  <c r="AD285" i="1"/>
  <c r="AD293" i="1" s="1"/>
  <c r="AD290" i="1"/>
  <c r="AV246" i="1"/>
  <c r="AX96" i="1"/>
  <c r="AP283" i="1"/>
  <c r="AP291" i="1" s="1"/>
  <c r="AP177" i="1"/>
  <c r="AV250" i="1"/>
  <c r="AX97" i="1"/>
  <c r="AH269" i="1"/>
  <c r="AI269" i="1" s="1"/>
  <c r="AH265" i="1"/>
  <c r="AI265" i="1" s="1"/>
  <c r="BB23" i="1"/>
  <c r="BC23" i="1" s="1"/>
  <c r="AL251" i="1"/>
  <c r="AM251" i="1" s="1"/>
  <c r="AM166" i="1"/>
  <c r="AP271" i="1"/>
  <c r="AP174" i="1"/>
  <c r="BB57" i="1"/>
  <c r="BC57" i="1" s="1"/>
  <c r="D57" i="1"/>
  <c r="AZ99" i="1" a="1"/>
  <c r="AZ99" i="1" s="1"/>
  <c r="AZ95" i="1"/>
  <c r="AZ98" i="1" a="1"/>
  <c r="AZ98" i="1" s="1"/>
  <c r="AZ97" i="1"/>
  <c r="AZ96" i="1"/>
  <c r="BB14" i="1"/>
  <c r="AR242" i="1"/>
  <c r="AT95" i="1"/>
  <c r="AD298" i="1"/>
  <c r="AD278" i="1"/>
  <c r="AD273" i="1"/>
  <c r="AD281" i="1" s="1"/>
  <c r="AP289" i="1"/>
  <c r="D33" i="1"/>
  <c r="AD257" i="1"/>
  <c r="AE257" i="1" s="1"/>
  <c r="AE254" i="1"/>
  <c r="AT234" i="1" a="1"/>
  <c r="AT234" i="1" s="1"/>
  <c r="AT235" i="1" a="1"/>
  <c r="AT235" i="1" s="1"/>
  <c r="AT288" i="1" s="1"/>
  <c r="AT231" i="1" a="1"/>
  <c r="AT231" i="1" s="1"/>
  <c r="AT232" i="1" a="1"/>
  <c r="AT232" i="1" s="1"/>
  <c r="AT276" i="1" s="1"/>
  <c r="AU182" i="1"/>
  <c r="AP284" i="1"/>
  <c r="AP292" i="1" s="1"/>
  <c r="AP236" i="1"/>
  <c r="AJ253" i="1"/>
  <c r="AZ167" i="1" a="1"/>
  <c r="AZ167" i="1" s="1"/>
  <c r="AZ165" i="1"/>
  <c r="AZ168" i="1" a="1"/>
  <c r="AZ168" i="1" s="1"/>
  <c r="AZ166" i="1"/>
  <c r="AZ164" i="1"/>
  <c r="BB113" i="1"/>
  <c r="AD268" i="1"/>
  <c r="AE268" i="1" s="1"/>
  <c r="AD264" i="1"/>
  <c r="AE264" i="1" s="1"/>
  <c r="AZ227" i="1" a="1"/>
  <c r="AZ227" i="1" s="1"/>
  <c r="AZ225" i="1"/>
  <c r="AZ224" i="1"/>
  <c r="AZ226" i="1" a="1"/>
  <c r="AZ226" i="1" s="1"/>
  <c r="AZ223" i="1"/>
  <c r="BB182" i="1"/>
  <c r="AH273" i="1"/>
  <c r="AH281" i="1" s="1"/>
  <c r="AH278" i="1"/>
  <c r="AH298" i="1"/>
  <c r="AP258" i="1"/>
  <c r="AQ99" i="1"/>
  <c r="AL282" i="1"/>
  <c r="AL108" i="1"/>
  <c r="AN245" i="1"/>
  <c r="D114" i="1"/>
  <c r="BH53" i="1"/>
  <c r="BJ53" i="1" s="1"/>
  <c r="BK53" i="1" s="1"/>
  <c r="BF53" i="1"/>
  <c r="BG53" i="1" s="1"/>
  <c r="BH191" i="1"/>
  <c r="BJ191" i="1" s="1"/>
  <c r="BK191" i="1" s="1"/>
  <c r="BF191" i="1"/>
  <c r="BG191" i="1" s="1"/>
  <c r="BH50" i="1"/>
  <c r="BJ50" i="1" s="1"/>
  <c r="BK50" i="1" s="1"/>
  <c r="BF50" i="1"/>
  <c r="BG50" i="1" s="1"/>
  <c r="BH25" i="1"/>
  <c r="BJ25" i="1" s="1"/>
  <c r="BK25" i="1" s="1"/>
  <c r="BF25" i="1"/>
  <c r="BG25" i="1" s="1"/>
  <c r="BF42" i="1"/>
  <c r="BG42" i="1" s="1"/>
  <c r="BH42" i="1"/>
  <c r="BJ42" i="1" s="1"/>
  <c r="BK42" i="1" s="1"/>
  <c r="BH54" i="1"/>
  <c r="BF54" i="1"/>
  <c r="BG54" i="1" s="1"/>
  <c r="BH23" i="1"/>
  <c r="BJ23" i="1" s="1"/>
  <c r="BK23" i="1" s="1"/>
  <c r="BF23" i="1"/>
  <c r="BG23" i="1" s="1"/>
  <c r="BH63" i="1"/>
  <c r="BJ63" i="1" s="1"/>
  <c r="BK63" i="1" s="1"/>
  <c r="BF63" i="1"/>
  <c r="BG63" i="1" s="1"/>
  <c r="BH44" i="1"/>
  <c r="BJ44" i="1" s="1"/>
  <c r="BK44" i="1" s="1"/>
  <c r="BF44" i="1"/>
  <c r="BG44" i="1" s="1"/>
  <c r="BH70" i="1"/>
  <c r="BJ70" i="1" s="1"/>
  <c r="BK70" i="1" s="1"/>
  <c r="BF70" i="1"/>
  <c r="BG70" i="1" s="1"/>
  <c r="BF118" i="1"/>
  <c r="BG118" i="1" s="1"/>
  <c r="BH118" i="1"/>
  <c r="BJ118" i="1" s="1"/>
  <c r="BK118" i="1" s="1"/>
  <c r="BH190" i="1"/>
  <c r="BJ190" i="1" s="1"/>
  <c r="BK190" i="1" s="1"/>
  <c r="BF190" i="1"/>
  <c r="BG190" i="1" s="1"/>
  <c r="AH267" i="1"/>
  <c r="AI267" i="1" s="1"/>
  <c r="AH263" i="1"/>
  <c r="AI263" i="1" s="1"/>
  <c r="AH300" i="1"/>
  <c r="AH280" i="1"/>
  <c r="AP243" i="1"/>
  <c r="AQ243" i="1" s="1"/>
  <c r="AP178" i="1" a="1"/>
  <c r="AP178" i="1" s="1"/>
  <c r="AP295" i="1" s="1"/>
  <c r="AQ164" i="1"/>
  <c r="AD269" i="1"/>
  <c r="AE269" i="1" s="1"/>
  <c r="AD265" i="1"/>
  <c r="AE265" i="1" s="1"/>
  <c r="AR251" i="1"/>
  <c r="AT166" i="1"/>
  <c r="V298" i="1"/>
  <c r="V301" i="1" s="1"/>
  <c r="AN265" i="1" l="1"/>
  <c r="AD301" i="1"/>
  <c r="AV253" i="1"/>
  <c r="AJ265" i="1"/>
  <c r="AR245" i="1"/>
  <c r="AP238" i="1"/>
  <c r="AV249" i="1"/>
  <c r="AV245" i="1"/>
  <c r="D44" i="1"/>
  <c r="D19" i="1"/>
  <c r="D187" i="1"/>
  <c r="AP110" i="1"/>
  <c r="AV261" i="1"/>
  <c r="D122" i="1"/>
  <c r="AP265" i="1"/>
  <c r="AQ265" i="1" s="1"/>
  <c r="AP269" i="1"/>
  <c r="AQ269" i="1" s="1"/>
  <c r="AZ256" i="1"/>
  <c r="BB226" i="1"/>
  <c r="AZ260" i="1"/>
  <c r="AZ228" i="1"/>
  <c r="BB227" i="1"/>
  <c r="AT270" i="1"/>
  <c r="AT105" i="1"/>
  <c r="B197" i="1"/>
  <c r="C197" i="1"/>
  <c r="BJ68" i="1"/>
  <c r="BK68" i="1" s="1"/>
  <c r="D68" i="1"/>
  <c r="AV263" i="1"/>
  <c r="AX171" i="1"/>
  <c r="AY171" i="1" s="1"/>
  <c r="AX169" i="1"/>
  <c r="AY169" i="1" s="1"/>
  <c r="AV170" i="1"/>
  <c r="AX170" i="1" s="1"/>
  <c r="AY170" i="1" s="1"/>
  <c r="BP124" i="1"/>
  <c r="BR124" i="1" s="1"/>
  <c r="BS124" i="1" s="1"/>
  <c r="BN124" i="1"/>
  <c r="BO124" i="1" s="1"/>
  <c r="D124" i="1" s="1"/>
  <c r="BP202" i="1"/>
  <c r="BR202" i="1" s="1"/>
  <c r="BS202" i="1" s="1"/>
  <c r="BN202" i="1"/>
  <c r="BO202" i="1" s="1"/>
  <c r="D202" i="1" s="1"/>
  <c r="BP57" i="1"/>
  <c r="BR57" i="1" s="1"/>
  <c r="BS57" i="1" s="1"/>
  <c r="BN57" i="1"/>
  <c r="BO57" i="1" s="1"/>
  <c r="BP73" i="1"/>
  <c r="BR73" i="1" s="1"/>
  <c r="BS73" i="1" s="1"/>
  <c r="BN73" i="1"/>
  <c r="BO73" i="1" s="1"/>
  <c r="D73" i="1" s="1"/>
  <c r="BP117" i="1"/>
  <c r="BR117" i="1" s="1"/>
  <c r="BS117" i="1" s="1"/>
  <c r="BN117" i="1"/>
  <c r="BO117" i="1" s="1"/>
  <c r="D117" i="1" s="1"/>
  <c r="BP184" i="1"/>
  <c r="BR184" i="1" s="1"/>
  <c r="BS184" i="1" s="1"/>
  <c r="BN184" i="1"/>
  <c r="BO184" i="1" s="1"/>
  <c r="D184" i="1" s="1"/>
  <c r="AL249" i="1"/>
  <c r="AM249" i="1" s="1"/>
  <c r="AM246" i="1"/>
  <c r="AT256" i="1"/>
  <c r="AU256" i="1" s="1"/>
  <c r="AU226" i="1"/>
  <c r="AR249" i="1"/>
  <c r="AQ254" i="1"/>
  <c r="AP257" i="1"/>
  <c r="AQ257" i="1" s="1"/>
  <c r="BJ75" i="1"/>
  <c r="BK75" i="1" s="1"/>
  <c r="D75" i="1"/>
  <c r="BD252" i="1"/>
  <c r="BF225" i="1"/>
  <c r="AP297" i="1"/>
  <c r="AX272" i="1"/>
  <c r="AX233" i="1"/>
  <c r="AX283" i="1"/>
  <c r="AX291" i="1" s="1"/>
  <c r="AX177" i="1"/>
  <c r="C74" i="1"/>
  <c r="B74" i="1"/>
  <c r="AL267" i="1"/>
  <c r="AM267" i="1" s="1"/>
  <c r="AL263" i="1"/>
  <c r="AM263" i="1" s="1"/>
  <c r="BJ193" i="1"/>
  <c r="BK193" i="1" s="1"/>
  <c r="D193" i="1"/>
  <c r="BJ49" i="1"/>
  <c r="BK49" i="1" s="1"/>
  <c r="D49" i="1"/>
  <c r="D201" i="1"/>
  <c r="BF106" i="1" a="1"/>
  <c r="BF106" i="1" s="1"/>
  <c r="BF107" i="1" a="1"/>
  <c r="BF107" i="1" s="1"/>
  <c r="BF286" i="1" s="1"/>
  <c r="BF103" i="1" a="1"/>
  <c r="BF103" i="1" s="1"/>
  <c r="BF104" i="1" a="1"/>
  <c r="BF104" i="1" s="1"/>
  <c r="BF274" i="1" s="1"/>
  <c r="BG14" i="1"/>
  <c r="AV262" i="1"/>
  <c r="AX100" i="1"/>
  <c r="AY100" i="1" s="1"/>
  <c r="AX102" i="1"/>
  <c r="AY102" i="1" s="1"/>
  <c r="AV101" i="1"/>
  <c r="AX101" i="1" s="1"/>
  <c r="AY101" i="1" s="1"/>
  <c r="BP74" i="1"/>
  <c r="BR74" i="1" s="1"/>
  <c r="BS74" i="1" s="1"/>
  <c r="BN74" i="1"/>
  <c r="BO74" i="1" s="1"/>
  <c r="BP51" i="1"/>
  <c r="BR51" i="1" s="1"/>
  <c r="BS51" i="1" s="1"/>
  <c r="BN51" i="1"/>
  <c r="BO51" i="1" s="1"/>
  <c r="D51" i="1" s="1"/>
  <c r="BP54" i="1"/>
  <c r="BR54" i="1" s="1"/>
  <c r="BS54" i="1" s="1"/>
  <c r="BN54" i="1"/>
  <c r="BO54" i="1" s="1"/>
  <c r="BP58" i="1"/>
  <c r="BR58" i="1" s="1"/>
  <c r="BS58" i="1" s="1"/>
  <c r="BN58" i="1"/>
  <c r="BO58" i="1" s="1"/>
  <c r="D58" i="1" s="1"/>
  <c r="BP194" i="1"/>
  <c r="BR194" i="1" s="1"/>
  <c r="BS194" i="1" s="1"/>
  <c r="BN194" i="1"/>
  <c r="BO194" i="1" s="1"/>
  <c r="D194" i="1" s="1"/>
  <c r="BP62" i="1"/>
  <c r="BR62" i="1" s="1"/>
  <c r="BS62" i="1" s="1"/>
  <c r="BN62" i="1"/>
  <c r="BO62" i="1" s="1"/>
  <c r="D62" i="1" s="1"/>
  <c r="BP203" i="1"/>
  <c r="BR203" i="1" s="1"/>
  <c r="BS203" i="1" s="1"/>
  <c r="BN203" i="1"/>
  <c r="BO203" i="1" s="1"/>
  <c r="D203" i="1" s="1"/>
  <c r="BP20" i="1"/>
  <c r="BR20" i="1" s="1"/>
  <c r="BS20" i="1" s="1"/>
  <c r="BN20" i="1"/>
  <c r="BO20" i="1" s="1"/>
  <c r="D20" i="1" s="1"/>
  <c r="BP45" i="1"/>
  <c r="BR45" i="1" s="1"/>
  <c r="BS45" i="1" s="1"/>
  <c r="BN45" i="1"/>
  <c r="BO45" i="1" s="1"/>
  <c r="D45" i="1" s="1"/>
  <c r="BP63" i="1"/>
  <c r="BR63" i="1" s="1"/>
  <c r="BS63" i="1" s="1"/>
  <c r="BN63" i="1"/>
  <c r="BO63" i="1" s="1"/>
  <c r="D63" i="1" s="1"/>
  <c r="BP114" i="1"/>
  <c r="BR114" i="1" s="1"/>
  <c r="BS114" i="1" s="1"/>
  <c r="BN114" i="1"/>
  <c r="BO114" i="1" s="1"/>
  <c r="BN125" i="1"/>
  <c r="BO125" i="1" s="1"/>
  <c r="D125" i="1" s="1"/>
  <c r="BP125" i="1"/>
  <c r="BR125" i="1" s="1"/>
  <c r="BS125" i="1" s="1"/>
  <c r="AX244" i="1"/>
  <c r="AY244" i="1" s="1"/>
  <c r="AX237" i="1" a="1"/>
  <c r="AX237" i="1" s="1"/>
  <c r="AX296" i="1" s="1"/>
  <c r="AY223" i="1"/>
  <c r="AX254" i="1"/>
  <c r="AY98" i="1"/>
  <c r="AZ259" i="1"/>
  <c r="BB168" i="1"/>
  <c r="AZ169" i="1"/>
  <c r="BJ54" i="1"/>
  <c r="BK54" i="1" s="1"/>
  <c r="D54" i="1"/>
  <c r="AP261" i="1"/>
  <c r="AQ261" i="1" s="1"/>
  <c r="AQ258" i="1"/>
  <c r="AZ247" i="1"/>
  <c r="BB165" i="1"/>
  <c r="AT284" i="1"/>
  <c r="AT292" i="1" s="1"/>
  <c r="AT236" i="1"/>
  <c r="AT242" i="1"/>
  <c r="AU95" i="1"/>
  <c r="AT109" i="1" a="1"/>
  <c r="AT109" i="1" s="1"/>
  <c r="AT294" i="1" s="1"/>
  <c r="BJ72" i="1"/>
  <c r="BK72" i="1" s="1"/>
  <c r="D72" i="1"/>
  <c r="BD256" i="1"/>
  <c r="BF226" i="1"/>
  <c r="BD255" i="1"/>
  <c r="BF167" i="1"/>
  <c r="BP13" i="1"/>
  <c r="BP181" i="1"/>
  <c r="BP112" i="1"/>
  <c r="B44" i="1"/>
  <c r="C44" i="1"/>
  <c r="BB104" i="1" a="1"/>
  <c r="BB104" i="1" s="1"/>
  <c r="BB274" i="1" s="1"/>
  <c r="BB106" i="1" a="1"/>
  <c r="BB106" i="1" s="1"/>
  <c r="BB107" i="1" a="1"/>
  <c r="BB107" i="1" s="1"/>
  <c r="BB286" i="1" s="1"/>
  <c r="BB103" i="1" a="1"/>
  <c r="BB103" i="1" s="1"/>
  <c r="BC14" i="1"/>
  <c r="B199" i="1"/>
  <c r="C199" i="1"/>
  <c r="AX270" i="1"/>
  <c r="AX105" i="1"/>
  <c r="AT258" i="1"/>
  <c r="AU99" i="1"/>
  <c r="AT250" i="1"/>
  <c r="AU97" i="1"/>
  <c r="BH96" i="1"/>
  <c r="BH99" i="1" a="1"/>
  <c r="BH99" i="1" s="1"/>
  <c r="BH98" i="1" a="1"/>
  <c r="BH98" i="1" s="1"/>
  <c r="BH97" i="1"/>
  <c r="BH95" i="1"/>
  <c r="BJ14" i="1"/>
  <c r="AX251" i="1"/>
  <c r="AY251" i="1" s="1"/>
  <c r="AY166" i="1"/>
  <c r="BJ28" i="1"/>
  <c r="BK28" i="1" s="1"/>
  <c r="D28" i="1"/>
  <c r="C187" i="1"/>
  <c r="B187" i="1"/>
  <c r="BF173" i="1" a="1"/>
  <c r="BF173" i="1" s="1"/>
  <c r="BF275" i="1" s="1"/>
  <c r="BF176" i="1" a="1"/>
  <c r="BF176" i="1" s="1"/>
  <c r="BF287" i="1" s="1"/>
  <c r="BF175" i="1" a="1"/>
  <c r="BF175" i="1" s="1"/>
  <c r="BF172" i="1" a="1"/>
  <c r="BF172" i="1" s="1"/>
  <c r="BG113" i="1"/>
  <c r="BP52" i="1"/>
  <c r="BR52" i="1" s="1"/>
  <c r="BS52" i="1" s="1"/>
  <c r="BN52" i="1"/>
  <c r="BO52" i="1" s="1"/>
  <c r="D52" i="1" s="1"/>
  <c r="BP46" i="1"/>
  <c r="BR46" i="1" s="1"/>
  <c r="BS46" i="1" s="1"/>
  <c r="BN46" i="1"/>
  <c r="BO46" i="1" s="1"/>
  <c r="D46" i="1" s="1"/>
  <c r="BP32" i="1"/>
  <c r="BR32" i="1" s="1"/>
  <c r="BS32" i="1" s="1"/>
  <c r="BN32" i="1"/>
  <c r="BO32" i="1" s="1"/>
  <c r="D32" i="1" s="1"/>
  <c r="BP28" i="1"/>
  <c r="BR28" i="1" s="1"/>
  <c r="BS28" i="1" s="1"/>
  <c r="BN28" i="1"/>
  <c r="BO28" i="1" s="1"/>
  <c r="BP120" i="1"/>
  <c r="BR120" i="1" s="1"/>
  <c r="BS120" i="1" s="1"/>
  <c r="BN120" i="1"/>
  <c r="BO120" i="1" s="1"/>
  <c r="D120" i="1" s="1"/>
  <c r="BN19" i="1"/>
  <c r="BO19" i="1" s="1"/>
  <c r="BP19" i="1"/>
  <c r="BR19" i="1" s="1"/>
  <c r="BS19" i="1" s="1"/>
  <c r="BP199" i="1"/>
  <c r="BR199" i="1" s="1"/>
  <c r="BS199" i="1" s="1"/>
  <c r="BN199" i="1"/>
  <c r="BO199" i="1" s="1"/>
  <c r="BP30" i="1"/>
  <c r="BR30" i="1" s="1"/>
  <c r="BS30" i="1" s="1"/>
  <c r="BN30" i="1"/>
  <c r="BO30" i="1" s="1"/>
  <c r="D30" i="1" s="1"/>
  <c r="BP61" i="1"/>
  <c r="BR61" i="1" s="1"/>
  <c r="BS61" i="1" s="1"/>
  <c r="BN61" i="1"/>
  <c r="BO61" i="1" s="1"/>
  <c r="D61" i="1" s="1"/>
  <c r="BP64" i="1"/>
  <c r="BR64" i="1" s="1"/>
  <c r="BS64" i="1" s="1"/>
  <c r="BN64" i="1"/>
  <c r="BO64" i="1" s="1"/>
  <c r="D64" i="1" s="1"/>
  <c r="BP116" i="1"/>
  <c r="BR116" i="1" s="1"/>
  <c r="BS116" i="1" s="1"/>
  <c r="BN116" i="1"/>
  <c r="BO116" i="1" s="1"/>
  <c r="D116" i="1" s="1"/>
  <c r="BP188" i="1"/>
  <c r="BR188" i="1" s="1"/>
  <c r="BS188" i="1" s="1"/>
  <c r="BN188" i="1"/>
  <c r="BO188" i="1" s="1"/>
  <c r="D188" i="1" s="1"/>
  <c r="AL297" i="1"/>
  <c r="AV257" i="1"/>
  <c r="AZ251" i="1"/>
  <c r="BB166" i="1"/>
  <c r="AZ248" i="1"/>
  <c r="BB224" i="1"/>
  <c r="AZ252" i="1"/>
  <c r="BB225" i="1"/>
  <c r="AZ255" i="1"/>
  <c r="BB167" i="1"/>
  <c r="C57" i="1"/>
  <c r="B57" i="1"/>
  <c r="AX271" i="1"/>
  <c r="AX174" i="1"/>
  <c r="AP267" i="1"/>
  <c r="AQ267" i="1" s="1"/>
  <c r="AP263" i="1"/>
  <c r="AQ263" i="1" s="1"/>
  <c r="AT244" i="1"/>
  <c r="AU244" i="1" s="1"/>
  <c r="AT237" i="1" a="1"/>
  <c r="AT237" i="1" s="1"/>
  <c r="AT296" i="1" s="1"/>
  <c r="AU223" i="1"/>
  <c r="BJ18" i="1"/>
  <c r="BK18" i="1" s="1"/>
  <c r="D18" i="1"/>
  <c r="AX255" i="1"/>
  <c r="AY255" i="1" s="1"/>
  <c r="AY167" i="1"/>
  <c r="AX258" i="1"/>
  <c r="AY99" i="1"/>
  <c r="AT252" i="1"/>
  <c r="AU252" i="1" s="1"/>
  <c r="AU225" i="1"/>
  <c r="B19" i="1"/>
  <c r="C19" i="1"/>
  <c r="BP47" i="1"/>
  <c r="BR47" i="1" s="1"/>
  <c r="BS47" i="1" s="1"/>
  <c r="BN47" i="1"/>
  <c r="BO47" i="1" s="1"/>
  <c r="D47" i="1" s="1"/>
  <c r="BP37" i="1"/>
  <c r="BR37" i="1" s="1"/>
  <c r="BS37" i="1" s="1"/>
  <c r="BN37" i="1"/>
  <c r="BO37" i="1" s="1"/>
  <c r="D37" i="1" s="1"/>
  <c r="BP50" i="1"/>
  <c r="BR50" i="1" s="1"/>
  <c r="BS50" i="1" s="1"/>
  <c r="BN50" i="1"/>
  <c r="BO50" i="1" s="1"/>
  <c r="D50" i="1" s="1"/>
  <c r="BP119" i="1"/>
  <c r="BR119" i="1" s="1"/>
  <c r="BS119" i="1" s="1"/>
  <c r="BN119" i="1"/>
  <c r="BO119" i="1" s="1"/>
  <c r="BP15" i="1"/>
  <c r="BR15" i="1" s="1"/>
  <c r="BS15" i="1" s="1"/>
  <c r="BN15" i="1"/>
  <c r="BO15" i="1" s="1"/>
  <c r="D15" i="1" s="1"/>
  <c r="C114" i="1"/>
  <c r="B114" i="1"/>
  <c r="BD260" i="1"/>
  <c r="BF227" i="1"/>
  <c r="BD228" i="1"/>
  <c r="BB232" i="1" a="1"/>
  <c r="BB232" i="1" s="1"/>
  <c r="BB276" i="1" s="1"/>
  <c r="BB234" i="1" a="1"/>
  <c r="BB234" i="1" s="1"/>
  <c r="BB231" i="1" a="1"/>
  <c r="BB231" i="1" s="1"/>
  <c r="BB235" i="1" a="1"/>
  <c r="BB235" i="1" s="1"/>
  <c r="BB288" i="1" s="1"/>
  <c r="BC182" i="1"/>
  <c r="BB175" i="1" a="1"/>
  <c r="BB175" i="1" s="1"/>
  <c r="BB176" i="1" a="1"/>
  <c r="BB176" i="1" s="1"/>
  <c r="BB287" i="1" s="1"/>
  <c r="BB172" i="1" a="1"/>
  <c r="BB172" i="1" s="1"/>
  <c r="BB173" i="1" a="1"/>
  <c r="BB173" i="1" s="1"/>
  <c r="BB275" i="1" s="1"/>
  <c r="BC113" i="1"/>
  <c r="C33" i="1"/>
  <c r="B33" i="1"/>
  <c r="AZ246" i="1"/>
  <c r="BB96" i="1"/>
  <c r="AP179" i="1"/>
  <c r="AX250" i="1"/>
  <c r="AY97" i="1"/>
  <c r="BJ123" i="1"/>
  <c r="BK123" i="1" s="1"/>
  <c r="D123" i="1"/>
  <c r="AP245" i="1"/>
  <c r="AQ245" i="1" s="1"/>
  <c r="AQ242" i="1"/>
  <c r="AX284" i="1"/>
  <c r="AX292" i="1" s="1"/>
  <c r="AX236" i="1"/>
  <c r="AL265" i="1"/>
  <c r="AM265" i="1" s="1"/>
  <c r="AL269" i="1"/>
  <c r="AM269" i="1" s="1"/>
  <c r="AX289" i="1"/>
  <c r="AL266" i="1"/>
  <c r="AM266" i="1" s="1"/>
  <c r="AL262" i="1"/>
  <c r="AM262" i="1" s="1"/>
  <c r="AR262" i="1"/>
  <c r="AT100" i="1"/>
  <c r="AU100" i="1" s="1"/>
  <c r="AT102" i="1"/>
  <c r="AU102" i="1" s="1"/>
  <c r="AR253" i="1"/>
  <c r="BD242" i="1"/>
  <c r="BF95" i="1"/>
  <c r="AV264" i="1"/>
  <c r="AX230" i="1"/>
  <c r="AY230" i="1" s="1"/>
  <c r="AX228" i="1"/>
  <c r="AY228" i="1" s="1"/>
  <c r="AV229" i="1"/>
  <c r="AX229" i="1" s="1"/>
  <c r="AY229" i="1" s="1"/>
  <c r="BH168" i="1" a="1"/>
  <c r="BH168" i="1" s="1"/>
  <c r="BH165" i="1"/>
  <c r="BH167" i="1" a="1"/>
  <c r="BH167" i="1" s="1"/>
  <c r="BH166" i="1"/>
  <c r="BH164" i="1"/>
  <c r="BJ113" i="1"/>
  <c r="BP53" i="1"/>
  <c r="BR53" i="1" s="1"/>
  <c r="BS53" i="1" s="1"/>
  <c r="BN53" i="1"/>
  <c r="BO53" i="1" s="1"/>
  <c r="D53" i="1" s="1"/>
  <c r="BP36" i="1"/>
  <c r="BR36" i="1" s="1"/>
  <c r="BS36" i="1" s="1"/>
  <c r="BN36" i="1"/>
  <c r="BO36" i="1" s="1"/>
  <c r="D36" i="1" s="1"/>
  <c r="BP24" i="1"/>
  <c r="BR24" i="1" s="1"/>
  <c r="BS24" i="1" s="1"/>
  <c r="BN24" i="1"/>
  <c r="BO24" i="1" s="1"/>
  <c r="BP35" i="1"/>
  <c r="BR35" i="1" s="1"/>
  <c r="BS35" i="1" s="1"/>
  <c r="BN35" i="1"/>
  <c r="BO35" i="1" s="1"/>
  <c r="D35" i="1" s="1"/>
  <c r="BN68" i="1"/>
  <c r="BO68" i="1" s="1"/>
  <c r="BP68" i="1"/>
  <c r="BR68" i="1" s="1"/>
  <c r="BS68" i="1" s="1"/>
  <c r="BP201" i="1"/>
  <c r="BR201" i="1" s="1"/>
  <c r="BS201" i="1" s="1"/>
  <c r="BN201" i="1"/>
  <c r="BO201" i="1" s="1"/>
  <c r="BP186" i="1"/>
  <c r="BR186" i="1" s="1"/>
  <c r="BS186" i="1" s="1"/>
  <c r="BN186" i="1"/>
  <c r="BO186" i="1" s="1"/>
  <c r="D186" i="1" s="1"/>
  <c r="BP21" i="1"/>
  <c r="BR21" i="1" s="1"/>
  <c r="BS21" i="1" s="1"/>
  <c r="BN21" i="1"/>
  <c r="BO21" i="1" s="1"/>
  <c r="D21" i="1" s="1"/>
  <c r="BP31" i="1"/>
  <c r="BR31" i="1" s="1"/>
  <c r="BS31" i="1" s="1"/>
  <c r="BN31" i="1"/>
  <c r="BO31" i="1" s="1"/>
  <c r="D31" i="1" s="1"/>
  <c r="BP70" i="1"/>
  <c r="BR70" i="1" s="1"/>
  <c r="BS70" i="1" s="1"/>
  <c r="BN70" i="1"/>
  <c r="BO70" i="1" s="1"/>
  <c r="D70" i="1" s="1"/>
  <c r="BP65" i="1"/>
  <c r="BR65" i="1" s="1"/>
  <c r="BS65" i="1" s="1"/>
  <c r="BN65" i="1"/>
  <c r="BO65" i="1" s="1"/>
  <c r="D65" i="1" s="1"/>
  <c r="BL167" i="1" a="1"/>
  <c r="BL167" i="1" s="1"/>
  <c r="BL168" i="1" a="1"/>
  <c r="BL168" i="1" s="1"/>
  <c r="BL166" i="1"/>
  <c r="BL165" i="1"/>
  <c r="BL164" i="1"/>
  <c r="BP113" i="1"/>
  <c r="BN113" i="1"/>
  <c r="BP126" i="1"/>
  <c r="BR126" i="1" s="1"/>
  <c r="BS126" i="1" s="1"/>
  <c r="BN126" i="1"/>
  <c r="BO126" i="1" s="1"/>
  <c r="D126" i="1" s="1"/>
  <c r="AH301" i="1"/>
  <c r="AZ244" i="1"/>
  <c r="BB223" i="1"/>
  <c r="AZ243" i="1"/>
  <c r="BB164" i="1"/>
  <c r="AZ250" i="1"/>
  <c r="BB97" i="1"/>
  <c r="AP299" i="1"/>
  <c r="AP279" i="1"/>
  <c r="AT283" i="1"/>
  <c r="AT291" i="1" s="1"/>
  <c r="AT177" i="1"/>
  <c r="BF234" i="1" a="1"/>
  <c r="BF234" i="1" s="1"/>
  <c r="BF231" i="1" a="1"/>
  <c r="BF231" i="1" s="1"/>
  <c r="BF235" i="1" a="1"/>
  <c r="BF235" i="1" s="1"/>
  <c r="BF288" i="1" s="1"/>
  <c r="BF232" i="1" a="1"/>
  <c r="BF232" i="1" s="1"/>
  <c r="BF276" i="1" s="1"/>
  <c r="BG182" i="1"/>
  <c r="AL253" i="1"/>
  <c r="AM253" i="1" s="1"/>
  <c r="AM250" i="1"/>
  <c r="AX282" i="1"/>
  <c r="AX108" i="1"/>
  <c r="AP300" i="1"/>
  <c r="AP280" i="1"/>
  <c r="C121" i="1"/>
  <c r="B121" i="1"/>
  <c r="AL261" i="1"/>
  <c r="AM261" i="1" s="1"/>
  <c r="AM258" i="1"/>
  <c r="AR261" i="1"/>
  <c r="BD250" i="1"/>
  <c r="BF97" i="1"/>
  <c r="AL257" i="1"/>
  <c r="AM257" i="1" s="1"/>
  <c r="AM254" i="1"/>
  <c r="BJ189" i="1"/>
  <c r="BK189" i="1" s="1"/>
  <c r="D189" i="1"/>
  <c r="AX260" i="1"/>
  <c r="AY260" i="1" s="1"/>
  <c r="AY227" i="1"/>
  <c r="AX243" i="1"/>
  <c r="AY243" i="1" s="1"/>
  <c r="AX178" i="1" a="1"/>
  <c r="AX178" i="1" s="1"/>
  <c r="AX295" i="1" s="1"/>
  <c r="AY164" i="1"/>
  <c r="BD247" i="1"/>
  <c r="BF165" i="1"/>
  <c r="BP67" i="1"/>
  <c r="BR67" i="1" s="1"/>
  <c r="BS67" i="1" s="1"/>
  <c r="BN67" i="1"/>
  <c r="BO67" i="1" s="1"/>
  <c r="D67" i="1" s="1"/>
  <c r="BP17" i="1"/>
  <c r="BR17" i="1" s="1"/>
  <c r="BS17" i="1" s="1"/>
  <c r="BN17" i="1"/>
  <c r="BO17" i="1" s="1"/>
  <c r="D17" i="1" s="1"/>
  <c r="BP33" i="1"/>
  <c r="BR33" i="1" s="1"/>
  <c r="BS33" i="1" s="1"/>
  <c r="BN33" i="1"/>
  <c r="BO33" i="1" s="1"/>
  <c r="BP16" i="1"/>
  <c r="BR16" i="1" s="1"/>
  <c r="BS16" i="1" s="1"/>
  <c r="BN16" i="1"/>
  <c r="BO16" i="1" s="1"/>
  <c r="D16" i="1" s="1"/>
  <c r="BP41" i="1"/>
  <c r="BR41" i="1" s="1"/>
  <c r="BS41" i="1" s="1"/>
  <c r="BN41" i="1"/>
  <c r="BO41" i="1" s="1"/>
  <c r="D41" i="1" s="1"/>
  <c r="BP189" i="1"/>
  <c r="BR189" i="1" s="1"/>
  <c r="BS189" i="1" s="1"/>
  <c r="BN189" i="1"/>
  <c r="BO189" i="1" s="1"/>
  <c r="BP115" i="1"/>
  <c r="BR115" i="1" s="1"/>
  <c r="BS115" i="1" s="1"/>
  <c r="BN115" i="1"/>
  <c r="BO115" i="1" s="1"/>
  <c r="D115" i="1" s="1"/>
  <c r="BP27" i="1"/>
  <c r="BR27" i="1" s="1"/>
  <c r="BS27" i="1" s="1"/>
  <c r="BN27" i="1"/>
  <c r="BO27" i="1" s="1"/>
  <c r="D27" i="1" s="1"/>
  <c r="BP34" i="1"/>
  <c r="BR34" i="1" s="1"/>
  <c r="BS34" i="1" s="1"/>
  <c r="BN34" i="1"/>
  <c r="BO34" i="1" s="1"/>
  <c r="D34" i="1" s="1"/>
  <c r="BP43" i="1"/>
  <c r="BR43" i="1" s="1"/>
  <c r="BS43" i="1" s="1"/>
  <c r="BN43" i="1"/>
  <c r="BO43" i="1" s="1"/>
  <c r="D43" i="1" s="1"/>
  <c r="BP71" i="1"/>
  <c r="BR71" i="1" s="1"/>
  <c r="BS71" i="1" s="1"/>
  <c r="BN71" i="1"/>
  <c r="BO71" i="1" s="1"/>
  <c r="D71" i="1" s="1"/>
  <c r="BP122" i="1"/>
  <c r="BR122" i="1" s="1"/>
  <c r="BS122" i="1" s="1"/>
  <c r="BN122" i="1"/>
  <c r="BO122" i="1" s="1"/>
  <c r="BP197" i="1"/>
  <c r="BR197" i="1" s="1"/>
  <c r="BS197" i="1" s="1"/>
  <c r="BN197" i="1"/>
  <c r="BO197" i="1" s="1"/>
  <c r="AL245" i="1"/>
  <c r="AM245" i="1" s="1"/>
  <c r="AM242" i="1"/>
  <c r="AT251" i="1"/>
  <c r="AU251" i="1" s="1"/>
  <c r="AU166" i="1"/>
  <c r="AL290" i="1"/>
  <c r="AL285" i="1"/>
  <c r="AL293" i="1" s="1"/>
  <c r="AZ254" i="1"/>
  <c r="BB98" i="1"/>
  <c r="AT271" i="1"/>
  <c r="AT174" i="1"/>
  <c r="BH227" i="1" a="1"/>
  <c r="BH227" i="1" s="1"/>
  <c r="BH225" i="1"/>
  <c r="BH226" i="1" a="1"/>
  <c r="BH226" i="1" s="1"/>
  <c r="BH223" i="1"/>
  <c r="BH224" i="1"/>
  <c r="BJ182" i="1"/>
  <c r="AP298" i="1"/>
  <c r="AP278" i="1"/>
  <c r="AP273" i="1"/>
  <c r="AP281" i="1" s="1"/>
  <c r="AT289" i="1"/>
  <c r="AX277" i="1"/>
  <c r="AX242" i="1"/>
  <c r="AY95" i="1"/>
  <c r="AX109" i="1" a="1"/>
  <c r="AX109" i="1" s="1"/>
  <c r="AX294" i="1" s="1"/>
  <c r="BD254" i="1"/>
  <c r="BF98" i="1"/>
  <c r="AT259" i="1"/>
  <c r="AU259" i="1" s="1"/>
  <c r="AU168" i="1"/>
  <c r="BJ29" i="1"/>
  <c r="BK29" i="1" s="1"/>
  <c r="D29" i="1"/>
  <c r="AL238" i="1"/>
  <c r="BD243" i="1"/>
  <c r="BF164" i="1"/>
  <c r="BN38" i="1"/>
  <c r="BO38" i="1" s="1"/>
  <c r="BP38" i="1"/>
  <c r="BR38" i="1" s="1"/>
  <c r="BS38" i="1" s="1"/>
  <c r="BP29" i="1"/>
  <c r="BR29" i="1" s="1"/>
  <c r="BS29" i="1" s="1"/>
  <c r="BN29" i="1"/>
  <c r="BO29" i="1" s="1"/>
  <c r="BP183" i="1"/>
  <c r="BR183" i="1" s="1"/>
  <c r="BS183" i="1" s="1"/>
  <c r="BN183" i="1"/>
  <c r="BO183" i="1" s="1"/>
  <c r="D183" i="1" s="1"/>
  <c r="BL95" i="1"/>
  <c r="BL97" i="1"/>
  <c r="BL99" i="1" a="1"/>
  <c r="BL99" i="1" s="1"/>
  <c r="BL98" i="1" a="1"/>
  <c r="BL98" i="1" s="1"/>
  <c r="BL96" i="1"/>
  <c r="BP14" i="1"/>
  <c r="BN14" i="1"/>
  <c r="BP25" i="1"/>
  <c r="BR25" i="1" s="1"/>
  <c r="BS25" i="1" s="1"/>
  <c r="BN25" i="1"/>
  <c r="BO25" i="1" s="1"/>
  <c r="D25" i="1" s="1"/>
  <c r="BP196" i="1"/>
  <c r="BR196" i="1" s="1"/>
  <c r="BS196" i="1" s="1"/>
  <c r="BN196" i="1"/>
  <c r="BO196" i="1" s="1"/>
  <c r="D196" i="1" s="1"/>
  <c r="BP75" i="1"/>
  <c r="BR75" i="1" s="1"/>
  <c r="BS75" i="1" s="1"/>
  <c r="BN75" i="1"/>
  <c r="BO75" i="1" s="1"/>
  <c r="BP22" i="1"/>
  <c r="BR22" i="1" s="1"/>
  <c r="BS22" i="1" s="1"/>
  <c r="BN22" i="1"/>
  <c r="BO22" i="1" s="1"/>
  <c r="D22" i="1" s="1"/>
  <c r="BP40" i="1"/>
  <c r="BR40" i="1" s="1"/>
  <c r="BS40" i="1" s="1"/>
  <c r="BN40" i="1"/>
  <c r="BO40" i="1" s="1"/>
  <c r="D40" i="1" s="1"/>
  <c r="BP60" i="1"/>
  <c r="BR60" i="1" s="1"/>
  <c r="BS60" i="1" s="1"/>
  <c r="BN60" i="1"/>
  <c r="BO60" i="1" s="1"/>
  <c r="D60" i="1" s="1"/>
  <c r="BP48" i="1"/>
  <c r="BR48" i="1" s="1"/>
  <c r="BS48" i="1" s="1"/>
  <c r="BN48" i="1"/>
  <c r="BO48" i="1" s="1"/>
  <c r="D48" i="1" s="1"/>
  <c r="BP185" i="1"/>
  <c r="BR185" i="1" s="1"/>
  <c r="BS185" i="1" s="1"/>
  <c r="BN185" i="1"/>
  <c r="BO185" i="1" s="1"/>
  <c r="D185" i="1" s="1"/>
  <c r="BP198" i="1"/>
  <c r="BR198" i="1" s="1"/>
  <c r="BS198" i="1" s="1"/>
  <c r="BN198" i="1"/>
  <c r="BO198" i="1" s="1"/>
  <c r="D198" i="1" s="1"/>
  <c r="BJ66" i="1"/>
  <c r="BK66" i="1" s="1"/>
  <c r="D66" i="1"/>
  <c r="AL110" i="1"/>
  <c r="AT243" i="1"/>
  <c r="AU243" i="1" s="1"/>
  <c r="AT178" i="1" a="1"/>
  <c r="AT178" i="1" s="1"/>
  <c r="AT295" i="1" s="1"/>
  <c r="AU164" i="1"/>
  <c r="AT272" i="1"/>
  <c r="AT233" i="1"/>
  <c r="AZ242" i="1"/>
  <c r="BB95" i="1"/>
  <c r="BD244" i="1"/>
  <c r="BF223" i="1"/>
  <c r="AT282" i="1"/>
  <c r="AT108" i="1"/>
  <c r="AP290" i="1"/>
  <c r="AP285" i="1"/>
  <c r="AP293" i="1" s="1"/>
  <c r="AQ246" i="1"/>
  <c r="AP249" i="1"/>
  <c r="AQ249" i="1" s="1"/>
  <c r="AT260" i="1"/>
  <c r="AU260" i="1" s="1"/>
  <c r="AU227" i="1"/>
  <c r="AX248" i="1"/>
  <c r="AY248" i="1" s="1"/>
  <c r="AY224" i="1"/>
  <c r="BJ119" i="1"/>
  <c r="BK119" i="1" s="1"/>
  <c r="D119" i="1"/>
  <c r="BD258" i="1"/>
  <c r="BF99" i="1"/>
  <c r="BD100" i="1"/>
  <c r="AX256" i="1"/>
  <c r="AY256" i="1" s="1"/>
  <c r="AY226" i="1"/>
  <c r="AR263" i="1"/>
  <c r="AT171" i="1"/>
  <c r="AU171" i="1" s="1"/>
  <c r="AT169" i="1"/>
  <c r="AU169" i="1" s="1"/>
  <c r="C122" i="1"/>
  <c r="B122" i="1"/>
  <c r="AL179" i="1"/>
  <c r="AT247" i="1"/>
  <c r="AU247" i="1" s="1"/>
  <c r="AU165" i="1"/>
  <c r="AL300" i="1"/>
  <c r="AL280" i="1"/>
  <c r="AT254" i="1"/>
  <c r="AU98" i="1"/>
  <c r="AL268" i="1"/>
  <c r="AM268" i="1" s="1"/>
  <c r="AL264" i="1"/>
  <c r="AM264" i="1" s="1"/>
  <c r="BD251" i="1"/>
  <c r="BF166" i="1"/>
  <c r="BP192" i="1"/>
  <c r="BR192" i="1" s="1"/>
  <c r="BS192" i="1" s="1"/>
  <c r="BN192" i="1"/>
  <c r="BO192" i="1" s="1"/>
  <c r="D192" i="1" s="1"/>
  <c r="BL227" i="1" a="1"/>
  <c r="BL227" i="1" s="1"/>
  <c r="BL223" i="1"/>
  <c r="BL226" i="1" a="1"/>
  <c r="BL226" i="1" s="1"/>
  <c r="BL224" i="1"/>
  <c r="BL225" i="1"/>
  <c r="BP182" i="1"/>
  <c r="BN182" i="1"/>
  <c r="BP123" i="1"/>
  <c r="BR123" i="1" s="1"/>
  <c r="BS123" i="1" s="1"/>
  <c r="BN123" i="1"/>
  <c r="BO123" i="1" s="1"/>
  <c r="BP18" i="1"/>
  <c r="BR18" i="1" s="1"/>
  <c r="BS18" i="1" s="1"/>
  <c r="BN18" i="1"/>
  <c r="BO18" i="1" s="1"/>
  <c r="BN195" i="1"/>
  <c r="BO195" i="1" s="1"/>
  <c r="D195" i="1" s="1"/>
  <c r="BP195" i="1"/>
  <c r="BR195" i="1" s="1"/>
  <c r="BS195" i="1" s="1"/>
  <c r="BP69" i="1"/>
  <c r="BR69" i="1" s="1"/>
  <c r="BS69" i="1" s="1"/>
  <c r="BN69" i="1"/>
  <c r="BO69" i="1" s="1"/>
  <c r="D69" i="1" s="1"/>
  <c r="BP39" i="1"/>
  <c r="BR39" i="1" s="1"/>
  <c r="BS39" i="1" s="1"/>
  <c r="BN39" i="1"/>
  <c r="BO39" i="1" s="1"/>
  <c r="D39" i="1" s="1"/>
  <c r="BP44" i="1"/>
  <c r="BR44" i="1" s="1"/>
  <c r="BS44" i="1" s="1"/>
  <c r="BN44" i="1"/>
  <c r="BO44" i="1" s="1"/>
  <c r="BP55" i="1"/>
  <c r="BR55" i="1" s="1"/>
  <c r="BS55" i="1" s="1"/>
  <c r="BN55" i="1"/>
  <c r="BO55" i="1" s="1"/>
  <c r="D55" i="1" s="1"/>
  <c r="BP49" i="1"/>
  <c r="BR49" i="1" s="1"/>
  <c r="BS49" i="1" s="1"/>
  <c r="BN49" i="1"/>
  <c r="BO49" i="1" s="1"/>
  <c r="BP121" i="1"/>
  <c r="BR121" i="1" s="1"/>
  <c r="BS121" i="1" s="1"/>
  <c r="BN121" i="1"/>
  <c r="BO121" i="1" s="1"/>
  <c r="BP193" i="1"/>
  <c r="BR193" i="1" s="1"/>
  <c r="BS193" i="1" s="1"/>
  <c r="BN193" i="1"/>
  <c r="BO193" i="1" s="1"/>
  <c r="BP190" i="1"/>
  <c r="BR190" i="1" s="1"/>
  <c r="BS190" i="1" s="1"/>
  <c r="BN190" i="1"/>
  <c r="BO190" i="1" s="1"/>
  <c r="D190" i="1" s="1"/>
  <c r="AL273" i="1"/>
  <c r="AL281" i="1" s="1"/>
  <c r="AL298" i="1"/>
  <c r="AL278" i="1"/>
  <c r="AX247" i="1"/>
  <c r="AY247" i="1" s="1"/>
  <c r="AY165" i="1"/>
  <c r="AZ258" i="1"/>
  <c r="AZ261" i="1" s="1"/>
  <c r="AZ100" i="1"/>
  <c r="BB99" i="1"/>
  <c r="AX246" i="1"/>
  <c r="AY96" i="1"/>
  <c r="BD248" i="1"/>
  <c r="BF224" i="1"/>
  <c r="AP266" i="1"/>
  <c r="AQ266" i="1" s="1"/>
  <c r="AP262" i="1"/>
  <c r="AQ262" i="1" s="1"/>
  <c r="AT277" i="1"/>
  <c r="AP268" i="1"/>
  <c r="AQ268" i="1" s="1"/>
  <c r="AP264" i="1"/>
  <c r="AQ264" i="1" s="1"/>
  <c r="BJ24" i="1"/>
  <c r="BK24" i="1" s="1"/>
  <c r="D24" i="1"/>
  <c r="AR264" i="1"/>
  <c r="AT228" i="1"/>
  <c r="AU228" i="1" s="1"/>
  <c r="AT230" i="1"/>
  <c r="AU230" i="1" s="1"/>
  <c r="BD246" i="1"/>
  <c r="BF96" i="1"/>
  <c r="AX259" i="1"/>
  <c r="AY259" i="1" s="1"/>
  <c r="AY168" i="1"/>
  <c r="AL299" i="1"/>
  <c r="AL279" i="1"/>
  <c r="AX252" i="1"/>
  <c r="AY252" i="1" s="1"/>
  <c r="AY225" i="1"/>
  <c r="AQ250" i="1"/>
  <c r="AP253" i="1"/>
  <c r="AQ253" i="1" s="1"/>
  <c r="AT248" i="1"/>
  <c r="AU248" i="1" s="1"/>
  <c r="AU224" i="1"/>
  <c r="AR257" i="1"/>
  <c r="AT255" i="1"/>
  <c r="AU255" i="1" s="1"/>
  <c r="AU167" i="1"/>
  <c r="BD259" i="1"/>
  <c r="BD169" i="1"/>
  <c r="BF168" i="1"/>
  <c r="BP200" i="1"/>
  <c r="BR200" i="1" s="1"/>
  <c r="BS200" i="1" s="1"/>
  <c r="BN200" i="1"/>
  <c r="BO200" i="1" s="1"/>
  <c r="D200" i="1" s="1"/>
  <c r="BP59" i="1"/>
  <c r="BR59" i="1" s="1"/>
  <c r="BS59" i="1" s="1"/>
  <c r="BN59" i="1"/>
  <c r="BO59" i="1" s="1"/>
  <c r="D59" i="1" s="1"/>
  <c r="BP118" i="1"/>
  <c r="BR118" i="1" s="1"/>
  <c r="BS118" i="1" s="1"/>
  <c r="BN118" i="1"/>
  <c r="BO118" i="1" s="1"/>
  <c r="D118" i="1" s="1"/>
  <c r="BP66" i="1"/>
  <c r="BR66" i="1" s="1"/>
  <c r="BS66" i="1" s="1"/>
  <c r="BN66" i="1"/>
  <c r="BO66" i="1" s="1"/>
  <c r="BP191" i="1"/>
  <c r="BR191" i="1" s="1"/>
  <c r="BS191" i="1" s="1"/>
  <c r="BN191" i="1"/>
  <c r="BO191" i="1" s="1"/>
  <c r="D191" i="1" s="1"/>
  <c r="BP42" i="1"/>
  <c r="BR42" i="1" s="1"/>
  <c r="BS42" i="1" s="1"/>
  <c r="BN42" i="1"/>
  <c r="BO42" i="1" s="1"/>
  <c r="D42" i="1" s="1"/>
  <c r="BP23" i="1"/>
  <c r="BR23" i="1" s="1"/>
  <c r="BS23" i="1" s="1"/>
  <c r="BN23" i="1"/>
  <c r="BO23" i="1" s="1"/>
  <c r="D23" i="1" s="1"/>
  <c r="BP26" i="1"/>
  <c r="BR26" i="1" s="1"/>
  <c r="BS26" i="1" s="1"/>
  <c r="BN26" i="1"/>
  <c r="BO26" i="1" s="1"/>
  <c r="D26" i="1" s="1"/>
  <c r="BP56" i="1"/>
  <c r="BR56" i="1" s="1"/>
  <c r="BS56" i="1" s="1"/>
  <c r="BN56" i="1"/>
  <c r="BO56" i="1" s="1"/>
  <c r="D56" i="1" s="1"/>
  <c r="BP72" i="1"/>
  <c r="BR72" i="1" s="1"/>
  <c r="BS72" i="1" s="1"/>
  <c r="BN72" i="1"/>
  <c r="BO72" i="1" s="1"/>
  <c r="BP187" i="1"/>
  <c r="BR187" i="1" s="1"/>
  <c r="BS187" i="1" s="1"/>
  <c r="BN187" i="1"/>
  <c r="BO187" i="1" s="1"/>
  <c r="BJ38" i="1"/>
  <c r="BK38" i="1" s="1"/>
  <c r="D38" i="1"/>
  <c r="AT246" i="1"/>
  <c r="AU96" i="1"/>
  <c r="AZ253" i="1" l="1"/>
  <c r="AV265" i="1"/>
  <c r="AZ245" i="1"/>
  <c r="AZ265" i="1" s="1"/>
  <c r="AR265" i="1"/>
  <c r="AT238" i="1"/>
  <c r="AZ257" i="1"/>
  <c r="BD257" i="1"/>
  <c r="AP301" i="1"/>
  <c r="AT179" i="1"/>
  <c r="AX297" i="1"/>
  <c r="AZ249" i="1"/>
  <c r="BD245" i="1"/>
  <c r="BD253" i="1"/>
  <c r="BL260" i="1"/>
  <c r="BN227" i="1"/>
  <c r="BL228" i="1"/>
  <c r="BL259" i="1"/>
  <c r="BL169" i="1"/>
  <c r="BN168" i="1"/>
  <c r="C21" i="1"/>
  <c r="B21" i="1"/>
  <c r="BJ175" i="1" a="1"/>
  <c r="BJ175" i="1" s="1"/>
  <c r="BJ173" i="1" a="1"/>
  <c r="BJ173" i="1" s="1"/>
  <c r="BJ275" i="1" s="1"/>
  <c r="BJ176" i="1" a="1"/>
  <c r="BJ176" i="1" s="1"/>
  <c r="BJ287" i="1" s="1"/>
  <c r="BJ172" i="1" a="1"/>
  <c r="BJ172" i="1" s="1"/>
  <c r="BK113" i="1"/>
  <c r="B26" i="1"/>
  <c r="C26" i="1"/>
  <c r="C190" i="1"/>
  <c r="B190" i="1"/>
  <c r="C55" i="1"/>
  <c r="B55" i="1"/>
  <c r="BL252" i="1"/>
  <c r="BN225" i="1"/>
  <c r="BF244" i="1"/>
  <c r="BG244" i="1" s="1"/>
  <c r="BF237" i="1" a="1"/>
  <c r="BF237" i="1" s="1"/>
  <c r="BF296" i="1" s="1"/>
  <c r="BG223" i="1"/>
  <c r="BH256" i="1"/>
  <c r="BJ226" i="1"/>
  <c r="B16" i="1"/>
  <c r="C16" i="1"/>
  <c r="BL255" i="1"/>
  <c r="BN167" i="1"/>
  <c r="BH243" i="1"/>
  <c r="BJ164" i="1"/>
  <c r="AX268" i="1"/>
  <c r="AY268" i="1" s="1"/>
  <c r="AX264" i="1"/>
  <c r="AY264" i="1" s="1"/>
  <c r="C123" i="1"/>
  <c r="B123" i="1"/>
  <c r="BB272" i="1"/>
  <c r="BB233" i="1"/>
  <c r="C15" i="1"/>
  <c r="B15" i="1"/>
  <c r="C47" i="1"/>
  <c r="B47" i="1"/>
  <c r="BB252" i="1"/>
  <c r="BC252" i="1" s="1"/>
  <c r="BC225" i="1"/>
  <c r="B188" i="1"/>
  <c r="C188" i="1"/>
  <c r="B30" i="1"/>
  <c r="C30" i="1"/>
  <c r="BH258" i="1"/>
  <c r="BH100" i="1"/>
  <c r="BJ99" i="1"/>
  <c r="AX298" i="1"/>
  <c r="AX278" i="1"/>
  <c r="AX273" i="1"/>
  <c r="AX281" i="1" s="1"/>
  <c r="BB247" i="1"/>
  <c r="BC247" i="1" s="1"/>
  <c r="BC165" i="1"/>
  <c r="C201" i="1"/>
  <c r="B201" i="1"/>
  <c r="AT298" i="1"/>
  <c r="AT278" i="1"/>
  <c r="AT273" i="1"/>
  <c r="AT281" i="1" s="1"/>
  <c r="BL254" i="1"/>
  <c r="BN98" i="1"/>
  <c r="BL244" i="1"/>
  <c r="BN223" i="1"/>
  <c r="B60" i="1"/>
  <c r="C60" i="1"/>
  <c r="C39" i="1"/>
  <c r="B39" i="1"/>
  <c r="AT249" i="1"/>
  <c r="AU249" i="1" s="1"/>
  <c r="AU246" i="1"/>
  <c r="AX249" i="1"/>
  <c r="AY249" i="1" s="1"/>
  <c r="AY246" i="1"/>
  <c r="BP227" i="1" a="1"/>
  <c r="BP227" i="1" s="1"/>
  <c r="BP225" i="1"/>
  <c r="BP223" i="1"/>
  <c r="BP226" i="1" a="1"/>
  <c r="BP226" i="1" s="1"/>
  <c r="BP224" i="1"/>
  <c r="BR182" i="1"/>
  <c r="BF251" i="1"/>
  <c r="BG251" i="1" s="1"/>
  <c r="BG166" i="1"/>
  <c r="AT290" i="1"/>
  <c r="AT285" i="1"/>
  <c r="AT293" i="1" s="1"/>
  <c r="B22" i="1"/>
  <c r="C22" i="1"/>
  <c r="BN106" i="1" a="1"/>
  <c r="BN106" i="1" s="1"/>
  <c r="BN107" i="1" a="1"/>
  <c r="BN107" i="1" s="1"/>
  <c r="BN286" i="1" s="1"/>
  <c r="BN103" i="1" a="1"/>
  <c r="BN103" i="1" s="1"/>
  <c r="BN104" i="1" a="1"/>
  <c r="BN104" i="1" s="1"/>
  <c r="BN274" i="1" s="1"/>
  <c r="BO14" i="1"/>
  <c r="D14" i="1" s="1"/>
  <c r="C29" i="1"/>
  <c r="B29" i="1"/>
  <c r="AX245" i="1"/>
  <c r="AY245" i="1" s="1"/>
  <c r="AY242" i="1"/>
  <c r="BH244" i="1"/>
  <c r="BJ223" i="1"/>
  <c r="C189" i="1"/>
  <c r="B189" i="1"/>
  <c r="C35" i="1"/>
  <c r="B35" i="1"/>
  <c r="B38" i="1"/>
  <c r="C38" i="1"/>
  <c r="BF259" i="1"/>
  <c r="BG259" i="1" s="1"/>
  <c r="BG168" i="1"/>
  <c r="BF246" i="1"/>
  <c r="BG96" i="1"/>
  <c r="BB258" i="1"/>
  <c r="BC99" i="1"/>
  <c r="BP97" i="1"/>
  <c r="BP99" i="1" a="1"/>
  <c r="BP99" i="1" s="1"/>
  <c r="BP98" i="1" a="1"/>
  <c r="BP98" i="1" s="1"/>
  <c r="BP95" i="1"/>
  <c r="BP96" i="1"/>
  <c r="BR14" i="1"/>
  <c r="C27" i="1"/>
  <c r="B27" i="1"/>
  <c r="BF247" i="1"/>
  <c r="BG247" i="1" s="1"/>
  <c r="BG165" i="1"/>
  <c r="C126" i="1"/>
  <c r="B126" i="1"/>
  <c r="BD263" i="1"/>
  <c r="BF169" i="1"/>
  <c r="BG169" i="1" s="1"/>
  <c r="BF171" i="1"/>
  <c r="BG171" i="1" s="1"/>
  <c r="BD170" i="1"/>
  <c r="BF170" i="1" s="1"/>
  <c r="BG170" i="1" s="1"/>
  <c r="BD249" i="1"/>
  <c r="AZ262" i="1"/>
  <c r="BB102" i="1"/>
  <c r="BC102" i="1" s="1"/>
  <c r="BB100" i="1"/>
  <c r="BC100" i="1" s="1"/>
  <c r="C195" i="1"/>
  <c r="B195" i="1"/>
  <c r="BL248" i="1"/>
  <c r="BN224" i="1"/>
  <c r="BD262" i="1"/>
  <c r="BF102" i="1"/>
  <c r="BG102" i="1" s="1"/>
  <c r="BF100" i="1"/>
  <c r="BG100" i="1" s="1"/>
  <c r="BD101" i="1"/>
  <c r="BF101" i="1" s="1"/>
  <c r="BG101" i="1" s="1"/>
  <c r="C48" i="1"/>
  <c r="B48" i="1"/>
  <c r="BL246" i="1"/>
  <c r="BN96" i="1"/>
  <c r="BH252" i="1"/>
  <c r="BJ225" i="1"/>
  <c r="BB250" i="1"/>
  <c r="BC97" i="1"/>
  <c r="C65" i="1"/>
  <c r="B65" i="1"/>
  <c r="B186" i="1"/>
  <c r="C186" i="1"/>
  <c r="BH251" i="1"/>
  <c r="BJ166" i="1"/>
  <c r="BF242" i="1"/>
  <c r="BG95" i="1"/>
  <c r="BF109" i="1" a="1"/>
  <c r="BF109" i="1" s="1"/>
  <c r="BF294" i="1" s="1"/>
  <c r="BB284" i="1"/>
  <c r="BB292" i="1" s="1"/>
  <c r="BB236" i="1"/>
  <c r="BF271" i="1"/>
  <c r="BF174" i="1"/>
  <c r="BH246" i="1"/>
  <c r="BJ96" i="1"/>
  <c r="C72" i="1"/>
  <c r="B72" i="1"/>
  <c r="B203" i="1"/>
  <c r="C203" i="1"/>
  <c r="C49" i="1"/>
  <c r="B49" i="1"/>
  <c r="B75" i="1"/>
  <c r="C75" i="1"/>
  <c r="AX267" i="1"/>
  <c r="AY267" i="1" s="1"/>
  <c r="AX263" i="1"/>
  <c r="AY263" i="1" s="1"/>
  <c r="BB260" i="1"/>
  <c r="BC260" i="1" s="1"/>
  <c r="BC227" i="1"/>
  <c r="BN175" i="1" a="1"/>
  <c r="BN175" i="1" s="1"/>
  <c r="BN176" i="1" a="1"/>
  <c r="BN176" i="1" s="1"/>
  <c r="BN287" i="1" s="1"/>
  <c r="BN172" i="1" a="1"/>
  <c r="BN172" i="1" s="1"/>
  <c r="BN173" i="1" a="1"/>
  <c r="BN173" i="1" s="1"/>
  <c r="BN275" i="1" s="1"/>
  <c r="BO113" i="1"/>
  <c r="D113" i="1" s="1"/>
  <c r="BH255" i="1"/>
  <c r="BJ167" i="1"/>
  <c r="B18" i="1"/>
  <c r="C18" i="1"/>
  <c r="AX179" i="1"/>
  <c r="BB248" i="1"/>
  <c r="BC248" i="1" s="1"/>
  <c r="BC224" i="1"/>
  <c r="B116" i="1"/>
  <c r="C116" i="1"/>
  <c r="C32" i="1"/>
  <c r="B32" i="1"/>
  <c r="BF283" i="1"/>
  <c r="BF291" i="1" s="1"/>
  <c r="BF177" i="1"/>
  <c r="AY254" i="1"/>
  <c r="AX257" i="1"/>
  <c r="AY257" i="1" s="1"/>
  <c r="C63" i="1"/>
  <c r="B63" i="1"/>
  <c r="AX266" i="1"/>
  <c r="AY266" i="1" s="1"/>
  <c r="AX262" i="1"/>
  <c r="AY262" i="1" s="1"/>
  <c r="C184" i="1"/>
  <c r="B184" i="1"/>
  <c r="B202" i="1"/>
  <c r="C202" i="1"/>
  <c r="C68" i="1"/>
  <c r="B68" i="1"/>
  <c r="AZ264" i="1"/>
  <c r="BB228" i="1"/>
  <c r="BC228" i="1" s="1"/>
  <c r="BB230" i="1"/>
  <c r="BC230" i="1" s="1"/>
  <c r="BL258" i="1"/>
  <c r="BN99" i="1"/>
  <c r="BL100" i="1"/>
  <c r="BF254" i="1"/>
  <c r="BG98" i="1"/>
  <c r="BF250" i="1"/>
  <c r="BG97" i="1"/>
  <c r="BF272" i="1"/>
  <c r="BF233" i="1"/>
  <c r="BB243" i="1"/>
  <c r="BC243" i="1" s="1"/>
  <c r="BC164" i="1"/>
  <c r="BB178" i="1" a="1"/>
  <c r="BB178" i="1" s="1"/>
  <c r="BB295" i="1" s="1"/>
  <c r="BP167" i="1" a="1"/>
  <c r="BP167" i="1" s="1"/>
  <c r="BP165" i="1"/>
  <c r="BP168" i="1" a="1"/>
  <c r="BP168" i="1" s="1"/>
  <c r="BP166" i="1"/>
  <c r="BP164" i="1"/>
  <c r="BR113" i="1"/>
  <c r="C70" i="1"/>
  <c r="B70" i="1"/>
  <c r="C36" i="1"/>
  <c r="B36" i="1"/>
  <c r="BH247" i="1"/>
  <c r="BJ165" i="1"/>
  <c r="AX253" i="1"/>
  <c r="AY253" i="1" s="1"/>
  <c r="AY250" i="1"/>
  <c r="BB271" i="1"/>
  <c r="BB174" i="1"/>
  <c r="BD264" i="1"/>
  <c r="BF230" i="1"/>
  <c r="BG230" i="1" s="1"/>
  <c r="BF228" i="1"/>
  <c r="BG228" i="1" s="1"/>
  <c r="BD229" i="1"/>
  <c r="BF229" i="1" s="1"/>
  <c r="BG229" i="1" s="1"/>
  <c r="AX299" i="1"/>
  <c r="AX279" i="1"/>
  <c r="AX269" i="1"/>
  <c r="AY269" i="1" s="1"/>
  <c r="AX265" i="1"/>
  <c r="AY265" i="1" s="1"/>
  <c r="AT253" i="1"/>
  <c r="AU253" i="1" s="1"/>
  <c r="AU250" i="1"/>
  <c r="AT297" i="1"/>
  <c r="C62" i="1"/>
  <c r="B62" i="1"/>
  <c r="B51" i="1"/>
  <c r="C51" i="1"/>
  <c r="C193" i="1"/>
  <c r="B193" i="1"/>
  <c r="C23" i="1"/>
  <c r="B23" i="1"/>
  <c r="BB242" i="1"/>
  <c r="BB109" i="1" a="1"/>
  <c r="BB109" i="1" s="1"/>
  <c r="BB294" i="1" s="1"/>
  <c r="BC95" i="1"/>
  <c r="C115" i="1"/>
  <c r="B115" i="1"/>
  <c r="BD261" i="1"/>
  <c r="C42" i="1"/>
  <c r="B42" i="1"/>
  <c r="BL250" i="1"/>
  <c r="BN97" i="1"/>
  <c r="BF243" i="1"/>
  <c r="BG243" i="1" s="1"/>
  <c r="BF178" i="1" a="1"/>
  <c r="BF178" i="1" s="1"/>
  <c r="BF295" i="1" s="1"/>
  <c r="BG164" i="1"/>
  <c r="C17" i="1"/>
  <c r="B17" i="1"/>
  <c r="BL243" i="1"/>
  <c r="BN164" i="1"/>
  <c r="BH259" i="1"/>
  <c r="BJ168" i="1"/>
  <c r="BH169" i="1"/>
  <c r="BF260" i="1"/>
  <c r="BG260" i="1" s="1"/>
  <c r="BG227" i="1"/>
  <c r="C50" i="1"/>
  <c r="B50" i="1"/>
  <c r="BB251" i="1"/>
  <c r="BC251" i="1" s="1"/>
  <c r="BC166" i="1"/>
  <c r="B64" i="1"/>
  <c r="C64" i="1"/>
  <c r="C46" i="1"/>
  <c r="B46" i="1"/>
  <c r="BJ106" i="1" a="1"/>
  <c r="BJ106" i="1" s="1"/>
  <c r="BJ107" i="1" a="1"/>
  <c r="BJ107" i="1" s="1"/>
  <c r="BJ286" i="1" s="1"/>
  <c r="BJ103" i="1" a="1"/>
  <c r="BJ103" i="1" s="1"/>
  <c r="BJ104" i="1" a="1"/>
  <c r="BJ104" i="1" s="1"/>
  <c r="BJ274" i="1" s="1"/>
  <c r="BK14" i="1"/>
  <c r="BB270" i="1"/>
  <c r="BB105" i="1"/>
  <c r="C54" i="1"/>
  <c r="B54" i="1"/>
  <c r="C45" i="1"/>
  <c r="B45" i="1"/>
  <c r="BF277" i="1"/>
  <c r="AX238" i="1"/>
  <c r="B117" i="1"/>
  <c r="C117" i="1"/>
  <c r="C124" i="1"/>
  <c r="B124" i="1"/>
  <c r="BB256" i="1"/>
  <c r="BC256" i="1" s="1"/>
  <c r="BC226" i="1"/>
  <c r="C118" i="1"/>
  <c r="B118" i="1"/>
  <c r="BF258" i="1"/>
  <c r="BG99" i="1"/>
  <c r="B71" i="1"/>
  <c r="C71" i="1"/>
  <c r="C196" i="1"/>
  <c r="B196" i="1"/>
  <c r="C119" i="1"/>
  <c r="B119" i="1"/>
  <c r="B43" i="1"/>
  <c r="C43" i="1"/>
  <c r="BJ234" i="1" a="1"/>
  <c r="BJ234" i="1" s="1"/>
  <c r="BJ231" i="1" a="1"/>
  <c r="BJ231" i="1" s="1"/>
  <c r="BJ235" i="1" a="1"/>
  <c r="BJ235" i="1" s="1"/>
  <c r="BJ288" i="1" s="1"/>
  <c r="BJ232" i="1" a="1"/>
  <c r="BJ232" i="1" s="1"/>
  <c r="BJ276" i="1" s="1"/>
  <c r="BK182" i="1"/>
  <c r="AT299" i="1"/>
  <c r="AT279" i="1"/>
  <c r="AT269" i="1"/>
  <c r="AU269" i="1" s="1"/>
  <c r="AT265" i="1"/>
  <c r="AU265" i="1" s="1"/>
  <c r="AX290" i="1"/>
  <c r="AX285" i="1"/>
  <c r="AX293" i="1" s="1"/>
  <c r="BB244" i="1"/>
  <c r="BC244" i="1" s="1"/>
  <c r="BB237" i="1" a="1"/>
  <c r="BB237" i="1" s="1"/>
  <c r="BB296" i="1" s="1"/>
  <c r="BC223" i="1"/>
  <c r="BL247" i="1"/>
  <c r="BN165" i="1"/>
  <c r="C31" i="1"/>
  <c r="B31" i="1"/>
  <c r="C53" i="1"/>
  <c r="B53" i="1"/>
  <c r="BB246" i="1"/>
  <c r="BC96" i="1"/>
  <c r="BB283" i="1"/>
  <c r="BB291" i="1" s="1"/>
  <c r="BB177" i="1"/>
  <c r="BH242" i="1"/>
  <c r="BJ95" i="1"/>
  <c r="AT261" i="1"/>
  <c r="AU261" i="1" s="1"/>
  <c r="AU258" i="1"/>
  <c r="BB289" i="1"/>
  <c r="BF255" i="1"/>
  <c r="BG255" i="1" s="1"/>
  <c r="BG167" i="1"/>
  <c r="AU242" i="1"/>
  <c r="AT245" i="1"/>
  <c r="AU245" i="1" s="1"/>
  <c r="C194" i="1"/>
  <c r="B194" i="1"/>
  <c r="BF270" i="1"/>
  <c r="BF105" i="1"/>
  <c r="AX300" i="1"/>
  <c r="AX280" i="1"/>
  <c r="BH260" i="1"/>
  <c r="BH228" i="1"/>
  <c r="BJ227" i="1"/>
  <c r="C66" i="1"/>
  <c r="B66" i="1"/>
  <c r="BF284" i="1"/>
  <c r="BF292" i="1" s="1"/>
  <c r="BF236" i="1"/>
  <c r="C24" i="1"/>
  <c r="B24" i="1"/>
  <c r="C192" i="1"/>
  <c r="B192" i="1"/>
  <c r="C198" i="1"/>
  <c r="B198" i="1"/>
  <c r="C40" i="1"/>
  <c r="B40" i="1"/>
  <c r="B25" i="1"/>
  <c r="C25" i="1"/>
  <c r="BL242" i="1"/>
  <c r="BN95" i="1"/>
  <c r="C56" i="1"/>
  <c r="B56" i="1"/>
  <c r="C191" i="1"/>
  <c r="B191" i="1"/>
  <c r="C200" i="1"/>
  <c r="B200" i="1"/>
  <c r="AL301" i="1"/>
  <c r="B69" i="1"/>
  <c r="C69" i="1"/>
  <c r="BN235" i="1" a="1"/>
  <c r="BN235" i="1" s="1"/>
  <c r="BN288" i="1" s="1"/>
  <c r="BN232" i="1" a="1"/>
  <c r="BN232" i="1" s="1"/>
  <c r="BN276" i="1" s="1"/>
  <c r="BN234" i="1" a="1"/>
  <c r="BN234" i="1" s="1"/>
  <c r="BN231" i="1" a="1"/>
  <c r="BN231" i="1" s="1"/>
  <c r="BO182" i="1"/>
  <c r="D182" i="1" s="1"/>
  <c r="AT267" i="1"/>
  <c r="AU267" i="1" s="1"/>
  <c r="AT263" i="1"/>
  <c r="AU263" i="1" s="1"/>
  <c r="AT300" i="1"/>
  <c r="AT280" i="1"/>
  <c r="C183" i="1"/>
  <c r="B183" i="1"/>
  <c r="BH248" i="1"/>
  <c r="BJ224" i="1"/>
  <c r="BB254" i="1"/>
  <c r="BC98" i="1"/>
  <c r="B34" i="1"/>
  <c r="C34" i="1"/>
  <c r="C41" i="1"/>
  <c r="B41" i="1"/>
  <c r="C67" i="1"/>
  <c r="B67" i="1"/>
  <c r="BL251" i="1"/>
  <c r="BN166" i="1"/>
  <c r="AT266" i="1"/>
  <c r="AU266" i="1" s="1"/>
  <c r="AT262" i="1"/>
  <c r="AU262" i="1" s="1"/>
  <c r="C37" i="1"/>
  <c r="B37" i="1"/>
  <c r="BB255" i="1"/>
  <c r="BC255" i="1" s="1"/>
  <c r="BC167" i="1"/>
  <c r="C61" i="1"/>
  <c r="B61" i="1"/>
  <c r="C120" i="1"/>
  <c r="B120" i="1"/>
  <c r="B52" i="1"/>
  <c r="C52" i="1"/>
  <c r="BH250" i="1"/>
  <c r="BH253" i="1" s="1"/>
  <c r="BJ97" i="1"/>
  <c r="BB282" i="1"/>
  <c r="BB108" i="1"/>
  <c r="AZ263" i="1"/>
  <c r="BB169" i="1"/>
  <c r="BC169" i="1" s="1"/>
  <c r="BB171" i="1"/>
  <c r="BC171" i="1" s="1"/>
  <c r="C20" i="1"/>
  <c r="B20" i="1"/>
  <c r="BF289" i="1"/>
  <c r="C73" i="1"/>
  <c r="B73" i="1"/>
  <c r="BL256" i="1"/>
  <c r="BN226" i="1"/>
  <c r="C59" i="1"/>
  <c r="B59" i="1"/>
  <c r="AT268" i="1"/>
  <c r="AU268" i="1" s="1"/>
  <c r="AT264" i="1"/>
  <c r="AU264" i="1" s="1"/>
  <c r="BF248" i="1"/>
  <c r="BG248" i="1" s="1"/>
  <c r="BG224" i="1"/>
  <c r="AT257" i="1"/>
  <c r="AU257" i="1" s="1"/>
  <c r="AU254" i="1"/>
  <c r="C185" i="1"/>
  <c r="B185" i="1"/>
  <c r="AX261" i="1"/>
  <c r="AY261" i="1" s="1"/>
  <c r="AY258" i="1"/>
  <c r="C28" i="1"/>
  <c r="B28" i="1"/>
  <c r="BH254" i="1"/>
  <c r="BJ98" i="1"/>
  <c r="AX110" i="1"/>
  <c r="BB277" i="1"/>
  <c r="BF256" i="1"/>
  <c r="BG256" i="1" s="1"/>
  <c r="BG226" i="1"/>
  <c r="BB259" i="1"/>
  <c r="BC259" i="1" s="1"/>
  <c r="BC168" i="1"/>
  <c r="C125" i="1"/>
  <c r="B125" i="1"/>
  <c r="C58" i="1"/>
  <c r="B58" i="1"/>
  <c r="BF282" i="1"/>
  <c r="BF108" i="1"/>
  <c r="BF252" i="1"/>
  <c r="BG252" i="1" s="1"/>
  <c r="BG225" i="1"/>
  <c r="AT110" i="1"/>
  <c r="BB269" i="1" l="1"/>
  <c r="BC269" i="1" s="1"/>
  <c r="BB265" i="1"/>
  <c r="BC265" i="1" s="1"/>
  <c r="BL261" i="1"/>
  <c r="BH257" i="1"/>
  <c r="BL245" i="1"/>
  <c r="BH245" i="1"/>
  <c r="BD265" i="1"/>
  <c r="BF269" i="1" s="1"/>
  <c r="BG269" i="1" s="1"/>
  <c r="BF238" i="1"/>
  <c r="BB110" i="1"/>
  <c r="BB179" i="1"/>
  <c r="BF110" i="1"/>
  <c r="BJ277" i="1"/>
  <c r="BN250" i="1"/>
  <c r="BO97" i="1"/>
  <c r="BB297" i="1"/>
  <c r="BF179" i="1"/>
  <c r="BF266" i="1"/>
  <c r="BG266" i="1" s="1"/>
  <c r="BF262" i="1"/>
  <c r="BG262" i="1" s="1"/>
  <c r="BP250" i="1"/>
  <c r="BR97" i="1"/>
  <c r="BP256" i="1"/>
  <c r="BR226" i="1"/>
  <c r="BJ243" i="1"/>
  <c r="BK243" i="1" s="1"/>
  <c r="BJ178" i="1" a="1"/>
  <c r="BJ178" i="1" s="1"/>
  <c r="BJ295" i="1" s="1"/>
  <c r="BK164" i="1"/>
  <c r="BB267" i="1"/>
  <c r="BC267" i="1" s="1"/>
  <c r="BB263" i="1"/>
  <c r="BC263" i="1" s="1"/>
  <c r="BF278" i="1"/>
  <c r="BF298" i="1"/>
  <c r="BF273" i="1"/>
  <c r="BF281" i="1" s="1"/>
  <c r="BJ242" i="1"/>
  <c r="BK95" i="1"/>
  <c r="BJ109" i="1" a="1"/>
  <c r="BJ109" i="1" s="1"/>
  <c r="BJ294" i="1" s="1"/>
  <c r="BJ272" i="1"/>
  <c r="BJ233" i="1"/>
  <c r="BJ270" i="1"/>
  <c r="BJ105" i="1"/>
  <c r="BN243" i="1"/>
  <c r="BO243" i="1" s="1"/>
  <c r="BN178" i="1" a="1"/>
  <c r="BN178" i="1" s="1"/>
  <c r="BN295" i="1" s="1"/>
  <c r="BO164" i="1"/>
  <c r="BL253" i="1"/>
  <c r="BC242" i="1"/>
  <c r="BB245" i="1"/>
  <c r="BC245" i="1" s="1"/>
  <c r="BB299" i="1"/>
  <c r="BB279" i="1"/>
  <c r="BG254" i="1"/>
  <c r="BF257" i="1"/>
  <c r="BG257" i="1" s="1"/>
  <c r="C113" i="1"/>
  <c r="B113" i="1"/>
  <c r="BF279" i="1"/>
  <c r="BF299" i="1"/>
  <c r="BN246" i="1"/>
  <c r="BO96" i="1"/>
  <c r="BN248" i="1"/>
  <c r="BO248" i="1" s="1"/>
  <c r="BO224" i="1"/>
  <c r="BP244" i="1"/>
  <c r="BR223" i="1"/>
  <c r="BN256" i="1"/>
  <c r="BO256" i="1" s="1"/>
  <c r="BO226" i="1"/>
  <c r="BF285" i="1"/>
  <c r="BF293" i="1" s="1"/>
  <c r="BF290" i="1"/>
  <c r="BN251" i="1"/>
  <c r="BO251" i="1" s="1"/>
  <c r="BO166" i="1"/>
  <c r="BN242" i="1"/>
  <c r="BO95" i="1"/>
  <c r="BN109" i="1" a="1"/>
  <c r="BN109" i="1" s="1"/>
  <c r="BN294" i="1" s="1"/>
  <c r="BJ260" i="1"/>
  <c r="BK260" i="1" s="1"/>
  <c r="BK227" i="1"/>
  <c r="BJ284" i="1"/>
  <c r="BJ292" i="1" s="1"/>
  <c r="BJ236" i="1"/>
  <c r="BJ289" i="1"/>
  <c r="BR175" i="1" a="1"/>
  <c r="BR175" i="1" s="1"/>
  <c r="BR176" i="1" a="1"/>
  <c r="BR176" i="1" s="1"/>
  <c r="BR287" i="1" s="1"/>
  <c r="BR172" i="1" a="1"/>
  <c r="BR172" i="1" s="1"/>
  <c r="BR173" i="1" a="1"/>
  <c r="BR173" i="1" s="1"/>
  <c r="BR275" i="1" s="1"/>
  <c r="BS113" i="1"/>
  <c r="BL262" i="1"/>
  <c r="BN102" i="1"/>
  <c r="BO102" i="1" s="1"/>
  <c r="BN100" i="1"/>
  <c r="BO100" i="1" s="1"/>
  <c r="BL101" i="1"/>
  <c r="BN101" i="1" s="1"/>
  <c r="BO101" i="1" s="1"/>
  <c r="BL249" i="1"/>
  <c r="BB261" i="1"/>
  <c r="BC261" i="1" s="1"/>
  <c r="BC258" i="1"/>
  <c r="BP252" i="1"/>
  <c r="BR225" i="1"/>
  <c r="AT301" i="1"/>
  <c r="BB238" i="1"/>
  <c r="BN255" i="1"/>
  <c r="BO255" i="1" s="1"/>
  <c r="BO167" i="1"/>
  <c r="BN259" i="1"/>
  <c r="BO259" i="1" s="1"/>
  <c r="BO168" i="1"/>
  <c r="BB285" i="1"/>
  <c r="BB293" i="1" s="1"/>
  <c r="BB290" i="1"/>
  <c r="BB257" i="1"/>
  <c r="BC257" i="1" s="1"/>
  <c r="BC254" i="1"/>
  <c r="BH264" i="1"/>
  <c r="BJ228" i="1"/>
  <c r="BK228" i="1" s="1"/>
  <c r="BJ230" i="1"/>
  <c r="BK230" i="1" s="1"/>
  <c r="BN247" i="1"/>
  <c r="BO247" i="1" s="1"/>
  <c r="BO165" i="1"/>
  <c r="BJ282" i="1"/>
  <c r="BJ108" i="1"/>
  <c r="BP243" i="1"/>
  <c r="BR164" i="1"/>
  <c r="BN258" i="1"/>
  <c r="BO99" i="1"/>
  <c r="BN271" i="1"/>
  <c r="BN174" i="1"/>
  <c r="BR107" i="1" a="1"/>
  <c r="BR107" i="1" s="1"/>
  <c r="BR286" i="1" s="1"/>
  <c r="BR103" i="1" a="1"/>
  <c r="BR103" i="1" s="1"/>
  <c r="BR104" i="1" a="1"/>
  <c r="BR104" i="1" s="1"/>
  <c r="BR274" i="1" s="1"/>
  <c r="BR106" i="1" a="1"/>
  <c r="BR106" i="1" s="1"/>
  <c r="BS14" i="1"/>
  <c r="C14" i="1"/>
  <c r="B14" i="1"/>
  <c r="BP260" i="1"/>
  <c r="BP228" i="1"/>
  <c r="BR227" i="1"/>
  <c r="AX301" i="1"/>
  <c r="BB300" i="1"/>
  <c r="BB280" i="1"/>
  <c r="BN252" i="1"/>
  <c r="BO252" i="1" s="1"/>
  <c r="BO225" i="1"/>
  <c r="BL263" i="1"/>
  <c r="BN171" i="1"/>
  <c r="BO171" i="1" s="1"/>
  <c r="BN169" i="1"/>
  <c r="BO169" i="1" s="1"/>
  <c r="BL170" i="1"/>
  <c r="BN170" i="1" s="1"/>
  <c r="BO170" i="1" s="1"/>
  <c r="BJ254" i="1"/>
  <c r="BK98" i="1"/>
  <c r="BJ250" i="1"/>
  <c r="BK97" i="1"/>
  <c r="BJ248" i="1"/>
  <c r="BK248" i="1" s="1"/>
  <c r="BK224" i="1"/>
  <c r="C182" i="1"/>
  <c r="B182" i="1"/>
  <c r="BF261" i="1"/>
  <c r="BG261" i="1" s="1"/>
  <c r="BG258" i="1"/>
  <c r="BF265" i="1"/>
  <c r="BG265" i="1" s="1"/>
  <c r="BJ247" i="1"/>
  <c r="BK247" i="1" s="1"/>
  <c r="BK165" i="1"/>
  <c r="BP251" i="1"/>
  <c r="BR166" i="1"/>
  <c r="BF297" i="1"/>
  <c r="BF267" i="1"/>
  <c r="BG267" i="1" s="1"/>
  <c r="BF263" i="1"/>
  <c r="BG263" i="1" s="1"/>
  <c r="BP246" i="1"/>
  <c r="BR96" i="1"/>
  <c r="BF249" i="1"/>
  <c r="BG249" i="1" s="1"/>
  <c r="BG246" i="1"/>
  <c r="BN277" i="1"/>
  <c r="BN244" i="1"/>
  <c r="BO244" i="1" s="1"/>
  <c r="BN237" i="1" a="1"/>
  <c r="BN237" i="1" s="1"/>
  <c r="BN296" i="1" s="1"/>
  <c r="BO223" i="1"/>
  <c r="BJ258" i="1"/>
  <c r="BK99" i="1"/>
  <c r="BJ271" i="1"/>
  <c r="BJ174" i="1"/>
  <c r="BN272" i="1"/>
  <c r="BN233" i="1"/>
  <c r="BP259" i="1"/>
  <c r="BR168" i="1"/>
  <c r="BP169" i="1"/>
  <c r="BF300" i="1"/>
  <c r="BF280" i="1"/>
  <c r="BN283" i="1"/>
  <c r="BN291" i="1" s="1"/>
  <c r="BN177" i="1"/>
  <c r="BJ246" i="1"/>
  <c r="BK96" i="1"/>
  <c r="BP242" i="1"/>
  <c r="BR95" i="1"/>
  <c r="BJ244" i="1"/>
  <c r="BK244" i="1" s="1"/>
  <c r="BJ237" i="1" a="1"/>
  <c r="BJ237" i="1" s="1"/>
  <c r="BJ296" i="1" s="1"/>
  <c r="BK223" i="1"/>
  <c r="BN270" i="1"/>
  <c r="BN105" i="1"/>
  <c r="BH262" i="1"/>
  <c r="BJ100" i="1"/>
  <c r="BK100" i="1" s="1"/>
  <c r="BJ102" i="1"/>
  <c r="BK102" i="1" s="1"/>
  <c r="BL264" i="1"/>
  <c r="BN230" i="1"/>
  <c r="BO230" i="1" s="1"/>
  <c r="BN228" i="1"/>
  <c r="BO228" i="1" s="1"/>
  <c r="BL229" i="1"/>
  <c r="BN229" i="1" s="1"/>
  <c r="BO229" i="1" s="1"/>
  <c r="BN284" i="1"/>
  <c r="BN292" i="1" s="1"/>
  <c r="BN236" i="1"/>
  <c r="BB249" i="1"/>
  <c r="BC249" i="1" s="1"/>
  <c r="BC246" i="1"/>
  <c r="BB278" i="1"/>
  <c r="BB273" i="1"/>
  <c r="BB281" i="1" s="1"/>
  <c r="BB298" i="1"/>
  <c r="BH263" i="1"/>
  <c r="BJ171" i="1"/>
  <c r="BK171" i="1" s="1"/>
  <c r="BJ169" i="1"/>
  <c r="BK169" i="1" s="1"/>
  <c r="BF268" i="1"/>
  <c r="BG268" i="1" s="1"/>
  <c r="BF264" i="1"/>
  <c r="BG264" i="1" s="1"/>
  <c r="BP247" i="1"/>
  <c r="BR165" i="1"/>
  <c r="BH249" i="1"/>
  <c r="BF245" i="1"/>
  <c r="BG245" i="1" s="1"/>
  <c r="BG242" i="1"/>
  <c r="BB253" i="1"/>
  <c r="BC253" i="1" s="1"/>
  <c r="BC250" i="1"/>
  <c r="BP254" i="1"/>
  <c r="BR98" i="1"/>
  <c r="BN289" i="1"/>
  <c r="BR235" i="1" a="1"/>
  <c r="BR235" i="1" s="1"/>
  <c r="BR288" i="1" s="1"/>
  <c r="BR232" i="1" a="1"/>
  <c r="BR232" i="1" s="1"/>
  <c r="BR276" i="1" s="1"/>
  <c r="BR234" i="1" a="1"/>
  <c r="BR234" i="1" s="1"/>
  <c r="BR231" i="1" a="1"/>
  <c r="BR231" i="1" s="1"/>
  <c r="BS182" i="1"/>
  <c r="BN254" i="1"/>
  <c r="BO98" i="1"/>
  <c r="BH261" i="1"/>
  <c r="BJ256" i="1"/>
  <c r="BK256" i="1" s="1"/>
  <c r="BK226" i="1"/>
  <c r="BN260" i="1"/>
  <c r="BO260" i="1" s="1"/>
  <c r="BO227" i="1"/>
  <c r="BJ259" i="1"/>
  <c r="BK259" i="1" s="1"/>
  <c r="BK168" i="1"/>
  <c r="BP255" i="1"/>
  <c r="BR167" i="1"/>
  <c r="BG250" i="1"/>
  <c r="BF253" i="1"/>
  <c r="BG253" i="1" s="1"/>
  <c r="BB268" i="1"/>
  <c r="BC268" i="1" s="1"/>
  <c r="BB264" i="1"/>
  <c r="BC264" i="1" s="1"/>
  <c r="BJ255" i="1"/>
  <c r="BK255" i="1" s="1"/>
  <c r="BK167" i="1"/>
  <c r="BJ251" i="1"/>
  <c r="BK251" i="1" s="1"/>
  <c r="BK166" i="1"/>
  <c r="BJ252" i="1"/>
  <c r="BK252" i="1" s="1"/>
  <c r="BK225" i="1"/>
  <c r="BB266" i="1"/>
  <c r="BC266" i="1" s="1"/>
  <c r="BB262" i="1"/>
  <c r="BC262" i="1" s="1"/>
  <c r="BP258" i="1"/>
  <c r="BR99" i="1"/>
  <c r="BP100" i="1"/>
  <c r="BN282" i="1"/>
  <c r="BN108" i="1"/>
  <c r="BP248" i="1"/>
  <c r="BR224" i="1"/>
  <c r="BL257" i="1"/>
  <c r="BJ283" i="1"/>
  <c r="BJ291" i="1" s="1"/>
  <c r="BJ177" i="1"/>
  <c r="BH265" i="1" l="1"/>
  <c r="BJ269" i="1" s="1"/>
  <c r="BK269" i="1" s="1"/>
  <c r="BL265" i="1"/>
  <c r="BN269" i="1" s="1"/>
  <c r="BO269" i="1" s="1"/>
  <c r="BN238" i="1"/>
  <c r="BJ179" i="1"/>
  <c r="BP261" i="1"/>
  <c r="BP245" i="1"/>
  <c r="BN110" i="1"/>
  <c r="BN179" i="1"/>
  <c r="BB301" i="1"/>
  <c r="BJ110" i="1"/>
  <c r="BJ253" i="1"/>
  <c r="BK253" i="1" s="1"/>
  <c r="BK250" i="1"/>
  <c r="BR260" i="1"/>
  <c r="BS260" i="1" s="1"/>
  <c r="BS227" i="1"/>
  <c r="BR270" i="1"/>
  <c r="BR105" i="1"/>
  <c r="BR252" i="1"/>
  <c r="BS252" i="1" s="1"/>
  <c r="BS225" i="1"/>
  <c r="BN266" i="1"/>
  <c r="BO266" i="1" s="1"/>
  <c r="BN262" i="1"/>
  <c r="BO262" i="1" s="1"/>
  <c r="BR244" i="1"/>
  <c r="BS244" i="1" s="1"/>
  <c r="BR237" i="1" a="1"/>
  <c r="BR237" i="1" s="1"/>
  <c r="BR296" i="1" s="1"/>
  <c r="BS223" i="1"/>
  <c r="BF301" i="1"/>
  <c r="BR256" i="1"/>
  <c r="BS256" i="1" s="1"/>
  <c r="BS226" i="1"/>
  <c r="BR254" i="1"/>
  <c r="BS98" i="1"/>
  <c r="BP257" i="1"/>
  <c r="BJ266" i="1"/>
  <c r="BK266" i="1" s="1"/>
  <c r="BJ262" i="1"/>
  <c r="BK262" i="1" s="1"/>
  <c r="BR259" i="1"/>
  <c r="BS259" i="1" s="1"/>
  <c r="BS168" i="1"/>
  <c r="BP264" i="1"/>
  <c r="BR228" i="1"/>
  <c r="BS228" i="1" s="1"/>
  <c r="BR230" i="1"/>
  <c r="BS230" i="1" s="1"/>
  <c r="BR289" i="1"/>
  <c r="BN253" i="1"/>
  <c r="BO253" i="1" s="1"/>
  <c r="BO250" i="1"/>
  <c r="BR258" i="1"/>
  <c r="BS99" i="1"/>
  <c r="BR272" i="1"/>
  <c r="BR233" i="1"/>
  <c r="BN267" i="1"/>
  <c r="BO267" i="1" s="1"/>
  <c r="BN263" i="1"/>
  <c r="BO263" i="1" s="1"/>
  <c r="BJ285" i="1"/>
  <c r="BJ293" i="1" s="1"/>
  <c r="BJ290" i="1"/>
  <c r="BJ238" i="1"/>
  <c r="BR250" i="1"/>
  <c r="BS97" i="1"/>
  <c r="BR242" i="1"/>
  <c r="BR109" i="1" a="1"/>
  <c r="BR109" i="1" s="1"/>
  <c r="BR294" i="1" s="1"/>
  <c r="BS95" i="1"/>
  <c r="BP263" i="1"/>
  <c r="BR169" i="1"/>
  <c r="BS169" i="1" s="1"/>
  <c r="BR171" i="1"/>
  <c r="BS171" i="1" s="1"/>
  <c r="BR248" i="1"/>
  <c r="BS248" i="1" s="1"/>
  <c r="BS224" i="1"/>
  <c r="BR284" i="1"/>
  <c r="BR292" i="1" s="1"/>
  <c r="BR236" i="1"/>
  <c r="BJ249" i="1"/>
  <c r="BK249" i="1" s="1"/>
  <c r="BK246" i="1"/>
  <c r="BR271" i="1"/>
  <c r="BR174" i="1"/>
  <c r="BN297" i="1"/>
  <c r="BJ280" i="1"/>
  <c r="BJ300" i="1"/>
  <c r="BP253" i="1"/>
  <c r="BR247" i="1"/>
  <c r="BS247" i="1" s="1"/>
  <c r="BS165" i="1"/>
  <c r="BN268" i="1"/>
  <c r="BO268" i="1" s="1"/>
  <c r="BN264" i="1"/>
  <c r="BO264" i="1" s="1"/>
  <c r="BN257" i="1"/>
  <c r="BO257" i="1" s="1"/>
  <c r="BO254" i="1"/>
  <c r="BJ263" i="1"/>
  <c r="BK263" i="1" s="1"/>
  <c r="BJ267" i="1"/>
  <c r="BK267" i="1" s="1"/>
  <c r="BN273" i="1"/>
  <c r="BN281" i="1" s="1"/>
  <c r="BN298" i="1"/>
  <c r="BN278" i="1"/>
  <c r="BJ257" i="1"/>
  <c r="BK257" i="1" s="1"/>
  <c r="BK254" i="1"/>
  <c r="BN299" i="1"/>
  <c r="BN279" i="1"/>
  <c r="BJ268" i="1"/>
  <c r="BK268" i="1" s="1"/>
  <c r="BJ264" i="1"/>
  <c r="BK264" i="1" s="1"/>
  <c r="BJ297" i="1"/>
  <c r="BP262" i="1"/>
  <c r="BR102" i="1"/>
  <c r="BS102" i="1" s="1"/>
  <c r="BR100" i="1"/>
  <c r="BS100" i="1" s="1"/>
  <c r="BN285" i="1"/>
  <c r="BN293" i="1" s="1"/>
  <c r="BN290" i="1"/>
  <c r="BR255" i="1"/>
  <c r="BS255" i="1" s="1"/>
  <c r="BS167" i="1"/>
  <c r="BJ279" i="1"/>
  <c r="BJ299" i="1"/>
  <c r="BR251" i="1"/>
  <c r="BS251" i="1" s="1"/>
  <c r="BS166" i="1"/>
  <c r="BR283" i="1"/>
  <c r="BR291" i="1" s="1"/>
  <c r="BR177" i="1"/>
  <c r="BN245" i="1"/>
  <c r="BO245" i="1" s="1"/>
  <c r="BO242" i="1"/>
  <c r="BN249" i="1"/>
  <c r="BO249" i="1" s="1"/>
  <c r="BO246" i="1"/>
  <c r="BR246" i="1"/>
  <c r="BS96" i="1"/>
  <c r="BR282" i="1"/>
  <c r="BR108" i="1"/>
  <c r="BN261" i="1"/>
  <c r="BO261" i="1" s="1"/>
  <c r="BO258" i="1"/>
  <c r="BJ298" i="1"/>
  <c r="BJ278" i="1"/>
  <c r="BJ273" i="1"/>
  <c r="BJ281" i="1" s="1"/>
  <c r="BK242" i="1"/>
  <c r="BJ245" i="1"/>
  <c r="BK245" i="1" s="1"/>
  <c r="BN280" i="1"/>
  <c r="BN300" i="1"/>
  <c r="BJ261" i="1"/>
  <c r="BK261" i="1" s="1"/>
  <c r="BK258" i="1"/>
  <c r="BP249" i="1"/>
  <c r="BR277" i="1"/>
  <c r="BR243" i="1"/>
  <c r="BS243" i="1" s="1"/>
  <c r="BS164" i="1"/>
  <c r="BR178" i="1" a="1"/>
  <c r="BR178" i="1" s="1"/>
  <c r="BR295" i="1" s="1"/>
  <c r="BJ265" i="1" l="1"/>
  <c r="BK265" i="1" s="1"/>
  <c r="BN265" i="1"/>
  <c r="BO265" i="1" s="1"/>
  <c r="BP265" i="1"/>
  <c r="BR265" i="1" s="1"/>
  <c r="BS265" i="1" s="1"/>
  <c r="BJ301" i="1"/>
  <c r="BR285" i="1"/>
  <c r="BR293" i="1" s="1"/>
  <c r="BR290" i="1"/>
  <c r="BR266" i="1"/>
  <c r="BS266" i="1" s="1"/>
  <c r="BR262" i="1"/>
  <c r="BS262" i="1" s="1"/>
  <c r="BR253" i="1"/>
  <c r="BS253" i="1" s="1"/>
  <c r="BS250" i="1"/>
  <c r="BR245" i="1"/>
  <c r="BS245" i="1" s="1"/>
  <c r="BS242" i="1"/>
  <c r="BN301" i="1"/>
  <c r="BR238" i="1"/>
  <c r="BR300" i="1"/>
  <c r="BR280" i="1"/>
  <c r="BR261" i="1"/>
  <c r="BS261" i="1" s="1"/>
  <c r="BS258" i="1"/>
  <c r="BR268" i="1"/>
  <c r="BS268" i="1" s="1"/>
  <c r="BR264" i="1"/>
  <c r="BS264" i="1" s="1"/>
  <c r="BR257" i="1"/>
  <c r="BS257" i="1" s="1"/>
  <c r="BS254" i="1"/>
  <c r="BR179" i="1"/>
  <c r="BR267" i="1"/>
  <c r="BS267" i="1" s="1"/>
  <c r="BR263" i="1"/>
  <c r="BS263" i="1" s="1"/>
  <c r="BR110" i="1"/>
  <c r="BR249" i="1"/>
  <c r="BS249" i="1" s="1"/>
  <c r="BS246" i="1"/>
  <c r="BR299" i="1"/>
  <c r="BR279" i="1"/>
  <c r="BR273" i="1"/>
  <c r="BR281" i="1" s="1"/>
  <c r="BR298" i="1"/>
  <c r="BR278" i="1"/>
  <c r="BR297" i="1"/>
  <c r="BR269" i="1" l="1"/>
  <c r="BS269" i="1" s="1"/>
  <c r="BR3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thomsoncx</author>
  </authors>
  <commentList>
    <comment ref="H12" authorId="0" shapeId="0" xr:uid="{28B1586B-5F86-45F1-A21C-2F4D724C2217}">
      <text>
        <r>
          <rPr>
            <b/>
            <sz val="9"/>
            <color indexed="81"/>
            <rFont val="Tahoma"/>
            <family val="2"/>
          </rPr>
          <t xml:space="preserve">OLL: </t>
        </r>
        <r>
          <rPr>
            <sz val="9"/>
            <color indexed="81"/>
            <rFont val="Tahoma"/>
            <family val="2"/>
          </rPr>
          <t xml:space="preserve">Enter here
</t>
        </r>
      </text>
    </comment>
    <comment ref="P12" authorId="0" shapeId="0" xr:uid="{675CD920-34E5-4F1D-A3A0-C8C7AF97FD6A}">
      <text>
        <r>
          <rPr>
            <b/>
            <sz val="9"/>
            <color indexed="81"/>
            <rFont val="Tahoma"/>
            <family val="2"/>
          </rPr>
          <t xml:space="preserve">OLL: </t>
        </r>
        <r>
          <rPr>
            <sz val="9"/>
            <color indexed="81"/>
            <rFont val="Tahoma"/>
            <family val="2"/>
          </rPr>
          <t>Overtype here
or let formula get next OLL</t>
        </r>
      </text>
    </comment>
    <comment ref="X12" authorId="0" shapeId="0" xr:uid="{D0DCA02B-F9D2-4894-B779-1BC0FF9871F7}">
      <text>
        <r>
          <rPr>
            <b/>
            <sz val="9"/>
            <color indexed="81"/>
            <rFont val="Tahoma"/>
            <family val="2"/>
          </rPr>
          <t xml:space="preserve">OLL: </t>
        </r>
        <r>
          <rPr>
            <sz val="9"/>
            <color indexed="81"/>
            <rFont val="Tahoma"/>
            <family val="2"/>
          </rPr>
          <t>Overtype here
or let formula get next OLL</t>
        </r>
      </text>
    </comment>
    <comment ref="AF12" authorId="0" shapeId="0" xr:uid="{5BDA32EA-EF8A-40E6-8871-ECE5464C0712}">
      <text>
        <r>
          <rPr>
            <b/>
            <sz val="9"/>
            <color indexed="81"/>
            <rFont val="Tahoma"/>
            <family val="2"/>
          </rPr>
          <t xml:space="preserve">OLL: </t>
        </r>
        <r>
          <rPr>
            <sz val="9"/>
            <color indexed="81"/>
            <rFont val="Tahoma"/>
            <family val="2"/>
          </rPr>
          <t>Overtype here
or let formula get next OLL</t>
        </r>
      </text>
    </comment>
    <comment ref="AN12" authorId="0" shapeId="0" xr:uid="{33A776E4-616D-4CB5-94F6-74C2C2488BD4}">
      <text>
        <r>
          <rPr>
            <b/>
            <sz val="9"/>
            <color indexed="81"/>
            <rFont val="Tahoma"/>
            <family val="2"/>
          </rPr>
          <t xml:space="preserve">OLL: </t>
        </r>
        <r>
          <rPr>
            <sz val="9"/>
            <color indexed="81"/>
            <rFont val="Tahoma"/>
            <family val="2"/>
          </rPr>
          <t>Overtype here
or let formula get next OLL</t>
        </r>
      </text>
    </comment>
    <comment ref="AV12" authorId="0" shapeId="0" xr:uid="{66BA4EF6-1A4C-43D2-9FAA-71FB53D09B6A}">
      <text>
        <r>
          <rPr>
            <b/>
            <sz val="9"/>
            <color indexed="81"/>
            <rFont val="Tahoma"/>
            <family val="2"/>
          </rPr>
          <t xml:space="preserve">OLL: </t>
        </r>
        <r>
          <rPr>
            <sz val="9"/>
            <color indexed="81"/>
            <rFont val="Tahoma"/>
            <family val="2"/>
          </rPr>
          <t>Overtype here
or let formula get next OLL</t>
        </r>
      </text>
    </comment>
    <comment ref="BD12" authorId="0" shapeId="0" xr:uid="{9FB1771D-D7BD-4B48-AA44-9D9853793D2B}">
      <text>
        <r>
          <rPr>
            <b/>
            <sz val="9"/>
            <color indexed="81"/>
            <rFont val="Tahoma"/>
            <family val="2"/>
          </rPr>
          <t xml:space="preserve">OLL: </t>
        </r>
        <r>
          <rPr>
            <sz val="9"/>
            <color indexed="81"/>
            <rFont val="Tahoma"/>
            <family val="2"/>
          </rPr>
          <t>Overtype here
or let formula get next OLL</t>
        </r>
      </text>
    </comment>
    <comment ref="BL12" authorId="0" shapeId="0" xr:uid="{8672FAC7-6499-4C81-BD40-E167B3976DB0}">
      <text>
        <r>
          <rPr>
            <b/>
            <sz val="9"/>
            <color indexed="81"/>
            <rFont val="Tahoma"/>
            <family val="2"/>
          </rPr>
          <t xml:space="preserve">OLL: </t>
        </r>
        <r>
          <rPr>
            <sz val="9"/>
            <color indexed="81"/>
            <rFont val="Tahoma"/>
            <family val="2"/>
          </rPr>
          <t>Overtype here
or let formula get next OLL</t>
        </r>
      </text>
    </comment>
  </commentList>
</comments>
</file>

<file path=xl/sharedStrings.xml><?xml version="1.0" encoding="utf-8"?>
<sst xmlns="http://schemas.openxmlformats.org/spreadsheetml/2006/main" count="2852" uniqueCount="170">
  <si>
    <t>To Layer Change</t>
  </si>
  <si>
    <t>Remember to group rows/columns</t>
  </si>
  <si>
    <t>using [1] buttons near cell A1 to finish exhibit</t>
  </si>
  <si>
    <t>Keep !</t>
  </si>
  <si>
    <t>Either</t>
  </si>
  <si>
    <t>Both</t>
  </si>
  <si>
    <t>Written</t>
  </si>
  <si>
    <t>Row Check</t>
  </si>
  <si>
    <t>Count</t>
  </si>
  <si>
    <t>Event</t>
  </si>
  <si>
    <t>Schedule</t>
  </si>
  <si>
    <t>change</t>
  </si>
  <si>
    <t>Δ</t>
  </si>
  <si>
    <t>●</t>
  </si>
  <si>
    <t>spacer</t>
  </si>
  <si>
    <t>Summary</t>
  </si>
  <si>
    <t>Total</t>
  </si>
  <si>
    <t>A</t>
  </si>
  <si>
    <t>Max</t>
  </si>
  <si>
    <t>Hide one Min</t>
  </si>
  <si>
    <t>Min</t>
  </si>
  <si>
    <t>Note: Array formula ►</t>
  </si>
  <si>
    <t>Min (&gt;0)</t>
  </si>
  <si>
    <t>Count (&gt;0)</t>
  </si>
  <si>
    <t>Average</t>
  </si>
  <si>
    <t>Average Market Share</t>
  </si>
  <si>
    <t>Change in average (%)</t>
  </si>
  <si>
    <t>#▲ Number Increased</t>
  </si>
  <si>
    <t>Σ▲ Total Increased</t>
  </si>
  <si>
    <t>Χ▲ Average Increased</t>
  </si>
  <si>
    <t>#▼ Number Decreased</t>
  </si>
  <si>
    <t>Σ▼ Total Decreased</t>
  </si>
  <si>
    <t>Χ▼ Average Decreased</t>
  </si>
  <si>
    <t>#&gt;&lt; Number Unchanged</t>
  </si>
  <si>
    <t>Σ# Total Number</t>
  </si>
  <si>
    <t>End A</t>
  </si>
  <si>
    <t>B</t>
  </si>
  <si>
    <t>End B</t>
  </si>
  <si>
    <t>C</t>
  </si>
  <si>
    <t>End C</t>
  </si>
  <si>
    <t>Start Summary</t>
  </si>
  <si>
    <t>All</t>
  </si>
  <si>
    <t>notes</t>
  </si>
  <si>
    <t>Currency: USD</t>
  </si>
  <si>
    <t>Atrium Consortium 100%</t>
  </si>
  <si>
    <t>Hull &amp; Liability Exposure (Gross)</t>
  </si>
  <si>
    <t>Based on projected aggregate figures</t>
  </si>
  <si>
    <t>100% Aggregates - Aggregates capped at limits of original policies</t>
  </si>
  <si>
    <t>Above aggregates based on Schedules A, B, C only.  Retro exposure included in the above.</t>
  </si>
  <si>
    <t>These aggregates have been developed with the most recent information available for each cedant, and are subject to change.</t>
  </si>
  <si>
    <t/>
  </si>
  <si>
    <t>Also, the aggregates have been developed with interpolation in some cases.</t>
  </si>
  <si>
    <t>This information should not be considered as binding in any way, regarding any future losses submitted by the Reinsured.</t>
  </si>
  <si>
    <t>Based on projected aggregate figures at:</t>
  </si>
  <si>
    <t>blank</t>
  </si>
  <si>
    <t>Aegean Airlines</t>
  </si>
  <si>
    <t>Aeroflot</t>
  </si>
  <si>
    <t>Aerolineas Argentinas</t>
  </si>
  <si>
    <t>Aeromexico</t>
  </si>
  <si>
    <t>Air Algerie</t>
  </si>
  <si>
    <t>Air Asia</t>
  </si>
  <si>
    <t>Air Canada</t>
  </si>
  <si>
    <t>Air France</t>
  </si>
  <si>
    <t>Air India Limited</t>
  </si>
  <si>
    <t>Air New Zealand</t>
  </si>
  <si>
    <t>Air Transat</t>
  </si>
  <si>
    <t>All Nippon Airways</t>
  </si>
  <si>
    <t>Asiana Airlines</t>
  </si>
  <si>
    <t>Avianca Taca Holdings</t>
  </si>
  <si>
    <t>Azul Linhas Aereas</t>
  </si>
  <si>
    <t>British Airways</t>
  </si>
  <si>
    <t>CAAC</t>
  </si>
  <si>
    <t>Cathay Pacific</t>
  </si>
  <si>
    <t>China Airlines (Taiwan)</t>
  </si>
  <si>
    <t>China Hainan Airlines</t>
  </si>
  <si>
    <t>DHL International</t>
  </si>
  <si>
    <t>Dragonair</t>
  </si>
  <si>
    <t>easyJet</t>
  </si>
  <si>
    <t>Egypt Air</t>
  </si>
  <si>
    <t>El Al Israel Airlines</t>
  </si>
  <si>
    <t>Emirates</t>
  </si>
  <si>
    <t>Ethiopian Airlines</t>
  </si>
  <si>
    <t>Etihad Airways</t>
  </si>
  <si>
    <t>Eva Airways Corp</t>
  </si>
  <si>
    <t>FIN Group</t>
  </si>
  <si>
    <t>Garuda Indonesia</t>
  </si>
  <si>
    <t>Gol Transportes Aeroeo</t>
  </si>
  <si>
    <t>Gulf Air</t>
  </si>
  <si>
    <t>Japan Airlines Corp</t>
  </si>
  <si>
    <t>Jet Airways (India)</t>
  </si>
  <si>
    <t>Korean Air Lines</t>
  </si>
  <si>
    <t>Kuwait Airways</t>
  </si>
  <si>
    <t>Lufthansa A</t>
  </si>
  <si>
    <t>Lufthansa B</t>
  </si>
  <si>
    <t>Lufthansa C</t>
  </si>
  <si>
    <t>Malaysian Airlines System</t>
  </si>
  <si>
    <t>Oman Air</t>
  </si>
  <si>
    <t>Pakistan International Airlines Corp</t>
  </si>
  <si>
    <t>Philippine Airlines</t>
  </si>
  <si>
    <t>PT Lion Mentari</t>
  </si>
  <si>
    <t>Qantas Airways</t>
  </si>
  <si>
    <t>Qatar Airways</t>
  </si>
  <si>
    <t>Royal Air Maroc</t>
  </si>
  <si>
    <t>Royal Jordanian</t>
  </si>
  <si>
    <t>Ryanair</t>
  </si>
  <si>
    <t>SAS</t>
  </si>
  <si>
    <t>Saudi Arabian Airlines</t>
  </si>
  <si>
    <t>Singapore Airlines</t>
  </si>
  <si>
    <t>South African Airways</t>
  </si>
  <si>
    <t>TAP</t>
  </si>
  <si>
    <t>Thai Airways International</t>
  </si>
  <si>
    <t>TUI AG</t>
  </si>
  <si>
    <t>Tunis Air</t>
  </si>
  <si>
    <t>Vietnam Airlines</t>
  </si>
  <si>
    <t>Virgin Atlantic Airways</t>
  </si>
  <si>
    <t>Virgin Blue</t>
  </si>
  <si>
    <t>Westjet Airlines</t>
  </si>
  <si>
    <t>Alaska Air Group</t>
  </si>
  <si>
    <t>American Airlines</t>
  </si>
  <si>
    <t>Delta Air Lines</t>
  </si>
  <si>
    <t>Fedex Corp</t>
  </si>
  <si>
    <t>Hawaiian Airlines</t>
  </si>
  <si>
    <t>Jetblue Airways Corp</t>
  </si>
  <si>
    <t>Mesa Air Group</t>
  </si>
  <si>
    <t>Republic Airways</t>
  </si>
  <si>
    <t>SkyWest Airlines</t>
  </si>
  <si>
    <t>Southwest Airlines Company</t>
  </si>
  <si>
    <t>Spirit Airlines</t>
  </si>
  <si>
    <t>Trans State Holdings</t>
  </si>
  <si>
    <t>United Continental Holdings</t>
  </si>
  <si>
    <t>United Parcel Service</t>
  </si>
  <si>
    <t>Airbus Group N.V.</t>
  </si>
  <si>
    <t>BAE Systems</t>
  </si>
  <si>
    <t>Boeing/MDC</t>
  </si>
  <si>
    <t>Bombardier/Canadair/Learjet</t>
  </si>
  <si>
    <t>Dassault Aviation</t>
  </si>
  <si>
    <t>Embraer</t>
  </si>
  <si>
    <t>Finmeccanica</t>
  </si>
  <si>
    <t>General Dynamics/Gulfstream</t>
  </si>
  <si>
    <t>General Electric/Gecas</t>
  </si>
  <si>
    <t>Honeywell</t>
  </si>
  <si>
    <t>Israel Aircraft Industrie</t>
  </si>
  <si>
    <t>L3 Communications</t>
  </si>
  <si>
    <t>Lockheed Martin Corp</t>
  </si>
  <si>
    <t>Northrop Grumman Corp</t>
  </si>
  <si>
    <t>Parker Hannifin Corp</t>
  </si>
  <si>
    <t>Raytheon Company</t>
  </si>
  <si>
    <t>Rockwell Collins</t>
  </si>
  <si>
    <t>Rolls Royce</t>
  </si>
  <si>
    <t>Safran</t>
  </si>
  <si>
    <t>Textron</t>
  </si>
  <si>
    <t>Thales</t>
  </si>
  <si>
    <t>United Technologies</t>
  </si>
  <si>
    <t>USD185,000,000 xs USD15,000,000</t>
  </si>
  <si>
    <t xml:space="preserve"> ▼ Use filter in row 12 and untick '0' to only show required rows ▼</t>
  </si>
  <si>
    <t>2020 OR 2021</t>
  </si>
  <si>
    <t>2020 AND 2021</t>
  </si>
  <si>
    <t>Either
Written
Count</t>
  </si>
  <si>
    <t>Both
Written
Count</t>
  </si>
  <si>
    <t>23Oct2020
Written
Count</t>
  </si>
  <si>
    <t>27Oct2021
Written
Count</t>
  </si>
  <si>
    <t>27Oct2021
250,000,000</t>
  </si>
  <si>
    <t>27Oct2021
500,000,000</t>
  </si>
  <si>
    <t>27Oct2021
750,000,000</t>
  </si>
  <si>
    <t>27Oct2021
1,000,000,000</t>
  </si>
  <si>
    <t>27Oct2021
1,500,000,000</t>
  </si>
  <si>
    <t>27Oct2021
2,000,000,000</t>
  </si>
  <si>
    <t>27Oct2021
2,500,000,000</t>
  </si>
  <si>
    <t>27Oct2021
3,000,000,000</t>
  </si>
  <si>
    <t>27Oct2021
3,000,000,000
185,000,000 xs 15,000,000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</si>
</sst>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#,##0_);[Red]\(#,##0\);_(0_);_(@_)"/>
    <numFmt numFmtId="165" formatCode="d\ mmmm\ yyyy"/>
    <numFmt numFmtId="166" formatCode="&quot;xs &quot;_(#,##0_);\(#,##0\);_(#,##0_);* @_)"/>
    <numFmt numFmtId="167" formatCode="&quot;@&quot;\ dd\ mmm_)"/>
    <numFmt numFmtId="168" formatCode="yyyy_)"/>
    <numFmt numFmtId="169" formatCode="_(#,##0,,&quot;m&quot;_);\(#,##0,,&quot;m&quot;\);_(&quot;USD &quot;0,,&quot;m&quot;_);_(@_)"/>
    <numFmt numFmtId="170" formatCode="_(#,##0_);\(#,##0\);_(#,##0_);* @_)"/>
    <numFmt numFmtId="171" formatCode="[Blue]&quot;▲&quot;;[Red]&quot;▼&quot;;[Green]&quot;&gt;&lt;&quot;;@"/>
    <numFmt numFmtId="172" formatCode="0.000%"/>
    <numFmt numFmtId="173" formatCode="_(0.00%_);[Red]\(0.00%\);_(0.00%_);_(* @_)"/>
    <numFmt numFmtId="174" formatCode=";;;_(@"/>
  </numFmts>
  <fonts count="36" x14ac:knownFonts="1"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MS Sans Serif"/>
      <family val="2"/>
    </font>
    <font>
      <sz val="10"/>
      <name val="Arial"/>
      <family val="2"/>
      <scheme val="minor"/>
    </font>
    <font>
      <b/>
      <sz val="10"/>
      <color theme="1" tint="0.499984740745262"/>
      <name val="Arial"/>
      <family val="2"/>
      <scheme val="minor"/>
    </font>
    <font>
      <sz val="8"/>
      <color indexed="72"/>
      <name val="Arial"/>
      <family val="2"/>
    </font>
    <font>
      <sz val="10"/>
      <color theme="0"/>
      <name val="Arial"/>
      <family val="2"/>
      <scheme val="minor"/>
    </font>
    <font>
      <sz val="10"/>
      <name val="Arial"/>
      <family val="2"/>
    </font>
    <font>
      <sz val="12"/>
      <color theme="4"/>
      <name val="Arial"/>
      <family val="2"/>
      <scheme val="minor"/>
    </font>
    <font>
      <sz val="9"/>
      <name val="Arial"/>
      <family val="2"/>
      <scheme val="minor"/>
    </font>
    <font>
      <sz val="8"/>
      <color indexed="72"/>
      <name val="Arial"/>
      <family val="2"/>
      <scheme val="minor"/>
    </font>
    <font>
      <sz val="14"/>
      <color theme="4"/>
      <name val="Arial"/>
      <family val="2"/>
      <scheme val="minor"/>
    </font>
    <font>
      <sz val="14"/>
      <color rgb="FFC00000"/>
      <name val="Arial"/>
      <family val="2"/>
      <scheme val="minor"/>
    </font>
    <font>
      <sz val="14"/>
      <name val="Arial"/>
      <family val="2"/>
      <scheme val="minor"/>
    </font>
    <font>
      <sz val="14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sz val="10"/>
      <color theme="1" tint="0.34998626667073579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sz val="2"/>
      <color indexed="9"/>
      <name val="Arial"/>
      <family val="2"/>
    </font>
    <font>
      <sz val="2"/>
      <name val="Arial"/>
      <family val="2"/>
    </font>
    <font>
      <sz val="2"/>
      <color theme="0"/>
      <name val="Arial"/>
      <family val="2"/>
    </font>
    <font>
      <sz val="8"/>
      <color indexed="9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9"/>
      <color rgb="FF0070C0"/>
      <name val="Arial"/>
      <family val="2"/>
    </font>
    <font>
      <sz val="10"/>
      <color indexed="9"/>
      <name val="Arial"/>
      <family val="2"/>
    </font>
    <font>
      <b/>
      <sz val="10"/>
      <color indexed="62"/>
      <name val="Arial"/>
      <family val="2"/>
    </font>
    <font>
      <b/>
      <sz val="10"/>
      <color theme="4"/>
      <name val="Arial"/>
      <family val="2"/>
    </font>
    <font>
      <b/>
      <sz val="8"/>
      <color indexed="9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medium">
        <color theme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1"/>
      </bottom>
      <diagonal/>
    </border>
    <border>
      <left/>
      <right/>
      <top style="thin">
        <color theme="9" tint="0.39994506668294322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8" fillId="0" borderId="0"/>
  </cellStyleXfs>
  <cellXfs count="161">
    <xf numFmtId="0" fontId="0" fillId="0" borderId="0" xfId="0"/>
    <xf numFmtId="0" fontId="4" fillId="2" borderId="0" xfId="1" applyFont="1" applyFill="1" applyAlignment="1">
      <alignment horizontal="left" vertical="center"/>
    </xf>
    <xf numFmtId="164" fontId="5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3" fontId="4" fillId="0" borderId="0" xfId="1" applyNumberFormat="1" applyFont="1" applyAlignment="1">
      <alignment horizontal="centerContinuous" vertical="center"/>
    </xf>
    <xf numFmtId="0" fontId="4" fillId="0" borderId="0" xfId="2" applyFont="1" applyAlignment="1">
      <alignment vertical="center"/>
    </xf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9" fillId="2" borderId="0" xfId="1" applyFont="1" applyFill="1" applyAlignment="1">
      <alignment horizontal="left" vertical="center"/>
    </xf>
    <xf numFmtId="164" fontId="9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3" fontId="9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0" fontId="9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164" fontId="10" fillId="0" borderId="0" xfId="1" applyNumberFormat="1" applyFont="1" applyAlignment="1">
      <alignment horizontal="left" vertical="center"/>
    </xf>
    <xf numFmtId="0" fontId="11" fillId="0" borderId="0" xfId="2" applyFont="1" applyAlignment="1">
      <alignment vertical="center"/>
    </xf>
    <xf numFmtId="165" fontId="12" fillId="2" borderId="0" xfId="1" applyNumberFormat="1" applyFont="1" applyFill="1" applyAlignment="1">
      <alignment horizontal="left" vertical="center"/>
    </xf>
    <xf numFmtId="164" fontId="12" fillId="0" borderId="0" xfId="1" applyNumberFormat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3" fontId="12" fillId="0" borderId="0" xfId="1" applyNumberFormat="1" applyFont="1" applyAlignment="1">
      <alignment horizontal="centerContinuous" vertical="center"/>
    </xf>
    <xf numFmtId="0" fontId="12" fillId="0" borderId="0" xfId="2" applyFont="1" applyAlignment="1">
      <alignment vertical="center"/>
    </xf>
    <xf numFmtId="0" fontId="12" fillId="0" borderId="0" xfId="1" applyFont="1" applyAlignment="1">
      <alignment vertical="center"/>
    </xf>
    <xf numFmtId="165" fontId="13" fillId="2" borderId="0" xfId="1" applyNumberFormat="1" applyFont="1" applyFill="1" applyAlignment="1">
      <alignment horizontal="left" vertical="center"/>
    </xf>
    <xf numFmtId="165" fontId="10" fillId="2" borderId="0" xfId="1" applyNumberFormat="1" applyFont="1" applyFill="1" applyAlignment="1">
      <alignment horizontal="right" vertical="center"/>
    </xf>
    <xf numFmtId="0" fontId="14" fillId="0" borderId="0" xfId="1" applyFont="1" applyAlignment="1">
      <alignment horizontal="center" vertical="center"/>
    </xf>
    <xf numFmtId="3" fontId="14" fillId="0" borderId="0" xfId="1" applyNumberFormat="1" applyFont="1" applyAlignment="1">
      <alignment horizontal="centerContinuous" vertical="center"/>
    </xf>
    <xf numFmtId="0" fontId="15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right" vertical="center"/>
    </xf>
    <xf numFmtId="164" fontId="10" fillId="0" borderId="0" xfId="1" applyNumberFormat="1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3" fontId="10" fillId="0" borderId="0" xfId="1" applyNumberFormat="1" applyFont="1" applyAlignment="1">
      <alignment vertical="center"/>
    </xf>
    <xf numFmtId="0" fontId="16" fillId="0" borderId="0" xfId="1" applyFont="1" applyAlignment="1">
      <alignment vertical="center"/>
    </xf>
    <xf numFmtId="0" fontId="8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right" vertical="center"/>
    </xf>
    <xf numFmtId="164" fontId="8" fillId="0" borderId="0" xfId="1" applyNumberFormat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3" fontId="1" fillId="3" borderId="1" xfId="1" applyNumberFormat="1" applyFont="1" applyFill="1" applyBorder="1" applyAlignment="1">
      <alignment horizontal="centerContinuous" vertical="center"/>
    </xf>
    <xf numFmtId="3" fontId="2" fillId="3" borderId="0" xfId="1" applyNumberFormat="1" applyFont="1" applyFill="1" applyAlignment="1">
      <alignment horizontal="centerContinuous" vertical="center"/>
    </xf>
    <xf numFmtId="0" fontId="2" fillId="3" borderId="2" xfId="1" applyFont="1" applyFill="1" applyBorder="1" applyAlignment="1">
      <alignment horizontal="centerContinuous" vertical="center"/>
    </xf>
    <xf numFmtId="3" fontId="17" fillId="3" borderId="1" xfId="1" applyNumberFormat="1" applyFont="1" applyFill="1" applyBorder="1" applyAlignment="1">
      <alignment horizontal="right" vertical="center"/>
    </xf>
    <xf numFmtId="3" fontId="1" fillId="3" borderId="0" xfId="1" applyNumberFormat="1" applyFont="1" applyFill="1" applyAlignment="1">
      <alignment horizontal="right" vertical="center"/>
    </xf>
    <xf numFmtId="3" fontId="1" fillId="3" borderId="0" xfId="1" applyNumberFormat="1" applyFont="1" applyFill="1" applyAlignment="1">
      <alignment horizontal="centerContinuous" vertical="center"/>
    </xf>
    <xf numFmtId="0" fontId="1" fillId="3" borderId="2" xfId="1" applyFont="1" applyFill="1" applyBorder="1" applyAlignment="1">
      <alignment horizontal="centerContinuous" vertical="center"/>
    </xf>
    <xf numFmtId="0" fontId="2" fillId="0" borderId="0" xfId="1" applyFont="1" applyAlignment="1">
      <alignment vertical="center"/>
    </xf>
    <xf numFmtId="0" fontId="8" fillId="2" borderId="0" xfId="1" applyFont="1" applyFill="1" applyAlignment="1">
      <alignment vertical="center" wrapText="1"/>
    </xf>
    <xf numFmtId="164" fontId="8" fillId="0" borderId="0" xfId="1" applyNumberFormat="1" applyFont="1" applyAlignment="1">
      <alignment vertical="center"/>
    </xf>
    <xf numFmtId="166" fontId="17" fillId="3" borderId="1" xfId="1" applyNumberFormat="1" applyFont="1" applyFill="1" applyBorder="1" applyAlignment="1">
      <alignment horizontal="right" vertical="center"/>
    </xf>
    <xf numFmtId="166" fontId="1" fillId="3" borderId="0" xfId="1" applyNumberFormat="1" applyFont="1" applyFill="1" applyAlignment="1">
      <alignment horizontal="right" vertical="center"/>
    </xf>
    <xf numFmtId="167" fontId="18" fillId="4" borderId="3" xfId="1" quotePrefix="1" applyNumberFormat="1" applyFont="1" applyFill="1" applyBorder="1" applyAlignment="1">
      <alignment horizontal="right" vertical="center"/>
    </xf>
    <xf numFmtId="164" fontId="18" fillId="4" borderId="0" xfId="1" applyNumberFormat="1" applyFont="1" applyFill="1" applyAlignment="1">
      <alignment vertical="center"/>
    </xf>
    <xf numFmtId="0" fontId="18" fillId="4" borderId="0" xfId="1" applyFont="1" applyFill="1" applyAlignment="1">
      <alignment horizontal="center" vertical="center"/>
    </xf>
    <xf numFmtId="167" fontId="18" fillId="4" borderId="1" xfId="1" quotePrefix="1" applyNumberFormat="1" applyFont="1" applyFill="1" applyBorder="1" applyAlignment="1">
      <alignment horizontal="right" vertical="center"/>
    </xf>
    <xf numFmtId="167" fontId="18" fillId="4" borderId="0" xfId="1" quotePrefix="1" applyNumberFormat="1" applyFont="1" applyFill="1" applyAlignment="1">
      <alignment horizontal="right" vertical="center"/>
    </xf>
    <xf numFmtId="3" fontId="18" fillId="4" borderId="0" xfId="1" applyNumberFormat="1" applyFont="1" applyFill="1" applyAlignment="1">
      <alignment horizontal="center" vertical="center"/>
    </xf>
    <xf numFmtId="0" fontId="18" fillId="4" borderId="2" xfId="1" applyFont="1" applyFill="1" applyBorder="1" applyAlignment="1">
      <alignment horizontal="centerContinuous" vertical="center" wrapText="1"/>
    </xf>
    <xf numFmtId="168" fontId="18" fillId="4" borderId="3" xfId="1" quotePrefix="1" applyNumberFormat="1" applyFont="1" applyFill="1" applyBorder="1" applyAlignment="1">
      <alignment horizontal="right" vertical="center"/>
    </xf>
    <xf numFmtId="168" fontId="18" fillId="4" borderId="1" xfId="1" quotePrefix="1" applyNumberFormat="1" applyFont="1" applyFill="1" applyBorder="1" applyAlignment="1">
      <alignment horizontal="right" vertical="center"/>
    </xf>
    <xf numFmtId="168" fontId="18" fillId="4" borderId="0" xfId="1" quotePrefix="1" applyNumberFormat="1" applyFont="1" applyFill="1" applyAlignment="1">
      <alignment horizontal="right" vertical="center"/>
    </xf>
    <xf numFmtId="164" fontId="18" fillId="4" borderId="0" xfId="1" applyNumberFormat="1" applyFont="1" applyFill="1" applyAlignment="1">
      <alignment horizontal="right" vertical="center"/>
    </xf>
    <xf numFmtId="0" fontId="18" fillId="4" borderId="2" xfId="1" applyFont="1" applyFill="1" applyBorder="1" applyAlignment="1">
      <alignment horizontal="center" vertical="center"/>
    </xf>
    <xf numFmtId="164" fontId="19" fillId="5" borderId="0" xfId="1" applyNumberFormat="1" applyFont="1" applyFill="1" applyAlignment="1">
      <alignment horizontal="right" vertical="center"/>
    </xf>
    <xf numFmtId="164" fontId="19" fillId="5" borderId="0" xfId="1" applyNumberFormat="1" applyFont="1" applyFill="1" applyAlignment="1">
      <alignment vertical="center"/>
    </xf>
    <xf numFmtId="0" fontId="19" fillId="5" borderId="0" xfId="1" applyFont="1" applyFill="1" applyAlignment="1">
      <alignment horizontal="center" vertical="center"/>
    </xf>
    <xf numFmtId="1" fontId="19" fillId="5" borderId="1" xfId="1" applyNumberFormat="1" applyFont="1" applyFill="1" applyBorder="1" applyAlignment="1">
      <alignment horizontal="center" vertical="center"/>
    </xf>
    <xf numFmtId="1" fontId="19" fillId="5" borderId="0" xfId="1" applyNumberFormat="1" applyFont="1" applyFill="1" applyAlignment="1">
      <alignment horizontal="center" vertical="center"/>
    </xf>
    <xf numFmtId="3" fontId="19" fillId="5" borderId="0" xfId="1" applyNumberFormat="1" applyFont="1" applyFill="1" applyAlignment="1">
      <alignment vertical="center"/>
    </xf>
    <xf numFmtId="0" fontId="19" fillId="5" borderId="2" xfId="1" applyFont="1" applyFill="1" applyBorder="1" applyAlignment="1">
      <alignment horizontal="center" vertical="center"/>
    </xf>
    <xf numFmtId="0" fontId="20" fillId="6" borderId="0" xfId="1" applyFont="1" applyFill="1" applyAlignment="1">
      <alignment vertical="center"/>
    </xf>
    <xf numFmtId="0" fontId="20" fillId="6" borderId="0" xfId="1" applyFont="1" applyFill="1" applyAlignment="1">
      <alignment horizontal="right" vertical="center"/>
    </xf>
    <xf numFmtId="164" fontId="20" fillId="6" borderId="0" xfId="1" applyNumberFormat="1" applyFont="1" applyFill="1" applyAlignment="1">
      <alignment horizontal="right" vertical="center"/>
    </xf>
    <xf numFmtId="164" fontId="20" fillId="6" borderId="0" xfId="1" applyNumberFormat="1" applyFont="1" applyFill="1" applyAlignment="1">
      <alignment vertical="center"/>
    </xf>
    <xf numFmtId="0" fontId="20" fillId="6" borderId="0" xfId="1" applyFont="1" applyFill="1" applyAlignment="1">
      <alignment horizontal="center" vertical="center"/>
    </xf>
    <xf numFmtId="169" fontId="20" fillId="6" borderId="1" xfId="1" applyNumberFormat="1" applyFont="1" applyFill="1" applyBorder="1" applyAlignment="1">
      <alignment horizontal="right" vertical="center"/>
    </xf>
    <xf numFmtId="169" fontId="20" fillId="6" borderId="0" xfId="1" applyNumberFormat="1" applyFont="1" applyFill="1" applyAlignment="1">
      <alignment horizontal="right" vertical="center"/>
    </xf>
    <xf numFmtId="0" fontId="20" fillId="6" borderId="2" xfId="1" applyFont="1" applyFill="1" applyBorder="1" applyAlignment="1">
      <alignment horizontal="center" vertical="center"/>
    </xf>
    <xf numFmtId="0" fontId="19" fillId="7" borderId="0" xfId="1" applyFont="1" applyFill="1" applyAlignment="1">
      <alignment vertical="center" wrapText="1"/>
    </xf>
    <xf numFmtId="0" fontId="19" fillId="7" borderId="0" xfId="1" applyFont="1" applyFill="1" applyAlignment="1">
      <alignment horizontal="right" vertical="center" wrapText="1"/>
    </xf>
    <xf numFmtId="164" fontId="19" fillId="7" borderId="0" xfId="1" applyNumberFormat="1" applyFont="1" applyFill="1" applyAlignment="1">
      <alignment horizontal="right" vertical="center" wrapText="1"/>
    </xf>
    <xf numFmtId="164" fontId="19" fillId="7" borderId="0" xfId="1" applyNumberFormat="1" applyFont="1" applyFill="1" applyAlignment="1">
      <alignment vertical="center" wrapText="1"/>
    </xf>
    <xf numFmtId="164" fontId="19" fillId="7" borderId="0" xfId="1" applyNumberFormat="1" applyFont="1" applyFill="1" applyAlignment="1">
      <alignment horizontal="center" vertical="center" wrapText="1"/>
    </xf>
    <xf numFmtId="3" fontId="19" fillId="7" borderId="0" xfId="1" applyNumberFormat="1" applyFont="1" applyFill="1" applyAlignment="1">
      <alignment horizontal="center" vertical="center" wrapText="1"/>
    </xf>
    <xf numFmtId="0" fontId="21" fillId="0" borderId="0" xfId="1" applyFont="1" applyAlignment="1">
      <alignment vertical="center" wrapText="1"/>
    </xf>
    <xf numFmtId="0" fontId="8" fillId="0" borderId="4" xfId="3" quotePrefix="1" applyBorder="1" applyAlignment="1">
      <alignment vertical="center"/>
    </xf>
    <xf numFmtId="164" fontId="8" fillId="0" borderId="4" xfId="1" applyNumberFormat="1" applyFont="1" applyBorder="1" applyAlignment="1">
      <alignment vertical="center"/>
    </xf>
    <xf numFmtId="170" fontId="8" fillId="0" borderId="0" xfId="1" applyNumberFormat="1" applyFont="1" applyAlignment="1">
      <alignment vertical="center"/>
    </xf>
    <xf numFmtId="171" fontId="8" fillId="0" borderId="0" xfId="1" applyNumberFormat="1" applyFont="1" applyAlignment="1">
      <alignment horizontal="center" vertical="center"/>
    </xf>
    <xf numFmtId="0" fontId="8" fillId="0" borderId="5" xfId="3" quotePrefix="1" applyBorder="1" applyAlignment="1">
      <alignment vertical="center"/>
    </xf>
    <xf numFmtId="164" fontId="8" fillId="0" borderId="5" xfId="1" applyNumberFormat="1" applyFont="1" applyBorder="1" applyAlignment="1">
      <alignment vertical="center"/>
    </xf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164" fontId="23" fillId="0" borderId="0" xfId="1" applyNumberFormat="1" applyFont="1" applyAlignment="1">
      <alignment vertical="center"/>
    </xf>
    <xf numFmtId="0" fontId="23" fillId="0" borderId="0" xfId="1" applyFont="1" applyAlignment="1">
      <alignment horizontal="center" vertical="center"/>
    </xf>
    <xf numFmtId="170" fontId="23" fillId="0" borderId="0" xfId="1" applyNumberFormat="1" applyFont="1" applyAlignment="1">
      <alignment vertical="center"/>
    </xf>
    <xf numFmtId="171" fontId="23" fillId="0" borderId="0" xfId="1" applyNumberFormat="1" applyFont="1" applyAlignment="1">
      <alignment horizontal="center" vertical="center"/>
    </xf>
    <xf numFmtId="0" fontId="24" fillId="0" borderId="0" xfId="1" applyFont="1" applyAlignment="1">
      <alignment vertical="center"/>
    </xf>
    <xf numFmtId="0" fontId="25" fillId="0" borderId="0" xfId="1" applyFont="1" applyAlignment="1">
      <alignment horizontal="right" vertical="center"/>
    </xf>
    <xf numFmtId="164" fontId="8" fillId="0" borderId="6" xfId="1" applyNumberFormat="1" applyFont="1" applyBorder="1" applyAlignment="1">
      <alignment vertical="center"/>
    </xf>
    <xf numFmtId="0" fontId="8" fillId="0" borderId="6" xfId="1" applyFont="1" applyBorder="1" applyAlignment="1">
      <alignment horizontal="center" vertical="center"/>
    </xf>
    <xf numFmtId="171" fontId="8" fillId="0" borderId="6" xfId="1" applyNumberFormat="1" applyFont="1" applyBorder="1" applyAlignment="1">
      <alignment horizontal="center" vertical="center"/>
    </xf>
    <xf numFmtId="164" fontId="8" fillId="0" borderId="7" xfId="1" applyNumberFormat="1" applyFont="1" applyBorder="1" applyAlignment="1">
      <alignment vertical="center"/>
    </xf>
    <xf numFmtId="0" fontId="8" fillId="0" borderId="7" xfId="1" applyFont="1" applyBorder="1" applyAlignment="1">
      <alignment horizontal="center" vertical="center"/>
    </xf>
    <xf numFmtId="171" fontId="8" fillId="0" borderId="7" xfId="1" applyNumberFormat="1" applyFont="1" applyBorder="1" applyAlignment="1">
      <alignment horizontal="center" vertical="center"/>
    </xf>
    <xf numFmtId="0" fontId="26" fillId="8" borderId="0" xfId="1" applyFont="1" applyFill="1" applyAlignment="1">
      <alignment vertical="center"/>
    </xf>
    <xf numFmtId="164" fontId="27" fillId="0" borderId="7" xfId="1" applyNumberFormat="1" applyFont="1" applyBorder="1" applyAlignment="1">
      <alignment horizontal="right" vertical="center"/>
    </xf>
    <xf numFmtId="0" fontId="19" fillId="0" borderId="0" xfId="1" applyFont="1" applyAlignment="1">
      <alignment horizontal="right" vertical="center"/>
    </xf>
    <xf numFmtId="164" fontId="8" fillId="0" borderId="7" xfId="2" applyNumberFormat="1" applyFont="1" applyBorder="1" applyAlignment="1">
      <alignment vertical="center"/>
    </xf>
    <xf numFmtId="164" fontId="8" fillId="9" borderId="7" xfId="1" applyNumberFormat="1" applyFont="1" applyFill="1" applyBorder="1" applyAlignment="1">
      <alignment vertical="center"/>
    </xf>
    <xf numFmtId="0" fontId="8" fillId="9" borderId="7" xfId="1" applyFont="1" applyFill="1" applyBorder="1" applyAlignment="1">
      <alignment horizontal="center" vertical="center"/>
    </xf>
    <xf numFmtId="171" fontId="8" fillId="9" borderId="7" xfId="1" applyNumberFormat="1" applyFont="1" applyFill="1" applyBorder="1" applyAlignment="1">
      <alignment horizontal="center" vertical="center"/>
    </xf>
    <xf numFmtId="164" fontId="8" fillId="0" borderId="8" xfId="1" applyNumberFormat="1" applyFont="1" applyBorder="1" applyAlignment="1">
      <alignment vertical="center"/>
    </xf>
    <xf numFmtId="0" fontId="8" fillId="0" borderId="8" xfId="1" applyFont="1" applyBorder="1" applyAlignment="1">
      <alignment horizontal="center" vertical="center"/>
    </xf>
    <xf numFmtId="172" fontId="28" fillId="0" borderId="8" xfId="1" applyNumberFormat="1" applyFont="1" applyBorder="1" applyAlignment="1">
      <alignment vertical="center"/>
    </xf>
    <xf numFmtId="173" fontId="28" fillId="0" borderId="8" xfId="1" applyNumberFormat="1" applyFont="1" applyBorder="1" applyAlignment="1">
      <alignment vertical="center"/>
    </xf>
    <xf numFmtId="171" fontId="8" fillId="0" borderId="8" xfId="1" applyNumberFormat="1" applyFont="1" applyBorder="1" applyAlignment="1">
      <alignment horizontal="center" vertical="center"/>
    </xf>
    <xf numFmtId="164" fontId="8" fillId="9" borderId="0" xfId="1" applyNumberFormat="1" applyFont="1" applyFill="1" applyAlignment="1">
      <alignment vertical="center"/>
    </xf>
    <xf numFmtId="0" fontId="8" fillId="9" borderId="0" xfId="1" applyFont="1" applyFill="1" applyAlignment="1">
      <alignment horizontal="center" vertical="center"/>
    </xf>
    <xf numFmtId="170" fontId="8" fillId="9" borderId="0" xfId="1" applyNumberFormat="1" applyFont="1" applyFill="1" applyAlignment="1">
      <alignment vertical="center"/>
    </xf>
    <xf numFmtId="173" fontId="28" fillId="9" borderId="0" xfId="1" applyNumberFormat="1" applyFont="1" applyFill="1" applyAlignment="1">
      <alignment vertical="center"/>
    </xf>
    <xf numFmtId="171" fontId="8" fillId="9" borderId="0" xfId="1" applyNumberFormat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170" fontId="8" fillId="0" borderId="6" xfId="1" applyNumberFormat="1" applyFont="1" applyBorder="1" applyAlignment="1">
      <alignment vertical="center"/>
    </xf>
    <xf numFmtId="170" fontId="8" fillId="0" borderId="7" xfId="1" applyNumberFormat="1" applyFont="1" applyBorder="1" applyAlignment="1">
      <alignment vertical="center"/>
    </xf>
    <xf numFmtId="170" fontId="8" fillId="0" borderId="8" xfId="1" applyNumberFormat="1" applyFont="1" applyBorder="1" applyAlignment="1">
      <alignment vertical="center"/>
    </xf>
    <xf numFmtId="0" fontId="29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9" xfId="3" quotePrefix="1" applyBorder="1" applyAlignment="1">
      <alignment vertical="center"/>
    </xf>
    <xf numFmtId="164" fontId="8" fillId="0" borderId="9" xfId="1" applyNumberFormat="1" applyFont="1" applyBorder="1" applyAlignment="1">
      <alignment vertical="center"/>
    </xf>
    <xf numFmtId="0" fontId="8" fillId="0" borderId="0" xfId="3" quotePrefix="1" applyAlignment="1">
      <alignment vertical="center"/>
    </xf>
    <xf numFmtId="3" fontId="23" fillId="0" borderId="0" xfId="1" applyNumberFormat="1" applyFont="1" applyAlignment="1">
      <alignment vertical="center"/>
    </xf>
    <xf numFmtId="164" fontId="8" fillId="10" borderId="7" xfId="1" applyNumberFormat="1" applyFont="1" applyFill="1" applyBorder="1" applyAlignment="1">
      <alignment vertical="center"/>
    </xf>
    <xf numFmtId="0" fontId="8" fillId="10" borderId="7" xfId="1" applyFont="1" applyFill="1" applyBorder="1" applyAlignment="1">
      <alignment horizontal="center" vertical="center"/>
    </xf>
    <xf numFmtId="164" fontId="8" fillId="10" borderId="0" xfId="1" applyNumberFormat="1" applyFont="1" applyFill="1" applyAlignment="1">
      <alignment vertical="center"/>
    </xf>
    <xf numFmtId="0" fontId="8" fillId="10" borderId="0" xfId="1" applyFont="1" applyFill="1" applyAlignment="1">
      <alignment horizontal="center" vertical="center"/>
    </xf>
    <xf numFmtId="3" fontId="8" fillId="0" borderId="0" xfId="1" applyNumberFormat="1" applyFont="1" applyAlignment="1">
      <alignment vertical="center"/>
    </xf>
    <xf numFmtId="0" fontId="29" fillId="0" borderId="0" xfId="1" applyFont="1" applyAlignment="1">
      <alignment horizontal="right" vertical="center"/>
    </xf>
    <xf numFmtId="0" fontId="30" fillId="0" borderId="0" xfId="1" applyFont="1" applyAlignment="1">
      <alignment horizontal="left" vertical="center"/>
    </xf>
    <xf numFmtId="164" fontId="31" fillId="0" borderId="0" xfId="1" applyNumberFormat="1" applyFont="1" applyAlignment="1">
      <alignment horizontal="left" vertical="center"/>
    </xf>
    <xf numFmtId="164" fontId="8" fillId="0" borderId="10" xfId="1" applyNumberFormat="1" applyFont="1" applyBorder="1" applyAlignment="1">
      <alignment vertical="center"/>
    </xf>
    <xf numFmtId="164" fontId="8" fillId="0" borderId="6" xfId="1" applyNumberFormat="1" applyFont="1" applyBorder="1" applyAlignment="1">
      <alignment horizontal="center" vertical="center"/>
    </xf>
    <xf numFmtId="171" fontId="8" fillId="0" borderId="6" xfId="1" applyNumberFormat="1" applyFont="1" applyBorder="1" applyAlignment="1">
      <alignment vertical="center"/>
    </xf>
    <xf numFmtId="164" fontId="2" fillId="0" borderId="0" xfId="1" applyNumberFormat="1" applyFont="1" applyAlignment="1">
      <alignment vertical="center"/>
    </xf>
    <xf numFmtId="164" fontId="8" fillId="0" borderId="7" xfId="1" applyNumberFormat="1" applyFont="1" applyBorder="1" applyAlignment="1">
      <alignment horizontal="center" vertical="center"/>
    </xf>
    <xf numFmtId="171" fontId="8" fillId="0" borderId="7" xfId="1" applyNumberFormat="1" applyFont="1" applyBorder="1" applyAlignment="1">
      <alignment vertical="center"/>
    </xf>
    <xf numFmtId="0" fontId="32" fillId="0" borderId="0" xfId="1" applyFont="1" applyAlignment="1">
      <alignment horizontal="right" vertical="center"/>
    </xf>
    <xf numFmtId="164" fontId="33" fillId="0" borderId="11" xfId="1" applyNumberFormat="1" applyFont="1" applyBorder="1" applyAlignment="1">
      <alignment vertical="center"/>
    </xf>
    <xf numFmtId="164" fontId="1" fillId="0" borderId="11" xfId="1" applyNumberFormat="1" applyFont="1" applyBorder="1" applyAlignment="1">
      <alignment vertical="center"/>
    </xf>
    <xf numFmtId="164" fontId="33" fillId="10" borderId="8" xfId="1" applyNumberFormat="1" applyFont="1" applyFill="1" applyBorder="1" applyAlignment="1">
      <alignment horizontal="center" vertical="center"/>
    </xf>
    <xf numFmtId="164" fontId="33" fillId="10" borderId="8" xfId="1" applyNumberFormat="1" applyFont="1" applyFill="1" applyBorder="1" applyAlignment="1">
      <alignment vertical="center"/>
    </xf>
    <xf numFmtId="171" fontId="33" fillId="10" borderId="8" xfId="1" applyNumberFormat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20" fillId="8" borderId="0" xfId="1" applyFont="1" applyFill="1" applyAlignment="1">
      <alignment horizontal="right" vertical="center"/>
    </xf>
    <xf numFmtId="173" fontId="8" fillId="0" borderId="6" xfId="1" applyNumberFormat="1" applyFont="1" applyBorder="1" applyAlignment="1">
      <alignment vertical="center"/>
    </xf>
    <xf numFmtId="173" fontId="8" fillId="0" borderId="7" xfId="1" applyNumberFormat="1" applyFont="1" applyBorder="1" applyAlignment="1">
      <alignment vertical="center"/>
    </xf>
    <xf numFmtId="173" fontId="33" fillId="10" borderId="8" xfId="1" applyNumberFormat="1" applyFont="1" applyFill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19" fillId="0" borderId="0" xfId="1" applyFont="1" applyAlignment="1">
      <alignment vertical="center"/>
    </xf>
    <xf numFmtId="174" fontId="19" fillId="0" borderId="0" xfId="1" applyNumberFormat="1" applyFont="1" applyAlignment="1">
      <alignment horizontal="left" vertical="center"/>
    </xf>
    <xf numFmtId="174" fontId="21" fillId="0" borderId="0" xfId="1" applyNumberFormat="1" applyFont="1" applyAlignment="1">
      <alignment horizontal="left" vertical="center"/>
    </xf>
  </cellXfs>
  <cellStyles count="4">
    <cellStyle name="Normal" xfId="0" builtinId="0"/>
    <cellStyle name="Normal 4" xfId="2" xr:uid="{857DA868-12ED-4B09-996B-250428919A42}"/>
    <cellStyle name="Normal_Revised Aggs 3mx2m (500M OLW) - 2002-03 Comparison" xfId="1" xr:uid="{85D8226D-F2F5-4719-8A77-1A32180813B4}"/>
    <cellStyle name="Normal_Updated Combined Aggs May 2010 - for brokers" xfId="3" xr:uid="{F663EC78-6DA7-4BF5-A1CF-2C48D5B3C670}"/>
  </cellStyles>
  <dxfs count="28">
    <dxf>
      <font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/>
        <right/>
        <top/>
        <bottom/>
      </border>
    </dxf>
    <dxf>
      <fill>
        <patternFill>
          <bgColor rgb="FFFFFF9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  <border>
        <left/>
        <right/>
        <top/>
        <bottom/>
      </border>
    </dxf>
    <dxf>
      <fill>
        <patternFill>
          <bgColor rgb="FFFFFF9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eme2">
  <a:themeElements>
    <a:clrScheme name="WTW Theme">
      <a:dk1>
        <a:sysClr val="windowText" lastClr="000000"/>
      </a:dk1>
      <a:lt1>
        <a:sysClr val="window" lastClr="FFFFFF"/>
      </a:lt1>
      <a:dk2>
        <a:srgbClr val="63666A"/>
      </a:dk2>
      <a:lt2>
        <a:srgbClr val="EEECE1"/>
      </a:lt2>
      <a:accent1>
        <a:srgbClr val="702082"/>
      </a:accent1>
      <a:accent2>
        <a:srgbClr val="FFB81C"/>
      </a:accent2>
      <a:accent3>
        <a:srgbClr val="00A0D2"/>
      </a:accent3>
      <a:accent4>
        <a:srgbClr val="C110A0"/>
      </a:accent4>
      <a:accent5>
        <a:srgbClr val="00C389"/>
      </a:accent5>
      <a:accent6>
        <a:srgbClr val="63666A"/>
      </a:accent6>
      <a:hlink>
        <a:srgbClr val="00A0D2"/>
      </a:hlink>
      <a:folHlink>
        <a:srgbClr val="63666A"/>
      </a:folHlink>
    </a:clrScheme>
    <a:fontScheme name="Willis Towers Watso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custClrLst>
    <a:custClr name="WTW Light Gray">
      <a:srgbClr val="D8DBD8"/>
    </a:custClr>
    <a:custClr name="WTW Light Violet">
      <a:srgbClr val="D8D7DF"/>
    </a:custClr>
    <a:custClr name="WTW Pink">
      <a:srgbClr val="DDD0CF"/>
    </a:custClr>
    <a:custClr name="WTW Light Blue">
      <a:srgbClr val="C8D7DF"/>
    </a:custClr>
    <a:custClr name="WTW Light Green">
      <a:srgbClr val="D9E6DC"/>
    </a:custClr>
    <a:custClr name="WTW Light Sand">
      <a:srgbClr val="EFEEDE"/>
    </a:custClr>
  </a:custClrLst>
  <a:extLst>
    <a:ext uri="{05A4C25C-085E-4340-85A3-A5531E510DB2}">
      <thm15:themeFamily xmlns:thm15="http://schemas.microsoft.com/office/thememl/2012/main" name="Theme2" id="{5B77FFCF-73E0-4BEC-985E-19A33D515C4A}" vid="{7748971A-EA8F-4817-A46A-1061E57346E2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8214-625C-42AC-9CC5-BD83684958EE}">
  <sheetPr>
    <tabColor theme="6" tint="-0.499984740745262"/>
  </sheetPr>
  <dimension ref="A1:BT309"/>
  <sheetViews>
    <sheetView showGridLines="0" zoomScale="90" zoomScaleNormal="90" zoomScaleSheetLayoutView="75" workbookViewId="0">
      <pane xSplit="7" ySplit="12" topLeftCell="H14" activePane="bottomRight" state="frozenSplit"/>
      <selection activeCell="H13" sqref="H13"/>
      <selection pane="topRight" activeCell="H13" sqref="H13"/>
      <selection pane="bottomLeft" activeCell="H13" sqref="H13"/>
      <selection pane="bottomRight" activeCell="J21" sqref="J21"/>
    </sheetView>
  </sheetViews>
  <sheetFormatPr defaultColWidth="9.21875" defaultRowHeight="13.2" outlineLevelRow="1" outlineLevelCol="1" x14ac:dyDescent="0.25"/>
  <cols>
    <col min="1" max="1" width="10.44140625" style="126" hidden="1" customWidth="1" outlineLevel="1"/>
    <col min="2" max="3" width="12.5546875" style="126" hidden="1" customWidth="1" outlineLevel="1"/>
    <col min="4" max="5" width="10.44140625" style="127" hidden="1" customWidth="1" outlineLevel="1"/>
    <col min="6" max="6" width="32.77734375" style="48" customWidth="1" collapsed="1"/>
    <col min="7" max="7" width="5.44140625" style="38" customWidth="1"/>
    <col min="8" max="10" width="14.5546875" style="136" customWidth="1"/>
    <col min="11" max="11" width="3.44140625" style="38" customWidth="1"/>
    <col min="12" max="14" width="14.5546875" style="136" customWidth="1"/>
    <col min="15" max="15" width="3.44140625" style="38" customWidth="1"/>
    <col min="16" max="18" width="14.5546875" style="136" customWidth="1"/>
    <col min="19" max="19" width="3.44140625" style="38" customWidth="1"/>
    <col min="20" max="22" width="14.5546875" style="136" customWidth="1"/>
    <col min="23" max="23" width="3.44140625" style="38" customWidth="1"/>
    <col min="24" max="26" width="14.5546875" style="136" customWidth="1"/>
    <col min="27" max="27" width="3.44140625" style="38" customWidth="1"/>
    <col min="28" max="30" width="14.5546875" style="136" customWidth="1"/>
    <col min="31" max="31" width="3.44140625" style="38" customWidth="1"/>
    <col min="32" max="34" width="14.5546875" style="136" customWidth="1"/>
    <col min="35" max="35" width="3.44140625" style="38" customWidth="1"/>
    <col min="36" max="38" width="14.5546875" style="136" customWidth="1"/>
    <col min="39" max="39" width="3.44140625" style="38" customWidth="1"/>
    <col min="40" max="42" width="14.5546875" style="136" customWidth="1"/>
    <col min="43" max="43" width="3.44140625" style="38" customWidth="1"/>
    <col min="44" max="46" width="14.5546875" style="136" customWidth="1"/>
    <col min="47" max="47" width="3.44140625" style="38" customWidth="1"/>
    <col min="48" max="50" width="14.5546875" style="136" customWidth="1"/>
    <col min="51" max="51" width="3.44140625" style="38" customWidth="1"/>
    <col min="52" max="54" width="14.5546875" style="136" customWidth="1"/>
    <col min="55" max="55" width="3.44140625" style="38" customWidth="1"/>
    <col min="56" max="58" width="14.5546875" style="136" customWidth="1"/>
    <col min="59" max="59" width="3.44140625" style="38" customWidth="1"/>
    <col min="60" max="62" width="14.5546875" style="136" customWidth="1"/>
    <col min="63" max="63" width="3.44140625" style="38" customWidth="1"/>
    <col min="64" max="66" width="14.5546875" style="136" customWidth="1"/>
    <col min="67" max="67" width="3.44140625" style="38" customWidth="1"/>
    <col min="68" max="70" width="14.5546875" style="136" customWidth="1"/>
    <col min="71" max="71" width="3.44140625" style="38" customWidth="1"/>
    <col min="72" max="72" width="9.21875" style="46" customWidth="1"/>
  </cols>
  <sheetData>
    <row r="1" spans="1:72" x14ac:dyDescent="0.25">
      <c r="A1" s="1"/>
      <c r="B1" s="1"/>
      <c r="C1" s="1"/>
      <c r="D1" s="1"/>
      <c r="E1" s="1"/>
      <c r="F1" s="2" t="s">
        <v>44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7"/>
      <c r="BQ1" s="6"/>
      <c r="BR1" s="6"/>
      <c r="BS1" s="6"/>
      <c r="BT1" s="6"/>
    </row>
    <row r="2" spans="1:72" ht="15" x14ac:dyDescent="0.25">
      <c r="A2" s="8"/>
      <c r="B2" s="8"/>
      <c r="C2" s="8"/>
      <c r="D2" s="8"/>
      <c r="E2" s="8"/>
      <c r="F2" s="9" t="s">
        <v>45</v>
      </c>
      <c r="G2" s="10"/>
      <c r="H2" s="11"/>
      <c r="I2" s="11"/>
      <c r="J2" s="11"/>
      <c r="K2" s="12"/>
      <c r="L2" s="11"/>
      <c r="M2" s="11"/>
      <c r="N2" s="11"/>
      <c r="O2" s="12"/>
      <c r="P2" s="11"/>
      <c r="Q2" s="11"/>
      <c r="R2" s="11"/>
      <c r="S2" s="12"/>
      <c r="T2" s="11"/>
      <c r="U2" s="11"/>
      <c r="V2" s="11"/>
      <c r="W2" s="12"/>
      <c r="X2" s="11"/>
      <c r="Y2" s="11"/>
      <c r="Z2" s="11"/>
      <c r="AA2" s="12"/>
      <c r="AB2" s="11"/>
      <c r="AC2" s="11"/>
      <c r="AD2" s="11"/>
      <c r="AE2" s="12"/>
      <c r="AF2" s="11"/>
      <c r="AG2" s="11"/>
      <c r="AH2" s="11"/>
      <c r="AI2" s="12"/>
      <c r="AJ2" s="11"/>
      <c r="AK2" s="11"/>
      <c r="AL2" s="11"/>
      <c r="AM2" s="12"/>
      <c r="AN2" s="11"/>
      <c r="AO2" s="11"/>
      <c r="AP2" s="11"/>
      <c r="AQ2" s="12"/>
      <c r="AR2" s="11"/>
      <c r="AS2" s="11"/>
      <c r="AT2" s="11"/>
      <c r="AU2" s="12"/>
      <c r="AV2" s="11"/>
      <c r="AW2" s="11"/>
      <c r="AX2" s="11"/>
      <c r="AY2" s="12"/>
      <c r="AZ2" s="11"/>
      <c r="BA2" s="11"/>
      <c r="BB2" s="11"/>
      <c r="BC2" s="12"/>
      <c r="BD2" s="11"/>
      <c r="BE2" s="11"/>
      <c r="BF2" s="11"/>
      <c r="BG2" s="12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</row>
    <row r="3" spans="1:72" x14ac:dyDescent="0.25">
      <c r="A3" s="14"/>
      <c r="B3" s="14"/>
      <c r="C3" s="14"/>
      <c r="D3" s="14"/>
      <c r="E3" s="14"/>
      <c r="F3" s="15" t="s">
        <v>46</v>
      </c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7"/>
      <c r="BQ3" s="6"/>
      <c r="BR3" s="6"/>
      <c r="BS3" s="6"/>
      <c r="BT3" s="6"/>
    </row>
    <row r="4" spans="1:72" ht="17.399999999999999" x14ac:dyDescent="0.25">
      <c r="A4" s="17"/>
      <c r="B4" s="17"/>
      <c r="C4" s="17"/>
      <c r="D4" s="17"/>
      <c r="E4" s="17"/>
      <c r="F4" s="18" t="s">
        <v>0</v>
      </c>
      <c r="G4" s="19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</row>
    <row r="5" spans="1:72" ht="17.399999999999999" x14ac:dyDescent="0.25">
      <c r="A5" s="23"/>
      <c r="B5" s="23"/>
      <c r="C5" s="23"/>
      <c r="D5" s="23"/>
      <c r="E5" s="24" t="s">
        <v>1</v>
      </c>
      <c r="F5" s="9" t="str">
        <f>CONCATENATE("USD",FIXED($M$7,0,FALSE)," xs ","USD",FIXED($M$8,0,FALSE))</f>
        <v>USD185,000,000 xs USD15,000,000</v>
      </c>
      <c r="G5" s="25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7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</row>
    <row r="6" spans="1:72" ht="22.8" x14ac:dyDescent="0.25">
      <c r="A6" s="29"/>
      <c r="B6" s="29"/>
      <c r="C6" s="29"/>
      <c r="D6" s="29"/>
      <c r="E6" s="30" t="s">
        <v>2</v>
      </c>
      <c r="F6" s="31" t="s">
        <v>47</v>
      </c>
      <c r="G6" s="32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4"/>
    </row>
    <row r="7" spans="1:72" x14ac:dyDescent="0.25">
      <c r="A7" s="35"/>
      <c r="B7" s="35"/>
      <c r="C7" s="35"/>
      <c r="D7" s="35"/>
      <c r="E7" s="36" t="str">
        <f>IF(COUNTA($A$14:$A$222)&lt;&gt;SUBTOTAL(3,$A$14:$A$222),"Filter applied : - ) ",CONCATENATE(" ▼ Use filter in row ",ROW(E12)," and untick '0' to only show required rows ▼"))</f>
        <v xml:space="preserve"> ▼ Use filter in row 12 and untick '0' to only show required rows ▼</v>
      </c>
      <c r="F7" s="37" t="s">
        <v>43</v>
      </c>
      <c r="H7" s="39"/>
      <c r="I7" s="40"/>
      <c r="J7" s="40"/>
      <c r="K7" s="41"/>
      <c r="L7" s="42">
        <v>185000000</v>
      </c>
      <c r="M7" s="43">
        <v>185000000</v>
      </c>
      <c r="N7" s="44"/>
      <c r="O7" s="45"/>
      <c r="P7" s="39"/>
      <c r="Q7" s="40"/>
      <c r="R7" s="40"/>
      <c r="S7" s="41"/>
      <c r="T7" s="42">
        <f>'Layer Comparison'!Limit_Past</f>
        <v>185000000</v>
      </c>
      <c r="U7" s="43">
        <f>'Layer Comparison'!Limit_Latest</f>
        <v>185000000</v>
      </c>
      <c r="V7" s="44"/>
      <c r="W7" s="45"/>
      <c r="X7" s="39"/>
      <c r="Y7" s="40"/>
      <c r="Z7" s="40"/>
      <c r="AA7" s="41"/>
      <c r="AB7" s="42">
        <f>'Layer Comparison'!Limit_Past</f>
        <v>185000000</v>
      </c>
      <c r="AC7" s="43">
        <f>'Layer Comparison'!Limit_Latest</f>
        <v>185000000</v>
      </c>
      <c r="AD7" s="44"/>
      <c r="AE7" s="45"/>
      <c r="AF7" s="39"/>
      <c r="AG7" s="40"/>
      <c r="AH7" s="40"/>
      <c r="AI7" s="41"/>
      <c r="AJ7" s="42">
        <f>'Layer Comparison'!Limit_Past</f>
        <v>185000000</v>
      </c>
      <c r="AK7" s="43">
        <f>'Layer Comparison'!Limit_Latest</f>
        <v>185000000</v>
      </c>
      <c r="AL7" s="44"/>
      <c r="AM7" s="45"/>
      <c r="AN7" s="39"/>
      <c r="AO7" s="40"/>
      <c r="AP7" s="40"/>
      <c r="AQ7" s="41"/>
      <c r="AR7" s="42">
        <f>'Layer Comparison'!Limit_Past</f>
        <v>185000000</v>
      </c>
      <c r="AS7" s="43">
        <f>'Layer Comparison'!Limit_Latest</f>
        <v>185000000</v>
      </c>
      <c r="AT7" s="44"/>
      <c r="AU7" s="45"/>
      <c r="AV7" s="39"/>
      <c r="AW7" s="40"/>
      <c r="AX7" s="40"/>
      <c r="AY7" s="41"/>
      <c r="AZ7" s="42">
        <f>'Layer Comparison'!Limit_Past</f>
        <v>185000000</v>
      </c>
      <c r="BA7" s="43">
        <f>'Layer Comparison'!Limit_Latest</f>
        <v>185000000</v>
      </c>
      <c r="BB7" s="44"/>
      <c r="BC7" s="45"/>
      <c r="BD7" s="39"/>
      <c r="BE7" s="40"/>
      <c r="BF7" s="40"/>
      <c r="BG7" s="41"/>
      <c r="BH7" s="42">
        <f>'Layer Comparison'!Limit_Past</f>
        <v>185000000</v>
      </c>
      <c r="BI7" s="43">
        <f>'Layer Comparison'!Limit_Latest</f>
        <v>185000000</v>
      </c>
      <c r="BJ7" s="44"/>
      <c r="BK7" s="45"/>
      <c r="BL7" s="39"/>
      <c r="BM7" s="40"/>
      <c r="BN7" s="40"/>
      <c r="BO7" s="41"/>
      <c r="BP7" s="42">
        <f>'Layer Comparison'!Limit_Past</f>
        <v>185000000</v>
      </c>
      <c r="BQ7" s="43">
        <f>'Layer Comparison'!Limit_Latest</f>
        <v>185000000</v>
      </c>
      <c r="BR7" s="44"/>
      <c r="BS7" s="45"/>
    </row>
    <row r="8" spans="1:72" x14ac:dyDescent="0.25">
      <c r="A8" s="47"/>
      <c r="B8" s="47"/>
      <c r="C8" s="47"/>
      <c r="D8" s="47"/>
      <c r="E8" s="47"/>
      <c r="H8" s="39" t="str">
        <f>CONCATENATE("Original Loss level: ",TEXT(H12/1000000,"#,##0"),"m")</f>
        <v>Original Loss level: 250m</v>
      </c>
      <c r="I8" s="40"/>
      <c r="J8" s="40"/>
      <c r="K8" s="41"/>
      <c r="L8" s="49">
        <v>15000000</v>
      </c>
      <c r="M8" s="50">
        <v>15000000</v>
      </c>
      <c r="N8" s="44"/>
      <c r="O8" s="45"/>
      <c r="P8" s="39" t="str">
        <f>CONCATENATE("Original Loss level: ",TEXT(P12/1000000,"#,##0"),"m")</f>
        <v>Original Loss level: 500m</v>
      </c>
      <c r="Q8" s="40"/>
      <c r="R8" s="40"/>
      <c r="S8" s="41"/>
      <c r="T8" s="49">
        <f>'Layer Comparison'!Excess_Past</f>
        <v>15000000</v>
      </c>
      <c r="U8" s="50">
        <f>'Layer Comparison'!Excess_Latest</f>
        <v>15000000</v>
      </c>
      <c r="V8" s="44"/>
      <c r="W8" s="45"/>
      <c r="X8" s="39" t="str">
        <f>CONCATENATE("Original Loss level: ",TEXT(X12/1000000,"#,##0"),"m")</f>
        <v>Original Loss level: 750m</v>
      </c>
      <c r="Y8" s="40"/>
      <c r="Z8" s="40"/>
      <c r="AA8" s="41"/>
      <c r="AB8" s="49">
        <f>'Layer Comparison'!Excess_Past</f>
        <v>15000000</v>
      </c>
      <c r="AC8" s="50">
        <f>'Layer Comparison'!Excess_Latest</f>
        <v>15000000</v>
      </c>
      <c r="AD8" s="44"/>
      <c r="AE8" s="45"/>
      <c r="AF8" s="39" t="str">
        <f>CONCATENATE("Original Loss level: ",TEXT(AF12/1000000,"#,##0"),"m")</f>
        <v>Original Loss level: 1,000m</v>
      </c>
      <c r="AG8" s="40"/>
      <c r="AH8" s="40"/>
      <c r="AI8" s="41"/>
      <c r="AJ8" s="49">
        <f>'Layer Comparison'!Excess_Past</f>
        <v>15000000</v>
      </c>
      <c r="AK8" s="50">
        <f>'Layer Comparison'!Excess_Latest</f>
        <v>15000000</v>
      </c>
      <c r="AL8" s="44"/>
      <c r="AM8" s="45"/>
      <c r="AN8" s="39" t="str">
        <f>CONCATENATE("Original Loss level: ",TEXT(AN12/1000000,"#,##0"),"m")</f>
        <v>Original Loss level: 1,500m</v>
      </c>
      <c r="AO8" s="40"/>
      <c r="AP8" s="40"/>
      <c r="AQ8" s="41"/>
      <c r="AR8" s="49">
        <f>'Layer Comparison'!Excess_Past</f>
        <v>15000000</v>
      </c>
      <c r="AS8" s="50">
        <f>'Layer Comparison'!Excess_Latest</f>
        <v>15000000</v>
      </c>
      <c r="AT8" s="44"/>
      <c r="AU8" s="45"/>
      <c r="AV8" s="39" t="str">
        <f>CONCATENATE("Original Loss level: ",TEXT(AV12/1000000,"#,##0"),"m")</f>
        <v>Original Loss level: 2,000m</v>
      </c>
      <c r="AW8" s="40"/>
      <c r="AX8" s="40"/>
      <c r="AY8" s="41"/>
      <c r="AZ8" s="49">
        <f>'Layer Comparison'!Excess_Past</f>
        <v>15000000</v>
      </c>
      <c r="BA8" s="50">
        <f>'Layer Comparison'!Excess_Latest</f>
        <v>15000000</v>
      </c>
      <c r="BB8" s="44"/>
      <c r="BC8" s="45"/>
      <c r="BD8" s="39" t="str">
        <f>CONCATENATE("Original Loss level: ",TEXT(BD12/1000000,"#,##0"),"m")</f>
        <v>Original Loss level: 2,500m</v>
      </c>
      <c r="BE8" s="40"/>
      <c r="BF8" s="40"/>
      <c r="BG8" s="41"/>
      <c r="BH8" s="49">
        <f>'Layer Comparison'!Excess_Past</f>
        <v>15000000</v>
      </c>
      <c r="BI8" s="50">
        <f>'Layer Comparison'!Excess_Latest</f>
        <v>15000000</v>
      </c>
      <c r="BJ8" s="44"/>
      <c r="BK8" s="45"/>
      <c r="BL8" s="39" t="str">
        <f>CONCATENATE("Original Loss level: ",TEXT(BL12/1000000,"#,##0"),"m")</f>
        <v>Original Loss level: 3,000m</v>
      </c>
      <c r="BM8" s="40"/>
      <c r="BN8" s="40"/>
      <c r="BO8" s="41"/>
      <c r="BP8" s="49">
        <f>'Layer Comparison'!Excess_Past</f>
        <v>15000000</v>
      </c>
      <c r="BQ8" s="50">
        <f>'Layer Comparison'!Excess_Latest</f>
        <v>15000000</v>
      </c>
      <c r="BR8" s="44"/>
      <c r="BS8" s="45"/>
    </row>
    <row r="9" spans="1:72" x14ac:dyDescent="0.25">
      <c r="A9" s="51" t="s">
        <v>3</v>
      </c>
      <c r="B9" s="51" t="str">
        <f>IF(YEAR($D9)=YEAR($E9),CONCATENATE(TEXT($D9,"d mmm")," OR ",TEXT($E9,"d mmm")),CONCATENATE(TEXT($D9,"yyyy")," OR ",TEXT($E9,"yyyy")))</f>
        <v>2020 OR 2021</v>
      </c>
      <c r="C9" s="51" t="str">
        <f>IF(YEAR($D9)=YEAR($E9),CONCATENATE(TEXT($D9,"d mmm")," AND ",TEXT($E9,"d mmm")),CONCATENATE(TEXT($D9,"yyyy")," AND ",TEXT($E9,"yyyy")))</f>
        <v>2020 AND 2021</v>
      </c>
      <c r="D9" s="51">
        <f>H9</f>
        <v>44127</v>
      </c>
      <c r="E9" s="51">
        <f>I9</f>
        <v>44496</v>
      </c>
      <c r="F9" s="52" t="s">
        <v>53</v>
      </c>
      <c r="G9" s="53"/>
      <c r="H9" s="54">
        <v>44127</v>
      </c>
      <c r="I9" s="55">
        <v>44496</v>
      </c>
      <c r="J9" s="56"/>
      <c r="K9" s="57"/>
      <c r="L9" s="54">
        <f>H9</f>
        <v>44127</v>
      </c>
      <c r="M9" s="55">
        <f>I9</f>
        <v>44496</v>
      </c>
      <c r="N9" s="56"/>
      <c r="O9" s="57"/>
      <c r="P9" s="54">
        <v>44127</v>
      </c>
      <c r="Q9" s="55">
        <v>44496</v>
      </c>
      <c r="R9" s="56"/>
      <c r="S9" s="57"/>
      <c r="T9" s="54">
        <f>P9</f>
        <v>44127</v>
      </c>
      <c r="U9" s="55">
        <f>Q9</f>
        <v>44496</v>
      </c>
      <c r="V9" s="56"/>
      <c r="W9" s="57"/>
      <c r="X9" s="54">
        <v>44127</v>
      </c>
      <c r="Y9" s="55">
        <v>44496</v>
      </c>
      <c r="Z9" s="56"/>
      <c r="AA9" s="57"/>
      <c r="AB9" s="54">
        <f>X9</f>
        <v>44127</v>
      </c>
      <c r="AC9" s="55">
        <f>Y9</f>
        <v>44496</v>
      </c>
      <c r="AD9" s="56"/>
      <c r="AE9" s="57"/>
      <c r="AF9" s="54">
        <v>44127</v>
      </c>
      <c r="AG9" s="55">
        <v>44496</v>
      </c>
      <c r="AH9" s="56"/>
      <c r="AI9" s="57"/>
      <c r="AJ9" s="54">
        <f>AF9</f>
        <v>44127</v>
      </c>
      <c r="AK9" s="55">
        <f>AG9</f>
        <v>44496</v>
      </c>
      <c r="AL9" s="56"/>
      <c r="AM9" s="57"/>
      <c r="AN9" s="54">
        <v>44127</v>
      </c>
      <c r="AO9" s="55">
        <v>44496</v>
      </c>
      <c r="AP9" s="56"/>
      <c r="AQ9" s="57"/>
      <c r="AR9" s="54">
        <f>AN9</f>
        <v>44127</v>
      </c>
      <c r="AS9" s="55">
        <f>AO9</f>
        <v>44496</v>
      </c>
      <c r="AT9" s="56"/>
      <c r="AU9" s="57"/>
      <c r="AV9" s="54">
        <v>44127</v>
      </c>
      <c r="AW9" s="55">
        <v>44496</v>
      </c>
      <c r="AX9" s="56"/>
      <c r="AY9" s="57"/>
      <c r="AZ9" s="54">
        <f>AV9</f>
        <v>44127</v>
      </c>
      <c r="BA9" s="55">
        <f>AW9</f>
        <v>44496</v>
      </c>
      <c r="BB9" s="56"/>
      <c r="BC9" s="57"/>
      <c r="BD9" s="54">
        <v>44127</v>
      </c>
      <c r="BE9" s="55">
        <v>44496</v>
      </c>
      <c r="BF9" s="56"/>
      <c r="BG9" s="57"/>
      <c r="BH9" s="54">
        <f>BD9</f>
        <v>44127</v>
      </c>
      <c r="BI9" s="55">
        <f>BE9</f>
        <v>44496</v>
      </c>
      <c r="BJ9" s="56"/>
      <c r="BK9" s="57"/>
      <c r="BL9" s="54">
        <v>44127</v>
      </c>
      <c r="BM9" s="55">
        <v>44496</v>
      </c>
      <c r="BN9" s="56"/>
      <c r="BO9" s="57"/>
      <c r="BP9" s="54">
        <f>BL9</f>
        <v>44127</v>
      </c>
      <c r="BQ9" s="55">
        <f>BM9</f>
        <v>44496</v>
      </c>
      <c r="BR9" s="56"/>
      <c r="BS9" s="57"/>
      <c r="BT9"/>
    </row>
    <row r="10" spans="1:72" x14ac:dyDescent="0.25">
      <c r="A10" s="58"/>
      <c r="B10" s="58" t="s">
        <v>4</v>
      </c>
      <c r="C10" s="58" t="s">
        <v>5</v>
      </c>
      <c r="D10" s="58">
        <f>H10</f>
        <v>44127</v>
      </c>
      <c r="E10" s="58">
        <f>I10</f>
        <v>44496</v>
      </c>
      <c r="F10" s="52"/>
      <c r="G10" s="53"/>
      <c r="H10" s="59">
        <f>H9</f>
        <v>44127</v>
      </c>
      <c r="I10" s="60">
        <f>I9</f>
        <v>44496</v>
      </c>
      <c r="J10" s="61" t="str">
        <f>IF(YEAR(H10)=YEAR(I10),CONCATENATE(TEXT(H9,"d mmm")," - ",TEXT(I9,"d mmm")),CONCATENATE(TEXT(H10,"yyyy")," - ",TEXT(I10,"yyyy")))</f>
        <v>2020 - 2021</v>
      </c>
      <c r="K10" s="62"/>
      <c r="L10" s="59">
        <f>H10</f>
        <v>44127</v>
      </c>
      <c r="M10" s="60">
        <f>I10</f>
        <v>44496</v>
      </c>
      <c r="N10" s="61" t="str">
        <f>J10</f>
        <v>2020 - 2021</v>
      </c>
      <c r="O10" s="62"/>
      <c r="P10" s="59">
        <f>P9</f>
        <v>44127</v>
      </c>
      <c r="Q10" s="60">
        <f>Q9</f>
        <v>44496</v>
      </c>
      <c r="R10" s="61" t="str">
        <f>IF(P10=Q10,CONCATENATE(TEXT(P9,"d mmm")," - ",TEXT(Q9,"d mmm")),CONCATENATE(TEXT(P10,"yyyy")," - ",TEXT(Q10,"yyyy")))</f>
        <v>2020 - 2021</v>
      </c>
      <c r="S10" s="62"/>
      <c r="T10" s="59">
        <f>P10</f>
        <v>44127</v>
      </c>
      <c r="U10" s="60">
        <f>Q10</f>
        <v>44496</v>
      </c>
      <c r="V10" s="61" t="str">
        <f>R10</f>
        <v>2020 - 2021</v>
      </c>
      <c r="W10" s="62"/>
      <c r="X10" s="59">
        <f>X9</f>
        <v>44127</v>
      </c>
      <c r="Y10" s="60">
        <f>Y9</f>
        <v>44496</v>
      </c>
      <c r="Z10" s="61" t="str">
        <f>IF(X10=Y10,CONCATENATE(TEXT(X9,"d mmm")," - ",TEXT(Y9,"d mmm")),CONCATENATE(TEXT(X10,"yyyy")," - ",TEXT(Y10,"yyyy")))</f>
        <v>2020 - 2021</v>
      </c>
      <c r="AA10" s="62"/>
      <c r="AB10" s="59">
        <f>X10</f>
        <v>44127</v>
      </c>
      <c r="AC10" s="60">
        <f>Y10</f>
        <v>44496</v>
      </c>
      <c r="AD10" s="61" t="str">
        <f>Z10</f>
        <v>2020 - 2021</v>
      </c>
      <c r="AE10" s="62"/>
      <c r="AF10" s="59">
        <f>AF9</f>
        <v>44127</v>
      </c>
      <c r="AG10" s="60">
        <f>AG9</f>
        <v>44496</v>
      </c>
      <c r="AH10" s="61" t="str">
        <f>IF(AF10=AG10,CONCATENATE(TEXT(AF9,"d mmm")," - ",TEXT(AG9,"d mmm")),CONCATENATE(TEXT(AF10,"yyyy")," - ",TEXT(AG10,"yyyy")))</f>
        <v>2020 - 2021</v>
      </c>
      <c r="AI10" s="62"/>
      <c r="AJ10" s="59">
        <f>AF10</f>
        <v>44127</v>
      </c>
      <c r="AK10" s="60">
        <f>AG10</f>
        <v>44496</v>
      </c>
      <c r="AL10" s="61" t="str">
        <f>AH10</f>
        <v>2020 - 2021</v>
      </c>
      <c r="AM10" s="62"/>
      <c r="AN10" s="59">
        <f>AN9</f>
        <v>44127</v>
      </c>
      <c r="AO10" s="60">
        <f>AO9</f>
        <v>44496</v>
      </c>
      <c r="AP10" s="61" t="str">
        <f>IF(AN10=AO10,CONCATENATE(TEXT(AN9,"d mmm")," - ",TEXT(AO9,"d mmm")),CONCATENATE(TEXT(AN10,"yyyy")," - ",TEXT(AO10,"yyyy")))</f>
        <v>2020 - 2021</v>
      </c>
      <c r="AQ10" s="62"/>
      <c r="AR10" s="59">
        <f>AN10</f>
        <v>44127</v>
      </c>
      <c r="AS10" s="60">
        <f>AO10</f>
        <v>44496</v>
      </c>
      <c r="AT10" s="61" t="str">
        <f>AP10</f>
        <v>2020 - 2021</v>
      </c>
      <c r="AU10" s="62"/>
      <c r="AV10" s="59">
        <f>AV9</f>
        <v>44127</v>
      </c>
      <c r="AW10" s="60">
        <f>AW9</f>
        <v>44496</v>
      </c>
      <c r="AX10" s="61" t="str">
        <f>IF(AV10=AW10,CONCATENATE(TEXT(AV9,"d mmm")," - ",TEXT(AW9,"d mmm")),CONCATENATE(TEXT(AV10,"yyyy")," - ",TEXT(AW10,"yyyy")))</f>
        <v>2020 - 2021</v>
      </c>
      <c r="AY10" s="62"/>
      <c r="AZ10" s="59">
        <f>AV10</f>
        <v>44127</v>
      </c>
      <c r="BA10" s="60">
        <f>AW10</f>
        <v>44496</v>
      </c>
      <c r="BB10" s="61" t="str">
        <f>AX10</f>
        <v>2020 - 2021</v>
      </c>
      <c r="BC10" s="62"/>
      <c r="BD10" s="59">
        <f>BD9</f>
        <v>44127</v>
      </c>
      <c r="BE10" s="60">
        <f>BE9</f>
        <v>44496</v>
      </c>
      <c r="BF10" s="61" t="str">
        <f>IF(BD10=BE10,CONCATENATE(TEXT(BD9,"d mmm")," - ",TEXT(BE9,"d mmm")),CONCATENATE(TEXT(BD10,"yyyy")," - ",TEXT(BE10,"yyyy")))</f>
        <v>2020 - 2021</v>
      </c>
      <c r="BG10" s="62"/>
      <c r="BH10" s="59">
        <f>BD10</f>
        <v>44127</v>
      </c>
      <c r="BI10" s="60">
        <f>BE10</f>
        <v>44496</v>
      </c>
      <c r="BJ10" s="61" t="str">
        <f>BF10</f>
        <v>2020 - 2021</v>
      </c>
      <c r="BK10" s="62"/>
      <c r="BL10" s="59">
        <f>BL9</f>
        <v>44127</v>
      </c>
      <c r="BM10" s="60">
        <f>BM9</f>
        <v>44496</v>
      </c>
      <c r="BN10" s="61" t="str">
        <f>IF(BL10=BM10,CONCATENATE(TEXT(BL9,"d mmm")," - ",TEXT(BM9,"d mmm")),CONCATENATE(TEXT(BL10,"yyyy")," - ",TEXT(BM10,"yyyy")))</f>
        <v>2020 - 2021</v>
      </c>
      <c r="BO10" s="62"/>
      <c r="BP10" s="59">
        <f>BL10</f>
        <v>44127</v>
      </c>
      <c r="BQ10" s="60">
        <f>BM10</f>
        <v>44496</v>
      </c>
      <c r="BR10" s="61" t="str">
        <f>BN10</f>
        <v>2020 - 2021</v>
      </c>
      <c r="BS10" s="62"/>
      <c r="BT10"/>
    </row>
    <row r="11" spans="1:72" hidden="1" outlineLevel="1" x14ac:dyDescent="0.25">
      <c r="A11" s="63"/>
      <c r="B11" s="63" t="s">
        <v>6</v>
      </c>
      <c r="C11" s="63" t="s">
        <v>6</v>
      </c>
      <c r="D11" s="63" t="s">
        <v>6</v>
      </c>
      <c r="E11" s="63" t="s">
        <v>6</v>
      </c>
      <c r="F11" s="64"/>
      <c r="G11" s="65"/>
      <c r="H11" s="66"/>
      <c r="I11" s="67"/>
      <c r="J11" s="68"/>
      <c r="K11" s="69"/>
      <c r="L11" s="66"/>
      <c r="M11" s="67"/>
      <c r="N11" s="68"/>
      <c r="O11" s="69"/>
      <c r="P11" s="66"/>
      <c r="Q11" s="67"/>
      <c r="R11" s="68"/>
      <c r="S11" s="69"/>
      <c r="T11" s="66"/>
      <c r="U11" s="67"/>
      <c r="V11" s="68"/>
      <c r="W11" s="69"/>
      <c r="X11" s="66"/>
      <c r="Y11" s="67"/>
      <c r="Z11" s="68"/>
      <c r="AA11" s="69"/>
      <c r="AB11" s="66"/>
      <c r="AC11" s="67"/>
      <c r="AD11" s="68"/>
      <c r="AE11" s="69"/>
      <c r="AF11" s="66"/>
      <c r="AG11" s="67"/>
      <c r="AH11" s="68"/>
      <c r="AI11" s="69"/>
      <c r="AJ11" s="66"/>
      <c r="AK11" s="67"/>
      <c r="AL11" s="68"/>
      <c r="AM11" s="69"/>
      <c r="AN11" s="66"/>
      <c r="AO11" s="67"/>
      <c r="AP11" s="68"/>
      <c r="AQ11" s="69"/>
      <c r="AR11" s="66"/>
      <c r="AS11" s="67"/>
      <c r="AT11" s="68"/>
      <c r="AU11" s="69"/>
      <c r="AV11" s="66"/>
      <c r="AW11" s="67"/>
      <c r="AX11" s="68"/>
      <c r="AY11" s="69"/>
      <c r="AZ11" s="66"/>
      <c r="BA11" s="67"/>
      <c r="BB11" s="68"/>
      <c r="BC11" s="69"/>
      <c r="BD11" s="66"/>
      <c r="BE11" s="67"/>
      <c r="BF11" s="68"/>
      <c r="BG11" s="69"/>
      <c r="BH11" s="66"/>
      <c r="BI11" s="67"/>
      <c r="BJ11" s="68"/>
      <c r="BK11" s="69"/>
      <c r="BL11" s="66"/>
      <c r="BM11" s="67"/>
      <c r="BN11" s="68"/>
      <c r="BO11" s="69"/>
      <c r="BP11" s="66"/>
      <c r="BQ11" s="67"/>
      <c r="BR11" s="68"/>
      <c r="BS11" s="69"/>
      <c r="BT11"/>
    </row>
    <row r="12" spans="1:72" ht="15.75" customHeight="1" collapsed="1" x14ac:dyDescent="0.25">
      <c r="A12" s="70" t="s">
        <v>7</v>
      </c>
      <c r="B12" s="71" t="s">
        <v>8</v>
      </c>
      <c r="C12" s="71" t="s">
        <v>8</v>
      </c>
      <c r="D12" s="72" t="s">
        <v>8</v>
      </c>
      <c r="E12" s="72" t="s">
        <v>8</v>
      </c>
      <c r="F12" s="73" t="s">
        <v>9</v>
      </c>
      <c r="G12" s="74" t="s">
        <v>10</v>
      </c>
      <c r="H12" s="75">
        <v>250000000</v>
      </c>
      <c r="I12" s="76">
        <v>250000000</v>
      </c>
      <c r="J12" s="76" t="s">
        <v>11</v>
      </c>
      <c r="K12" s="77" t="s">
        <v>12</v>
      </c>
      <c r="L12" s="75">
        <f>H12</f>
        <v>250000000</v>
      </c>
      <c r="M12" s="76">
        <f>I12</f>
        <v>250000000</v>
      </c>
      <c r="N12" s="76" t="s">
        <v>11</v>
      </c>
      <c r="O12" s="77" t="s">
        <v>12</v>
      </c>
      <c r="P12" s="75">
        <v>500000000</v>
      </c>
      <c r="Q12" s="76">
        <v>500000000</v>
      </c>
      <c r="R12" s="76" t="s">
        <v>11</v>
      </c>
      <c r="S12" s="77" t="s">
        <v>12</v>
      </c>
      <c r="T12" s="75">
        <f>P12</f>
        <v>500000000</v>
      </c>
      <c r="U12" s="76">
        <f>Q12</f>
        <v>500000000</v>
      </c>
      <c r="V12" s="76" t="s">
        <v>11</v>
      </c>
      <c r="W12" s="77" t="s">
        <v>12</v>
      </c>
      <c r="X12" s="75">
        <v>750000000</v>
      </c>
      <c r="Y12" s="76">
        <v>750000000</v>
      </c>
      <c r="Z12" s="76" t="s">
        <v>11</v>
      </c>
      <c r="AA12" s="77" t="s">
        <v>12</v>
      </c>
      <c r="AB12" s="75">
        <f>X12</f>
        <v>750000000</v>
      </c>
      <c r="AC12" s="76">
        <f>Y12</f>
        <v>750000000</v>
      </c>
      <c r="AD12" s="76" t="s">
        <v>11</v>
      </c>
      <c r="AE12" s="77" t="s">
        <v>12</v>
      </c>
      <c r="AF12" s="75">
        <v>1000000000</v>
      </c>
      <c r="AG12" s="76">
        <v>1000000000</v>
      </c>
      <c r="AH12" s="76" t="s">
        <v>11</v>
      </c>
      <c r="AI12" s="77" t="s">
        <v>12</v>
      </c>
      <c r="AJ12" s="75">
        <f>AF12</f>
        <v>1000000000</v>
      </c>
      <c r="AK12" s="76">
        <f>AG12</f>
        <v>1000000000</v>
      </c>
      <c r="AL12" s="76" t="s">
        <v>11</v>
      </c>
      <c r="AM12" s="77" t="s">
        <v>12</v>
      </c>
      <c r="AN12" s="75">
        <v>1500000000</v>
      </c>
      <c r="AO12" s="76">
        <v>1500000000</v>
      </c>
      <c r="AP12" s="76" t="s">
        <v>11</v>
      </c>
      <c r="AQ12" s="77" t="s">
        <v>12</v>
      </c>
      <c r="AR12" s="75">
        <f>AN12</f>
        <v>1500000000</v>
      </c>
      <c r="AS12" s="76">
        <f>AO12</f>
        <v>1500000000</v>
      </c>
      <c r="AT12" s="76" t="s">
        <v>11</v>
      </c>
      <c r="AU12" s="77" t="s">
        <v>12</v>
      </c>
      <c r="AV12" s="75">
        <v>2000000000</v>
      </c>
      <c r="AW12" s="76">
        <v>2000000000</v>
      </c>
      <c r="AX12" s="76" t="s">
        <v>11</v>
      </c>
      <c r="AY12" s="77" t="s">
        <v>12</v>
      </c>
      <c r="AZ12" s="75">
        <f>AV12</f>
        <v>2000000000</v>
      </c>
      <c r="BA12" s="76">
        <f>AW12</f>
        <v>2000000000</v>
      </c>
      <c r="BB12" s="76" t="s">
        <v>11</v>
      </c>
      <c r="BC12" s="77" t="s">
        <v>12</v>
      </c>
      <c r="BD12" s="75">
        <v>2500000000</v>
      </c>
      <c r="BE12" s="76">
        <v>2500000000</v>
      </c>
      <c r="BF12" s="76" t="s">
        <v>11</v>
      </c>
      <c r="BG12" s="77" t="s">
        <v>12</v>
      </c>
      <c r="BH12" s="75">
        <f>BD12</f>
        <v>2500000000</v>
      </c>
      <c r="BI12" s="76">
        <f>BE12</f>
        <v>2500000000</v>
      </c>
      <c r="BJ12" s="76" t="s">
        <v>11</v>
      </c>
      <c r="BK12" s="77" t="s">
        <v>12</v>
      </c>
      <c r="BL12" s="75">
        <v>3000000000</v>
      </c>
      <c r="BM12" s="76">
        <v>3000000000</v>
      </c>
      <c r="BN12" s="76" t="s">
        <v>11</v>
      </c>
      <c r="BO12" s="77" t="s">
        <v>12</v>
      </c>
      <c r="BP12" s="75">
        <f>BL12</f>
        <v>3000000000</v>
      </c>
      <c r="BQ12" s="76">
        <f>BM12</f>
        <v>3000000000</v>
      </c>
      <c r="BR12" s="76" t="s">
        <v>11</v>
      </c>
      <c r="BS12" s="77" t="s">
        <v>12</v>
      </c>
      <c r="BT12"/>
    </row>
    <row r="13" spans="1:72" ht="40.799999999999997" hidden="1" outlineLevel="1" x14ac:dyDescent="0.25">
      <c r="A13" s="78" t="str">
        <f>A$12</f>
        <v>Row Check</v>
      </c>
      <c r="B13" s="79" t="str">
        <f>CONCATENATE(B$10,CHAR(10),B$11,CHAR(10),B$12)</f>
        <v>Either
Written
Count</v>
      </c>
      <c r="C13" s="79" t="str">
        <f>CONCATENATE(C$10,CHAR(10),C$11,CHAR(10),C$12)</f>
        <v>Both
Written
Count</v>
      </c>
      <c r="D13" s="80" t="str">
        <f>CONCATENATE(TEXT(D$10,"ddMMMyyyy"),CHAR(10),D$11,CHAR(10),D$12)</f>
        <v>23Oct2020
Written
Count</v>
      </c>
      <c r="E13" s="80" t="str">
        <f>CONCATENATE(TEXT(E$10,"ddMMMyyyy"),CHAR(10),E$11,CHAR(10),E$12)</f>
        <v>27Oct2021
Written
Count</v>
      </c>
      <c r="F13" s="81" t="str">
        <f>CONCATENATE(F$12)</f>
        <v>Event</v>
      </c>
      <c r="G13" s="82" t="str">
        <f>CONCATENATE(G$12)</f>
        <v>Schedule</v>
      </c>
      <c r="H13" s="80" t="str">
        <f>CONCATENATE(TEXT(H$9,"ddmmm"),TEXT(H$10,"yyyy"),CHAR(10),TEXT(H$12,"#,##0"))</f>
        <v>23Oct2020
250,000,000</v>
      </c>
      <c r="I13" s="80" t="str">
        <f>CONCATENATE(TEXT(I$9,"ddmmm"),TEXT(I$10,"yyyy"),CHAR(10),TEXT(I$12,"#,##0"))</f>
        <v>27Oct2021
250,000,000</v>
      </c>
      <c r="J13" s="83" t="str">
        <f>CONCATENATE(TEXT(H$12,"#,##0"),CHAR(10),J$10,CHAR(10),J$12)</f>
        <v>250,000,000
2020 - 2021
change</v>
      </c>
      <c r="K13" s="82" t="str">
        <f>CONCATENATE(COLUMN(K13),K$12)</f>
        <v>11Δ</v>
      </c>
      <c r="L13" s="83" t="str">
        <f>CONCATENATE(TEXT(L$9,"ddmmm"),TEXT(L$10,"yyyy"),CHAR(10),TEXT(L$12,"#,##0"),CHAR(10),TEXT(L$7,"#,##0")&amp;" xs ",TEXT(L$8,"#,##0"))</f>
        <v>23Oct2020
250,000,000
185,000,000 xs 15,000,000</v>
      </c>
      <c r="M13" s="83" t="str">
        <f>CONCATENATE(TEXT(M$9,"ddmmm"),TEXT(M$10,"yyyy"),CHAR(10),TEXT(M$12,"#,##0"),CHAR(10),TEXT(M$7,"#,##0")&amp;" xs ",TEXT(M$8,"#,##0"))</f>
        <v>27Oct2021
250,000,000
185,000,000 xs 15,000,000</v>
      </c>
      <c r="N13" s="83" t="str">
        <f>CONCATENATE(TEXT(H$12,"#,##0"),CHAR(10),"Layer",CHAR(10),N$10,CHAR(10),N$12)</f>
        <v>250,000,000
Layer
2020 - 2021
change</v>
      </c>
      <c r="O13" s="82" t="str">
        <f>CONCATENATE(COLUMN(O13),O$12)</f>
        <v>15Δ</v>
      </c>
      <c r="P13" s="80" t="str">
        <f>CONCATENATE(TEXT(P$9,"ddmmm"),TEXT(P$10,"yyyy"),CHAR(10),TEXT(P$12,"#,##0"))</f>
        <v>23Oct2020
500,000,000</v>
      </c>
      <c r="Q13" s="80" t="str">
        <f>CONCATENATE(TEXT(Q$9,"ddmmm"),TEXT(Q$10,"yyyy"),CHAR(10),TEXT(Q$12,"#,##0"))</f>
        <v>27Oct2021
500,000,000</v>
      </c>
      <c r="R13" s="83" t="str">
        <f>CONCATENATE(TEXT(P$12,"#,##0"),CHAR(10),R$10,CHAR(10),R$12)</f>
        <v>500,000,000
2020 - 2021
change</v>
      </c>
      <c r="S13" s="82" t="str">
        <f>CONCATENATE(COLUMN(S13),S$12)</f>
        <v>19Δ</v>
      </c>
      <c r="T13" s="83" t="str">
        <f>CONCATENATE(TEXT(T$9,"ddmmm"),TEXT(T$10,"yyyy"),CHAR(10),TEXT(T$12,"#,##0"),CHAR(10),TEXT(T$7,"#,##0")&amp;" xs ",TEXT(T$8,"#,##0"))</f>
        <v>23Oct2020
500,000,000
185,000,000 xs 15,000,000</v>
      </c>
      <c r="U13" s="83" t="str">
        <f>CONCATENATE(TEXT(U$9,"ddmmm"),TEXT(U$10,"yyyy"),CHAR(10),TEXT(U$12,"#,##0"),CHAR(10),TEXT(U$7,"#,##0")&amp;" xs ",TEXT(U$8,"#,##0"))</f>
        <v>27Oct2021
500,000,000
185,000,000 xs 15,000,000</v>
      </c>
      <c r="V13" s="83" t="str">
        <f>CONCATENATE(TEXT(P$12,"#,##0"),CHAR(10),"Layer",CHAR(10),V$10,CHAR(10),V$12)</f>
        <v>500,000,000
Layer
2020 - 2021
change</v>
      </c>
      <c r="W13" s="82" t="str">
        <f>CONCATENATE(COLUMN(W13),W$12)</f>
        <v>23Δ</v>
      </c>
      <c r="X13" s="80" t="str">
        <f>CONCATENATE(TEXT(X$9,"ddmmm"),TEXT(X$10,"yyyy"),CHAR(10),TEXT(X$12,"#,##0"))</f>
        <v>23Oct2020
750,000,000</v>
      </c>
      <c r="Y13" s="80" t="str">
        <f>CONCATENATE(TEXT(Y$9,"ddmmm"),TEXT(Y$10,"yyyy"),CHAR(10),TEXT(Y$12,"#,##0"))</f>
        <v>27Oct2021
750,000,000</v>
      </c>
      <c r="Z13" s="83" t="str">
        <f>CONCATENATE(TEXT(X$12,"#,##0"),CHAR(10),Z$10,CHAR(10),Z$12)</f>
        <v>750,000,000
2020 - 2021
change</v>
      </c>
      <c r="AA13" s="82" t="str">
        <f>CONCATENATE(COLUMN(AA13),AA$12)</f>
        <v>27Δ</v>
      </c>
      <c r="AB13" s="83" t="str">
        <f>CONCATENATE(TEXT(AB$9,"ddmmm"),TEXT(AB$10,"yyyy"),CHAR(10),TEXT(AB$12,"#,##0"),CHAR(10),TEXT(AB$7,"#,##0")&amp;" xs ",TEXT(AB$8,"#,##0"))</f>
        <v>23Oct2020
750,000,000
185,000,000 xs 15,000,000</v>
      </c>
      <c r="AC13" s="83" t="str">
        <f>CONCATENATE(TEXT(AC$9,"ddmmm"),TEXT(AC$10,"yyyy"),CHAR(10),TEXT(AC$12,"#,##0"),CHAR(10),TEXT(AC$7,"#,##0")&amp;" xs ",TEXT(AC$8,"#,##0"))</f>
        <v>27Oct2021
750,000,000
185,000,000 xs 15,000,000</v>
      </c>
      <c r="AD13" s="83" t="str">
        <f>CONCATENATE(TEXT(X$12,"#,##0"),CHAR(10),"Layer",CHAR(10),AD$10,CHAR(10),AD$12)</f>
        <v>750,000,000
Layer
2020 - 2021
change</v>
      </c>
      <c r="AE13" s="82" t="str">
        <f>CONCATENATE(COLUMN(AE13),AE$12)</f>
        <v>31Δ</v>
      </c>
      <c r="AF13" s="80" t="str">
        <f>CONCATENATE(TEXT(AF$9,"ddmmm"),TEXT(AF$10,"yyyy"),CHAR(10),TEXT(AF$12,"#,##0"))</f>
        <v>23Oct2020
1,000,000,000</v>
      </c>
      <c r="AG13" s="80" t="str">
        <f>CONCATENATE(TEXT(AG$9,"ddmmm"),TEXT(AG$10,"yyyy"),CHAR(10),TEXT(AG$12,"#,##0"))</f>
        <v>27Oct2021
1,000,000,000</v>
      </c>
      <c r="AH13" s="83" t="str">
        <f>CONCATENATE(TEXT(AF$12,"#,##0"),CHAR(10),AH$10,CHAR(10),AH$12)</f>
        <v>1,000,000,000
2020 - 2021
change</v>
      </c>
      <c r="AI13" s="82" t="str">
        <f>CONCATENATE(COLUMN(AI13),AI$12)</f>
        <v>35Δ</v>
      </c>
      <c r="AJ13" s="83" t="str">
        <f>CONCATENATE(TEXT(AJ$9,"ddmmm"),TEXT(AJ$10,"yyyy"),CHAR(10),TEXT(AJ$12,"#,##0"),CHAR(10),TEXT(AJ$7,"#,##0")&amp;" xs ",TEXT(AJ$8,"#,##0"))</f>
        <v>23Oct2020
1,000,000,000
185,000,000 xs 15,000,000</v>
      </c>
      <c r="AK13" s="83" t="str">
        <f>CONCATENATE(TEXT(AK$9,"ddmmm"),TEXT(AK$10,"yyyy"),CHAR(10),TEXT(AK$12,"#,##0"),CHAR(10),TEXT(AK$7,"#,##0")&amp;" xs ",TEXT(AK$8,"#,##0"))</f>
        <v>27Oct2021
1,000,000,000
185,000,000 xs 15,000,000</v>
      </c>
      <c r="AL13" s="83" t="str">
        <f>CONCATENATE(TEXT(AF$12,"#,##0"),CHAR(10),"Layer",CHAR(10),AL$10,CHAR(10),AL$12)</f>
        <v>1,000,000,000
Layer
2020 - 2021
change</v>
      </c>
      <c r="AM13" s="82" t="str">
        <f>CONCATENATE(COLUMN(AM13),AM$12)</f>
        <v>39Δ</v>
      </c>
      <c r="AN13" s="80" t="str">
        <f>CONCATENATE(TEXT(AN$9,"ddmmm"),TEXT(AN$10,"yyyy"),CHAR(10),TEXT(AN$12,"#,##0"))</f>
        <v>23Oct2020
1,500,000,000</v>
      </c>
      <c r="AO13" s="80" t="str">
        <f>CONCATENATE(TEXT(AO$9,"ddmmm"),TEXT(AO$10,"yyyy"),CHAR(10),TEXT(AO$12,"#,##0"))</f>
        <v>27Oct2021
1,500,000,000</v>
      </c>
      <c r="AP13" s="83" t="str">
        <f>CONCATENATE(TEXT(AN$12,"#,##0"),CHAR(10),AP$10,CHAR(10),AP$12)</f>
        <v>1,500,000,000
2020 - 2021
change</v>
      </c>
      <c r="AQ13" s="82" t="str">
        <f>CONCATENATE(COLUMN(AQ13),AQ$12)</f>
        <v>43Δ</v>
      </c>
      <c r="AR13" s="83" t="str">
        <f>CONCATENATE(TEXT(AR$9,"ddmmm"),TEXT(AR$10,"yyyy"),CHAR(10),TEXT(AR$12,"#,##0"),CHAR(10),TEXT(AR$7,"#,##0")&amp;" xs ",TEXT(AR$8,"#,##0"))</f>
        <v>23Oct2020
1,500,000,000
185,000,000 xs 15,000,000</v>
      </c>
      <c r="AS13" s="83" t="str">
        <f>CONCATENATE(TEXT(AS$9,"ddmmm"),TEXT(AS$10,"yyyy"),CHAR(10),TEXT(AS$12,"#,##0"),CHAR(10),TEXT(AS$7,"#,##0")&amp;" xs ",TEXT(AS$8,"#,##0"))</f>
        <v>27Oct2021
1,500,000,000
185,000,000 xs 15,000,000</v>
      </c>
      <c r="AT13" s="83" t="str">
        <f>CONCATENATE(TEXT(AN$12,"#,##0"),CHAR(10),"Layer",CHAR(10),AT$10,CHAR(10),AT$12)</f>
        <v>1,500,000,000
Layer
2020 - 2021
change</v>
      </c>
      <c r="AU13" s="82" t="str">
        <f>CONCATENATE(COLUMN(AU13),AU$12)</f>
        <v>47Δ</v>
      </c>
      <c r="AV13" s="80" t="str">
        <f>CONCATENATE(TEXT(AV$9,"ddmmm"),TEXT(AV$10,"yyyy"),CHAR(10),TEXT(AV$12,"#,##0"))</f>
        <v>23Oct2020
2,000,000,000</v>
      </c>
      <c r="AW13" s="80" t="str">
        <f>CONCATENATE(TEXT(AW$9,"ddmmm"),TEXT(AW$10,"yyyy"),CHAR(10),TEXT(AW$12,"#,##0"))</f>
        <v>27Oct2021
2,000,000,000</v>
      </c>
      <c r="AX13" s="83" t="str">
        <f>CONCATENATE(TEXT(AV$12,"#,##0"),CHAR(10),AX$10,CHAR(10),AX$12)</f>
        <v>2,000,000,000
2020 - 2021
change</v>
      </c>
      <c r="AY13" s="82" t="str">
        <f>CONCATENATE(COLUMN(AY13),AY$12)</f>
        <v>51Δ</v>
      </c>
      <c r="AZ13" s="83" t="str">
        <f>CONCATENATE(TEXT(AZ$9,"ddmmm"),TEXT(AZ$10,"yyyy"),CHAR(10),TEXT(AZ$12,"#,##0"),CHAR(10),TEXT(AZ$7,"#,##0")&amp;" xs ",TEXT(AZ$8,"#,##0"))</f>
        <v>23Oct2020
2,000,000,000
185,000,000 xs 15,000,000</v>
      </c>
      <c r="BA13" s="83" t="str">
        <f>CONCATENATE(TEXT(BA$9,"ddmmm"),TEXT(BA$10,"yyyy"),CHAR(10),TEXT(BA$12,"#,##0"),CHAR(10),TEXT(BA$7,"#,##0")&amp;" xs ",TEXT(BA$8,"#,##0"))</f>
        <v>27Oct2021
2,000,000,000
185,000,000 xs 15,000,000</v>
      </c>
      <c r="BB13" s="83" t="str">
        <f>CONCATENATE(TEXT(AV$12,"#,##0"),CHAR(10),"Layer",CHAR(10),BB$10,CHAR(10),BB$12)</f>
        <v>2,000,000,000
Layer
2020 - 2021
change</v>
      </c>
      <c r="BC13" s="82" t="str">
        <f>CONCATENATE(COLUMN(BC13),BC$12)</f>
        <v>55Δ</v>
      </c>
      <c r="BD13" s="80" t="str">
        <f>CONCATENATE(TEXT(BD$9,"ddmmm"),TEXT(BD$10,"yyyy"),CHAR(10),TEXT(BD$12,"#,##0"))</f>
        <v>23Oct2020
2,500,000,000</v>
      </c>
      <c r="BE13" s="80" t="str">
        <f>CONCATENATE(TEXT(BE$9,"ddmmm"),TEXT(BE$10,"yyyy"),CHAR(10),TEXT(BE$12,"#,##0"))</f>
        <v>27Oct2021
2,500,000,000</v>
      </c>
      <c r="BF13" s="83" t="str">
        <f>CONCATENATE(TEXT(BD$12,"#,##0"),CHAR(10),BF$10,CHAR(10),BF$12)</f>
        <v>2,500,000,000
2020 - 2021
change</v>
      </c>
      <c r="BG13" s="82" t="str">
        <f>CONCATENATE(COLUMN(BG13),BG$12)</f>
        <v>59Δ</v>
      </c>
      <c r="BH13" s="83" t="str">
        <f>CONCATENATE(TEXT(BH$9,"ddmmm"),TEXT(BH$10,"yyyy"),CHAR(10),TEXT(BH$12,"#,##0"),CHAR(10),TEXT(BH$7,"#,##0")&amp;" xs ",TEXT(BH$8,"#,##0"))</f>
        <v>23Oct2020
2,500,000,000
185,000,000 xs 15,000,000</v>
      </c>
      <c r="BI13" s="83" t="str">
        <f>CONCATENATE(TEXT(BI$9,"ddmmm"),TEXT(BI$10,"yyyy"),CHAR(10),TEXT(BI$12,"#,##0"),CHAR(10),TEXT(BI$7,"#,##0")&amp;" xs ",TEXT(BI$8,"#,##0"))</f>
        <v>27Oct2021
2,500,000,000
185,000,000 xs 15,000,000</v>
      </c>
      <c r="BJ13" s="83" t="str">
        <f>CONCATENATE(TEXT(BD$12,"#,##0"),CHAR(10),"Layer",CHAR(10),BJ$10,CHAR(10),BJ$12)</f>
        <v>2,500,000,000
Layer
2020 - 2021
change</v>
      </c>
      <c r="BK13" s="82" t="str">
        <f>CONCATENATE(COLUMN(BK13),BK$12)</f>
        <v>63Δ</v>
      </c>
      <c r="BL13" s="80" t="str">
        <f>CONCATENATE(TEXT(BL$9,"ddmmm"),TEXT(BL$10,"yyyy"),CHAR(10),TEXT(BL$12,"#,##0"))</f>
        <v>23Oct2020
3,000,000,000</v>
      </c>
      <c r="BM13" s="80" t="str">
        <f>CONCATENATE(TEXT(BM$9,"ddmmm"),TEXT(BM$10,"yyyy"),CHAR(10),TEXT(BM$12,"#,##0"))</f>
        <v>27Oct2021
3,000,000,000</v>
      </c>
      <c r="BN13" s="83" t="str">
        <f>CONCATENATE(TEXT(BL$12,"#,##0"),CHAR(10),BN$10,CHAR(10),BN$12)</f>
        <v>3,000,000,000
2020 - 2021
change</v>
      </c>
      <c r="BO13" s="82" t="str">
        <f>CONCATENATE(COLUMN(BO13),BO$12)</f>
        <v>67Δ</v>
      </c>
      <c r="BP13" s="83" t="str">
        <f>CONCATENATE(TEXT(BP$9,"ddmmm"),TEXT(BP$10,"yyyy"),CHAR(10),TEXT(BP$12,"#,##0"),CHAR(10),TEXT(BP$7,"#,##0")&amp;" xs ",TEXT(BP$8,"#,##0"))</f>
        <v>23Oct2020
3,000,000,000
185,000,000 xs 15,000,000</v>
      </c>
      <c r="BQ13" s="83" t="str">
        <f>CONCATENATE(TEXT(BQ$9,"ddmmm"),TEXT(BQ$10,"yyyy"),CHAR(10),TEXT(BQ$12,"#,##0"),CHAR(10),TEXT(BQ$7,"#,##0")&amp;" xs ",TEXT(BQ$8,"#,##0"))</f>
        <v>27Oct2021
3,000,000,000
185,000,000 xs 15,000,000</v>
      </c>
      <c r="BR13" s="83" t="str">
        <f>CONCATENATE(TEXT(BL$12,"#,##0"),CHAR(10),"Layer",CHAR(10),BR$10,CHAR(10),BR$12)</f>
        <v>3,000,000,000
Layer
2020 - 2021
change</v>
      </c>
      <c r="BS13" s="82" t="str">
        <f>CONCATENATE(COLUMN(BS13),BS$12)</f>
        <v>71Δ</v>
      </c>
      <c r="BT13" s="84"/>
    </row>
    <row r="14" spans="1:72" collapsed="1" x14ac:dyDescent="0.25">
      <c r="A14" s="85">
        <v>14</v>
      </c>
      <c r="B14" s="85">
        <f t="shared" ref="B14:B77" si="0">IF(OR($D14=1,$E14=1),1,0)</f>
        <v>1</v>
      </c>
      <c r="C14" s="85">
        <f t="shared" ref="C14:C77" si="1">IF(AND($D14=1,$E14=1),1,0)</f>
        <v>1</v>
      </c>
      <c r="D14" s="86">
        <f t="shared" ref="D14:E33" si="2">IF(SUMIFS($F14:$BO14,$F$9:$BO$9,D$9,$F$10:$BO$10,D$10)&gt;0,1,0)</f>
        <v>1</v>
      </c>
      <c r="E14" s="86">
        <f t="shared" si="2"/>
        <v>1</v>
      </c>
      <c r="F14" s="48" t="s">
        <v>55</v>
      </c>
      <c r="G14" s="38" t="s">
        <v>17</v>
      </c>
      <c r="H14" s="87">
        <v>7644679.3770000003</v>
      </c>
      <c r="I14" s="87">
        <v>9264252.9970000014</v>
      </c>
      <c r="J14" s="87">
        <f t="shared" ref="J14:J45" si="3">IF(Dyn_Insured="","",IF(ISNUMBER(I14)=FALSE,0,I14)-IF(ISNUMBER(H14)=FALSE,0,H14))</f>
        <v>1619573.620000001</v>
      </c>
      <c r="K14" s="88">
        <f t="shared" ref="K14:K77" si="4">J14</f>
        <v>1619573.620000001</v>
      </c>
      <c r="L14" s="87">
        <f>IF(Dyn_Insured="","",IF(ISNUMBER(H14)=FALSE,"n/a",MIN(MAX(H14-'Layer Comparison'!Excess_Past,0),'Layer Comparison'!Limit_Past)))</f>
        <v>0</v>
      </c>
      <c r="M14" s="87">
        <f>IF(Dyn_Insured="","",IF(ISNUMBER(I14)=FALSE,"n/a",MIN(MAX(I14-'Layer Comparison'!Excess_Latest,0),'Layer Comparison'!Limit_Latest)))</f>
        <v>0</v>
      </c>
      <c r="N14" s="87">
        <f t="shared" ref="N14:N45" si="5">IF(Dyn_Insured="","",IF(ISNUMBER(M14)=FALSE,0,M14)-IF(ISNUMBER(L14)=FALSE,0,L14))</f>
        <v>0</v>
      </c>
      <c r="O14" s="88">
        <f t="shared" ref="O14:O77" si="6">N14</f>
        <v>0</v>
      </c>
      <c r="P14" s="87">
        <v>22372924.966899998</v>
      </c>
      <c r="Q14" s="87">
        <v>24080829.658100009</v>
      </c>
      <c r="R14" s="87">
        <f t="shared" ref="R14:R45" si="7">IF(Dyn_Insured="","",IF(ISNUMBER(Q14)=FALSE,0,Q14)-IF(ISNUMBER(P14)=FALSE,0,P14))</f>
        <v>1707904.6912000105</v>
      </c>
      <c r="S14" s="88">
        <f t="shared" ref="S14:S77" si="8">R14</f>
        <v>1707904.6912000105</v>
      </c>
      <c r="T14" s="87">
        <f>IF(Dyn_Insured="","",IF(ISNUMBER(P14)=FALSE,"n/a",MIN(MAX(P14-'Layer Comparison'!Excess_Past,0),'Layer Comparison'!Limit_Past)))</f>
        <v>7372924.9668999985</v>
      </c>
      <c r="U14" s="87">
        <f>IF(Dyn_Insured="","",IF(ISNUMBER(Q14)=FALSE,"n/a",MIN(MAX(Q14-'Layer Comparison'!Excess_Latest,0),'Layer Comparison'!Limit_Latest)))</f>
        <v>9080829.658100009</v>
      </c>
      <c r="V14" s="87">
        <f t="shared" ref="V14:V45" si="9">IF(Dyn_Insured="","",IF(ISNUMBER(U14)=FALSE,0,U14)-IF(ISNUMBER(T14)=FALSE,0,T14))</f>
        <v>1707904.6912000105</v>
      </c>
      <c r="W14" s="88">
        <f t="shared" ref="W14:W77" si="10">V14</f>
        <v>1707904.6912000105</v>
      </c>
      <c r="X14" s="87">
        <v>37308361.923799999</v>
      </c>
      <c r="Y14" s="87">
        <v>38372251.535900004</v>
      </c>
      <c r="Z14" s="87">
        <f t="shared" ref="Z14:Z45" si="11">IF(Dyn_Insured="","",IF(ISNUMBER(Y14)=FALSE,0,Y14)-IF(ISNUMBER(X14)=FALSE,0,X14))</f>
        <v>1063889.6121000051</v>
      </c>
      <c r="AA14" s="88">
        <f t="shared" ref="AA14:AA77" si="12">Z14</f>
        <v>1063889.6121000051</v>
      </c>
      <c r="AB14" s="87">
        <f>IF(Dyn_Insured="","",IF(ISNUMBER(X14)=FALSE,"n/a",MIN(MAX(X14-'Layer Comparison'!Excess_Past,0),'Layer Comparison'!Limit_Past)))</f>
        <v>22308361.923799999</v>
      </c>
      <c r="AC14" s="87">
        <f>IF(Dyn_Insured="","",IF(ISNUMBER(Y14)=FALSE,"n/a",MIN(MAX(Y14-'Layer Comparison'!Excess_Latest,0),'Layer Comparison'!Limit_Latest)))</f>
        <v>23372251.535900004</v>
      </c>
      <c r="AD14" s="87">
        <f t="shared" ref="AD14:AD45" si="13">IF(Dyn_Insured="","",IF(ISNUMBER(AC14)=FALSE,0,AC14)-IF(ISNUMBER(AB14)=FALSE,0,AB14))</f>
        <v>1063889.6121000051</v>
      </c>
      <c r="AE14" s="88">
        <f t="shared" ref="AE14:AE77" si="14">AD14</f>
        <v>1063889.6121000051</v>
      </c>
      <c r="AF14" s="87">
        <v>42289066.421300009</v>
      </c>
      <c r="AG14" s="87">
        <v>43228105.0132</v>
      </c>
      <c r="AH14" s="87">
        <f t="shared" ref="AH14:AH45" si="15">IF(Dyn_Insured="","",IF(ISNUMBER(AG14)=FALSE,0,AG14)-IF(ISNUMBER(AF14)=FALSE,0,AF14))</f>
        <v>939038.59189999104</v>
      </c>
      <c r="AI14" s="88">
        <f t="shared" ref="AI14:AI77" si="16">AH14</f>
        <v>939038.59189999104</v>
      </c>
      <c r="AJ14" s="87">
        <f>IF(Dyn_Insured="","",IF(ISNUMBER(AF14)=FALSE,"n/a",MIN(MAX(AF14-'Layer Comparison'!Excess_Past,0),'Layer Comparison'!Limit_Past)))</f>
        <v>27289066.421300009</v>
      </c>
      <c r="AK14" s="87">
        <f>IF(Dyn_Insured="","",IF(ISNUMBER(AG14)=FALSE,"n/a",MIN(MAX(AG14-'Layer Comparison'!Excess_Latest,0),'Layer Comparison'!Limit_Latest)))</f>
        <v>28228105.0132</v>
      </c>
      <c r="AL14" s="87">
        <f t="shared" ref="AL14:AL45" si="17">IF(Dyn_Insured="","",IF(ISNUMBER(AK14)=FALSE,0,AK14)-IF(ISNUMBER(AJ14)=FALSE,0,AJ14))</f>
        <v>939038.59189999104</v>
      </c>
      <c r="AM14" s="88">
        <f t="shared" ref="AM14:AM77" si="18">AL14</f>
        <v>939038.59189999104</v>
      </c>
      <c r="AN14" s="87">
        <v>42289066.421300009</v>
      </c>
      <c r="AO14" s="87">
        <v>43228105.0132</v>
      </c>
      <c r="AP14" s="87">
        <f t="shared" ref="AP14:AP45" si="19">IF(Dyn_Insured="","",IF(ISNUMBER(AO14)=FALSE,0,AO14)-IF(ISNUMBER(AN14)=FALSE,0,AN14))</f>
        <v>939038.59189999104</v>
      </c>
      <c r="AQ14" s="88">
        <f t="shared" ref="AQ14:AQ77" si="20">AP14</f>
        <v>939038.59189999104</v>
      </c>
      <c r="AR14" s="87">
        <f>IF(Dyn_Insured="","",IF(ISNUMBER(AN14)=FALSE,"n/a",MIN(MAX(AN14-'Layer Comparison'!Excess_Past,0),'Layer Comparison'!Limit_Past)))</f>
        <v>27289066.421300009</v>
      </c>
      <c r="AS14" s="87">
        <f>IF(Dyn_Insured="","",IF(ISNUMBER(AO14)=FALSE,"n/a",MIN(MAX(AO14-'Layer Comparison'!Excess_Latest,0),'Layer Comparison'!Limit_Latest)))</f>
        <v>28228105.0132</v>
      </c>
      <c r="AT14" s="87">
        <f t="shared" ref="AT14:AT45" si="21">IF(Dyn_Insured="","",IF(ISNUMBER(AS14)=FALSE,0,AS14)-IF(ISNUMBER(AR14)=FALSE,0,AR14))</f>
        <v>939038.59189999104</v>
      </c>
      <c r="AU14" s="88">
        <f t="shared" ref="AU14:AU77" si="22">AT14</f>
        <v>939038.59189999104</v>
      </c>
      <c r="AV14" s="87">
        <v>42289066.421300009</v>
      </c>
      <c r="AW14" s="87">
        <v>43228105.0132</v>
      </c>
      <c r="AX14" s="87">
        <f t="shared" ref="AX14:AX45" si="23">IF(Dyn_Insured="","",IF(ISNUMBER(AW14)=FALSE,0,AW14)-IF(ISNUMBER(AV14)=FALSE,0,AV14))</f>
        <v>939038.59189999104</v>
      </c>
      <c r="AY14" s="88">
        <f t="shared" ref="AY14:AY77" si="24">AX14</f>
        <v>939038.59189999104</v>
      </c>
      <c r="AZ14" s="87">
        <f>IF(Dyn_Insured="","",IF(ISNUMBER(AV14)=FALSE,"n/a",MIN(MAX(AV14-'Layer Comparison'!Excess_Past,0),'Layer Comparison'!Limit_Past)))</f>
        <v>27289066.421300009</v>
      </c>
      <c r="BA14" s="87">
        <f>IF(Dyn_Insured="","",IF(ISNUMBER(AW14)=FALSE,"n/a",MIN(MAX(AW14-'Layer Comparison'!Excess_Latest,0),'Layer Comparison'!Limit_Latest)))</f>
        <v>28228105.0132</v>
      </c>
      <c r="BB14" s="87">
        <f t="shared" ref="BB14:BB45" si="25">IF(Dyn_Insured="","",IF(ISNUMBER(BA14)=FALSE,0,BA14)-IF(ISNUMBER(AZ14)=FALSE,0,AZ14))</f>
        <v>939038.59189999104</v>
      </c>
      <c r="BC14" s="88">
        <f t="shared" ref="BC14:BC77" si="26">BB14</f>
        <v>939038.59189999104</v>
      </c>
      <c r="BD14" s="87">
        <v>42289066.421300009</v>
      </c>
      <c r="BE14" s="87">
        <v>43228105.0132</v>
      </c>
      <c r="BF14" s="87">
        <f t="shared" ref="BF14:BF45" si="27">IF(Dyn_Insured="","",IF(ISNUMBER(BE14)=FALSE,0,BE14)-IF(ISNUMBER(BD14)=FALSE,0,BD14))</f>
        <v>939038.59189999104</v>
      </c>
      <c r="BG14" s="88">
        <f t="shared" ref="BG14:BG77" si="28">BF14</f>
        <v>939038.59189999104</v>
      </c>
      <c r="BH14" s="87">
        <f>IF(Dyn_Insured="","",IF(ISNUMBER(BD14)=FALSE,"n/a",MIN(MAX(BD14-'Layer Comparison'!Excess_Past,0),'Layer Comparison'!Limit_Past)))</f>
        <v>27289066.421300009</v>
      </c>
      <c r="BI14" s="87">
        <f>IF(Dyn_Insured="","",IF(ISNUMBER(BE14)=FALSE,"n/a",MIN(MAX(BE14-'Layer Comparison'!Excess_Latest,0),'Layer Comparison'!Limit_Latest)))</f>
        <v>28228105.0132</v>
      </c>
      <c r="BJ14" s="87">
        <f t="shared" ref="BJ14:BJ45" si="29">IF(Dyn_Insured="","",IF(ISNUMBER(BI14)=FALSE,0,BI14)-IF(ISNUMBER(BH14)=FALSE,0,BH14))</f>
        <v>939038.59189999104</v>
      </c>
      <c r="BK14" s="88">
        <f t="shared" ref="BK14:BK77" si="30">BJ14</f>
        <v>939038.59189999104</v>
      </c>
      <c r="BL14" s="87">
        <v>42289066.421300009</v>
      </c>
      <c r="BM14" s="87">
        <v>43228105.013200007</v>
      </c>
      <c r="BN14" s="87">
        <f t="shared" ref="BN14:BN45" si="31">IF(Dyn_Insured="","",IF(ISNUMBER(BM14)=FALSE,0,BM14)-IF(ISNUMBER(BL14)=FALSE,0,BL14))</f>
        <v>939038.59189999849</v>
      </c>
      <c r="BO14" s="88">
        <f t="shared" ref="BO14:BO77" si="32">BN14</f>
        <v>939038.59189999849</v>
      </c>
      <c r="BP14" s="87">
        <f>IF(Dyn_Insured="","",IF(ISNUMBER(BL14)=FALSE,"n/a",MIN(MAX(BL14-'Layer Comparison'!Excess_Past,0),'Layer Comparison'!Limit_Past)))</f>
        <v>27289066.421300009</v>
      </c>
      <c r="BQ14" s="87">
        <f>IF(Dyn_Insured="","",IF(ISNUMBER(BM14)=FALSE,"n/a",MIN(MAX(BM14-'Layer Comparison'!Excess_Latest,0),'Layer Comparison'!Limit_Latest)))</f>
        <v>28228105.013200007</v>
      </c>
      <c r="BR14" s="87">
        <f t="shared" ref="BR14:BR45" si="33">IF(Dyn_Insured="","",IF(ISNUMBER(BQ14)=FALSE,0,BQ14)-IF(ISNUMBER(BP14)=FALSE,0,BP14))</f>
        <v>939038.59189999849</v>
      </c>
      <c r="BS14" s="88">
        <f t="shared" ref="BS14:BS77" si="34">BR14</f>
        <v>939038.59189999849</v>
      </c>
      <c r="BT14" s="46" t="s">
        <v>13</v>
      </c>
    </row>
    <row r="15" spans="1:72" x14ac:dyDescent="0.25">
      <c r="A15" s="89">
        <v>15</v>
      </c>
      <c r="B15" s="89">
        <f t="shared" si="0"/>
        <v>1</v>
      </c>
      <c r="C15" s="89">
        <f t="shared" si="1"/>
        <v>1</v>
      </c>
      <c r="D15" s="90">
        <f t="shared" si="2"/>
        <v>1</v>
      </c>
      <c r="E15" s="90">
        <f t="shared" si="2"/>
        <v>1</v>
      </c>
      <c r="F15" s="48" t="s">
        <v>56</v>
      </c>
      <c r="G15" s="38" t="s">
        <v>17</v>
      </c>
      <c r="H15" s="87">
        <v>4172078.2284999997</v>
      </c>
      <c r="I15" s="87">
        <v>3346683.4791999999</v>
      </c>
      <c r="J15" s="87">
        <f t="shared" si="3"/>
        <v>-825394.74929999979</v>
      </c>
      <c r="K15" s="88">
        <f t="shared" si="4"/>
        <v>-825394.74929999979</v>
      </c>
      <c r="L15" s="87">
        <f>IF(Dyn_Insured="","",IF(ISNUMBER(H15)=FALSE,"n/a",MIN(MAX(H15-'Layer Comparison'!Excess_Past,0),'Layer Comparison'!Limit_Past)))</f>
        <v>0</v>
      </c>
      <c r="M15" s="87">
        <f>IF(Dyn_Insured="","",IF(ISNUMBER(I15)=FALSE,"n/a",MIN(MAX(I15-'Layer Comparison'!Excess_Latest,0),'Layer Comparison'!Limit_Latest)))</f>
        <v>0</v>
      </c>
      <c r="N15" s="87">
        <f t="shared" si="5"/>
        <v>0</v>
      </c>
      <c r="O15" s="88">
        <f t="shared" si="6"/>
        <v>0</v>
      </c>
      <c r="P15" s="87">
        <v>16584078.2455</v>
      </c>
      <c r="Q15" s="87">
        <v>11689648.6413</v>
      </c>
      <c r="R15" s="87">
        <f t="shared" si="7"/>
        <v>-4894429.6041999999</v>
      </c>
      <c r="S15" s="88">
        <f t="shared" si="8"/>
        <v>-4894429.6041999999</v>
      </c>
      <c r="T15" s="87">
        <f>IF(Dyn_Insured="","",IF(ISNUMBER(P15)=FALSE,"n/a",MIN(MAX(P15-'Layer Comparison'!Excess_Past,0),'Layer Comparison'!Limit_Past)))</f>
        <v>1584078.2455000002</v>
      </c>
      <c r="U15" s="87">
        <f>IF(Dyn_Insured="","",IF(ISNUMBER(Q15)=FALSE,"n/a",MIN(MAX(Q15-'Layer Comparison'!Excess_Latest,0),'Layer Comparison'!Limit_Latest)))</f>
        <v>0</v>
      </c>
      <c r="V15" s="87">
        <f t="shared" si="9"/>
        <v>-1584078.2455000002</v>
      </c>
      <c r="W15" s="88">
        <f t="shared" si="10"/>
        <v>-1584078.2455000002</v>
      </c>
      <c r="X15" s="87">
        <v>29796744.2344</v>
      </c>
      <c r="Y15" s="87">
        <v>23326581.529799998</v>
      </c>
      <c r="Z15" s="87">
        <f t="shared" si="11"/>
        <v>-6470162.7046000026</v>
      </c>
      <c r="AA15" s="88">
        <f t="shared" si="12"/>
        <v>-6470162.7046000026</v>
      </c>
      <c r="AB15" s="87">
        <f>IF(Dyn_Insured="","",IF(ISNUMBER(X15)=FALSE,"n/a",MIN(MAX(X15-'Layer Comparison'!Excess_Past,0),'Layer Comparison'!Limit_Past)))</f>
        <v>14796744.2344</v>
      </c>
      <c r="AC15" s="87">
        <f>IF(Dyn_Insured="","",IF(ISNUMBER(Y15)=FALSE,"n/a",MIN(MAX(Y15-'Layer Comparison'!Excess_Latest,0),'Layer Comparison'!Limit_Latest)))</f>
        <v>8326581.5297999978</v>
      </c>
      <c r="AD15" s="87">
        <f t="shared" si="13"/>
        <v>-6470162.7046000026</v>
      </c>
      <c r="AE15" s="88">
        <f t="shared" si="14"/>
        <v>-6470162.7046000026</v>
      </c>
      <c r="AF15" s="87">
        <v>44003804.041700006</v>
      </c>
      <c r="AG15" s="87">
        <v>35076703.776799992</v>
      </c>
      <c r="AH15" s="87">
        <f t="shared" si="15"/>
        <v>-8927100.2649000138</v>
      </c>
      <c r="AI15" s="88">
        <f t="shared" si="16"/>
        <v>-8927100.2649000138</v>
      </c>
      <c r="AJ15" s="87">
        <f>IF(Dyn_Insured="","",IF(ISNUMBER(AF15)=FALSE,"n/a",MIN(MAX(AF15-'Layer Comparison'!Excess_Past,0),'Layer Comparison'!Limit_Past)))</f>
        <v>29003804.041700006</v>
      </c>
      <c r="AK15" s="87">
        <f>IF(Dyn_Insured="","",IF(ISNUMBER(AG15)=FALSE,"n/a",MIN(MAX(AG15-'Layer Comparison'!Excess_Latest,0),'Layer Comparison'!Limit_Latest)))</f>
        <v>20076703.776799992</v>
      </c>
      <c r="AL15" s="87">
        <f t="shared" si="17"/>
        <v>-8927100.2649000138</v>
      </c>
      <c r="AM15" s="88">
        <f t="shared" si="18"/>
        <v>-8927100.2649000138</v>
      </c>
      <c r="AN15" s="87">
        <v>67014632.990200005</v>
      </c>
      <c r="AO15" s="87">
        <v>56019708.662799969</v>
      </c>
      <c r="AP15" s="87">
        <f t="shared" si="19"/>
        <v>-10994924.327400036</v>
      </c>
      <c r="AQ15" s="88">
        <f t="shared" si="20"/>
        <v>-10994924.327400036</v>
      </c>
      <c r="AR15" s="87">
        <f>IF(Dyn_Insured="","",IF(ISNUMBER(AN15)=FALSE,"n/a",MIN(MAX(AN15-'Layer Comparison'!Excess_Past,0),'Layer Comparison'!Limit_Past)))</f>
        <v>52014632.990200005</v>
      </c>
      <c r="AS15" s="87">
        <f>IF(Dyn_Insured="","",IF(ISNUMBER(AO15)=FALSE,"n/a",MIN(MAX(AO15-'Layer Comparison'!Excess_Latest,0),'Layer Comparison'!Limit_Latest)))</f>
        <v>41019708.662799969</v>
      </c>
      <c r="AT15" s="87">
        <f t="shared" si="21"/>
        <v>-10994924.327400036</v>
      </c>
      <c r="AU15" s="88">
        <f t="shared" si="22"/>
        <v>-10994924.327400036</v>
      </c>
      <c r="AV15" s="87">
        <v>70849946.541299999</v>
      </c>
      <c r="AW15" s="87">
        <v>59113934.213800021</v>
      </c>
      <c r="AX15" s="87">
        <f t="shared" si="23"/>
        <v>-11736012.327499978</v>
      </c>
      <c r="AY15" s="88">
        <f t="shared" si="24"/>
        <v>-11736012.327499978</v>
      </c>
      <c r="AZ15" s="87">
        <f>IF(Dyn_Insured="","",IF(ISNUMBER(AV15)=FALSE,"n/a",MIN(MAX(AV15-'Layer Comparison'!Excess_Past,0),'Layer Comparison'!Limit_Past)))</f>
        <v>55849946.541299999</v>
      </c>
      <c r="BA15" s="87">
        <f>IF(Dyn_Insured="","",IF(ISNUMBER(AW15)=FALSE,"n/a",MIN(MAX(AW15-'Layer Comparison'!Excess_Latest,0),'Layer Comparison'!Limit_Latest)))</f>
        <v>44113934.213800021</v>
      </c>
      <c r="BB15" s="87">
        <f t="shared" si="25"/>
        <v>-11736012.327499978</v>
      </c>
      <c r="BC15" s="88">
        <f t="shared" si="26"/>
        <v>-11736012.327499978</v>
      </c>
      <c r="BD15" s="87">
        <v>72498341.245099992</v>
      </c>
      <c r="BE15" s="87">
        <v>60601923.844299994</v>
      </c>
      <c r="BF15" s="87">
        <f t="shared" si="27"/>
        <v>-11896417.400799997</v>
      </c>
      <c r="BG15" s="88">
        <f t="shared" si="28"/>
        <v>-11896417.400799997</v>
      </c>
      <c r="BH15" s="87">
        <f>IF(Dyn_Insured="","",IF(ISNUMBER(BD15)=FALSE,"n/a",MIN(MAX(BD15-'Layer Comparison'!Excess_Past,0),'Layer Comparison'!Limit_Past)))</f>
        <v>57498341.245099992</v>
      </c>
      <c r="BI15" s="87">
        <f>IF(Dyn_Insured="","",IF(ISNUMBER(BE15)=FALSE,"n/a",MIN(MAX(BE15-'Layer Comparison'!Excess_Latest,0),'Layer Comparison'!Limit_Latest)))</f>
        <v>45601923.844299994</v>
      </c>
      <c r="BJ15" s="87">
        <f t="shared" si="29"/>
        <v>-11896417.400799997</v>
      </c>
      <c r="BK15" s="88">
        <f t="shared" si="30"/>
        <v>-11896417.400799997</v>
      </c>
      <c r="BL15" s="87">
        <v>72498341.245099992</v>
      </c>
      <c r="BM15" s="87">
        <v>60601923.844299994</v>
      </c>
      <c r="BN15" s="87">
        <f t="shared" si="31"/>
        <v>-11896417.400799997</v>
      </c>
      <c r="BO15" s="88">
        <f t="shared" si="32"/>
        <v>-11896417.400799997</v>
      </c>
      <c r="BP15" s="87">
        <f>IF(Dyn_Insured="","",IF(ISNUMBER(BL15)=FALSE,"n/a",MIN(MAX(BL15-'Layer Comparison'!Excess_Past,0),'Layer Comparison'!Limit_Past)))</f>
        <v>57498341.245099992</v>
      </c>
      <c r="BQ15" s="87">
        <f>IF(Dyn_Insured="","",IF(ISNUMBER(BM15)=FALSE,"n/a",MIN(MAX(BM15-'Layer Comparison'!Excess_Latest,0),'Layer Comparison'!Limit_Latest)))</f>
        <v>45601923.844299994</v>
      </c>
      <c r="BR15" s="87">
        <f t="shared" si="33"/>
        <v>-11896417.400799997</v>
      </c>
      <c r="BS15" s="88">
        <f t="shared" si="34"/>
        <v>-11896417.400799997</v>
      </c>
      <c r="BT15" s="46" t="s">
        <v>13</v>
      </c>
    </row>
    <row r="16" spans="1:72" x14ac:dyDescent="0.25">
      <c r="A16" s="89">
        <v>16</v>
      </c>
      <c r="B16" s="89">
        <f t="shared" si="0"/>
        <v>1</v>
      </c>
      <c r="C16" s="89">
        <f t="shared" si="1"/>
        <v>1</v>
      </c>
      <c r="D16" s="90">
        <f t="shared" si="2"/>
        <v>1</v>
      </c>
      <c r="E16" s="90">
        <f t="shared" si="2"/>
        <v>1</v>
      </c>
      <c r="F16" s="48" t="s">
        <v>57</v>
      </c>
      <c r="G16" s="38" t="s">
        <v>17</v>
      </c>
      <c r="H16" s="87">
        <v>3960161.8975</v>
      </c>
      <c r="I16" s="87">
        <v>2516432.9449</v>
      </c>
      <c r="J16" s="87">
        <f t="shared" si="3"/>
        <v>-1443728.9526</v>
      </c>
      <c r="K16" s="88">
        <f t="shared" si="4"/>
        <v>-1443728.9526</v>
      </c>
      <c r="L16" s="87">
        <f>IF(Dyn_Insured="","",IF(ISNUMBER(H16)=FALSE,"n/a",MIN(MAX(H16-'Layer Comparison'!Excess_Past,0),'Layer Comparison'!Limit_Past)))</f>
        <v>0</v>
      </c>
      <c r="M16" s="87">
        <f>IF(Dyn_Insured="","",IF(ISNUMBER(I16)=FALSE,"n/a",MIN(MAX(I16-'Layer Comparison'!Excess_Latest,0),'Layer Comparison'!Limit_Latest)))</f>
        <v>0</v>
      </c>
      <c r="N16" s="87">
        <f t="shared" si="5"/>
        <v>0</v>
      </c>
      <c r="O16" s="88">
        <f t="shared" si="6"/>
        <v>0</v>
      </c>
      <c r="P16" s="87">
        <v>16088076.858699996</v>
      </c>
      <c r="Q16" s="87">
        <v>12001620.415100003</v>
      </c>
      <c r="R16" s="87">
        <f t="shared" si="7"/>
        <v>-4086456.4435999934</v>
      </c>
      <c r="S16" s="88">
        <f t="shared" si="8"/>
        <v>-4086456.4435999934</v>
      </c>
      <c r="T16" s="87">
        <f>IF(Dyn_Insured="","",IF(ISNUMBER(P16)=FALSE,"n/a",MIN(MAX(P16-'Layer Comparison'!Excess_Past,0),'Layer Comparison'!Limit_Past)))</f>
        <v>1088076.858699996</v>
      </c>
      <c r="U16" s="87">
        <f>IF(Dyn_Insured="","",IF(ISNUMBER(Q16)=FALSE,"n/a",MIN(MAX(Q16-'Layer Comparison'!Excess_Latest,0),'Layer Comparison'!Limit_Latest)))</f>
        <v>0</v>
      </c>
      <c r="V16" s="87">
        <f t="shared" si="9"/>
        <v>-1088076.858699996</v>
      </c>
      <c r="W16" s="88">
        <f t="shared" si="10"/>
        <v>-1088076.858699996</v>
      </c>
      <c r="X16" s="87">
        <v>27985708.787399996</v>
      </c>
      <c r="Y16" s="87">
        <v>22483076.588100001</v>
      </c>
      <c r="Z16" s="87">
        <f t="shared" si="11"/>
        <v>-5502632.1992999949</v>
      </c>
      <c r="AA16" s="88">
        <f t="shared" si="12"/>
        <v>-5502632.1992999949</v>
      </c>
      <c r="AB16" s="87">
        <f>IF(Dyn_Insured="","",IF(ISNUMBER(X16)=FALSE,"n/a",MIN(MAX(X16-'Layer Comparison'!Excess_Past,0),'Layer Comparison'!Limit_Past)))</f>
        <v>12985708.787399996</v>
      </c>
      <c r="AC16" s="87">
        <f>IF(Dyn_Insured="","",IF(ISNUMBER(Y16)=FALSE,"n/a",MIN(MAX(Y16-'Layer Comparison'!Excess_Latest,0),'Layer Comparison'!Limit_Latest)))</f>
        <v>7483076.5881000012</v>
      </c>
      <c r="AD16" s="87">
        <f t="shared" si="13"/>
        <v>-5502632.1992999949</v>
      </c>
      <c r="AE16" s="88">
        <f t="shared" si="14"/>
        <v>-5502632.1992999949</v>
      </c>
      <c r="AF16" s="87">
        <v>39236118.770799987</v>
      </c>
      <c r="AG16" s="87">
        <v>32617200.8816</v>
      </c>
      <c r="AH16" s="87">
        <f t="shared" si="15"/>
        <v>-6618917.8891999871</v>
      </c>
      <c r="AI16" s="88">
        <f t="shared" si="16"/>
        <v>-6618917.8891999871</v>
      </c>
      <c r="AJ16" s="87">
        <f>IF(Dyn_Insured="","",IF(ISNUMBER(AF16)=FALSE,"n/a",MIN(MAX(AF16-'Layer Comparison'!Excess_Past,0),'Layer Comparison'!Limit_Past)))</f>
        <v>24236118.770799987</v>
      </c>
      <c r="AK16" s="87">
        <f>IF(Dyn_Insured="","",IF(ISNUMBER(AG16)=FALSE,"n/a",MIN(MAX(AG16-'Layer Comparison'!Excess_Latest,0),'Layer Comparison'!Limit_Latest)))</f>
        <v>17617200.8816</v>
      </c>
      <c r="AL16" s="87">
        <f t="shared" si="17"/>
        <v>-6618917.8891999871</v>
      </c>
      <c r="AM16" s="88">
        <f t="shared" si="18"/>
        <v>-6618917.8891999871</v>
      </c>
      <c r="AN16" s="87">
        <v>63750437.512200005</v>
      </c>
      <c r="AO16" s="87">
        <v>54680581.243199989</v>
      </c>
      <c r="AP16" s="87">
        <f t="shared" si="19"/>
        <v>-9069856.2690000162</v>
      </c>
      <c r="AQ16" s="88">
        <f t="shared" si="20"/>
        <v>-9069856.2690000162</v>
      </c>
      <c r="AR16" s="87">
        <f>IF(Dyn_Insured="","",IF(ISNUMBER(AN16)=FALSE,"n/a",MIN(MAX(AN16-'Layer Comparison'!Excess_Past,0),'Layer Comparison'!Limit_Past)))</f>
        <v>48750437.512200005</v>
      </c>
      <c r="AS16" s="87">
        <f>IF(Dyn_Insured="","",IF(ISNUMBER(AO16)=FALSE,"n/a",MIN(MAX(AO16-'Layer Comparison'!Excess_Latest,0),'Layer Comparison'!Limit_Latest)))</f>
        <v>39680581.243199989</v>
      </c>
      <c r="AT16" s="87">
        <f t="shared" si="21"/>
        <v>-9069856.2690000162</v>
      </c>
      <c r="AU16" s="88">
        <f t="shared" si="22"/>
        <v>-9069856.2690000162</v>
      </c>
      <c r="AV16" s="87">
        <v>80768145.429299995</v>
      </c>
      <c r="AW16" s="87">
        <v>69119497.851399973</v>
      </c>
      <c r="AX16" s="87">
        <f t="shared" si="23"/>
        <v>-11648647.577900022</v>
      </c>
      <c r="AY16" s="88">
        <f t="shared" si="24"/>
        <v>-11648647.577900022</v>
      </c>
      <c r="AZ16" s="87">
        <f>IF(Dyn_Insured="","",IF(ISNUMBER(AV16)=FALSE,"n/a",MIN(MAX(AV16-'Layer Comparison'!Excess_Past,0),'Layer Comparison'!Limit_Past)))</f>
        <v>65768145.429299995</v>
      </c>
      <c r="BA16" s="87">
        <f>IF(Dyn_Insured="","",IF(ISNUMBER(AW16)=FALSE,"n/a",MIN(MAX(AW16-'Layer Comparison'!Excess_Latest,0),'Layer Comparison'!Limit_Latest)))</f>
        <v>54119497.851399973</v>
      </c>
      <c r="BB16" s="87">
        <f t="shared" si="25"/>
        <v>-11648647.577900022</v>
      </c>
      <c r="BC16" s="88">
        <f t="shared" si="26"/>
        <v>-11648647.577900022</v>
      </c>
      <c r="BD16" s="87">
        <v>80835966.822099999</v>
      </c>
      <c r="BE16" s="87">
        <v>69184058.310499981</v>
      </c>
      <c r="BF16" s="87">
        <f t="shared" si="27"/>
        <v>-11651908.511600018</v>
      </c>
      <c r="BG16" s="88">
        <f t="shared" si="28"/>
        <v>-11651908.511600018</v>
      </c>
      <c r="BH16" s="87">
        <f>IF(Dyn_Insured="","",IF(ISNUMBER(BD16)=FALSE,"n/a",MIN(MAX(BD16-'Layer Comparison'!Excess_Past,0),'Layer Comparison'!Limit_Past)))</f>
        <v>65835966.822099999</v>
      </c>
      <c r="BI16" s="87">
        <f>IF(Dyn_Insured="","",IF(ISNUMBER(BE16)=FALSE,"n/a",MIN(MAX(BE16-'Layer Comparison'!Excess_Latest,0),'Layer Comparison'!Limit_Latest)))</f>
        <v>54184058.310499981</v>
      </c>
      <c r="BJ16" s="87">
        <f t="shared" si="29"/>
        <v>-11651908.511600018</v>
      </c>
      <c r="BK16" s="88">
        <f t="shared" si="30"/>
        <v>-11651908.511600018</v>
      </c>
      <c r="BL16" s="87">
        <v>80835966.822099999</v>
      </c>
      <c r="BM16" s="87">
        <v>69184058.310499996</v>
      </c>
      <c r="BN16" s="87">
        <f t="shared" si="31"/>
        <v>-11651908.511600003</v>
      </c>
      <c r="BO16" s="88">
        <f t="shared" si="32"/>
        <v>-11651908.511600003</v>
      </c>
      <c r="BP16" s="87">
        <f>IF(Dyn_Insured="","",IF(ISNUMBER(BL16)=FALSE,"n/a",MIN(MAX(BL16-'Layer Comparison'!Excess_Past,0),'Layer Comparison'!Limit_Past)))</f>
        <v>65835966.822099999</v>
      </c>
      <c r="BQ16" s="87">
        <f>IF(Dyn_Insured="","",IF(ISNUMBER(BM16)=FALSE,"n/a",MIN(MAX(BM16-'Layer Comparison'!Excess_Latest,0),'Layer Comparison'!Limit_Latest)))</f>
        <v>54184058.310499996</v>
      </c>
      <c r="BR16" s="87">
        <f t="shared" si="33"/>
        <v>-11651908.511600003</v>
      </c>
      <c r="BS16" s="88">
        <f t="shared" si="34"/>
        <v>-11651908.511600003</v>
      </c>
      <c r="BT16" s="46" t="s">
        <v>13</v>
      </c>
    </row>
    <row r="17" spans="1:72" x14ac:dyDescent="0.25">
      <c r="A17" s="89">
        <v>17</v>
      </c>
      <c r="B17" s="89">
        <f t="shared" si="0"/>
        <v>1</v>
      </c>
      <c r="C17" s="89">
        <f t="shared" si="1"/>
        <v>1</v>
      </c>
      <c r="D17" s="90">
        <f t="shared" si="2"/>
        <v>1</v>
      </c>
      <c r="E17" s="90">
        <f t="shared" si="2"/>
        <v>1</v>
      </c>
      <c r="F17" s="48" t="s">
        <v>58</v>
      </c>
      <c r="G17" s="38" t="s">
        <v>17</v>
      </c>
      <c r="H17" s="87">
        <v>3424497.0512999999</v>
      </c>
      <c r="I17" s="87">
        <v>565356.39610000001</v>
      </c>
      <c r="J17" s="87">
        <f t="shared" si="3"/>
        <v>-2859140.6551999999</v>
      </c>
      <c r="K17" s="88">
        <f t="shared" si="4"/>
        <v>-2859140.6551999999</v>
      </c>
      <c r="L17" s="87">
        <f>IF(Dyn_Insured="","",IF(ISNUMBER(H17)=FALSE,"n/a",MIN(MAX(H17-'Layer Comparison'!Excess_Past,0),'Layer Comparison'!Limit_Past)))</f>
        <v>0</v>
      </c>
      <c r="M17" s="87">
        <f>IF(Dyn_Insured="","",IF(ISNUMBER(I17)=FALSE,"n/a",MIN(MAX(I17-'Layer Comparison'!Excess_Latest,0),'Layer Comparison'!Limit_Latest)))</f>
        <v>0</v>
      </c>
      <c r="N17" s="87">
        <f t="shared" si="5"/>
        <v>0</v>
      </c>
      <c r="O17" s="88">
        <f t="shared" si="6"/>
        <v>0</v>
      </c>
      <c r="P17" s="87">
        <v>13251758.706</v>
      </c>
      <c r="Q17" s="87">
        <v>7063518.5694999993</v>
      </c>
      <c r="R17" s="87">
        <f t="shared" si="7"/>
        <v>-6188240.136500001</v>
      </c>
      <c r="S17" s="88">
        <f t="shared" si="8"/>
        <v>-6188240.136500001</v>
      </c>
      <c r="T17" s="87">
        <f>IF(Dyn_Insured="","",IF(ISNUMBER(P17)=FALSE,"n/a",MIN(MAX(P17-'Layer Comparison'!Excess_Past,0),'Layer Comparison'!Limit_Past)))</f>
        <v>0</v>
      </c>
      <c r="U17" s="87">
        <f>IF(Dyn_Insured="","",IF(ISNUMBER(Q17)=FALSE,"n/a",MIN(MAX(Q17-'Layer Comparison'!Excess_Latest,0),'Layer Comparison'!Limit_Latest)))</f>
        <v>0</v>
      </c>
      <c r="V17" s="87">
        <f t="shared" si="9"/>
        <v>0</v>
      </c>
      <c r="W17" s="88">
        <f t="shared" si="10"/>
        <v>0</v>
      </c>
      <c r="X17" s="87">
        <v>24345408.865599997</v>
      </c>
      <c r="Y17" s="87">
        <v>15183688.439999999</v>
      </c>
      <c r="Z17" s="87">
        <f t="shared" si="11"/>
        <v>-9161720.4255999979</v>
      </c>
      <c r="AA17" s="88">
        <f t="shared" si="12"/>
        <v>-9161720.4255999979</v>
      </c>
      <c r="AB17" s="87">
        <f>IF(Dyn_Insured="","",IF(ISNUMBER(X17)=FALSE,"n/a",MIN(MAX(X17-'Layer Comparison'!Excess_Past,0),'Layer Comparison'!Limit_Past)))</f>
        <v>9345408.8655999973</v>
      </c>
      <c r="AC17" s="87">
        <f>IF(Dyn_Insured="","",IF(ISNUMBER(Y17)=FALSE,"n/a",MIN(MAX(Y17-'Layer Comparison'!Excess_Latest,0),'Layer Comparison'!Limit_Latest)))</f>
        <v>183688.43999999948</v>
      </c>
      <c r="AD17" s="87">
        <f t="shared" si="13"/>
        <v>-9161720.4255999979</v>
      </c>
      <c r="AE17" s="88">
        <f t="shared" si="14"/>
        <v>-9161720.4255999979</v>
      </c>
      <c r="AF17" s="87">
        <v>35203077.476599999</v>
      </c>
      <c r="AG17" s="87">
        <v>23157673.977100004</v>
      </c>
      <c r="AH17" s="87">
        <f t="shared" si="15"/>
        <v>-12045403.499499995</v>
      </c>
      <c r="AI17" s="88">
        <f t="shared" si="16"/>
        <v>-12045403.499499995</v>
      </c>
      <c r="AJ17" s="87">
        <f>IF(Dyn_Insured="","",IF(ISNUMBER(AF17)=FALSE,"n/a",MIN(MAX(AF17-'Layer Comparison'!Excess_Past,0),'Layer Comparison'!Limit_Past)))</f>
        <v>20203077.476599999</v>
      </c>
      <c r="AK17" s="87">
        <f>IF(Dyn_Insured="","",IF(ISNUMBER(AG17)=FALSE,"n/a",MIN(MAX(AG17-'Layer Comparison'!Excess_Latest,0),'Layer Comparison'!Limit_Latest)))</f>
        <v>8157673.9771000035</v>
      </c>
      <c r="AL17" s="87">
        <f t="shared" si="17"/>
        <v>-12045403.499499995</v>
      </c>
      <c r="AM17" s="88">
        <f t="shared" si="18"/>
        <v>-12045403.499499995</v>
      </c>
      <c r="AN17" s="87">
        <v>57793448.935499996</v>
      </c>
      <c r="AO17" s="87">
        <v>42550539.5735</v>
      </c>
      <c r="AP17" s="87">
        <f t="shared" si="19"/>
        <v>-15242909.361999996</v>
      </c>
      <c r="AQ17" s="88">
        <f t="shared" si="20"/>
        <v>-15242909.361999996</v>
      </c>
      <c r="AR17" s="87">
        <f>IF(Dyn_Insured="","",IF(ISNUMBER(AN17)=FALSE,"n/a",MIN(MAX(AN17-'Layer Comparison'!Excess_Past,0),'Layer Comparison'!Limit_Past)))</f>
        <v>42793448.935499996</v>
      </c>
      <c r="AS17" s="87">
        <f>IF(Dyn_Insured="","",IF(ISNUMBER(AO17)=FALSE,"n/a",MIN(MAX(AO17-'Layer Comparison'!Excess_Latest,0),'Layer Comparison'!Limit_Latest)))</f>
        <v>27550539.5735</v>
      </c>
      <c r="AT17" s="87">
        <f t="shared" si="21"/>
        <v>-15242909.361999996</v>
      </c>
      <c r="AU17" s="88">
        <f t="shared" si="22"/>
        <v>-15242909.361999996</v>
      </c>
      <c r="AV17" s="87">
        <v>66990634.499899983</v>
      </c>
      <c r="AW17" s="87">
        <v>50609749.876700006</v>
      </c>
      <c r="AX17" s="87">
        <f t="shared" si="23"/>
        <v>-16380884.623199977</v>
      </c>
      <c r="AY17" s="88">
        <f t="shared" si="24"/>
        <v>-16380884.623199977</v>
      </c>
      <c r="AZ17" s="87">
        <f>IF(Dyn_Insured="","",IF(ISNUMBER(AV17)=FALSE,"n/a",MIN(MAX(AV17-'Layer Comparison'!Excess_Past,0),'Layer Comparison'!Limit_Past)))</f>
        <v>51990634.499899983</v>
      </c>
      <c r="BA17" s="87">
        <f>IF(Dyn_Insured="","",IF(ISNUMBER(AW17)=FALSE,"n/a",MIN(MAX(AW17-'Layer Comparison'!Excess_Latest,0),'Layer Comparison'!Limit_Latest)))</f>
        <v>35609749.876700006</v>
      </c>
      <c r="BB17" s="87">
        <f t="shared" si="25"/>
        <v>-16380884.623199977</v>
      </c>
      <c r="BC17" s="88">
        <f t="shared" si="26"/>
        <v>-16380884.623199977</v>
      </c>
      <c r="BD17" s="87">
        <v>68149461.047800019</v>
      </c>
      <c r="BE17" s="87">
        <v>51893422.190999985</v>
      </c>
      <c r="BF17" s="87">
        <f t="shared" si="27"/>
        <v>-16256038.856800035</v>
      </c>
      <c r="BG17" s="88">
        <f t="shared" si="28"/>
        <v>-16256038.856800035</v>
      </c>
      <c r="BH17" s="87">
        <f>IF(Dyn_Insured="","",IF(ISNUMBER(BD17)=FALSE,"n/a",MIN(MAX(BD17-'Layer Comparison'!Excess_Past,0),'Layer Comparison'!Limit_Past)))</f>
        <v>53149461.047800019</v>
      </c>
      <c r="BI17" s="87">
        <f>IF(Dyn_Insured="","",IF(ISNUMBER(BE17)=FALSE,"n/a",MIN(MAX(BE17-'Layer Comparison'!Excess_Latest,0),'Layer Comparison'!Limit_Latest)))</f>
        <v>36893422.190999985</v>
      </c>
      <c r="BJ17" s="87">
        <f t="shared" si="29"/>
        <v>-16256038.856800035</v>
      </c>
      <c r="BK17" s="88">
        <f t="shared" si="30"/>
        <v>-16256038.856800035</v>
      </c>
      <c r="BL17" s="87">
        <v>68149461.047800004</v>
      </c>
      <c r="BM17" s="87">
        <v>51893422.191</v>
      </c>
      <c r="BN17" s="87">
        <f t="shared" si="31"/>
        <v>-16256038.856800005</v>
      </c>
      <c r="BO17" s="88">
        <f t="shared" si="32"/>
        <v>-16256038.856800005</v>
      </c>
      <c r="BP17" s="87">
        <f>IF(Dyn_Insured="","",IF(ISNUMBER(BL17)=FALSE,"n/a",MIN(MAX(BL17-'Layer Comparison'!Excess_Past,0),'Layer Comparison'!Limit_Past)))</f>
        <v>53149461.047800004</v>
      </c>
      <c r="BQ17" s="87">
        <f>IF(Dyn_Insured="","",IF(ISNUMBER(BM17)=FALSE,"n/a",MIN(MAX(BM17-'Layer Comparison'!Excess_Latest,0),'Layer Comparison'!Limit_Latest)))</f>
        <v>36893422.191</v>
      </c>
      <c r="BR17" s="87">
        <f t="shared" si="33"/>
        <v>-16256038.856800005</v>
      </c>
      <c r="BS17" s="88">
        <f t="shared" si="34"/>
        <v>-16256038.856800005</v>
      </c>
      <c r="BT17" s="46" t="s">
        <v>13</v>
      </c>
    </row>
    <row r="18" spans="1:72" x14ac:dyDescent="0.25">
      <c r="A18" s="89">
        <v>18</v>
      </c>
      <c r="B18" s="89">
        <f t="shared" si="0"/>
        <v>1</v>
      </c>
      <c r="C18" s="89">
        <f t="shared" si="1"/>
        <v>1</v>
      </c>
      <c r="D18" s="90">
        <f t="shared" si="2"/>
        <v>1</v>
      </c>
      <c r="E18" s="90">
        <f t="shared" si="2"/>
        <v>1</v>
      </c>
      <c r="F18" s="48" t="s">
        <v>59</v>
      </c>
      <c r="G18" s="38" t="s">
        <v>17</v>
      </c>
      <c r="H18" s="87">
        <v>2923444.5965</v>
      </c>
      <c r="I18" s="87">
        <v>2499597.9005999994</v>
      </c>
      <c r="J18" s="87">
        <f t="shared" si="3"/>
        <v>-423846.69590000063</v>
      </c>
      <c r="K18" s="88">
        <f t="shared" si="4"/>
        <v>-423846.69590000063</v>
      </c>
      <c r="L18" s="87">
        <f>IF(Dyn_Insured="","",IF(ISNUMBER(H18)=FALSE,"n/a",MIN(MAX(H18-'Layer Comparison'!Excess_Past,0),'Layer Comparison'!Limit_Past)))</f>
        <v>0</v>
      </c>
      <c r="M18" s="87">
        <f>IF(Dyn_Insured="","",IF(ISNUMBER(I18)=FALSE,"n/a",MIN(MAX(I18-'Layer Comparison'!Excess_Latest,0),'Layer Comparison'!Limit_Latest)))</f>
        <v>0</v>
      </c>
      <c r="N18" s="87">
        <f t="shared" si="5"/>
        <v>0</v>
      </c>
      <c r="O18" s="88">
        <f t="shared" si="6"/>
        <v>0</v>
      </c>
      <c r="P18" s="87">
        <v>11901720.876</v>
      </c>
      <c r="Q18" s="87">
        <v>10752394.999200001</v>
      </c>
      <c r="R18" s="87">
        <f t="shared" si="7"/>
        <v>-1149325.8767999988</v>
      </c>
      <c r="S18" s="88">
        <f t="shared" si="8"/>
        <v>-1149325.8767999988</v>
      </c>
      <c r="T18" s="87">
        <f>IF(Dyn_Insured="","",IF(ISNUMBER(P18)=FALSE,"n/a",MIN(MAX(P18-'Layer Comparison'!Excess_Past,0),'Layer Comparison'!Limit_Past)))</f>
        <v>0</v>
      </c>
      <c r="U18" s="87">
        <f>IF(Dyn_Insured="","",IF(ISNUMBER(Q18)=FALSE,"n/a",MIN(MAX(Q18-'Layer Comparison'!Excess_Latest,0),'Layer Comparison'!Limit_Latest)))</f>
        <v>0</v>
      </c>
      <c r="V18" s="87">
        <f t="shared" si="9"/>
        <v>0</v>
      </c>
      <c r="W18" s="88">
        <f t="shared" si="10"/>
        <v>0</v>
      </c>
      <c r="X18" s="87">
        <v>21294578.528999999</v>
      </c>
      <c r="Y18" s="87">
        <v>19365676.125399999</v>
      </c>
      <c r="Z18" s="87">
        <f t="shared" si="11"/>
        <v>-1928902.4035999998</v>
      </c>
      <c r="AA18" s="88">
        <f t="shared" si="12"/>
        <v>-1928902.4035999998</v>
      </c>
      <c r="AB18" s="87">
        <f>IF(Dyn_Insured="","",IF(ISNUMBER(X18)=FALSE,"n/a",MIN(MAX(X18-'Layer Comparison'!Excess_Past,0),'Layer Comparison'!Limit_Past)))</f>
        <v>6294578.5289999992</v>
      </c>
      <c r="AC18" s="87">
        <f>IF(Dyn_Insured="","",IF(ISNUMBER(Y18)=FALSE,"n/a",MIN(MAX(Y18-'Layer Comparison'!Excess_Latest,0),'Layer Comparison'!Limit_Latest)))</f>
        <v>4365676.1253999993</v>
      </c>
      <c r="AD18" s="87">
        <f t="shared" si="13"/>
        <v>-1928902.4035999998</v>
      </c>
      <c r="AE18" s="88">
        <f t="shared" si="14"/>
        <v>-1928902.4035999998</v>
      </c>
      <c r="AF18" s="87">
        <v>30676337.539999999</v>
      </c>
      <c r="AG18" s="87">
        <v>28446146.759499993</v>
      </c>
      <c r="AH18" s="87">
        <f t="shared" si="15"/>
        <v>-2230190.7805000059</v>
      </c>
      <c r="AI18" s="88">
        <f t="shared" si="16"/>
        <v>-2230190.7805000059</v>
      </c>
      <c r="AJ18" s="87">
        <f>IF(Dyn_Insured="","",IF(ISNUMBER(AF18)=FALSE,"n/a",MIN(MAX(AF18-'Layer Comparison'!Excess_Past,0),'Layer Comparison'!Limit_Past)))</f>
        <v>15676337.539999999</v>
      </c>
      <c r="AK18" s="87">
        <f>IF(Dyn_Insured="","",IF(ISNUMBER(AG18)=FALSE,"n/a",MIN(MAX(AG18-'Layer Comparison'!Excess_Latest,0),'Layer Comparison'!Limit_Latest)))</f>
        <v>13446146.759499993</v>
      </c>
      <c r="AL18" s="87">
        <f t="shared" si="17"/>
        <v>-2230190.7805000059</v>
      </c>
      <c r="AM18" s="88">
        <f t="shared" si="18"/>
        <v>-2230190.7805000059</v>
      </c>
      <c r="AN18" s="87">
        <v>37632673.892799988</v>
      </c>
      <c r="AO18" s="87">
        <v>34348054.932399988</v>
      </c>
      <c r="AP18" s="87">
        <f t="shared" si="19"/>
        <v>-3284618.9604000002</v>
      </c>
      <c r="AQ18" s="88">
        <f t="shared" si="20"/>
        <v>-3284618.9604000002</v>
      </c>
      <c r="AR18" s="87">
        <f>IF(Dyn_Insured="","",IF(ISNUMBER(AN18)=FALSE,"n/a",MIN(MAX(AN18-'Layer Comparison'!Excess_Past,0),'Layer Comparison'!Limit_Past)))</f>
        <v>22632673.892799988</v>
      </c>
      <c r="AS18" s="87">
        <f>IF(Dyn_Insured="","",IF(ISNUMBER(AO18)=FALSE,"n/a",MIN(MAX(AO18-'Layer Comparison'!Excess_Latest,0),'Layer Comparison'!Limit_Latest)))</f>
        <v>19348054.932399988</v>
      </c>
      <c r="AT18" s="87">
        <f t="shared" si="21"/>
        <v>-3284618.9604000002</v>
      </c>
      <c r="AU18" s="88">
        <f t="shared" si="22"/>
        <v>-3284618.9604000002</v>
      </c>
      <c r="AV18" s="87">
        <v>39710855.900400005</v>
      </c>
      <c r="AW18" s="87">
        <v>36525592.639899999</v>
      </c>
      <c r="AX18" s="87">
        <f t="shared" si="23"/>
        <v>-3185263.2605000064</v>
      </c>
      <c r="AY18" s="88">
        <f t="shared" si="24"/>
        <v>-3185263.2605000064</v>
      </c>
      <c r="AZ18" s="87">
        <f>IF(Dyn_Insured="","",IF(ISNUMBER(AV18)=FALSE,"n/a",MIN(MAX(AV18-'Layer Comparison'!Excess_Past,0),'Layer Comparison'!Limit_Past)))</f>
        <v>24710855.900400005</v>
      </c>
      <c r="BA18" s="87">
        <f>IF(Dyn_Insured="","",IF(ISNUMBER(AW18)=FALSE,"n/a",MIN(MAX(AW18-'Layer Comparison'!Excess_Latest,0),'Layer Comparison'!Limit_Latest)))</f>
        <v>21525592.639899999</v>
      </c>
      <c r="BB18" s="87">
        <f t="shared" si="25"/>
        <v>-3185263.2605000064</v>
      </c>
      <c r="BC18" s="88">
        <f t="shared" si="26"/>
        <v>-3185263.2605000064</v>
      </c>
      <c r="BD18" s="87">
        <v>39774626.286600016</v>
      </c>
      <c r="BE18" s="87">
        <v>36604677.002900004</v>
      </c>
      <c r="BF18" s="87">
        <f t="shared" si="27"/>
        <v>-3169949.2837000117</v>
      </c>
      <c r="BG18" s="88">
        <f t="shared" si="28"/>
        <v>-3169949.2837000117</v>
      </c>
      <c r="BH18" s="87">
        <f>IF(Dyn_Insured="","",IF(ISNUMBER(BD18)=FALSE,"n/a",MIN(MAX(BD18-'Layer Comparison'!Excess_Past,0),'Layer Comparison'!Limit_Past)))</f>
        <v>24774626.286600016</v>
      </c>
      <c r="BI18" s="87">
        <f>IF(Dyn_Insured="","",IF(ISNUMBER(BE18)=FALSE,"n/a",MIN(MAX(BE18-'Layer Comparison'!Excess_Latest,0),'Layer Comparison'!Limit_Latest)))</f>
        <v>21604677.002900004</v>
      </c>
      <c r="BJ18" s="87">
        <f t="shared" si="29"/>
        <v>-3169949.2837000117</v>
      </c>
      <c r="BK18" s="88">
        <f t="shared" si="30"/>
        <v>-3169949.2837000117</v>
      </c>
      <c r="BL18" s="87">
        <v>39774626.286600016</v>
      </c>
      <c r="BM18" s="87">
        <v>36604677.002900004</v>
      </c>
      <c r="BN18" s="87">
        <f t="shared" si="31"/>
        <v>-3169949.2837000117</v>
      </c>
      <c r="BO18" s="88">
        <f t="shared" si="32"/>
        <v>-3169949.2837000117</v>
      </c>
      <c r="BP18" s="87">
        <f>IF(Dyn_Insured="","",IF(ISNUMBER(BL18)=FALSE,"n/a",MIN(MAX(BL18-'Layer Comparison'!Excess_Past,0),'Layer Comparison'!Limit_Past)))</f>
        <v>24774626.286600016</v>
      </c>
      <c r="BQ18" s="87">
        <f>IF(Dyn_Insured="","",IF(ISNUMBER(BM18)=FALSE,"n/a",MIN(MAX(BM18-'Layer Comparison'!Excess_Latest,0),'Layer Comparison'!Limit_Latest)))</f>
        <v>21604677.002900004</v>
      </c>
      <c r="BR18" s="87">
        <f t="shared" si="33"/>
        <v>-3169949.2837000117</v>
      </c>
      <c r="BS18" s="88">
        <f t="shared" si="34"/>
        <v>-3169949.2837000117</v>
      </c>
      <c r="BT18" s="46" t="s">
        <v>13</v>
      </c>
    </row>
    <row r="19" spans="1:72" x14ac:dyDescent="0.25">
      <c r="A19" s="89">
        <v>19</v>
      </c>
      <c r="B19" s="89">
        <f t="shared" si="0"/>
        <v>1</v>
      </c>
      <c r="C19" s="89">
        <f t="shared" si="1"/>
        <v>1</v>
      </c>
      <c r="D19" s="90">
        <f t="shared" si="2"/>
        <v>1</v>
      </c>
      <c r="E19" s="90">
        <f t="shared" si="2"/>
        <v>1</v>
      </c>
      <c r="F19" s="48" t="s">
        <v>60</v>
      </c>
      <c r="G19" s="38" t="s">
        <v>17</v>
      </c>
      <c r="H19" s="87">
        <v>5734681.7325000009</v>
      </c>
      <c r="I19" s="87">
        <v>2694437.2246000003</v>
      </c>
      <c r="J19" s="87">
        <f t="shared" si="3"/>
        <v>-3040244.5079000005</v>
      </c>
      <c r="K19" s="88">
        <f t="shared" si="4"/>
        <v>-3040244.5079000005</v>
      </c>
      <c r="L19" s="87">
        <f>IF(Dyn_Insured="","",IF(ISNUMBER(H19)=FALSE,"n/a",MIN(MAX(H19-'Layer Comparison'!Excess_Past,0),'Layer Comparison'!Limit_Past)))</f>
        <v>0</v>
      </c>
      <c r="M19" s="87">
        <f>IF(Dyn_Insured="","",IF(ISNUMBER(I19)=FALSE,"n/a",MIN(MAX(I19-'Layer Comparison'!Excess_Latest,0),'Layer Comparison'!Limit_Latest)))</f>
        <v>0</v>
      </c>
      <c r="N19" s="87">
        <f t="shared" si="5"/>
        <v>0</v>
      </c>
      <c r="O19" s="88">
        <f t="shared" si="6"/>
        <v>0</v>
      </c>
      <c r="P19" s="87">
        <v>17589020.874499995</v>
      </c>
      <c r="Q19" s="87">
        <v>10327162.021000002</v>
      </c>
      <c r="R19" s="87">
        <f t="shared" si="7"/>
        <v>-7261858.8534999937</v>
      </c>
      <c r="S19" s="88">
        <f t="shared" si="8"/>
        <v>-7261858.8534999937</v>
      </c>
      <c r="T19" s="87">
        <f>IF(Dyn_Insured="","",IF(ISNUMBER(P19)=FALSE,"n/a",MIN(MAX(P19-'Layer Comparison'!Excess_Past,0),'Layer Comparison'!Limit_Past)))</f>
        <v>2589020.8744999953</v>
      </c>
      <c r="U19" s="87">
        <f>IF(Dyn_Insured="","",IF(ISNUMBER(Q19)=FALSE,"n/a",MIN(MAX(Q19-'Layer Comparison'!Excess_Latest,0),'Layer Comparison'!Limit_Latest)))</f>
        <v>0</v>
      </c>
      <c r="V19" s="87">
        <f t="shared" si="9"/>
        <v>-2589020.8744999953</v>
      </c>
      <c r="W19" s="88">
        <f t="shared" si="10"/>
        <v>-2589020.8744999953</v>
      </c>
      <c r="X19" s="87">
        <v>30856322.3627</v>
      </c>
      <c r="Y19" s="87">
        <v>20169591.053500004</v>
      </c>
      <c r="Z19" s="87">
        <f t="shared" si="11"/>
        <v>-10686731.309199996</v>
      </c>
      <c r="AA19" s="88">
        <f t="shared" si="12"/>
        <v>-10686731.309199996</v>
      </c>
      <c r="AB19" s="87">
        <f>IF(Dyn_Insured="","",IF(ISNUMBER(X19)=FALSE,"n/a",MIN(MAX(X19-'Layer Comparison'!Excess_Past,0),'Layer Comparison'!Limit_Past)))</f>
        <v>15856322.3627</v>
      </c>
      <c r="AC19" s="87">
        <f>IF(Dyn_Insured="","",IF(ISNUMBER(Y19)=FALSE,"n/a",MIN(MAX(Y19-'Layer Comparison'!Excess_Latest,0),'Layer Comparison'!Limit_Latest)))</f>
        <v>5169591.0535000041</v>
      </c>
      <c r="AD19" s="87">
        <f t="shared" si="13"/>
        <v>-10686731.309199996</v>
      </c>
      <c r="AE19" s="88">
        <f t="shared" si="14"/>
        <v>-10686731.309199996</v>
      </c>
      <c r="AF19" s="87">
        <v>44122978.689699993</v>
      </c>
      <c r="AG19" s="87">
        <v>30302546.465899996</v>
      </c>
      <c r="AH19" s="87">
        <f t="shared" si="15"/>
        <v>-13820432.223799996</v>
      </c>
      <c r="AI19" s="88">
        <f t="shared" si="16"/>
        <v>-13820432.223799996</v>
      </c>
      <c r="AJ19" s="87">
        <f>IF(Dyn_Insured="","",IF(ISNUMBER(AF19)=FALSE,"n/a",MIN(MAX(AF19-'Layer Comparison'!Excess_Past,0),'Layer Comparison'!Limit_Past)))</f>
        <v>29122978.689699993</v>
      </c>
      <c r="AK19" s="87">
        <f>IF(Dyn_Insured="","",IF(ISNUMBER(AG19)=FALSE,"n/a",MIN(MAX(AG19-'Layer Comparison'!Excess_Latest,0),'Layer Comparison'!Limit_Latest)))</f>
        <v>15302546.465899996</v>
      </c>
      <c r="AL19" s="87">
        <f t="shared" si="17"/>
        <v>-13820432.223799996</v>
      </c>
      <c r="AM19" s="88">
        <f t="shared" si="18"/>
        <v>-13820432.223799996</v>
      </c>
      <c r="AN19" s="87">
        <v>53066794.313600011</v>
      </c>
      <c r="AO19" s="87">
        <v>37567636.26690001</v>
      </c>
      <c r="AP19" s="87">
        <f t="shared" si="19"/>
        <v>-15499158.046700001</v>
      </c>
      <c r="AQ19" s="88">
        <f t="shared" si="20"/>
        <v>-15499158.046700001</v>
      </c>
      <c r="AR19" s="87">
        <f>IF(Dyn_Insured="","",IF(ISNUMBER(AN19)=FALSE,"n/a",MIN(MAX(AN19-'Layer Comparison'!Excess_Past,0),'Layer Comparison'!Limit_Past)))</f>
        <v>38066794.313600011</v>
      </c>
      <c r="AS19" s="87">
        <f>IF(Dyn_Insured="","",IF(ISNUMBER(AO19)=FALSE,"n/a",MIN(MAX(AO19-'Layer Comparison'!Excess_Latest,0),'Layer Comparison'!Limit_Latest)))</f>
        <v>22567636.26690001</v>
      </c>
      <c r="AT19" s="87">
        <f t="shared" si="21"/>
        <v>-15499158.046700001</v>
      </c>
      <c r="AU19" s="88">
        <f t="shared" si="22"/>
        <v>-15499158.046700001</v>
      </c>
      <c r="AV19" s="87">
        <v>54256085.213799998</v>
      </c>
      <c r="AW19" s="87">
        <v>38589832.731400013</v>
      </c>
      <c r="AX19" s="87">
        <f t="shared" si="23"/>
        <v>-15666252.482399985</v>
      </c>
      <c r="AY19" s="88">
        <f t="shared" si="24"/>
        <v>-15666252.482399985</v>
      </c>
      <c r="AZ19" s="87">
        <f>IF(Dyn_Insured="","",IF(ISNUMBER(AV19)=FALSE,"n/a",MIN(MAX(AV19-'Layer Comparison'!Excess_Past,0),'Layer Comparison'!Limit_Past)))</f>
        <v>39256085.213799998</v>
      </c>
      <c r="BA19" s="87">
        <f>IF(Dyn_Insured="","",IF(ISNUMBER(AW19)=FALSE,"n/a",MIN(MAX(AW19-'Layer Comparison'!Excess_Latest,0),'Layer Comparison'!Limit_Latest)))</f>
        <v>23589832.731400013</v>
      </c>
      <c r="BB19" s="87">
        <f t="shared" si="25"/>
        <v>-15666252.482399985</v>
      </c>
      <c r="BC19" s="88">
        <f t="shared" si="26"/>
        <v>-15666252.482399985</v>
      </c>
      <c r="BD19" s="87">
        <v>54256085.213799991</v>
      </c>
      <c r="BE19" s="87">
        <v>38589832.731400013</v>
      </c>
      <c r="BF19" s="87">
        <f t="shared" si="27"/>
        <v>-15666252.482399978</v>
      </c>
      <c r="BG19" s="88">
        <f t="shared" si="28"/>
        <v>-15666252.482399978</v>
      </c>
      <c r="BH19" s="87">
        <f>IF(Dyn_Insured="","",IF(ISNUMBER(BD19)=FALSE,"n/a",MIN(MAX(BD19-'Layer Comparison'!Excess_Past,0),'Layer Comparison'!Limit_Past)))</f>
        <v>39256085.213799991</v>
      </c>
      <c r="BI19" s="87">
        <f>IF(Dyn_Insured="","",IF(ISNUMBER(BE19)=FALSE,"n/a",MIN(MAX(BE19-'Layer Comparison'!Excess_Latest,0),'Layer Comparison'!Limit_Latest)))</f>
        <v>23589832.731400013</v>
      </c>
      <c r="BJ19" s="87">
        <f t="shared" si="29"/>
        <v>-15666252.482399978</v>
      </c>
      <c r="BK19" s="88">
        <f t="shared" si="30"/>
        <v>-15666252.482399978</v>
      </c>
      <c r="BL19" s="87">
        <v>54256085.213799991</v>
      </c>
      <c r="BM19" s="87">
        <v>38589832.731400013</v>
      </c>
      <c r="BN19" s="87">
        <f t="shared" si="31"/>
        <v>-15666252.482399978</v>
      </c>
      <c r="BO19" s="88">
        <f t="shared" si="32"/>
        <v>-15666252.482399978</v>
      </c>
      <c r="BP19" s="87">
        <f>IF(Dyn_Insured="","",IF(ISNUMBER(BL19)=FALSE,"n/a",MIN(MAX(BL19-'Layer Comparison'!Excess_Past,0),'Layer Comparison'!Limit_Past)))</f>
        <v>39256085.213799991</v>
      </c>
      <c r="BQ19" s="87">
        <f>IF(Dyn_Insured="","",IF(ISNUMBER(BM19)=FALSE,"n/a",MIN(MAX(BM19-'Layer Comparison'!Excess_Latest,0),'Layer Comparison'!Limit_Latest)))</f>
        <v>23589832.731400013</v>
      </c>
      <c r="BR19" s="87">
        <f t="shared" si="33"/>
        <v>-15666252.482399978</v>
      </c>
      <c r="BS19" s="88">
        <f t="shared" si="34"/>
        <v>-15666252.482399978</v>
      </c>
      <c r="BT19" s="46" t="s">
        <v>13</v>
      </c>
    </row>
    <row r="20" spans="1:72" x14ac:dyDescent="0.25">
      <c r="A20" s="89">
        <v>20</v>
      </c>
      <c r="B20" s="89">
        <f t="shared" si="0"/>
        <v>1</v>
      </c>
      <c r="C20" s="89">
        <f t="shared" si="1"/>
        <v>1</v>
      </c>
      <c r="D20" s="90">
        <f t="shared" si="2"/>
        <v>1</v>
      </c>
      <c r="E20" s="90">
        <f t="shared" si="2"/>
        <v>1</v>
      </c>
      <c r="F20" s="48" t="s">
        <v>61</v>
      </c>
      <c r="G20" s="38" t="s">
        <v>17</v>
      </c>
      <c r="H20" s="87">
        <v>3075428.3777000001</v>
      </c>
      <c r="I20" s="87">
        <v>2775399.8767999997</v>
      </c>
      <c r="J20" s="87">
        <f t="shared" si="3"/>
        <v>-300028.50090000033</v>
      </c>
      <c r="K20" s="88">
        <f t="shared" si="4"/>
        <v>-300028.50090000033</v>
      </c>
      <c r="L20" s="87">
        <f>IF(Dyn_Insured="","",IF(ISNUMBER(H20)=FALSE,"n/a",MIN(MAX(H20-'Layer Comparison'!Excess_Past,0),'Layer Comparison'!Limit_Past)))</f>
        <v>0</v>
      </c>
      <c r="M20" s="87">
        <f>IF(Dyn_Insured="","",IF(ISNUMBER(I20)=FALSE,"n/a",MIN(MAX(I20-'Layer Comparison'!Excess_Latest,0),'Layer Comparison'!Limit_Latest)))</f>
        <v>0</v>
      </c>
      <c r="N20" s="87">
        <f t="shared" si="5"/>
        <v>0</v>
      </c>
      <c r="O20" s="88">
        <f t="shared" si="6"/>
        <v>0</v>
      </c>
      <c r="P20" s="87">
        <v>11949975.892599998</v>
      </c>
      <c r="Q20" s="87">
        <v>11377316.9878</v>
      </c>
      <c r="R20" s="87">
        <f t="shared" si="7"/>
        <v>-572658.90479999781</v>
      </c>
      <c r="S20" s="88">
        <f t="shared" si="8"/>
        <v>-572658.90479999781</v>
      </c>
      <c r="T20" s="87">
        <f>IF(Dyn_Insured="","",IF(ISNUMBER(P20)=FALSE,"n/a",MIN(MAX(P20-'Layer Comparison'!Excess_Past,0),'Layer Comparison'!Limit_Past)))</f>
        <v>0</v>
      </c>
      <c r="U20" s="87">
        <f>IF(Dyn_Insured="","",IF(ISNUMBER(Q20)=FALSE,"n/a",MIN(MAX(Q20-'Layer Comparison'!Excess_Latest,0),'Layer Comparison'!Limit_Latest)))</f>
        <v>0</v>
      </c>
      <c r="V20" s="87">
        <f t="shared" si="9"/>
        <v>0</v>
      </c>
      <c r="W20" s="88">
        <f t="shared" si="10"/>
        <v>0</v>
      </c>
      <c r="X20" s="87">
        <v>22625562.5264</v>
      </c>
      <c r="Y20" s="87">
        <v>22269840.577800002</v>
      </c>
      <c r="Z20" s="87">
        <f t="shared" si="11"/>
        <v>-355721.94859999791</v>
      </c>
      <c r="AA20" s="88">
        <f t="shared" si="12"/>
        <v>-355721.94859999791</v>
      </c>
      <c r="AB20" s="87">
        <f>IF(Dyn_Insured="","",IF(ISNUMBER(X20)=FALSE,"n/a",MIN(MAX(X20-'Layer Comparison'!Excess_Past,0),'Layer Comparison'!Limit_Past)))</f>
        <v>7625562.5263999999</v>
      </c>
      <c r="AC20" s="87">
        <f>IF(Dyn_Insured="","",IF(ISNUMBER(Y20)=FALSE,"n/a",MIN(MAX(Y20-'Layer Comparison'!Excess_Latest,0),'Layer Comparison'!Limit_Latest)))</f>
        <v>7269840.5778000019</v>
      </c>
      <c r="AD20" s="87">
        <f t="shared" si="13"/>
        <v>-355721.94859999791</v>
      </c>
      <c r="AE20" s="88">
        <f t="shared" si="14"/>
        <v>-355721.94859999791</v>
      </c>
      <c r="AF20" s="87">
        <v>33229070.409699995</v>
      </c>
      <c r="AG20" s="87">
        <v>33745867.413099997</v>
      </c>
      <c r="AH20" s="87">
        <f t="shared" si="15"/>
        <v>516797.00340000167</v>
      </c>
      <c r="AI20" s="88">
        <f t="shared" si="16"/>
        <v>516797.00340000167</v>
      </c>
      <c r="AJ20" s="87">
        <f>IF(Dyn_Insured="","",IF(ISNUMBER(AF20)=FALSE,"n/a",MIN(MAX(AF20-'Layer Comparison'!Excess_Past,0),'Layer Comparison'!Limit_Past)))</f>
        <v>18229070.409699995</v>
      </c>
      <c r="AK20" s="87">
        <f>IF(Dyn_Insured="","",IF(ISNUMBER(AG20)=FALSE,"n/a",MIN(MAX(AG20-'Layer Comparison'!Excess_Latest,0),'Layer Comparison'!Limit_Latest)))</f>
        <v>18745867.413099997</v>
      </c>
      <c r="AL20" s="87">
        <f t="shared" si="17"/>
        <v>516797.00340000167</v>
      </c>
      <c r="AM20" s="88">
        <f t="shared" si="18"/>
        <v>516797.00340000167</v>
      </c>
      <c r="AN20" s="87">
        <v>57460501.958499998</v>
      </c>
      <c r="AO20" s="87">
        <v>60049166.268399999</v>
      </c>
      <c r="AP20" s="87">
        <f t="shared" si="19"/>
        <v>2588664.3099000007</v>
      </c>
      <c r="AQ20" s="88">
        <f t="shared" si="20"/>
        <v>2588664.3099000007</v>
      </c>
      <c r="AR20" s="87">
        <f>IF(Dyn_Insured="","",IF(ISNUMBER(AN20)=FALSE,"n/a",MIN(MAX(AN20-'Layer Comparison'!Excess_Past,0),'Layer Comparison'!Limit_Past)))</f>
        <v>42460501.958499998</v>
      </c>
      <c r="AS20" s="87">
        <f>IF(Dyn_Insured="","",IF(ISNUMBER(AO20)=FALSE,"n/a",MIN(MAX(AO20-'Layer Comparison'!Excess_Latest,0),'Layer Comparison'!Limit_Latest)))</f>
        <v>45049166.268399999</v>
      </c>
      <c r="AT20" s="87">
        <f t="shared" si="21"/>
        <v>2588664.3099000007</v>
      </c>
      <c r="AU20" s="88">
        <f t="shared" si="22"/>
        <v>2588664.3099000007</v>
      </c>
      <c r="AV20" s="87">
        <v>79925031.034099996</v>
      </c>
      <c r="AW20" s="87">
        <v>84774524.635300025</v>
      </c>
      <c r="AX20" s="87">
        <f t="shared" si="23"/>
        <v>4849493.6012000293</v>
      </c>
      <c r="AY20" s="88">
        <f t="shared" si="24"/>
        <v>4849493.6012000293</v>
      </c>
      <c r="AZ20" s="87">
        <f>IF(Dyn_Insured="","",IF(ISNUMBER(AV20)=FALSE,"n/a",MIN(MAX(AV20-'Layer Comparison'!Excess_Past,0),'Layer Comparison'!Limit_Past)))</f>
        <v>64925031.034099996</v>
      </c>
      <c r="BA20" s="87">
        <f>IF(Dyn_Insured="","",IF(ISNUMBER(AW20)=FALSE,"n/a",MIN(MAX(AW20-'Layer Comparison'!Excess_Latest,0),'Layer Comparison'!Limit_Latest)))</f>
        <v>69774524.635300025</v>
      </c>
      <c r="BB20" s="87">
        <f t="shared" si="25"/>
        <v>4849493.6012000293</v>
      </c>
      <c r="BC20" s="88">
        <f t="shared" si="26"/>
        <v>4849493.6012000293</v>
      </c>
      <c r="BD20" s="87">
        <v>82936155.019199997</v>
      </c>
      <c r="BE20" s="87">
        <v>88177665.556499988</v>
      </c>
      <c r="BF20" s="87">
        <f t="shared" si="27"/>
        <v>5241510.5372999907</v>
      </c>
      <c r="BG20" s="88">
        <f t="shared" si="28"/>
        <v>5241510.5372999907</v>
      </c>
      <c r="BH20" s="87">
        <f>IF(Dyn_Insured="","",IF(ISNUMBER(BD20)=FALSE,"n/a",MIN(MAX(BD20-'Layer Comparison'!Excess_Past,0),'Layer Comparison'!Limit_Past)))</f>
        <v>67936155.019199997</v>
      </c>
      <c r="BI20" s="87">
        <f>IF(Dyn_Insured="","",IF(ISNUMBER(BE20)=FALSE,"n/a",MIN(MAX(BE20-'Layer Comparison'!Excess_Latest,0),'Layer Comparison'!Limit_Latest)))</f>
        <v>73177665.556499988</v>
      </c>
      <c r="BJ20" s="87">
        <f t="shared" si="29"/>
        <v>5241510.5372999907</v>
      </c>
      <c r="BK20" s="88">
        <f t="shared" si="30"/>
        <v>5241510.5372999907</v>
      </c>
      <c r="BL20" s="87">
        <v>83033943.599299997</v>
      </c>
      <c r="BM20" s="87">
        <v>88293801.604399994</v>
      </c>
      <c r="BN20" s="87">
        <f t="shared" si="31"/>
        <v>5259858.0050999969</v>
      </c>
      <c r="BO20" s="88">
        <f t="shared" si="32"/>
        <v>5259858.0050999969</v>
      </c>
      <c r="BP20" s="87">
        <f>IF(Dyn_Insured="","",IF(ISNUMBER(BL20)=FALSE,"n/a",MIN(MAX(BL20-'Layer Comparison'!Excess_Past,0),'Layer Comparison'!Limit_Past)))</f>
        <v>68033943.599299997</v>
      </c>
      <c r="BQ20" s="87">
        <f>IF(Dyn_Insured="","",IF(ISNUMBER(BM20)=FALSE,"n/a",MIN(MAX(BM20-'Layer Comparison'!Excess_Latest,0),'Layer Comparison'!Limit_Latest)))</f>
        <v>73293801.604399994</v>
      </c>
      <c r="BR20" s="87">
        <f t="shared" si="33"/>
        <v>5259858.0050999969</v>
      </c>
      <c r="BS20" s="88">
        <f t="shared" si="34"/>
        <v>5259858.0050999969</v>
      </c>
      <c r="BT20" s="46" t="s">
        <v>13</v>
      </c>
    </row>
    <row r="21" spans="1:72" x14ac:dyDescent="0.25">
      <c r="A21" s="89">
        <v>21</v>
      </c>
      <c r="B21" s="89">
        <f t="shared" si="0"/>
        <v>1</v>
      </c>
      <c r="C21" s="89">
        <f t="shared" si="1"/>
        <v>1</v>
      </c>
      <c r="D21" s="90">
        <f t="shared" si="2"/>
        <v>1</v>
      </c>
      <c r="E21" s="90">
        <f t="shared" si="2"/>
        <v>1</v>
      </c>
      <c r="F21" s="48" t="s">
        <v>62</v>
      </c>
      <c r="G21" s="38" t="s">
        <v>17</v>
      </c>
      <c r="H21" s="87">
        <v>1211026.5019</v>
      </c>
      <c r="I21" s="87">
        <v>1367701.2284000001</v>
      </c>
      <c r="J21" s="87">
        <f t="shared" si="3"/>
        <v>156674.72650000011</v>
      </c>
      <c r="K21" s="88">
        <f t="shared" si="4"/>
        <v>156674.72650000011</v>
      </c>
      <c r="L21" s="87">
        <f>IF(Dyn_Insured="","",IF(ISNUMBER(H21)=FALSE,"n/a",MIN(MAX(H21-'Layer Comparison'!Excess_Past,0),'Layer Comparison'!Limit_Past)))</f>
        <v>0</v>
      </c>
      <c r="M21" s="87">
        <f>IF(Dyn_Insured="","",IF(ISNUMBER(I21)=FALSE,"n/a",MIN(MAX(I21-'Layer Comparison'!Excess_Latest,0),'Layer Comparison'!Limit_Latest)))</f>
        <v>0</v>
      </c>
      <c r="N21" s="87">
        <f t="shared" si="5"/>
        <v>0</v>
      </c>
      <c r="O21" s="88">
        <f t="shared" si="6"/>
        <v>0</v>
      </c>
      <c r="P21" s="87">
        <v>8578409.4138999991</v>
      </c>
      <c r="Q21" s="87">
        <v>9835082.0877</v>
      </c>
      <c r="R21" s="87">
        <f t="shared" si="7"/>
        <v>1256672.6738000009</v>
      </c>
      <c r="S21" s="88">
        <f t="shared" si="8"/>
        <v>1256672.6738000009</v>
      </c>
      <c r="T21" s="87">
        <f>IF(Dyn_Insured="","",IF(ISNUMBER(P21)=FALSE,"n/a",MIN(MAX(P21-'Layer Comparison'!Excess_Past,0),'Layer Comparison'!Limit_Past)))</f>
        <v>0</v>
      </c>
      <c r="U21" s="87">
        <f>IF(Dyn_Insured="","",IF(ISNUMBER(Q21)=FALSE,"n/a",MIN(MAX(Q21-'Layer Comparison'!Excess_Latest,0),'Layer Comparison'!Limit_Latest)))</f>
        <v>0</v>
      </c>
      <c r="V21" s="87">
        <f t="shared" si="9"/>
        <v>0</v>
      </c>
      <c r="W21" s="88">
        <f t="shared" si="10"/>
        <v>0</v>
      </c>
      <c r="X21" s="87">
        <v>19805296.721399996</v>
      </c>
      <c r="Y21" s="87">
        <v>20905646.059800003</v>
      </c>
      <c r="Z21" s="87">
        <f t="shared" si="11"/>
        <v>1100349.3384000063</v>
      </c>
      <c r="AA21" s="88">
        <f t="shared" si="12"/>
        <v>1100349.3384000063</v>
      </c>
      <c r="AB21" s="87">
        <f>IF(Dyn_Insured="","",IF(ISNUMBER(X21)=FALSE,"n/a",MIN(MAX(X21-'Layer Comparison'!Excess_Past,0),'Layer Comparison'!Limit_Past)))</f>
        <v>4805296.7213999964</v>
      </c>
      <c r="AC21" s="87">
        <f>IF(Dyn_Insured="","",IF(ISNUMBER(Y21)=FALSE,"n/a",MIN(MAX(Y21-'Layer Comparison'!Excess_Latest,0),'Layer Comparison'!Limit_Latest)))</f>
        <v>5905646.0598000027</v>
      </c>
      <c r="AD21" s="87">
        <f t="shared" si="13"/>
        <v>1100349.3384000063</v>
      </c>
      <c r="AE21" s="88">
        <f t="shared" si="14"/>
        <v>1100349.3384000063</v>
      </c>
      <c r="AF21" s="87">
        <v>30784883.466699999</v>
      </c>
      <c r="AG21" s="87">
        <v>31856474.587100007</v>
      </c>
      <c r="AH21" s="87">
        <f t="shared" si="15"/>
        <v>1071591.1204000078</v>
      </c>
      <c r="AI21" s="88">
        <f t="shared" si="16"/>
        <v>1071591.1204000078</v>
      </c>
      <c r="AJ21" s="87">
        <f>IF(Dyn_Insured="","",IF(ISNUMBER(AF21)=FALSE,"n/a",MIN(MAX(AF21-'Layer Comparison'!Excess_Past,0),'Layer Comparison'!Limit_Past)))</f>
        <v>15784883.466699999</v>
      </c>
      <c r="AK21" s="87">
        <f>IF(Dyn_Insured="","",IF(ISNUMBER(AG21)=FALSE,"n/a",MIN(MAX(AG21-'Layer Comparison'!Excess_Latest,0),'Layer Comparison'!Limit_Latest)))</f>
        <v>16856474.587100007</v>
      </c>
      <c r="AL21" s="87">
        <f t="shared" si="17"/>
        <v>1071591.1204000078</v>
      </c>
      <c r="AM21" s="88">
        <f t="shared" si="18"/>
        <v>1071591.1204000078</v>
      </c>
      <c r="AN21" s="87">
        <v>53359292.546800002</v>
      </c>
      <c r="AO21" s="87">
        <v>56931481.433699995</v>
      </c>
      <c r="AP21" s="87">
        <f t="shared" si="19"/>
        <v>3572188.8868999928</v>
      </c>
      <c r="AQ21" s="88">
        <f t="shared" si="20"/>
        <v>3572188.8868999928</v>
      </c>
      <c r="AR21" s="87">
        <f>IF(Dyn_Insured="","",IF(ISNUMBER(AN21)=FALSE,"n/a",MIN(MAX(AN21-'Layer Comparison'!Excess_Past,0),'Layer Comparison'!Limit_Past)))</f>
        <v>38359292.546800002</v>
      </c>
      <c r="AS21" s="87">
        <f>IF(Dyn_Insured="","",IF(ISNUMBER(AO21)=FALSE,"n/a",MIN(MAX(AO21-'Layer Comparison'!Excess_Latest,0),'Layer Comparison'!Limit_Latest)))</f>
        <v>41931481.433699995</v>
      </c>
      <c r="AT21" s="87">
        <f t="shared" si="21"/>
        <v>3572188.8868999928</v>
      </c>
      <c r="AU21" s="88">
        <f t="shared" si="22"/>
        <v>3572188.8868999928</v>
      </c>
      <c r="AV21" s="87">
        <v>77437128.809000015</v>
      </c>
      <c r="AW21" s="87">
        <v>84140496.246900007</v>
      </c>
      <c r="AX21" s="87">
        <f t="shared" si="23"/>
        <v>6703367.4378999919</v>
      </c>
      <c r="AY21" s="88">
        <f t="shared" si="24"/>
        <v>6703367.4378999919</v>
      </c>
      <c r="AZ21" s="87">
        <f>IF(Dyn_Insured="","",IF(ISNUMBER(AV21)=FALSE,"n/a",MIN(MAX(AV21-'Layer Comparison'!Excess_Past,0),'Layer Comparison'!Limit_Past)))</f>
        <v>62437128.809000015</v>
      </c>
      <c r="BA21" s="87">
        <f>IF(Dyn_Insured="","",IF(ISNUMBER(AW21)=FALSE,"n/a",MIN(MAX(AW21-'Layer Comparison'!Excess_Latest,0),'Layer Comparison'!Limit_Latest)))</f>
        <v>69140496.246900007</v>
      </c>
      <c r="BB21" s="87">
        <f t="shared" si="25"/>
        <v>6703367.4378999919</v>
      </c>
      <c r="BC21" s="88">
        <f t="shared" si="26"/>
        <v>6703367.4378999919</v>
      </c>
      <c r="BD21" s="87">
        <v>102887641.23899996</v>
      </c>
      <c r="BE21" s="87">
        <v>111004435.13650003</v>
      </c>
      <c r="BF21" s="87">
        <f t="shared" si="27"/>
        <v>8116793.8975000679</v>
      </c>
      <c r="BG21" s="88">
        <f t="shared" si="28"/>
        <v>8116793.8975000679</v>
      </c>
      <c r="BH21" s="87">
        <f>IF(Dyn_Insured="","",IF(ISNUMBER(BD21)=FALSE,"n/a",MIN(MAX(BD21-'Layer Comparison'!Excess_Past,0),'Layer Comparison'!Limit_Past)))</f>
        <v>87887641.238999963</v>
      </c>
      <c r="BI21" s="87">
        <f>IF(Dyn_Insured="","",IF(ISNUMBER(BE21)=FALSE,"n/a",MIN(MAX(BE21-'Layer Comparison'!Excess_Latest,0),'Layer Comparison'!Limit_Latest)))</f>
        <v>96004435.136500031</v>
      </c>
      <c r="BJ21" s="87">
        <f t="shared" si="29"/>
        <v>8116793.8975000679</v>
      </c>
      <c r="BK21" s="88">
        <f t="shared" si="30"/>
        <v>8116793.8975000679</v>
      </c>
      <c r="BL21" s="87">
        <v>105418493.10350002</v>
      </c>
      <c r="BM21" s="87">
        <v>113401447.22860001</v>
      </c>
      <c r="BN21" s="87">
        <f t="shared" si="31"/>
        <v>7982954.1250999868</v>
      </c>
      <c r="BO21" s="88">
        <f t="shared" si="32"/>
        <v>7982954.1250999868</v>
      </c>
      <c r="BP21" s="87">
        <f>IF(Dyn_Insured="","",IF(ISNUMBER(BL21)=FALSE,"n/a",MIN(MAX(BL21-'Layer Comparison'!Excess_Past,0),'Layer Comparison'!Limit_Past)))</f>
        <v>90418493.103500023</v>
      </c>
      <c r="BQ21" s="87">
        <f>IF(Dyn_Insured="","",IF(ISNUMBER(BM21)=FALSE,"n/a",MIN(MAX(BM21-'Layer Comparison'!Excess_Latest,0),'Layer Comparison'!Limit_Latest)))</f>
        <v>98401447.22860001</v>
      </c>
      <c r="BR21" s="87">
        <f t="shared" si="33"/>
        <v>7982954.1250999868</v>
      </c>
      <c r="BS21" s="88">
        <f t="shared" si="34"/>
        <v>7982954.1250999868</v>
      </c>
      <c r="BT21" s="46" t="s">
        <v>13</v>
      </c>
    </row>
    <row r="22" spans="1:72" x14ac:dyDescent="0.25">
      <c r="A22" s="89">
        <v>22</v>
      </c>
      <c r="B22" s="89">
        <f t="shared" si="0"/>
        <v>1</v>
      </c>
      <c r="C22" s="89">
        <f t="shared" si="1"/>
        <v>1</v>
      </c>
      <c r="D22" s="90">
        <f t="shared" si="2"/>
        <v>1</v>
      </c>
      <c r="E22" s="90">
        <f t="shared" si="2"/>
        <v>1</v>
      </c>
      <c r="F22" s="48" t="s">
        <v>63</v>
      </c>
      <c r="G22" s="38" t="s">
        <v>17</v>
      </c>
      <c r="H22" s="87">
        <v>8358299.0484999986</v>
      </c>
      <c r="I22" s="87">
        <v>6618832.6292000003</v>
      </c>
      <c r="J22" s="87">
        <f t="shared" si="3"/>
        <v>-1739466.4192999983</v>
      </c>
      <c r="K22" s="88">
        <f t="shared" si="4"/>
        <v>-1739466.4192999983</v>
      </c>
      <c r="L22" s="87">
        <f>IF(Dyn_Insured="","",IF(ISNUMBER(H22)=FALSE,"n/a",MIN(MAX(H22-'Layer Comparison'!Excess_Past,0),'Layer Comparison'!Limit_Past)))</f>
        <v>0</v>
      </c>
      <c r="M22" s="87">
        <f>IF(Dyn_Insured="","",IF(ISNUMBER(I22)=FALSE,"n/a",MIN(MAX(I22-'Layer Comparison'!Excess_Latest,0),'Layer Comparison'!Limit_Latest)))</f>
        <v>0</v>
      </c>
      <c r="N22" s="87">
        <f t="shared" si="5"/>
        <v>0</v>
      </c>
      <c r="O22" s="88">
        <f t="shared" si="6"/>
        <v>0</v>
      </c>
      <c r="P22" s="87">
        <v>24453874.306899998</v>
      </c>
      <c r="Q22" s="87">
        <v>18371748.844200004</v>
      </c>
      <c r="R22" s="87">
        <f t="shared" si="7"/>
        <v>-6082125.4626999944</v>
      </c>
      <c r="S22" s="88">
        <f t="shared" si="8"/>
        <v>-6082125.4626999944</v>
      </c>
      <c r="T22" s="87">
        <f>IF(Dyn_Insured="","",IF(ISNUMBER(P22)=FALSE,"n/a",MIN(MAX(P22-'Layer Comparison'!Excess_Past,0),'Layer Comparison'!Limit_Past)))</f>
        <v>9453874.3068999983</v>
      </c>
      <c r="U22" s="87">
        <f>IF(Dyn_Insured="","",IF(ISNUMBER(Q22)=FALSE,"n/a",MIN(MAX(Q22-'Layer Comparison'!Excess_Latest,0),'Layer Comparison'!Limit_Latest)))</f>
        <v>3371748.8442000039</v>
      </c>
      <c r="V22" s="87">
        <f t="shared" si="9"/>
        <v>-6082125.4626999944</v>
      </c>
      <c r="W22" s="88">
        <f t="shared" si="10"/>
        <v>-6082125.4626999944</v>
      </c>
      <c r="X22" s="87">
        <v>38915651.778599985</v>
      </c>
      <c r="Y22" s="87">
        <v>31123329.978699993</v>
      </c>
      <c r="Z22" s="87">
        <f t="shared" si="11"/>
        <v>-7792321.7998999916</v>
      </c>
      <c r="AA22" s="88">
        <f t="shared" si="12"/>
        <v>-7792321.7998999916</v>
      </c>
      <c r="AB22" s="87">
        <f>IF(Dyn_Insured="","",IF(ISNUMBER(X22)=FALSE,"n/a",MIN(MAX(X22-'Layer Comparison'!Excess_Past,0),'Layer Comparison'!Limit_Past)))</f>
        <v>23915651.778599985</v>
      </c>
      <c r="AC22" s="87">
        <f>IF(Dyn_Insured="","",IF(ISNUMBER(Y22)=FALSE,"n/a",MIN(MAX(Y22-'Layer Comparison'!Excess_Latest,0),'Layer Comparison'!Limit_Latest)))</f>
        <v>16123329.978699993</v>
      </c>
      <c r="AD22" s="87">
        <f t="shared" si="13"/>
        <v>-7792321.7998999916</v>
      </c>
      <c r="AE22" s="88">
        <f t="shared" si="14"/>
        <v>-7792321.7998999916</v>
      </c>
      <c r="AF22" s="87">
        <v>50651280.644799985</v>
      </c>
      <c r="AG22" s="87">
        <v>44791127.226099983</v>
      </c>
      <c r="AH22" s="87">
        <f t="shared" si="15"/>
        <v>-5860153.4187000021</v>
      </c>
      <c r="AI22" s="88">
        <f t="shared" si="16"/>
        <v>-5860153.4187000021</v>
      </c>
      <c r="AJ22" s="87">
        <f>IF(Dyn_Insured="","",IF(ISNUMBER(AF22)=FALSE,"n/a",MIN(MAX(AF22-'Layer Comparison'!Excess_Past,0),'Layer Comparison'!Limit_Past)))</f>
        <v>35651280.644799985</v>
      </c>
      <c r="AK22" s="87">
        <f>IF(Dyn_Insured="","",IF(ISNUMBER(AG22)=FALSE,"n/a",MIN(MAX(AG22-'Layer Comparison'!Excess_Latest,0),'Layer Comparison'!Limit_Latest)))</f>
        <v>29791127.226099983</v>
      </c>
      <c r="AL22" s="87">
        <f t="shared" si="17"/>
        <v>-5860153.4187000021</v>
      </c>
      <c r="AM22" s="88">
        <f t="shared" si="18"/>
        <v>-5860153.4187000021</v>
      </c>
      <c r="AN22" s="87">
        <v>74537899.679299995</v>
      </c>
      <c r="AO22" s="87">
        <v>72366558.811199993</v>
      </c>
      <c r="AP22" s="87">
        <f t="shared" si="19"/>
        <v>-2171340.8681000024</v>
      </c>
      <c r="AQ22" s="88">
        <f t="shared" si="20"/>
        <v>-2171340.8681000024</v>
      </c>
      <c r="AR22" s="87">
        <f>IF(Dyn_Insured="","",IF(ISNUMBER(AN22)=FALSE,"n/a",MIN(MAX(AN22-'Layer Comparison'!Excess_Past,0),'Layer Comparison'!Limit_Past)))</f>
        <v>59537899.679299995</v>
      </c>
      <c r="AS22" s="87">
        <f>IF(Dyn_Insured="","",IF(ISNUMBER(AO22)=FALSE,"n/a",MIN(MAX(AO22-'Layer Comparison'!Excess_Latest,0),'Layer Comparison'!Limit_Latest)))</f>
        <v>57366558.811199993</v>
      </c>
      <c r="AT22" s="87">
        <f t="shared" si="21"/>
        <v>-2171340.8681000024</v>
      </c>
      <c r="AU22" s="88">
        <f t="shared" si="22"/>
        <v>-2171340.8681000024</v>
      </c>
      <c r="AV22" s="87">
        <v>84276129.990700021</v>
      </c>
      <c r="AW22" s="87">
        <v>84108487.123700023</v>
      </c>
      <c r="AX22" s="87">
        <f t="shared" si="23"/>
        <v>-167642.86699999869</v>
      </c>
      <c r="AY22" s="88">
        <f t="shared" si="24"/>
        <v>-167642.86699999869</v>
      </c>
      <c r="AZ22" s="87">
        <f>IF(Dyn_Insured="","",IF(ISNUMBER(AV22)=FALSE,"n/a",MIN(MAX(AV22-'Layer Comparison'!Excess_Past,0),'Layer Comparison'!Limit_Past)))</f>
        <v>69276129.990700021</v>
      </c>
      <c r="BA22" s="87">
        <f>IF(Dyn_Insured="","",IF(ISNUMBER(AW22)=FALSE,"n/a",MIN(MAX(AW22-'Layer Comparison'!Excess_Latest,0),'Layer Comparison'!Limit_Latest)))</f>
        <v>69108487.123700023</v>
      </c>
      <c r="BB22" s="87">
        <f t="shared" si="25"/>
        <v>-167642.86699999869</v>
      </c>
      <c r="BC22" s="88">
        <f t="shared" si="26"/>
        <v>-167642.86699999869</v>
      </c>
      <c r="BD22" s="87">
        <v>86673470.925300002</v>
      </c>
      <c r="BE22" s="87">
        <v>87305183.308399975</v>
      </c>
      <c r="BF22" s="87">
        <f t="shared" si="27"/>
        <v>631712.3830999732</v>
      </c>
      <c r="BG22" s="88">
        <f t="shared" si="28"/>
        <v>631712.3830999732</v>
      </c>
      <c r="BH22" s="87">
        <f>IF(Dyn_Insured="","",IF(ISNUMBER(BD22)=FALSE,"n/a",MIN(MAX(BD22-'Layer Comparison'!Excess_Past,0),'Layer Comparison'!Limit_Past)))</f>
        <v>71673470.925300002</v>
      </c>
      <c r="BI22" s="87">
        <f>IF(Dyn_Insured="","",IF(ISNUMBER(BE22)=FALSE,"n/a",MIN(MAX(BE22-'Layer Comparison'!Excess_Latest,0),'Layer Comparison'!Limit_Latest)))</f>
        <v>72305183.308399975</v>
      </c>
      <c r="BJ22" s="87">
        <f t="shared" si="29"/>
        <v>631712.3830999732</v>
      </c>
      <c r="BK22" s="88">
        <f t="shared" si="30"/>
        <v>631712.3830999732</v>
      </c>
      <c r="BL22" s="87">
        <v>87883565.762500003</v>
      </c>
      <c r="BM22" s="87">
        <v>88919455.398099989</v>
      </c>
      <c r="BN22" s="87">
        <f t="shared" si="31"/>
        <v>1035889.6355999857</v>
      </c>
      <c r="BO22" s="88">
        <f t="shared" si="32"/>
        <v>1035889.6355999857</v>
      </c>
      <c r="BP22" s="87">
        <f>IF(Dyn_Insured="","",IF(ISNUMBER(BL22)=FALSE,"n/a",MIN(MAX(BL22-'Layer Comparison'!Excess_Past,0),'Layer Comparison'!Limit_Past)))</f>
        <v>72883565.762500003</v>
      </c>
      <c r="BQ22" s="87">
        <f>IF(Dyn_Insured="","",IF(ISNUMBER(BM22)=FALSE,"n/a",MIN(MAX(BM22-'Layer Comparison'!Excess_Latest,0),'Layer Comparison'!Limit_Latest)))</f>
        <v>73919455.398099989</v>
      </c>
      <c r="BR22" s="87">
        <f t="shared" si="33"/>
        <v>1035889.6355999857</v>
      </c>
      <c r="BS22" s="88">
        <f t="shared" si="34"/>
        <v>1035889.6355999857</v>
      </c>
      <c r="BT22" s="46" t="s">
        <v>13</v>
      </c>
    </row>
    <row r="23" spans="1:72" x14ac:dyDescent="0.25">
      <c r="A23" s="89">
        <v>23</v>
      </c>
      <c r="B23" s="89">
        <f t="shared" si="0"/>
        <v>1</v>
      </c>
      <c r="C23" s="89">
        <f t="shared" si="1"/>
        <v>1</v>
      </c>
      <c r="D23" s="90">
        <f t="shared" si="2"/>
        <v>1</v>
      </c>
      <c r="E23" s="90">
        <f t="shared" si="2"/>
        <v>1</v>
      </c>
      <c r="F23" s="48" t="s">
        <v>64</v>
      </c>
      <c r="G23" s="38" t="s">
        <v>17</v>
      </c>
      <c r="H23" s="87">
        <v>1439351.9900000002</v>
      </c>
      <c r="I23" s="87">
        <v>883455.95770000014</v>
      </c>
      <c r="J23" s="87">
        <f t="shared" si="3"/>
        <v>-555896.03230000008</v>
      </c>
      <c r="K23" s="88">
        <f t="shared" si="4"/>
        <v>-555896.03230000008</v>
      </c>
      <c r="L23" s="87">
        <f>IF(Dyn_Insured="","",IF(ISNUMBER(H23)=FALSE,"n/a",MIN(MAX(H23-'Layer Comparison'!Excess_Past,0),'Layer Comparison'!Limit_Past)))</f>
        <v>0</v>
      </c>
      <c r="M23" s="87">
        <f>IF(Dyn_Insured="","",IF(ISNUMBER(I23)=FALSE,"n/a",MIN(MAX(I23-'Layer Comparison'!Excess_Latest,0),'Layer Comparison'!Limit_Latest)))</f>
        <v>0</v>
      </c>
      <c r="N23" s="87">
        <f t="shared" si="5"/>
        <v>0</v>
      </c>
      <c r="O23" s="88">
        <f t="shared" si="6"/>
        <v>0</v>
      </c>
      <c r="P23" s="87">
        <v>7279601.9393999986</v>
      </c>
      <c r="Q23" s="87">
        <v>7756740.7514000013</v>
      </c>
      <c r="R23" s="87">
        <f t="shared" si="7"/>
        <v>477138.81200000271</v>
      </c>
      <c r="S23" s="88">
        <f t="shared" si="8"/>
        <v>477138.81200000271</v>
      </c>
      <c r="T23" s="87">
        <f>IF(Dyn_Insured="","",IF(ISNUMBER(P23)=FALSE,"n/a",MIN(MAX(P23-'Layer Comparison'!Excess_Past,0),'Layer Comparison'!Limit_Past)))</f>
        <v>0</v>
      </c>
      <c r="U23" s="87">
        <f>IF(Dyn_Insured="","",IF(ISNUMBER(Q23)=FALSE,"n/a",MIN(MAX(Q23-'Layer Comparison'!Excess_Latest,0),'Layer Comparison'!Limit_Latest)))</f>
        <v>0</v>
      </c>
      <c r="V23" s="87">
        <f t="shared" si="9"/>
        <v>0</v>
      </c>
      <c r="W23" s="88">
        <f t="shared" si="10"/>
        <v>0</v>
      </c>
      <c r="X23" s="87">
        <v>17805494.171800002</v>
      </c>
      <c r="Y23" s="87">
        <v>18586382.279600002</v>
      </c>
      <c r="Z23" s="87">
        <f t="shared" si="11"/>
        <v>780888.10779999942</v>
      </c>
      <c r="AA23" s="88">
        <f t="shared" si="12"/>
        <v>780888.10779999942</v>
      </c>
      <c r="AB23" s="87">
        <f>IF(Dyn_Insured="","",IF(ISNUMBER(X23)=FALSE,"n/a",MIN(MAX(X23-'Layer Comparison'!Excess_Past,0),'Layer Comparison'!Limit_Past)))</f>
        <v>2805494.1718000025</v>
      </c>
      <c r="AC23" s="87">
        <f>IF(Dyn_Insured="","",IF(ISNUMBER(Y23)=FALSE,"n/a",MIN(MAX(Y23-'Layer Comparison'!Excess_Latest,0),'Layer Comparison'!Limit_Latest)))</f>
        <v>3586382.2796000019</v>
      </c>
      <c r="AD23" s="87">
        <f t="shared" si="13"/>
        <v>780888.10779999942</v>
      </c>
      <c r="AE23" s="88">
        <f t="shared" si="14"/>
        <v>780888.10779999942</v>
      </c>
      <c r="AF23" s="87">
        <v>27476270.994000003</v>
      </c>
      <c r="AG23" s="87">
        <v>28837753.877600003</v>
      </c>
      <c r="AH23" s="87">
        <f t="shared" si="15"/>
        <v>1361482.8836000003</v>
      </c>
      <c r="AI23" s="88">
        <f t="shared" si="16"/>
        <v>1361482.8836000003</v>
      </c>
      <c r="AJ23" s="87">
        <f>IF(Dyn_Insured="","",IF(ISNUMBER(AF23)=FALSE,"n/a",MIN(MAX(AF23-'Layer Comparison'!Excess_Past,0),'Layer Comparison'!Limit_Past)))</f>
        <v>12476270.994000003</v>
      </c>
      <c r="AK23" s="87">
        <f>IF(Dyn_Insured="","",IF(ISNUMBER(AG23)=FALSE,"n/a",MIN(MAX(AG23-'Layer Comparison'!Excess_Latest,0),'Layer Comparison'!Limit_Latest)))</f>
        <v>13837753.877600003</v>
      </c>
      <c r="AL23" s="87">
        <f t="shared" si="17"/>
        <v>1361482.8836000003</v>
      </c>
      <c r="AM23" s="88">
        <f t="shared" si="18"/>
        <v>1361482.8836000003</v>
      </c>
      <c r="AN23" s="87">
        <v>48996379.735500008</v>
      </c>
      <c r="AO23" s="87">
        <v>53050049.950300008</v>
      </c>
      <c r="AP23" s="87">
        <f t="shared" si="19"/>
        <v>4053670.2148000002</v>
      </c>
      <c r="AQ23" s="88">
        <f t="shared" si="20"/>
        <v>4053670.2148000002</v>
      </c>
      <c r="AR23" s="87">
        <f>IF(Dyn_Insured="","",IF(ISNUMBER(AN23)=FALSE,"n/a",MIN(MAX(AN23-'Layer Comparison'!Excess_Past,0),'Layer Comparison'!Limit_Past)))</f>
        <v>33996379.735500008</v>
      </c>
      <c r="AS23" s="87">
        <f>IF(Dyn_Insured="","",IF(ISNUMBER(AO23)=FALSE,"n/a",MIN(MAX(AO23-'Layer Comparison'!Excess_Latest,0),'Layer Comparison'!Limit_Latest)))</f>
        <v>38050049.950300008</v>
      </c>
      <c r="AT23" s="87">
        <f t="shared" si="21"/>
        <v>4053670.2148000002</v>
      </c>
      <c r="AU23" s="88">
        <f t="shared" si="22"/>
        <v>4053670.2148000002</v>
      </c>
      <c r="AV23" s="87">
        <v>71405738.754099995</v>
      </c>
      <c r="AW23" s="87">
        <v>79176103.921200007</v>
      </c>
      <c r="AX23" s="87">
        <f t="shared" si="23"/>
        <v>7770365.1671000123</v>
      </c>
      <c r="AY23" s="88">
        <f t="shared" si="24"/>
        <v>7770365.1671000123</v>
      </c>
      <c r="AZ23" s="87">
        <f>IF(Dyn_Insured="","",IF(ISNUMBER(AV23)=FALSE,"n/a",MIN(MAX(AV23-'Layer Comparison'!Excess_Past,0),'Layer Comparison'!Limit_Past)))</f>
        <v>56405738.754099995</v>
      </c>
      <c r="BA23" s="87">
        <f>IF(Dyn_Insured="","",IF(ISNUMBER(AW23)=FALSE,"n/a",MIN(MAX(AW23-'Layer Comparison'!Excess_Latest,0),'Layer Comparison'!Limit_Latest)))</f>
        <v>64176103.921200007</v>
      </c>
      <c r="BB23" s="87">
        <f t="shared" si="25"/>
        <v>7770365.1671000123</v>
      </c>
      <c r="BC23" s="88">
        <f t="shared" si="26"/>
        <v>7770365.1671000123</v>
      </c>
      <c r="BD23" s="87">
        <v>92780041.92019999</v>
      </c>
      <c r="BE23" s="87">
        <v>102559020.59490001</v>
      </c>
      <c r="BF23" s="87">
        <f t="shared" si="27"/>
        <v>9778978.6747000217</v>
      </c>
      <c r="BG23" s="88">
        <f t="shared" si="28"/>
        <v>9778978.6747000217</v>
      </c>
      <c r="BH23" s="87">
        <f>IF(Dyn_Insured="","",IF(ISNUMBER(BD23)=FALSE,"n/a",MIN(MAX(BD23-'Layer Comparison'!Excess_Past,0),'Layer Comparison'!Limit_Past)))</f>
        <v>77780041.92019999</v>
      </c>
      <c r="BI23" s="87">
        <f>IF(Dyn_Insured="","",IF(ISNUMBER(BE23)=FALSE,"n/a",MIN(MAX(BE23-'Layer Comparison'!Excess_Latest,0),'Layer Comparison'!Limit_Latest)))</f>
        <v>87559020.594900012</v>
      </c>
      <c r="BJ23" s="87">
        <f t="shared" si="29"/>
        <v>9778978.6747000217</v>
      </c>
      <c r="BK23" s="88">
        <f t="shared" si="30"/>
        <v>9778978.6747000217</v>
      </c>
      <c r="BL23" s="87">
        <v>93538265.20629999</v>
      </c>
      <c r="BM23" s="87">
        <v>103372794.97399998</v>
      </c>
      <c r="BN23" s="87">
        <f t="shared" si="31"/>
        <v>9834529.7676999867</v>
      </c>
      <c r="BO23" s="88">
        <f t="shared" si="32"/>
        <v>9834529.7676999867</v>
      </c>
      <c r="BP23" s="87">
        <f>IF(Dyn_Insured="","",IF(ISNUMBER(BL23)=FALSE,"n/a",MIN(MAX(BL23-'Layer Comparison'!Excess_Past,0),'Layer Comparison'!Limit_Past)))</f>
        <v>78538265.20629999</v>
      </c>
      <c r="BQ23" s="87">
        <f>IF(Dyn_Insured="","",IF(ISNUMBER(BM23)=FALSE,"n/a",MIN(MAX(BM23-'Layer Comparison'!Excess_Latest,0),'Layer Comparison'!Limit_Latest)))</f>
        <v>88372794.973999977</v>
      </c>
      <c r="BR23" s="87">
        <f t="shared" si="33"/>
        <v>9834529.7676999867</v>
      </c>
      <c r="BS23" s="88">
        <f t="shared" si="34"/>
        <v>9834529.7676999867</v>
      </c>
      <c r="BT23" s="46" t="s">
        <v>13</v>
      </c>
    </row>
    <row r="24" spans="1:72" x14ac:dyDescent="0.25">
      <c r="A24" s="89">
        <v>24</v>
      </c>
      <c r="B24" s="89">
        <f t="shared" si="0"/>
        <v>1</v>
      </c>
      <c r="C24" s="89">
        <f t="shared" si="1"/>
        <v>1</v>
      </c>
      <c r="D24" s="90">
        <f t="shared" si="2"/>
        <v>1</v>
      </c>
      <c r="E24" s="90">
        <f t="shared" si="2"/>
        <v>1</v>
      </c>
      <c r="F24" s="48" t="s">
        <v>65</v>
      </c>
      <c r="G24" s="38" t="s">
        <v>17</v>
      </c>
      <c r="H24" s="87">
        <v>4090972.8364000004</v>
      </c>
      <c r="I24" s="87">
        <v>3045322.3027000003</v>
      </c>
      <c r="J24" s="87">
        <f t="shared" si="3"/>
        <v>-1045650.5337</v>
      </c>
      <c r="K24" s="88">
        <f t="shared" si="4"/>
        <v>-1045650.5337</v>
      </c>
      <c r="L24" s="87">
        <f>IF(Dyn_Insured="","",IF(ISNUMBER(H24)=FALSE,"n/a",MIN(MAX(H24-'Layer Comparison'!Excess_Past,0),'Layer Comparison'!Limit_Past)))</f>
        <v>0</v>
      </c>
      <c r="M24" s="87">
        <f>IF(Dyn_Insured="","",IF(ISNUMBER(I24)=FALSE,"n/a",MIN(MAX(I24-'Layer Comparison'!Excess_Latest,0),'Layer Comparison'!Limit_Latest)))</f>
        <v>0</v>
      </c>
      <c r="N24" s="87">
        <f t="shared" si="5"/>
        <v>0</v>
      </c>
      <c r="O24" s="88">
        <f t="shared" si="6"/>
        <v>0</v>
      </c>
      <c r="P24" s="87">
        <v>15646199.615900002</v>
      </c>
      <c r="Q24" s="87">
        <v>13553440.500399999</v>
      </c>
      <c r="R24" s="87">
        <f t="shared" si="7"/>
        <v>-2092759.1155000031</v>
      </c>
      <c r="S24" s="88">
        <f t="shared" si="8"/>
        <v>-2092759.1155000031</v>
      </c>
      <c r="T24" s="87">
        <f>IF(Dyn_Insured="","",IF(ISNUMBER(P24)=FALSE,"n/a",MIN(MAX(P24-'Layer Comparison'!Excess_Past,0),'Layer Comparison'!Limit_Past)))</f>
        <v>646199.61590000242</v>
      </c>
      <c r="U24" s="87">
        <f>IF(Dyn_Insured="","",IF(ISNUMBER(Q24)=FALSE,"n/a",MIN(MAX(Q24-'Layer Comparison'!Excess_Latest,0),'Layer Comparison'!Limit_Latest)))</f>
        <v>0</v>
      </c>
      <c r="V24" s="87">
        <f t="shared" si="9"/>
        <v>-646199.61590000242</v>
      </c>
      <c r="W24" s="88">
        <f t="shared" si="10"/>
        <v>-646199.61590000242</v>
      </c>
      <c r="X24" s="87">
        <v>27889761.264200002</v>
      </c>
      <c r="Y24" s="87">
        <v>25411475.110600002</v>
      </c>
      <c r="Z24" s="87">
        <f t="shared" si="11"/>
        <v>-2478286.1535999998</v>
      </c>
      <c r="AA24" s="88">
        <f t="shared" si="12"/>
        <v>-2478286.1535999998</v>
      </c>
      <c r="AB24" s="87">
        <f>IF(Dyn_Insured="","",IF(ISNUMBER(X24)=FALSE,"n/a",MIN(MAX(X24-'Layer Comparison'!Excess_Past,0),'Layer Comparison'!Limit_Past)))</f>
        <v>12889761.264200002</v>
      </c>
      <c r="AC24" s="87">
        <f>IF(Dyn_Insured="","",IF(ISNUMBER(Y24)=FALSE,"n/a",MIN(MAX(Y24-'Layer Comparison'!Excess_Latest,0),'Layer Comparison'!Limit_Latest)))</f>
        <v>10411475.110600002</v>
      </c>
      <c r="AD24" s="87">
        <f t="shared" si="13"/>
        <v>-2478286.1535999998</v>
      </c>
      <c r="AE24" s="88">
        <f t="shared" si="14"/>
        <v>-2478286.1535999998</v>
      </c>
      <c r="AF24" s="87">
        <v>40945870.2245</v>
      </c>
      <c r="AG24" s="87">
        <v>38081578.840700001</v>
      </c>
      <c r="AH24" s="87">
        <f t="shared" si="15"/>
        <v>-2864291.3838</v>
      </c>
      <c r="AI24" s="88">
        <f t="shared" si="16"/>
        <v>-2864291.3838</v>
      </c>
      <c r="AJ24" s="87">
        <f>IF(Dyn_Insured="","",IF(ISNUMBER(AF24)=FALSE,"n/a",MIN(MAX(AF24-'Layer Comparison'!Excess_Past,0),'Layer Comparison'!Limit_Past)))</f>
        <v>25945870.2245</v>
      </c>
      <c r="AK24" s="87">
        <f>IF(Dyn_Insured="","",IF(ISNUMBER(AG24)=FALSE,"n/a",MIN(MAX(AG24-'Layer Comparison'!Excess_Latest,0),'Layer Comparison'!Limit_Latest)))</f>
        <v>23081578.840700001</v>
      </c>
      <c r="AL24" s="87">
        <f t="shared" si="17"/>
        <v>-2864291.3838</v>
      </c>
      <c r="AM24" s="88">
        <f t="shared" si="18"/>
        <v>-2864291.3838</v>
      </c>
      <c r="AN24" s="87">
        <v>61415214.477600008</v>
      </c>
      <c r="AO24" s="87">
        <v>60439667.36209999</v>
      </c>
      <c r="AP24" s="87">
        <f t="shared" si="19"/>
        <v>-975547.115500018</v>
      </c>
      <c r="AQ24" s="88">
        <f t="shared" si="20"/>
        <v>-975547.115500018</v>
      </c>
      <c r="AR24" s="87">
        <f>IF(Dyn_Insured="","",IF(ISNUMBER(AN24)=FALSE,"n/a",MIN(MAX(AN24-'Layer Comparison'!Excess_Past,0),'Layer Comparison'!Limit_Past)))</f>
        <v>46415214.477600008</v>
      </c>
      <c r="AS24" s="87">
        <f>IF(Dyn_Insured="","",IF(ISNUMBER(AO24)=FALSE,"n/a",MIN(MAX(AO24-'Layer Comparison'!Excess_Latest,0),'Layer Comparison'!Limit_Latest)))</f>
        <v>45439667.36209999</v>
      </c>
      <c r="AT24" s="87">
        <f t="shared" si="21"/>
        <v>-975547.115500018</v>
      </c>
      <c r="AU24" s="88">
        <f t="shared" si="22"/>
        <v>-975547.115500018</v>
      </c>
      <c r="AV24" s="87">
        <v>61515291.613899998</v>
      </c>
      <c r="AW24" s="87">
        <v>60546139.623799995</v>
      </c>
      <c r="AX24" s="87">
        <f t="shared" si="23"/>
        <v>-969151.99010000378</v>
      </c>
      <c r="AY24" s="88">
        <f t="shared" si="24"/>
        <v>-969151.99010000378</v>
      </c>
      <c r="AZ24" s="87">
        <f>IF(Dyn_Insured="","",IF(ISNUMBER(AV24)=FALSE,"n/a",MIN(MAX(AV24-'Layer Comparison'!Excess_Past,0),'Layer Comparison'!Limit_Past)))</f>
        <v>46515291.613899998</v>
      </c>
      <c r="BA24" s="87">
        <f>IF(Dyn_Insured="","",IF(ISNUMBER(AW24)=FALSE,"n/a",MIN(MAX(AW24-'Layer Comparison'!Excess_Latest,0),'Layer Comparison'!Limit_Latest)))</f>
        <v>45546139.623799995</v>
      </c>
      <c r="BB24" s="87">
        <f t="shared" si="25"/>
        <v>-969151.99010000378</v>
      </c>
      <c r="BC24" s="88">
        <f t="shared" si="26"/>
        <v>-969151.99010000378</v>
      </c>
      <c r="BD24" s="87">
        <v>61515291.613899998</v>
      </c>
      <c r="BE24" s="87">
        <v>60546139.623800002</v>
      </c>
      <c r="BF24" s="87">
        <f t="shared" si="27"/>
        <v>-969151.99009999633</v>
      </c>
      <c r="BG24" s="88">
        <f t="shared" si="28"/>
        <v>-969151.99009999633</v>
      </c>
      <c r="BH24" s="87">
        <f>IF(Dyn_Insured="","",IF(ISNUMBER(BD24)=FALSE,"n/a",MIN(MAX(BD24-'Layer Comparison'!Excess_Past,0),'Layer Comparison'!Limit_Past)))</f>
        <v>46515291.613899998</v>
      </c>
      <c r="BI24" s="87">
        <f>IF(Dyn_Insured="","",IF(ISNUMBER(BE24)=FALSE,"n/a",MIN(MAX(BE24-'Layer Comparison'!Excess_Latest,0),'Layer Comparison'!Limit_Latest)))</f>
        <v>45546139.623800002</v>
      </c>
      <c r="BJ24" s="87">
        <f t="shared" si="29"/>
        <v>-969151.99009999633</v>
      </c>
      <c r="BK24" s="88">
        <f t="shared" si="30"/>
        <v>-969151.99009999633</v>
      </c>
      <c r="BL24" s="87">
        <v>61515291.613899998</v>
      </c>
      <c r="BM24" s="87">
        <v>60546139.623800002</v>
      </c>
      <c r="BN24" s="87">
        <f t="shared" si="31"/>
        <v>-969151.99009999633</v>
      </c>
      <c r="BO24" s="88">
        <f t="shared" si="32"/>
        <v>-969151.99009999633</v>
      </c>
      <c r="BP24" s="87">
        <f>IF(Dyn_Insured="","",IF(ISNUMBER(BL24)=FALSE,"n/a",MIN(MAX(BL24-'Layer Comparison'!Excess_Past,0),'Layer Comparison'!Limit_Past)))</f>
        <v>46515291.613899998</v>
      </c>
      <c r="BQ24" s="87">
        <f>IF(Dyn_Insured="","",IF(ISNUMBER(BM24)=FALSE,"n/a",MIN(MAX(BM24-'Layer Comparison'!Excess_Latest,0),'Layer Comparison'!Limit_Latest)))</f>
        <v>45546139.623800002</v>
      </c>
      <c r="BR24" s="87">
        <f t="shared" si="33"/>
        <v>-969151.99009999633</v>
      </c>
      <c r="BS24" s="88">
        <f t="shared" si="34"/>
        <v>-969151.99009999633</v>
      </c>
      <c r="BT24" s="46" t="s">
        <v>13</v>
      </c>
    </row>
    <row r="25" spans="1:72" x14ac:dyDescent="0.25">
      <c r="A25" s="89">
        <v>25</v>
      </c>
      <c r="B25" s="89">
        <f t="shared" si="0"/>
        <v>1</v>
      </c>
      <c r="C25" s="89">
        <f t="shared" si="1"/>
        <v>1</v>
      </c>
      <c r="D25" s="90">
        <f t="shared" si="2"/>
        <v>1</v>
      </c>
      <c r="E25" s="90">
        <f t="shared" si="2"/>
        <v>1</v>
      </c>
      <c r="F25" s="48" t="s">
        <v>66</v>
      </c>
      <c r="G25" s="38" t="s">
        <v>17</v>
      </c>
      <c r="H25" s="87">
        <v>2356824.4241000004</v>
      </c>
      <c r="I25" s="87">
        <v>2039073.8112999999</v>
      </c>
      <c r="J25" s="87">
        <f t="shared" si="3"/>
        <v>-317750.61280000047</v>
      </c>
      <c r="K25" s="88">
        <f t="shared" si="4"/>
        <v>-317750.61280000047</v>
      </c>
      <c r="L25" s="87">
        <f>IF(Dyn_Insured="","",IF(ISNUMBER(H25)=FALSE,"n/a",MIN(MAX(H25-'Layer Comparison'!Excess_Past,0),'Layer Comparison'!Limit_Past)))</f>
        <v>0</v>
      </c>
      <c r="M25" s="87">
        <f>IF(Dyn_Insured="","",IF(ISNUMBER(I25)=FALSE,"n/a",MIN(MAX(I25-'Layer Comparison'!Excess_Latest,0),'Layer Comparison'!Limit_Latest)))</f>
        <v>0</v>
      </c>
      <c r="N25" s="87">
        <f t="shared" si="5"/>
        <v>0</v>
      </c>
      <c r="O25" s="88">
        <f t="shared" si="6"/>
        <v>0</v>
      </c>
      <c r="P25" s="87">
        <v>10623020.8159</v>
      </c>
      <c r="Q25" s="87">
        <v>9955314.3599000014</v>
      </c>
      <c r="R25" s="87">
        <f t="shared" si="7"/>
        <v>-667706.45599999838</v>
      </c>
      <c r="S25" s="88">
        <f t="shared" si="8"/>
        <v>-667706.45599999838</v>
      </c>
      <c r="T25" s="87">
        <f>IF(Dyn_Insured="","",IF(ISNUMBER(P25)=FALSE,"n/a",MIN(MAX(P25-'Layer Comparison'!Excess_Past,0),'Layer Comparison'!Limit_Past)))</f>
        <v>0</v>
      </c>
      <c r="U25" s="87">
        <f>IF(Dyn_Insured="","",IF(ISNUMBER(Q25)=FALSE,"n/a",MIN(MAX(Q25-'Layer Comparison'!Excess_Latest,0),'Layer Comparison'!Limit_Latest)))</f>
        <v>0</v>
      </c>
      <c r="V25" s="87">
        <f t="shared" si="9"/>
        <v>0</v>
      </c>
      <c r="W25" s="88">
        <f t="shared" si="10"/>
        <v>0</v>
      </c>
      <c r="X25" s="87">
        <v>19819752.791800003</v>
      </c>
      <c r="Y25" s="87">
        <v>19257085.544599991</v>
      </c>
      <c r="Z25" s="87">
        <f t="shared" si="11"/>
        <v>-562667.24720001221</v>
      </c>
      <c r="AA25" s="88">
        <f t="shared" si="12"/>
        <v>-562667.24720001221</v>
      </c>
      <c r="AB25" s="87">
        <f>IF(Dyn_Insured="","",IF(ISNUMBER(X25)=FALSE,"n/a",MIN(MAX(X25-'Layer Comparison'!Excess_Past,0),'Layer Comparison'!Limit_Past)))</f>
        <v>4819752.7918000035</v>
      </c>
      <c r="AC25" s="87">
        <f>IF(Dyn_Insured="","",IF(ISNUMBER(Y25)=FALSE,"n/a",MIN(MAX(Y25-'Layer Comparison'!Excess_Latest,0),'Layer Comparison'!Limit_Latest)))</f>
        <v>4257085.5445999913</v>
      </c>
      <c r="AD25" s="87">
        <f t="shared" si="13"/>
        <v>-562667.24720001221</v>
      </c>
      <c r="AE25" s="88">
        <f t="shared" si="14"/>
        <v>-562667.24720001221</v>
      </c>
      <c r="AF25" s="87">
        <v>29324816.617100004</v>
      </c>
      <c r="AG25" s="87">
        <v>29364969.211700004</v>
      </c>
      <c r="AH25" s="87">
        <f t="shared" si="15"/>
        <v>40152.594599999487</v>
      </c>
      <c r="AI25" s="88">
        <f t="shared" si="16"/>
        <v>40152.594599999487</v>
      </c>
      <c r="AJ25" s="87">
        <f>IF(Dyn_Insured="","",IF(ISNUMBER(AF25)=FALSE,"n/a",MIN(MAX(AF25-'Layer Comparison'!Excess_Past,0),'Layer Comparison'!Limit_Past)))</f>
        <v>14324816.617100004</v>
      </c>
      <c r="AK25" s="87">
        <f>IF(Dyn_Insured="","",IF(ISNUMBER(AG25)=FALSE,"n/a",MIN(MAX(AG25-'Layer Comparison'!Excess_Latest,0),'Layer Comparison'!Limit_Latest)))</f>
        <v>14364969.211700004</v>
      </c>
      <c r="AL25" s="87">
        <f t="shared" si="17"/>
        <v>40152.594599999487</v>
      </c>
      <c r="AM25" s="88">
        <f t="shared" si="18"/>
        <v>40152.594599999487</v>
      </c>
      <c r="AN25" s="87">
        <v>50360386.953500003</v>
      </c>
      <c r="AO25" s="87">
        <v>53170466.135900028</v>
      </c>
      <c r="AP25" s="87">
        <f t="shared" si="19"/>
        <v>2810079.1824000254</v>
      </c>
      <c r="AQ25" s="88">
        <f t="shared" si="20"/>
        <v>2810079.1824000254</v>
      </c>
      <c r="AR25" s="87">
        <f>IF(Dyn_Insured="","",IF(ISNUMBER(AN25)=FALSE,"n/a",MIN(MAX(AN25-'Layer Comparison'!Excess_Past,0),'Layer Comparison'!Limit_Past)))</f>
        <v>35360386.953500003</v>
      </c>
      <c r="AS25" s="87">
        <f>IF(Dyn_Insured="","",IF(ISNUMBER(AO25)=FALSE,"n/a",MIN(MAX(AO25-'Layer Comparison'!Excess_Latest,0),'Layer Comparison'!Limit_Latest)))</f>
        <v>38170466.135900028</v>
      </c>
      <c r="AT25" s="87">
        <f t="shared" si="21"/>
        <v>2810079.1824000254</v>
      </c>
      <c r="AU25" s="88">
        <f t="shared" si="22"/>
        <v>2810079.1824000254</v>
      </c>
      <c r="AV25" s="87">
        <v>72192144.498699978</v>
      </c>
      <c r="AW25" s="87">
        <v>73784631.408799991</v>
      </c>
      <c r="AX25" s="87">
        <f t="shared" si="23"/>
        <v>1592486.910100013</v>
      </c>
      <c r="AY25" s="88">
        <f t="shared" si="24"/>
        <v>1592486.910100013</v>
      </c>
      <c r="AZ25" s="87">
        <f>IF(Dyn_Insured="","",IF(ISNUMBER(AV25)=FALSE,"n/a",MIN(MAX(AV25-'Layer Comparison'!Excess_Past,0),'Layer Comparison'!Limit_Past)))</f>
        <v>57192144.498699978</v>
      </c>
      <c r="BA25" s="87">
        <f>IF(Dyn_Insured="","",IF(ISNUMBER(AW25)=FALSE,"n/a",MIN(MAX(AW25-'Layer Comparison'!Excess_Latest,0),'Layer Comparison'!Limit_Latest)))</f>
        <v>58784631.408799991</v>
      </c>
      <c r="BB25" s="87">
        <f t="shared" si="25"/>
        <v>1592486.910100013</v>
      </c>
      <c r="BC25" s="88">
        <f t="shared" si="26"/>
        <v>1592486.910100013</v>
      </c>
      <c r="BD25" s="87">
        <v>87802758.526399985</v>
      </c>
      <c r="BE25" s="87">
        <v>88061394.085000008</v>
      </c>
      <c r="BF25" s="87">
        <f t="shared" si="27"/>
        <v>258635.55860002339</v>
      </c>
      <c r="BG25" s="88">
        <f t="shared" si="28"/>
        <v>258635.55860002339</v>
      </c>
      <c r="BH25" s="87">
        <f>IF(Dyn_Insured="","",IF(ISNUMBER(BD25)=FALSE,"n/a",MIN(MAX(BD25-'Layer Comparison'!Excess_Past,0),'Layer Comparison'!Limit_Past)))</f>
        <v>72802758.526399985</v>
      </c>
      <c r="BI25" s="87">
        <f>IF(Dyn_Insured="","",IF(ISNUMBER(BE25)=FALSE,"n/a",MIN(MAX(BE25-'Layer Comparison'!Excess_Latest,0),'Layer Comparison'!Limit_Latest)))</f>
        <v>73061394.085000008</v>
      </c>
      <c r="BJ25" s="87">
        <f t="shared" si="29"/>
        <v>258635.55860002339</v>
      </c>
      <c r="BK25" s="88">
        <f t="shared" si="30"/>
        <v>258635.55860002339</v>
      </c>
      <c r="BL25" s="87">
        <v>88635644.007499978</v>
      </c>
      <c r="BM25" s="87">
        <v>89408456.946200013</v>
      </c>
      <c r="BN25" s="87">
        <f t="shared" si="31"/>
        <v>772812.93870003521</v>
      </c>
      <c r="BO25" s="88">
        <f t="shared" si="32"/>
        <v>772812.93870003521</v>
      </c>
      <c r="BP25" s="87">
        <f>IF(Dyn_Insured="","",IF(ISNUMBER(BL25)=FALSE,"n/a",MIN(MAX(BL25-'Layer Comparison'!Excess_Past,0),'Layer Comparison'!Limit_Past)))</f>
        <v>73635644.007499978</v>
      </c>
      <c r="BQ25" s="87">
        <f>IF(Dyn_Insured="","",IF(ISNUMBER(BM25)=FALSE,"n/a",MIN(MAX(BM25-'Layer Comparison'!Excess_Latest,0),'Layer Comparison'!Limit_Latest)))</f>
        <v>74408456.946200013</v>
      </c>
      <c r="BR25" s="87">
        <f t="shared" si="33"/>
        <v>772812.93870003521</v>
      </c>
      <c r="BS25" s="88">
        <f t="shared" si="34"/>
        <v>772812.93870003521</v>
      </c>
      <c r="BT25" s="46" t="s">
        <v>13</v>
      </c>
    </row>
    <row r="26" spans="1:72" x14ac:dyDescent="0.25">
      <c r="A26" s="89">
        <v>26</v>
      </c>
      <c r="B26" s="89">
        <f t="shared" si="0"/>
        <v>1</v>
      </c>
      <c r="C26" s="89">
        <f t="shared" si="1"/>
        <v>1</v>
      </c>
      <c r="D26" s="90">
        <f t="shared" si="2"/>
        <v>1</v>
      </c>
      <c r="E26" s="90">
        <f t="shared" si="2"/>
        <v>1</v>
      </c>
      <c r="F26" s="48" t="s">
        <v>67</v>
      </c>
      <c r="G26" s="38" t="s">
        <v>17</v>
      </c>
      <c r="H26" s="87">
        <v>3329020.7930000005</v>
      </c>
      <c r="I26" s="87">
        <v>1621450.6463000001</v>
      </c>
      <c r="J26" s="87">
        <f t="shared" si="3"/>
        <v>-1707570.1467000004</v>
      </c>
      <c r="K26" s="88">
        <f t="shared" si="4"/>
        <v>-1707570.1467000004</v>
      </c>
      <c r="L26" s="87">
        <f>IF(Dyn_Insured="","",IF(ISNUMBER(H26)=FALSE,"n/a",MIN(MAX(H26-'Layer Comparison'!Excess_Past,0),'Layer Comparison'!Limit_Past)))</f>
        <v>0</v>
      </c>
      <c r="M26" s="87">
        <f>IF(Dyn_Insured="","",IF(ISNUMBER(I26)=FALSE,"n/a",MIN(MAX(I26-'Layer Comparison'!Excess_Latest,0),'Layer Comparison'!Limit_Latest)))</f>
        <v>0</v>
      </c>
      <c r="N26" s="87">
        <f t="shared" si="5"/>
        <v>0</v>
      </c>
      <c r="O26" s="88">
        <f t="shared" si="6"/>
        <v>0</v>
      </c>
      <c r="P26" s="87">
        <v>12843201.496800004</v>
      </c>
      <c r="Q26" s="87">
        <v>8324536.7502000025</v>
      </c>
      <c r="R26" s="87">
        <f t="shared" si="7"/>
        <v>-4518664.7466000011</v>
      </c>
      <c r="S26" s="88">
        <f t="shared" si="8"/>
        <v>-4518664.7466000011</v>
      </c>
      <c r="T26" s="87">
        <f>IF(Dyn_Insured="","",IF(ISNUMBER(P26)=FALSE,"n/a",MIN(MAX(P26-'Layer Comparison'!Excess_Past,0),'Layer Comparison'!Limit_Past)))</f>
        <v>0</v>
      </c>
      <c r="U26" s="87">
        <f>IF(Dyn_Insured="","",IF(ISNUMBER(Q26)=FALSE,"n/a",MIN(MAX(Q26-'Layer Comparison'!Excess_Latest,0),'Layer Comparison'!Limit_Latest)))</f>
        <v>0</v>
      </c>
      <c r="V26" s="87">
        <f t="shared" si="9"/>
        <v>0</v>
      </c>
      <c r="W26" s="88">
        <f t="shared" si="10"/>
        <v>0</v>
      </c>
      <c r="X26" s="87">
        <v>23351368.081600003</v>
      </c>
      <c r="Y26" s="87">
        <v>17067590.008299999</v>
      </c>
      <c r="Z26" s="87">
        <f t="shared" si="11"/>
        <v>-6283778.073300004</v>
      </c>
      <c r="AA26" s="88">
        <f t="shared" si="12"/>
        <v>-6283778.073300004</v>
      </c>
      <c r="AB26" s="87">
        <f>IF(Dyn_Insured="","",IF(ISNUMBER(X26)=FALSE,"n/a",MIN(MAX(X26-'Layer Comparison'!Excess_Past,0),'Layer Comparison'!Limit_Past)))</f>
        <v>8351368.0816000029</v>
      </c>
      <c r="AC26" s="87">
        <f>IF(Dyn_Insured="","",IF(ISNUMBER(Y26)=FALSE,"n/a",MIN(MAX(Y26-'Layer Comparison'!Excess_Latest,0),'Layer Comparison'!Limit_Latest)))</f>
        <v>2067590.0082999989</v>
      </c>
      <c r="AD26" s="87">
        <f t="shared" si="13"/>
        <v>-6283778.073300004</v>
      </c>
      <c r="AE26" s="88">
        <f t="shared" si="14"/>
        <v>-6283778.073300004</v>
      </c>
      <c r="AF26" s="87">
        <v>34989825.571699999</v>
      </c>
      <c r="AG26" s="87">
        <v>27576452.587000009</v>
      </c>
      <c r="AH26" s="87">
        <f t="shared" si="15"/>
        <v>-7413372.9846999906</v>
      </c>
      <c r="AI26" s="88">
        <f t="shared" si="16"/>
        <v>-7413372.9846999906</v>
      </c>
      <c r="AJ26" s="87">
        <f>IF(Dyn_Insured="","",IF(ISNUMBER(AF26)=FALSE,"n/a",MIN(MAX(AF26-'Layer Comparison'!Excess_Past,0),'Layer Comparison'!Limit_Past)))</f>
        <v>19989825.571699999</v>
      </c>
      <c r="AK26" s="87">
        <f>IF(Dyn_Insured="","",IF(ISNUMBER(AG26)=FALSE,"n/a",MIN(MAX(AG26-'Layer Comparison'!Excess_Latest,0),'Layer Comparison'!Limit_Latest)))</f>
        <v>12576452.587000009</v>
      </c>
      <c r="AL26" s="87">
        <f t="shared" si="17"/>
        <v>-7413372.9846999906</v>
      </c>
      <c r="AM26" s="88">
        <f t="shared" si="18"/>
        <v>-7413372.9846999906</v>
      </c>
      <c r="AN26" s="87">
        <v>58662989.840600006</v>
      </c>
      <c r="AO26" s="87">
        <v>47330169.8288</v>
      </c>
      <c r="AP26" s="87">
        <f t="shared" si="19"/>
        <v>-11332820.011800006</v>
      </c>
      <c r="AQ26" s="88">
        <f t="shared" si="20"/>
        <v>-11332820.011800006</v>
      </c>
      <c r="AR26" s="87">
        <f>IF(Dyn_Insured="","",IF(ISNUMBER(AN26)=FALSE,"n/a",MIN(MAX(AN26-'Layer Comparison'!Excess_Past,0),'Layer Comparison'!Limit_Past)))</f>
        <v>43662989.840600006</v>
      </c>
      <c r="AS26" s="87">
        <f>IF(Dyn_Insured="","",IF(ISNUMBER(AO26)=FALSE,"n/a",MIN(MAX(AO26-'Layer Comparison'!Excess_Latest,0),'Layer Comparison'!Limit_Latest)))</f>
        <v>32330169.8288</v>
      </c>
      <c r="AT26" s="87">
        <f t="shared" si="21"/>
        <v>-11332820.011800006</v>
      </c>
      <c r="AU26" s="88">
        <f t="shared" si="22"/>
        <v>-11332820.011800006</v>
      </c>
      <c r="AV26" s="87">
        <v>79470839.361900002</v>
      </c>
      <c r="AW26" s="87">
        <v>64662913.569499977</v>
      </c>
      <c r="AX26" s="87">
        <f t="shared" si="23"/>
        <v>-14807925.792400025</v>
      </c>
      <c r="AY26" s="88">
        <f t="shared" si="24"/>
        <v>-14807925.792400025</v>
      </c>
      <c r="AZ26" s="87">
        <f>IF(Dyn_Insured="","",IF(ISNUMBER(AV26)=FALSE,"n/a",MIN(MAX(AV26-'Layer Comparison'!Excess_Past,0),'Layer Comparison'!Limit_Past)))</f>
        <v>64470839.361900002</v>
      </c>
      <c r="BA26" s="87">
        <f>IF(Dyn_Insured="","",IF(ISNUMBER(AW26)=FALSE,"n/a",MIN(MAX(AW26-'Layer Comparison'!Excess_Latest,0),'Layer Comparison'!Limit_Latest)))</f>
        <v>49662913.569499977</v>
      </c>
      <c r="BB26" s="87">
        <f t="shared" si="25"/>
        <v>-14807925.792400025</v>
      </c>
      <c r="BC26" s="88">
        <f t="shared" si="26"/>
        <v>-14807925.792400025</v>
      </c>
      <c r="BD26" s="87">
        <v>99129149.68810001</v>
      </c>
      <c r="BE26" s="87">
        <v>81294002.583199993</v>
      </c>
      <c r="BF26" s="87">
        <f t="shared" si="27"/>
        <v>-17835147.104900017</v>
      </c>
      <c r="BG26" s="88">
        <f t="shared" si="28"/>
        <v>-17835147.104900017</v>
      </c>
      <c r="BH26" s="87">
        <f>IF(Dyn_Insured="","",IF(ISNUMBER(BD26)=FALSE,"n/a",MIN(MAX(BD26-'Layer Comparison'!Excess_Past,0),'Layer Comparison'!Limit_Past)))</f>
        <v>84129149.68810001</v>
      </c>
      <c r="BI26" s="87">
        <f>IF(Dyn_Insured="","",IF(ISNUMBER(BE26)=FALSE,"n/a",MIN(MAX(BE26-'Layer Comparison'!Excess_Latest,0),'Layer Comparison'!Limit_Latest)))</f>
        <v>66294002.583199993</v>
      </c>
      <c r="BJ26" s="87">
        <f t="shared" si="29"/>
        <v>-17835147.104900017</v>
      </c>
      <c r="BK26" s="88">
        <f t="shared" si="30"/>
        <v>-17835147.104900017</v>
      </c>
      <c r="BL26" s="87">
        <v>100973397.33319998</v>
      </c>
      <c r="BM26" s="87">
        <v>82875651.714399964</v>
      </c>
      <c r="BN26" s="87">
        <f t="shared" si="31"/>
        <v>-18097745.618800014</v>
      </c>
      <c r="BO26" s="88">
        <f t="shared" si="32"/>
        <v>-18097745.618800014</v>
      </c>
      <c r="BP26" s="87">
        <f>IF(Dyn_Insured="","",IF(ISNUMBER(BL26)=FALSE,"n/a",MIN(MAX(BL26-'Layer Comparison'!Excess_Past,0),'Layer Comparison'!Limit_Past)))</f>
        <v>85973397.333199978</v>
      </c>
      <c r="BQ26" s="87">
        <f>IF(Dyn_Insured="","",IF(ISNUMBER(BM26)=FALSE,"n/a",MIN(MAX(BM26-'Layer Comparison'!Excess_Latest,0),'Layer Comparison'!Limit_Latest)))</f>
        <v>67875651.714399964</v>
      </c>
      <c r="BR26" s="87">
        <f t="shared" si="33"/>
        <v>-18097745.618800014</v>
      </c>
      <c r="BS26" s="88">
        <f t="shared" si="34"/>
        <v>-18097745.618800014</v>
      </c>
      <c r="BT26" s="46" t="s">
        <v>13</v>
      </c>
    </row>
    <row r="27" spans="1:72" x14ac:dyDescent="0.25">
      <c r="A27" s="89">
        <v>27</v>
      </c>
      <c r="B27" s="89">
        <f t="shared" si="0"/>
        <v>1</v>
      </c>
      <c r="C27" s="89">
        <f t="shared" si="1"/>
        <v>1</v>
      </c>
      <c r="D27" s="90">
        <f t="shared" si="2"/>
        <v>1</v>
      </c>
      <c r="E27" s="90">
        <f t="shared" si="2"/>
        <v>1</v>
      </c>
      <c r="F27" s="48" t="s">
        <v>68</v>
      </c>
      <c r="G27" s="38" t="s">
        <v>17</v>
      </c>
      <c r="H27" s="87">
        <v>5207463.8320000004</v>
      </c>
      <c r="I27" s="87">
        <v>2598523.7464000001</v>
      </c>
      <c r="J27" s="87">
        <f t="shared" si="3"/>
        <v>-2608940.0856000003</v>
      </c>
      <c r="K27" s="88">
        <f t="shared" si="4"/>
        <v>-2608940.0856000003</v>
      </c>
      <c r="L27" s="87">
        <f>IF(Dyn_Insured="","",IF(ISNUMBER(H27)=FALSE,"n/a",MIN(MAX(H27-'Layer Comparison'!Excess_Past,0),'Layer Comparison'!Limit_Past)))</f>
        <v>0</v>
      </c>
      <c r="M27" s="87">
        <f>IF(Dyn_Insured="","",IF(ISNUMBER(I27)=FALSE,"n/a",MIN(MAX(I27-'Layer Comparison'!Excess_Latest,0),'Layer Comparison'!Limit_Latest)))</f>
        <v>0</v>
      </c>
      <c r="N27" s="87">
        <f t="shared" si="5"/>
        <v>0</v>
      </c>
      <c r="O27" s="88">
        <f t="shared" si="6"/>
        <v>0</v>
      </c>
      <c r="P27" s="87">
        <v>17947567.709000003</v>
      </c>
      <c r="Q27" s="87">
        <v>10212244.6371</v>
      </c>
      <c r="R27" s="87">
        <f t="shared" si="7"/>
        <v>-7735323.0719000027</v>
      </c>
      <c r="S27" s="88">
        <f t="shared" si="8"/>
        <v>-7735323.0719000027</v>
      </c>
      <c r="T27" s="87">
        <f>IF(Dyn_Insured="","",IF(ISNUMBER(P27)=FALSE,"n/a",MIN(MAX(P27-'Layer Comparison'!Excess_Past,0),'Layer Comparison'!Limit_Past)))</f>
        <v>2947567.7090000026</v>
      </c>
      <c r="U27" s="87">
        <f>IF(Dyn_Insured="","",IF(ISNUMBER(Q27)=FALSE,"n/a",MIN(MAX(Q27-'Layer Comparison'!Excess_Latest,0),'Layer Comparison'!Limit_Latest)))</f>
        <v>0</v>
      </c>
      <c r="V27" s="87">
        <f t="shared" si="9"/>
        <v>-2947567.7090000026</v>
      </c>
      <c r="W27" s="88">
        <f t="shared" si="10"/>
        <v>-2947567.7090000026</v>
      </c>
      <c r="X27" s="87">
        <v>33625254.303799994</v>
      </c>
      <c r="Y27" s="87">
        <v>20198324.9595</v>
      </c>
      <c r="Z27" s="87">
        <f t="shared" si="11"/>
        <v>-13426929.344299994</v>
      </c>
      <c r="AA27" s="88">
        <f t="shared" si="12"/>
        <v>-13426929.344299994</v>
      </c>
      <c r="AB27" s="87">
        <f>IF(Dyn_Insured="","",IF(ISNUMBER(X27)=FALSE,"n/a",MIN(MAX(X27-'Layer Comparison'!Excess_Past,0),'Layer Comparison'!Limit_Past)))</f>
        <v>18625254.303799994</v>
      </c>
      <c r="AC27" s="87">
        <f>IF(Dyn_Insured="","",IF(ISNUMBER(Y27)=FALSE,"n/a",MIN(MAX(Y27-'Layer Comparison'!Excess_Latest,0),'Layer Comparison'!Limit_Latest)))</f>
        <v>5198324.9594999999</v>
      </c>
      <c r="AD27" s="87">
        <f t="shared" si="13"/>
        <v>-13426929.344299994</v>
      </c>
      <c r="AE27" s="88">
        <f t="shared" si="14"/>
        <v>-13426929.344299994</v>
      </c>
      <c r="AF27" s="87">
        <v>48617255.649999999</v>
      </c>
      <c r="AG27" s="87">
        <v>29442231.738300003</v>
      </c>
      <c r="AH27" s="87">
        <f t="shared" si="15"/>
        <v>-19175023.911699995</v>
      </c>
      <c r="AI27" s="88">
        <f t="shared" si="16"/>
        <v>-19175023.911699995</v>
      </c>
      <c r="AJ27" s="87">
        <f>IF(Dyn_Insured="","",IF(ISNUMBER(AF27)=FALSE,"n/a",MIN(MAX(AF27-'Layer Comparison'!Excess_Past,0),'Layer Comparison'!Limit_Past)))</f>
        <v>33617255.649999999</v>
      </c>
      <c r="AK27" s="87">
        <f>IF(Dyn_Insured="","",IF(ISNUMBER(AG27)=FALSE,"n/a",MIN(MAX(AG27-'Layer Comparison'!Excess_Latest,0),'Layer Comparison'!Limit_Latest)))</f>
        <v>14442231.738300003</v>
      </c>
      <c r="AL27" s="87">
        <f t="shared" si="17"/>
        <v>-19175023.911699995</v>
      </c>
      <c r="AM27" s="88">
        <f t="shared" si="18"/>
        <v>-19175023.911699995</v>
      </c>
      <c r="AN27" s="87">
        <v>71992794.991999999</v>
      </c>
      <c r="AO27" s="87">
        <v>44422456.618399993</v>
      </c>
      <c r="AP27" s="87">
        <f t="shared" si="19"/>
        <v>-27570338.373600006</v>
      </c>
      <c r="AQ27" s="88">
        <f t="shared" si="20"/>
        <v>-27570338.373600006</v>
      </c>
      <c r="AR27" s="87">
        <f>IF(Dyn_Insured="","",IF(ISNUMBER(AN27)=FALSE,"n/a",MIN(MAX(AN27-'Layer Comparison'!Excess_Past,0),'Layer Comparison'!Limit_Past)))</f>
        <v>56992794.991999999</v>
      </c>
      <c r="AS27" s="87">
        <f>IF(Dyn_Insured="","",IF(ISNUMBER(AO27)=FALSE,"n/a",MIN(MAX(AO27-'Layer Comparison'!Excess_Latest,0),'Layer Comparison'!Limit_Latest)))</f>
        <v>29422456.618399993</v>
      </c>
      <c r="AT27" s="87">
        <f t="shared" si="21"/>
        <v>-27570338.373600006</v>
      </c>
      <c r="AU27" s="88">
        <f t="shared" si="22"/>
        <v>-27570338.373600006</v>
      </c>
      <c r="AV27" s="87">
        <v>74332081.523400009</v>
      </c>
      <c r="AW27" s="87">
        <v>46157344.293900006</v>
      </c>
      <c r="AX27" s="87">
        <f t="shared" si="23"/>
        <v>-28174737.229500003</v>
      </c>
      <c r="AY27" s="88">
        <f t="shared" si="24"/>
        <v>-28174737.229500003</v>
      </c>
      <c r="AZ27" s="87">
        <f>IF(Dyn_Insured="","",IF(ISNUMBER(AV27)=FALSE,"n/a",MIN(MAX(AV27-'Layer Comparison'!Excess_Past,0),'Layer Comparison'!Limit_Past)))</f>
        <v>59332081.523400009</v>
      </c>
      <c r="BA27" s="87">
        <f>IF(Dyn_Insured="","",IF(ISNUMBER(AW27)=FALSE,"n/a",MIN(MAX(AW27-'Layer Comparison'!Excess_Latest,0),'Layer Comparison'!Limit_Latest)))</f>
        <v>31157344.293900006</v>
      </c>
      <c r="BB27" s="87">
        <f t="shared" si="25"/>
        <v>-28174737.229500003</v>
      </c>
      <c r="BC27" s="88">
        <f t="shared" si="26"/>
        <v>-28174737.229500003</v>
      </c>
      <c r="BD27" s="87">
        <v>74332081.523400009</v>
      </c>
      <c r="BE27" s="87">
        <v>46157344.293899998</v>
      </c>
      <c r="BF27" s="87">
        <f t="shared" si="27"/>
        <v>-28174737.229500011</v>
      </c>
      <c r="BG27" s="88">
        <f t="shared" si="28"/>
        <v>-28174737.229500011</v>
      </c>
      <c r="BH27" s="87">
        <f>IF(Dyn_Insured="","",IF(ISNUMBER(BD27)=FALSE,"n/a",MIN(MAX(BD27-'Layer Comparison'!Excess_Past,0),'Layer Comparison'!Limit_Past)))</f>
        <v>59332081.523400009</v>
      </c>
      <c r="BI27" s="87">
        <f>IF(Dyn_Insured="","",IF(ISNUMBER(BE27)=FALSE,"n/a",MIN(MAX(BE27-'Layer Comparison'!Excess_Latest,0),'Layer Comparison'!Limit_Latest)))</f>
        <v>31157344.293899998</v>
      </c>
      <c r="BJ27" s="87">
        <f t="shared" si="29"/>
        <v>-28174737.229500011</v>
      </c>
      <c r="BK27" s="88">
        <f t="shared" si="30"/>
        <v>-28174737.229500011</v>
      </c>
      <c r="BL27" s="87">
        <v>74332081.523400009</v>
      </c>
      <c r="BM27" s="87">
        <v>46157344.293900013</v>
      </c>
      <c r="BN27" s="87">
        <f t="shared" si="31"/>
        <v>-28174737.229499996</v>
      </c>
      <c r="BO27" s="88">
        <f t="shared" si="32"/>
        <v>-28174737.229499996</v>
      </c>
      <c r="BP27" s="87">
        <f>IF(Dyn_Insured="","",IF(ISNUMBER(BL27)=FALSE,"n/a",MIN(MAX(BL27-'Layer Comparison'!Excess_Past,0),'Layer Comparison'!Limit_Past)))</f>
        <v>59332081.523400009</v>
      </c>
      <c r="BQ27" s="87">
        <f>IF(Dyn_Insured="","",IF(ISNUMBER(BM27)=FALSE,"n/a",MIN(MAX(BM27-'Layer Comparison'!Excess_Latest,0),'Layer Comparison'!Limit_Latest)))</f>
        <v>31157344.293900013</v>
      </c>
      <c r="BR27" s="87">
        <f t="shared" si="33"/>
        <v>-28174737.229499996</v>
      </c>
      <c r="BS27" s="88">
        <f t="shared" si="34"/>
        <v>-28174737.229499996</v>
      </c>
      <c r="BT27" s="46" t="s">
        <v>13</v>
      </c>
    </row>
    <row r="28" spans="1:72" x14ac:dyDescent="0.25">
      <c r="A28" s="89">
        <v>28</v>
      </c>
      <c r="B28" s="89">
        <f t="shared" si="0"/>
        <v>1</v>
      </c>
      <c r="C28" s="89">
        <f t="shared" si="1"/>
        <v>1</v>
      </c>
      <c r="D28" s="90">
        <f t="shared" si="2"/>
        <v>1</v>
      </c>
      <c r="E28" s="90">
        <f t="shared" si="2"/>
        <v>1</v>
      </c>
      <c r="F28" s="48" t="s">
        <v>69</v>
      </c>
      <c r="G28" s="38" t="s">
        <v>17</v>
      </c>
      <c r="H28" s="87">
        <v>4739632.3993999995</v>
      </c>
      <c r="I28" s="87">
        <v>3144334.7676999997</v>
      </c>
      <c r="J28" s="87">
        <f t="shared" si="3"/>
        <v>-1595297.6316999998</v>
      </c>
      <c r="K28" s="88">
        <f t="shared" si="4"/>
        <v>-1595297.6316999998</v>
      </c>
      <c r="L28" s="87">
        <f>IF(Dyn_Insured="","",IF(ISNUMBER(H28)=FALSE,"n/a",MIN(MAX(H28-'Layer Comparison'!Excess_Past,0),'Layer Comparison'!Limit_Past)))</f>
        <v>0</v>
      </c>
      <c r="M28" s="87">
        <f>IF(Dyn_Insured="","",IF(ISNUMBER(I28)=FALSE,"n/a",MIN(MAX(I28-'Layer Comparison'!Excess_Latest,0),'Layer Comparison'!Limit_Latest)))</f>
        <v>0</v>
      </c>
      <c r="N28" s="87">
        <f t="shared" si="5"/>
        <v>0</v>
      </c>
      <c r="O28" s="88">
        <f t="shared" si="6"/>
        <v>0</v>
      </c>
      <c r="P28" s="87">
        <v>14472603.692200001</v>
      </c>
      <c r="Q28" s="87">
        <v>12093955.0276</v>
      </c>
      <c r="R28" s="87">
        <f t="shared" si="7"/>
        <v>-2378648.6646000016</v>
      </c>
      <c r="S28" s="88">
        <f t="shared" si="8"/>
        <v>-2378648.6646000016</v>
      </c>
      <c r="T28" s="87">
        <f>IF(Dyn_Insured="","",IF(ISNUMBER(P28)=FALSE,"n/a",MIN(MAX(P28-'Layer Comparison'!Excess_Past,0),'Layer Comparison'!Limit_Past)))</f>
        <v>0</v>
      </c>
      <c r="U28" s="87">
        <f>IF(Dyn_Insured="","",IF(ISNUMBER(Q28)=FALSE,"n/a",MIN(MAX(Q28-'Layer Comparison'!Excess_Latest,0),'Layer Comparison'!Limit_Latest)))</f>
        <v>0</v>
      </c>
      <c r="V28" s="87">
        <f t="shared" si="9"/>
        <v>0</v>
      </c>
      <c r="W28" s="88">
        <f t="shared" si="10"/>
        <v>0</v>
      </c>
      <c r="X28" s="87">
        <v>26511981.527600002</v>
      </c>
      <c r="Y28" s="87">
        <v>23459453.3631</v>
      </c>
      <c r="Z28" s="87">
        <f t="shared" si="11"/>
        <v>-3052528.1645000018</v>
      </c>
      <c r="AA28" s="88">
        <f t="shared" si="12"/>
        <v>-3052528.1645000018</v>
      </c>
      <c r="AB28" s="87">
        <f>IF(Dyn_Insured="","",IF(ISNUMBER(X28)=FALSE,"n/a",MIN(MAX(X28-'Layer Comparison'!Excess_Past,0),'Layer Comparison'!Limit_Past)))</f>
        <v>11511981.527600002</v>
      </c>
      <c r="AC28" s="87">
        <f>IF(Dyn_Insured="","",IF(ISNUMBER(Y28)=FALSE,"n/a",MIN(MAX(Y28-'Layer Comparison'!Excess_Latest,0),'Layer Comparison'!Limit_Latest)))</f>
        <v>8459453.3630999997</v>
      </c>
      <c r="AD28" s="87">
        <f t="shared" si="13"/>
        <v>-3052528.1645000018</v>
      </c>
      <c r="AE28" s="88">
        <f t="shared" si="14"/>
        <v>-3052528.1645000018</v>
      </c>
      <c r="AF28" s="87">
        <v>37712458.229600012</v>
      </c>
      <c r="AG28" s="87">
        <v>35110611.021500006</v>
      </c>
      <c r="AH28" s="87">
        <f t="shared" si="15"/>
        <v>-2601847.208100006</v>
      </c>
      <c r="AI28" s="88">
        <f t="shared" si="16"/>
        <v>-2601847.208100006</v>
      </c>
      <c r="AJ28" s="87">
        <f>IF(Dyn_Insured="","",IF(ISNUMBER(AF28)=FALSE,"n/a",MIN(MAX(AF28-'Layer Comparison'!Excess_Past,0),'Layer Comparison'!Limit_Past)))</f>
        <v>22712458.229600012</v>
      </c>
      <c r="AK28" s="87">
        <f>IF(Dyn_Insured="","",IF(ISNUMBER(AG28)=FALSE,"n/a",MIN(MAX(AG28-'Layer Comparison'!Excess_Latest,0),'Layer Comparison'!Limit_Latest)))</f>
        <v>20110611.021500006</v>
      </c>
      <c r="AL28" s="87">
        <f t="shared" si="17"/>
        <v>-2601847.208100006</v>
      </c>
      <c r="AM28" s="88">
        <f t="shared" si="18"/>
        <v>-2601847.208100006</v>
      </c>
      <c r="AN28" s="87">
        <v>59205927.223199993</v>
      </c>
      <c r="AO28" s="87">
        <v>59014359.041700006</v>
      </c>
      <c r="AP28" s="87">
        <f t="shared" si="19"/>
        <v>-191568.18149998784</v>
      </c>
      <c r="AQ28" s="88">
        <f t="shared" si="20"/>
        <v>-191568.18149998784</v>
      </c>
      <c r="AR28" s="87">
        <f>IF(Dyn_Insured="","",IF(ISNUMBER(AN28)=FALSE,"n/a",MIN(MAX(AN28-'Layer Comparison'!Excess_Past,0),'Layer Comparison'!Limit_Past)))</f>
        <v>44205927.223199993</v>
      </c>
      <c r="AS28" s="87">
        <f>IF(Dyn_Insured="","",IF(ISNUMBER(AO28)=FALSE,"n/a",MIN(MAX(AO28-'Layer Comparison'!Excess_Latest,0),'Layer Comparison'!Limit_Latest)))</f>
        <v>44014359.041700006</v>
      </c>
      <c r="AT28" s="87">
        <f t="shared" si="21"/>
        <v>-191568.18149998784</v>
      </c>
      <c r="AU28" s="88">
        <f t="shared" si="22"/>
        <v>-191568.18149998784</v>
      </c>
      <c r="AV28" s="87">
        <v>66369824.849100024</v>
      </c>
      <c r="AW28" s="87">
        <v>66752944.525299996</v>
      </c>
      <c r="AX28" s="87">
        <f t="shared" si="23"/>
        <v>383119.67619997263</v>
      </c>
      <c r="AY28" s="88">
        <f t="shared" si="24"/>
        <v>383119.67619997263</v>
      </c>
      <c r="AZ28" s="87">
        <f>IF(Dyn_Insured="","",IF(ISNUMBER(AV28)=FALSE,"n/a",MIN(MAX(AV28-'Layer Comparison'!Excess_Past,0),'Layer Comparison'!Limit_Past)))</f>
        <v>51369824.849100024</v>
      </c>
      <c r="BA28" s="87">
        <f>IF(Dyn_Insured="","",IF(ISNUMBER(AW28)=FALSE,"n/a",MIN(MAX(AW28-'Layer Comparison'!Excess_Latest,0),'Layer Comparison'!Limit_Latest)))</f>
        <v>51752944.525299996</v>
      </c>
      <c r="BB28" s="87">
        <f t="shared" si="25"/>
        <v>383119.67619997263</v>
      </c>
      <c r="BC28" s="88">
        <f t="shared" si="26"/>
        <v>383119.67619997263</v>
      </c>
      <c r="BD28" s="87">
        <v>66369824.849100009</v>
      </c>
      <c r="BE28" s="87">
        <v>66752944.525299996</v>
      </c>
      <c r="BF28" s="87">
        <f t="shared" si="27"/>
        <v>383119.67619998753</v>
      </c>
      <c r="BG28" s="88">
        <f t="shared" si="28"/>
        <v>383119.67619998753</v>
      </c>
      <c r="BH28" s="87">
        <f>IF(Dyn_Insured="","",IF(ISNUMBER(BD28)=FALSE,"n/a",MIN(MAX(BD28-'Layer Comparison'!Excess_Past,0),'Layer Comparison'!Limit_Past)))</f>
        <v>51369824.849100009</v>
      </c>
      <c r="BI28" s="87">
        <f>IF(Dyn_Insured="","",IF(ISNUMBER(BE28)=FALSE,"n/a",MIN(MAX(BE28-'Layer Comparison'!Excess_Latest,0),'Layer Comparison'!Limit_Latest)))</f>
        <v>51752944.525299996</v>
      </c>
      <c r="BJ28" s="87">
        <f t="shared" si="29"/>
        <v>383119.67619998753</v>
      </c>
      <c r="BK28" s="88">
        <f t="shared" si="30"/>
        <v>383119.67619998753</v>
      </c>
      <c r="BL28" s="87">
        <v>66369824.849100009</v>
      </c>
      <c r="BM28" s="87">
        <v>66752944.525299981</v>
      </c>
      <c r="BN28" s="87">
        <f t="shared" si="31"/>
        <v>383119.67619997263</v>
      </c>
      <c r="BO28" s="88">
        <f t="shared" si="32"/>
        <v>383119.67619997263</v>
      </c>
      <c r="BP28" s="87">
        <f>IF(Dyn_Insured="","",IF(ISNUMBER(BL28)=FALSE,"n/a",MIN(MAX(BL28-'Layer Comparison'!Excess_Past,0),'Layer Comparison'!Limit_Past)))</f>
        <v>51369824.849100009</v>
      </c>
      <c r="BQ28" s="87">
        <f>IF(Dyn_Insured="","",IF(ISNUMBER(BM28)=FALSE,"n/a",MIN(MAX(BM28-'Layer Comparison'!Excess_Latest,0),'Layer Comparison'!Limit_Latest)))</f>
        <v>51752944.525299981</v>
      </c>
      <c r="BR28" s="87">
        <f t="shared" si="33"/>
        <v>383119.67619997263</v>
      </c>
      <c r="BS28" s="88">
        <f t="shared" si="34"/>
        <v>383119.67619997263</v>
      </c>
      <c r="BT28" s="46" t="s">
        <v>13</v>
      </c>
    </row>
    <row r="29" spans="1:72" x14ac:dyDescent="0.25">
      <c r="A29" s="89">
        <v>29</v>
      </c>
      <c r="B29" s="89">
        <f t="shared" si="0"/>
        <v>1</v>
      </c>
      <c r="C29" s="89">
        <f t="shared" si="1"/>
        <v>1</v>
      </c>
      <c r="D29" s="90">
        <f t="shared" si="2"/>
        <v>1</v>
      </c>
      <c r="E29" s="90">
        <f t="shared" si="2"/>
        <v>1</v>
      </c>
      <c r="F29" s="48" t="s">
        <v>70</v>
      </c>
      <c r="G29" s="38" t="s">
        <v>17</v>
      </c>
      <c r="H29" s="87">
        <v>3216260.7173999995</v>
      </c>
      <c r="I29" s="87">
        <v>1959314.0887999998</v>
      </c>
      <c r="J29" s="87">
        <f t="shared" si="3"/>
        <v>-1256946.6285999997</v>
      </c>
      <c r="K29" s="88">
        <f t="shared" si="4"/>
        <v>-1256946.6285999997</v>
      </c>
      <c r="L29" s="87">
        <f>IF(Dyn_Insured="","",IF(ISNUMBER(H29)=FALSE,"n/a",MIN(MAX(H29-'Layer Comparison'!Excess_Past,0),'Layer Comparison'!Limit_Past)))</f>
        <v>0</v>
      </c>
      <c r="M29" s="87">
        <f>IF(Dyn_Insured="","",IF(ISNUMBER(I29)=FALSE,"n/a",MIN(MAX(I29-'Layer Comparison'!Excess_Latest,0),'Layer Comparison'!Limit_Latest)))</f>
        <v>0</v>
      </c>
      <c r="N29" s="87">
        <f t="shared" si="5"/>
        <v>0</v>
      </c>
      <c r="O29" s="88">
        <f t="shared" si="6"/>
        <v>0</v>
      </c>
      <c r="P29" s="87">
        <v>13724634.25</v>
      </c>
      <c r="Q29" s="87">
        <v>9807832.4458999988</v>
      </c>
      <c r="R29" s="87">
        <f t="shared" si="7"/>
        <v>-3916801.8041000012</v>
      </c>
      <c r="S29" s="88">
        <f t="shared" si="8"/>
        <v>-3916801.8041000012</v>
      </c>
      <c r="T29" s="87">
        <f>IF(Dyn_Insured="","",IF(ISNUMBER(P29)=FALSE,"n/a",MIN(MAX(P29-'Layer Comparison'!Excess_Past,0),'Layer Comparison'!Limit_Past)))</f>
        <v>0</v>
      </c>
      <c r="U29" s="87">
        <f>IF(Dyn_Insured="","",IF(ISNUMBER(Q29)=FALSE,"n/a",MIN(MAX(Q29-'Layer Comparison'!Excess_Latest,0),'Layer Comparison'!Limit_Latest)))</f>
        <v>0</v>
      </c>
      <c r="V29" s="87">
        <f t="shared" si="9"/>
        <v>0</v>
      </c>
      <c r="W29" s="88">
        <f t="shared" si="10"/>
        <v>0</v>
      </c>
      <c r="X29" s="87">
        <v>26424202.490299996</v>
      </c>
      <c r="Y29" s="87">
        <v>20668309.436500002</v>
      </c>
      <c r="Z29" s="87">
        <f t="shared" si="11"/>
        <v>-5755893.0537999943</v>
      </c>
      <c r="AA29" s="88">
        <f t="shared" si="12"/>
        <v>-5755893.0537999943</v>
      </c>
      <c r="AB29" s="87">
        <f>IF(Dyn_Insured="","",IF(ISNUMBER(X29)=FALSE,"n/a",MIN(MAX(X29-'Layer Comparison'!Excess_Past,0),'Layer Comparison'!Limit_Past)))</f>
        <v>11424202.490299996</v>
      </c>
      <c r="AC29" s="87">
        <f>IF(Dyn_Insured="","",IF(ISNUMBER(Y29)=FALSE,"n/a",MIN(MAX(Y29-'Layer Comparison'!Excess_Latest,0),'Layer Comparison'!Limit_Latest)))</f>
        <v>5668309.4365000017</v>
      </c>
      <c r="AD29" s="87">
        <f t="shared" si="13"/>
        <v>-5755893.0537999943</v>
      </c>
      <c r="AE29" s="88">
        <f t="shared" si="14"/>
        <v>-5755893.0537999943</v>
      </c>
      <c r="AF29" s="87">
        <v>39948791.077500001</v>
      </c>
      <c r="AG29" s="87">
        <v>32627934.814199999</v>
      </c>
      <c r="AH29" s="87">
        <f t="shared" si="15"/>
        <v>-7320856.2633000016</v>
      </c>
      <c r="AI29" s="88">
        <f t="shared" si="16"/>
        <v>-7320856.2633000016</v>
      </c>
      <c r="AJ29" s="87">
        <f>IF(Dyn_Insured="","",IF(ISNUMBER(AF29)=FALSE,"n/a",MIN(MAX(AF29-'Layer Comparison'!Excess_Past,0),'Layer Comparison'!Limit_Past)))</f>
        <v>24948791.077500001</v>
      </c>
      <c r="AK29" s="87">
        <f>IF(Dyn_Insured="","",IF(ISNUMBER(AG29)=FALSE,"n/a",MIN(MAX(AG29-'Layer Comparison'!Excess_Latest,0),'Layer Comparison'!Limit_Latest)))</f>
        <v>17627934.814199999</v>
      </c>
      <c r="AL29" s="87">
        <f t="shared" si="17"/>
        <v>-7320856.2633000016</v>
      </c>
      <c r="AM29" s="88">
        <f t="shared" si="18"/>
        <v>-7320856.2633000016</v>
      </c>
      <c r="AN29" s="87">
        <v>67826196.850500003</v>
      </c>
      <c r="AO29" s="87">
        <v>56553276.385700002</v>
      </c>
      <c r="AP29" s="87">
        <f t="shared" si="19"/>
        <v>-11272920.4648</v>
      </c>
      <c r="AQ29" s="88">
        <f t="shared" si="20"/>
        <v>-11272920.4648</v>
      </c>
      <c r="AR29" s="87">
        <f>IF(Dyn_Insured="","",IF(ISNUMBER(AN29)=FALSE,"n/a",MIN(MAX(AN29-'Layer Comparison'!Excess_Past,0),'Layer Comparison'!Limit_Past)))</f>
        <v>52826196.850500003</v>
      </c>
      <c r="AS29" s="87">
        <f>IF(Dyn_Insured="","",IF(ISNUMBER(AO29)=FALSE,"n/a",MIN(MAX(AO29-'Layer Comparison'!Excess_Latest,0),'Layer Comparison'!Limit_Latest)))</f>
        <v>41553276.385700002</v>
      </c>
      <c r="AT29" s="87">
        <f t="shared" si="21"/>
        <v>-11272920.4648</v>
      </c>
      <c r="AU29" s="88">
        <f t="shared" si="22"/>
        <v>-11272920.4648</v>
      </c>
      <c r="AV29" s="87">
        <v>93923304.606000021</v>
      </c>
      <c r="AW29" s="87">
        <v>75219251.734199986</v>
      </c>
      <c r="AX29" s="87">
        <f t="shared" si="23"/>
        <v>-18704052.871800035</v>
      </c>
      <c r="AY29" s="88">
        <f t="shared" si="24"/>
        <v>-18704052.871800035</v>
      </c>
      <c r="AZ29" s="87">
        <f>IF(Dyn_Insured="","",IF(ISNUMBER(AV29)=FALSE,"n/a",MIN(MAX(AV29-'Layer Comparison'!Excess_Past,0),'Layer Comparison'!Limit_Past)))</f>
        <v>78923304.606000021</v>
      </c>
      <c r="BA29" s="87">
        <f>IF(Dyn_Insured="","",IF(ISNUMBER(AW29)=FALSE,"n/a",MIN(MAX(AW29-'Layer Comparison'!Excess_Latest,0),'Layer Comparison'!Limit_Latest)))</f>
        <v>60219251.734199986</v>
      </c>
      <c r="BB29" s="87">
        <f t="shared" si="25"/>
        <v>-18704052.871800035</v>
      </c>
      <c r="BC29" s="88">
        <f t="shared" si="26"/>
        <v>-18704052.871800035</v>
      </c>
      <c r="BD29" s="87">
        <v>114156123.02959999</v>
      </c>
      <c r="BE29" s="87">
        <v>92490870.572899997</v>
      </c>
      <c r="BF29" s="87">
        <f t="shared" si="27"/>
        <v>-21665252.456699997</v>
      </c>
      <c r="BG29" s="88">
        <f t="shared" si="28"/>
        <v>-21665252.456699997</v>
      </c>
      <c r="BH29" s="87">
        <f>IF(Dyn_Insured="","",IF(ISNUMBER(BD29)=FALSE,"n/a",MIN(MAX(BD29-'Layer Comparison'!Excess_Past,0),'Layer Comparison'!Limit_Past)))</f>
        <v>99156123.029599994</v>
      </c>
      <c r="BI29" s="87">
        <f>IF(Dyn_Insured="","",IF(ISNUMBER(BE29)=FALSE,"n/a",MIN(MAX(BE29-'Layer Comparison'!Excess_Latest,0),'Layer Comparison'!Limit_Latest)))</f>
        <v>77490870.572899997</v>
      </c>
      <c r="BJ29" s="87">
        <f t="shared" si="29"/>
        <v>-21665252.456699997</v>
      </c>
      <c r="BK29" s="88">
        <f t="shared" si="30"/>
        <v>-21665252.456699997</v>
      </c>
      <c r="BL29" s="87">
        <v>116981042.14940003</v>
      </c>
      <c r="BM29" s="87">
        <v>94736326.285299987</v>
      </c>
      <c r="BN29" s="87">
        <f t="shared" si="31"/>
        <v>-22244715.864100039</v>
      </c>
      <c r="BO29" s="88">
        <f t="shared" si="32"/>
        <v>-22244715.864100039</v>
      </c>
      <c r="BP29" s="87">
        <f>IF(Dyn_Insured="","",IF(ISNUMBER(BL29)=FALSE,"n/a",MIN(MAX(BL29-'Layer Comparison'!Excess_Past,0),'Layer Comparison'!Limit_Past)))</f>
        <v>101981042.14940003</v>
      </c>
      <c r="BQ29" s="87">
        <f>IF(Dyn_Insured="","",IF(ISNUMBER(BM29)=FALSE,"n/a",MIN(MAX(BM29-'Layer Comparison'!Excess_Latest,0),'Layer Comparison'!Limit_Latest)))</f>
        <v>79736326.285299987</v>
      </c>
      <c r="BR29" s="87">
        <f t="shared" si="33"/>
        <v>-22244715.864100039</v>
      </c>
      <c r="BS29" s="88">
        <f t="shared" si="34"/>
        <v>-22244715.864100039</v>
      </c>
      <c r="BT29" s="46" t="s">
        <v>13</v>
      </c>
    </row>
    <row r="30" spans="1:72" x14ac:dyDescent="0.25">
      <c r="A30" s="89">
        <v>30</v>
      </c>
      <c r="B30" s="89">
        <f t="shared" si="0"/>
        <v>1</v>
      </c>
      <c r="C30" s="89">
        <f t="shared" si="1"/>
        <v>1</v>
      </c>
      <c r="D30" s="90">
        <f t="shared" si="2"/>
        <v>1</v>
      </c>
      <c r="E30" s="90">
        <f t="shared" si="2"/>
        <v>1</v>
      </c>
      <c r="F30" s="48" t="s">
        <v>71</v>
      </c>
      <c r="G30" s="38" t="s">
        <v>17</v>
      </c>
      <c r="H30" s="87">
        <v>1613378.662</v>
      </c>
      <c r="I30" s="87">
        <v>1006527.7545</v>
      </c>
      <c r="J30" s="87">
        <f t="shared" si="3"/>
        <v>-606850.90749999997</v>
      </c>
      <c r="K30" s="88">
        <f t="shared" si="4"/>
        <v>-606850.90749999997</v>
      </c>
      <c r="L30" s="87">
        <f>IF(Dyn_Insured="","",IF(ISNUMBER(H30)=FALSE,"n/a",MIN(MAX(H30-'Layer Comparison'!Excess_Past,0),'Layer Comparison'!Limit_Past)))</f>
        <v>0</v>
      </c>
      <c r="M30" s="87">
        <f>IF(Dyn_Insured="","",IF(ISNUMBER(I30)=FALSE,"n/a",MIN(MAX(I30-'Layer Comparison'!Excess_Latest,0),'Layer Comparison'!Limit_Latest)))</f>
        <v>0</v>
      </c>
      <c r="N30" s="87">
        <f t="shared" si="5"/>
        <v>0</v>
      </c>
      <c r="O30" s="88">
        <f t="shared" si="6"/>
        <v>0</v>
      </c>
      <c r="P30" s="87">
        <v>7421736.8304000003</v>
      </c>
      <c r="Q30" s="87">
        <v>7349672.7712000003</v>
      </c>
      <c r="R30" s="87">
        <f t="shared" si="7"/>
        <v>-72064.059200000018</v>
      </c>
      <c r="S30" s="88">
        <f t="shared" si="8"/>
        <v>-72064.059200000018</v>
      </c>
      <c r="T30" s="87">
        <f>IF(Dyn_Insured="","",IF(ISNUMBER(P30)=FALSE,"n/a",MIN(MAX(P30-'Layer Comparison'!Excess_Past,0),'Layer Comparison'!Limit_Past)))</f>
        <v>0</v>
      </c>
      <c r="U30" s="87">
        <f>IF(Dyn_Insured="","",IF(ISNUMBER(Q30)=FALSE,"n/a",MIN(MAX(Q30-'Layer Comparison'!Excess_Latest,0),'Layer Comparison'!Limit_Latest)))</f>
        <v>0</v>
      </c>
      <c r="V30" s="87">
        <f t="shared" si="9"/>
        <v>0</v>
      </c>
      <c r="W30" s="88">
        <f t="shared" si="10"/>
        <v>0</v>
      </c>
      <c r="X30" s="87">
        <v>14017072.5645</v>
      </c>
      <c r="Y30" s="87">
        <v>14932436.773800001</v>
      </c>
      <c r="Z30" s="87">
        <f t="shared" si="11"/>
        <v>915364.20930000022</v>
      </c>
      <c r="AA30" s="88">
        <f t="shared" si="12"/>
        <v>915364.20930000022</v>
      </c>
      <c r="AB30" s="87">
        <f>IF(Dyn_Insured="","",IF(ISNUMBER(X30)=FALSE,"n/a",MIN(MAX(X30-'Layer Comparison'!Excess_Past,0),'Layer Comparison'!Limit_Past)))</f>
        <v>0</v>
      </c>
      <c r="AC30" s="87">
        <f>IF(Dyn_Insured="","",IF(ISNUMBER(Y30)=FALSE,"n/a",MIN(MAX(Y30-'Layer Comparison'!Excess_Latest,0),'Layer Comparison'!Limit_Latest)))</f>
        <v>0</v>
      </c>
      <c r="AD30" s="87">
        <f t="shared" si="13"/>
        <v>0</v>
      </c>
      <c r="AE30" s="88">
        <f t="shared" si="14"/>
        <v>0</v>
      </c>
      <c r="AF30" s="87">
        <v>21707190.8895</v>
      </c>
      <c r="AG30" s="87">
        <v>23480084.036400005</v>
      </c>
      <c r="AH30" s="87">
        <f t="shared" si="15"/>
        <v>1772893.1469000056</v>
      </c>
      <c r="AI30" s="88">
        <f t="shared" si="16"/>
        <v>1772893.1469000056</v>
      </c>
      <c r="AJ30" s="87">
        <f>IF(Dyn_Insured="","",IF(ISNUMBER(AF30)=FALSE,"n/a",MIN(MAX(AF30-'Layer Comparison'!Excess_Past,0),'Layer Comparison'!Limit_Past)))</f>
        <v>6707190.8894999996</v>
      </c>
      <c r="AK30" s="87">
        <f>IF(Dyn_Insured="","",IF(ISNUMBER(AG30)=FALSE,"n/a",MIN(MAX(AG30-'Layer Comparison'!Excess_Latest,0),'Layer Comparison'!Limit_Latest)))</f>
        <v>8480084.0364000052</v>
      </c>
      <c r="AL30" s="87">
        <f t="shared" si="17"/>
        <v>1772893.1469000056</v>
      </c>
      <c r="AM30" s="88">
        <f t="shared" si="18"/>
        <v>1772893.1469000056</v>
      </c>
      <c r="AN30" s="87">
        <v>38483162.806400001</v>
      </c>
      <c r="AO30" s="87">
        <v>42307093.742799997</v>
      </c>
      <c r="AP30" s="87">
        <f t="shared" si="19"/>
        <v>3823930.9363999963</v>
      </c>
      <c r="AQ30" s="88">
        <f t="shared" si="20"/>
        <v>3823930.9363999963</v>
      </c>
      <c r="AR30" s="87">
        <f>IF(Dyn_Insured="","",IF(ISNUMBER(AN30)=FALSE,"n/a",MIN(MAX(AN30-'Layer Comparison'!Excess_Past,0),'Layer Comparison'!Limit_Past)))</f>
        <v>23483162.806400001</v>
      </c>
      <c r="AS30" s="87">
        <f>IF(Dyn_Insured="","",IF(ISNUMBER(AO30)=FALSE,"n/a",MIN(MAX(AO30-'Layer Comparison'!Excess_Latest,0),'Layer Comparison'!Limit_Latest)))</f>
        <v>27307093.742799997</v>
      </c>
      <c r="AT30" s="87">
        <f t="shared" si="21"/>
        <v>3823930.9363999963</v>
      </c>
      <c r="AU30" s="88">
        <f t="shared" si="22"/>
        <v>3823930.9363999963</v>
      </c>
      <c r="AV30" s="87">
        <v>52791721.918600008</v>
      </c>
      <c r="AW30" s="87">
        <v>56738212.12250001</v>
      </c>
      <c r="AX30" s="87">
        <f t="shared" si="23"/>
        <v>3946490.2039000019</v>
      </c>
      <c r="AY30" s="88">
        <f t="shared" si="24"/>
        <v>3946490.2039000019</v>
      </c>
      <c r="AZ30" s="87">
        <f>IF(Dyn_Insured="","",IF(ISNUMBER(AV30)=FALSE,"n/a",MIN(MAX(AV30-'Layer Comparison'!Excess_Past,0),'Layer Comparison'!Limit_Past)))</f>
        <v>37791721.918600008</v>
      </c>
      <c r="BA30" s="87">
        <f>IF(Dyn_Insured="","",IF(ISNUMBER(AW30)=FALSE,"n/a",MIN(MAX(AW30-'Layer Comparison'!Excess_Latest,0),'Layer Comparison'!Limit_Latest)))</f>
        <v>41738212.12250001</v>
      </c>
      <c r="BB30" s="87">
        <f t="shared" si="25"/>
        <v>3946490.2039000019</v>
      </c>
      <c r="BC30" s="88">
        <f t="shared" si="26"/>
        <v>3946490.2039000019</v>
      </c>
      <c r="BD30" s="87">
        <v>64413277.953299999</v>
      </c>
      <c r="BE30" s="87">
        <v>69074757.079699993</v>
      </c>
      <c r="BF30" s="87">
        <f t="shared" si="27"/>
        <v>4661479.1263999939</v>
      </c>
      <c r="BG30" s="88">
        <f t="shared" si="28"/>
        <v>4661479.1263999939</v>
      </c>
      <c r="BH30" s="87">
        <f>IF(Dyn_Insured="","",IF(ISNUMBER(BD30)=FALSE,"n/a",MIN(MAX(BD30-'Layer Comparison'!Excess_Past,0),'Layer Comparison'!Limit_Past)))</f>
        <v>49413277.953299999</v>
      </c>
      <c r="BI30" s="87">
        <f>IF(Dyn_Insured="","",IF(ISNUMBER(BE30)=FALSE,"n/a",MIN(MAX(BE30-'Layer Comparison'!Excess_Latest,0),'Layer Comparison'!Limit_Latest)))</f>
        <v>54074757.079699993</v>
      </c>
      <c r="BJ30" s="87">
        <f t="shared" si="29"/>
        <v>4661479.1263999939</v>
      </c>
      <c r="BK30" s="88">
        <f t="shared" si="30"/>
        <v>4661479.1263999939</v>
      </c>
      <c r="BL30" s="87">
        <v>65408834.155600011</v>
      </c>
      <c r="BM30" s="87">
        <v>70235192.664700001</v>
      </c>
      <c r="BN30" s="87">
        <f t="shared" si="31"/>
        <v>4826358.5090999901</v>
      </c>
      <c r="BO30" s="88">
        <f t="shared" si="32"/>
        <v>4826358.5090999901</v>
      </c>
      <c r="BP30" s="87">
        <f>IF(Dyn_Insured="","",IF(ISNUMBER(BL30)=FALSE,"n/a",MIN(MAX(BL30-'Layer Comparison'!Excess_Past,0),'Layer Comparison'!Limit_Past)))</f>
        <v>50408834.155600011</v>
      </c>
      <c r="BQ30" s="87">
        <f>IF(Dyn_Insured="","",IF(ISNUMBER(BM30)=FALSE,"n/a",MIN(MAX(BM30-'Layer Comparison'!Excess_Latest,0),'Layer Comparison'!Limit_Latest)))</f>
        <v>55235192.664700001</v>
      </c>
      <c r="BR30" s="87">
        <f t="shared" si="33"/>
        <v>4826358.5090999901</v>
      </c>
      <c r="BS30" s="88">
        <f t="shared" si="34"/>
        <v>4826358.5090999901</v>
      </c>
      <c r="BT30" s="46" t="s">
        <v>13</v>
      </c>
    </row>
    <row r="31" spans="1:72" x14ac:dyDescent="0.25">
      <c r="A31" s="89">
        <v>31</v>
      </c>
      <c r="B31" s="89">
        <f t="shared" si="0"/>
        <v>1</v>
      </c>
      <c r="C31" s="89">
        <f t="shared" si="1"/>
        <v>1</v>
      </c>
      <c r="D31" s="90">
        <f t="shared" si="2"/>
        <v>1</v>
      </c>
      <c r="E31" s="90">
        <f t="shared" si="2"/>
        <v>1</v>
      </c>
      <c r="F31" s="48" t="s">
        <v>72</v>
      </c>
      <c r="G31" s="38" t="s">
        <v>17</v>
      </c>
      <c r="H31" s="87">
        <v>2081738.3424</v>
      </c>
      <c r="I31" s="87">
        <v>1106072.9131000002</v>
      </c>
      <c r="J31" s="87">
        <f t="shared" si="3"/>
        <v>-975665.42929999973</v>
      </c>
      <c r="K31" s="88">
        <f t="shared" si="4"/>
        <v>-975665.42929999973</v>
      </c>
      <c r="L31" s="87">
        <f>IF(Dyn_Insured="","",IF(ISNUMBER(H31)=FALSE,"n/a",MIN(MAX(H31-'Layer Comparison'!Excess_Past,0),'Layer Comparison'!Limit_Past)))</f>
        <v>0</v>
      </c>
      <c r="M31" s="87">
        <f>IF(Dyn_Insured="","",IF(ISNUMBER(I31)=FALSE,"n/a",MIN(MAX(I31-'Layer Comparison'!Excess_Latest,0),'Layer Comparison'!Limit_Latest)))</f>
        <v>0</v>
      </c>
      <c r="N31" s="87">
        <f t="shared" si="5"/>
        <v>0</v>
      </c>
      <c r="O31" s="88">
        <f t="shared" si="6"/>
        <v>0</v>
      </c>
      <c r="P31" s="87">
        <v>11738159.182400001</v>
      </c>
      <c r="Q31" s="87">
        <v>8325611.6497999998</v>
      </c>
      <c r="R31" s="87">
        <f t="shared" si="7"/>
        <v>-3412547.5326000014</v>
      </c>
      <c r="S31" s="88">
        <f t="shared" si="8"/>
        <v>-3412547.5326000014</v>
      </c>
      <c r="T31" s="87">
        <f>IF(Dyn_Insured="","",IF(ISNUMBER(P31)=FALSE,"n/a",MIN(MAX(P31-'Layer Comparison'!Excess_Past,0),'Layer Comparison'!Limit_Past)))</f>
        <v>0</v>
      </c>
      <c r="U31" s="87">
        <f>IF(Dyn_Insured="","",IF(ISNUMBER(Q31)=FALSE,"n/a",MIN(MAX(Q31-'Layer Comparison'!Excess_Latest,0),'Layer Comparison'!Limit_Latest)))</f>
        <v>0</v>
      </c>
      <c r="V31" s="87">
        <f t="shared" si="9"/>
        <v>0</v>
      </c>
      <c r="W31" s="88">
        <f t="shared" si="10"/>
        <v>0</v>
      </c>
      <c r="X31" s="87">
        <v>23485990.548999999</v>
      </c>
      <c r="Y31" s="87">
        <v>17905739.4485</v>
      </c>
      <c r="Z31" s="87">
        <f t="shared" si="11"/>
        <v>-5580251.1004999988</v>
      </c>
      <c r="AA31" s="88">
        <f t="shared" si="12"/>
        <v>-5580251.1004999988</v>
      </c>
      <c r="AB31" s="87">
        <f>IF(Dyn_Insured="","",IF(ISNUMBER(X31)=FALSE,"n/a",MIN(MAX(X31-'Layer Comparison'!Excess_Past,0),'Layer Comparison'!Limit_Past)))</f>
        <v>8485990.5489999987</v>
      </c>
      <c r="AC31" s="87">
        <f>IF(Dyn_Insured="","",IF(ISNUMBER(Y31)=FALSE,"n/a",MIN(MAX(Y31-'Layer Comparison'!Excess_Latest,0),'Layer Comparison'!Limit_Latest)))</f>
        <v>2905739.4484999999</v>
      </c>
      <c r="AD31" s="87">
        <f t="shared" si="13"/>
        <v>-5580251.1004999988</v>
      </c>
      <c r="AE31" s="88">
        <f t="shared" si="14"/>
        <v>-5580251.1004999988</v>
      </c>
      <c r="AF31" s="87">
        <v>35473163.888699993</v>
      </c>
      <c r="AG31" s="87">
        <v>27699953.760999996</v>
      </c>
      <c r="AH31" s="87">
        <f t="shared" si="15"/>
        <v>-7773210.1276999973</v>
      </c>
      <c r="AI31" s="88">
        <f t="shared" si="16"/>
        <v>-7773210.1276999973</v>
      </c>
      <c r="AJ31" s="87">
        <f>IF(Dyn_Insured="","",IF(ISNUMBER(AF31)=FALSE,"n/a",MIN(MAX(AF31-'Layer Comparison'!Excess_Past,0),'Layer Comparison'!Limit_Past)))</f>
        <v>20473163.888699993</v>
      </c>
      <c r="AK31" s="87">
        <f>IF(Dyn_Insured="","",IF(ISNUMBER(AG31)=FALSE,"n/a",MIN(MAX(AG31-'Layer Comparison'!Excess_Latest,0),'Layer Comparison'!Limit_Latest)))</f>
        <v>12699953.760999996</v>
      </c>
      <c r="AL31" s="87">
        <f t="shared" si="17"/>
        <v>-7773210.1276999973</v>
      </c>
      <c r="AM31" s="88">
        <f t="shared" si="18"/>
        <v>-7773210.1276999973</v>
      </c>
      <c r="AN31" s="87">
        <v>59796651.647799999</v>
      </c>
      <c r="AO31" s="87">
        <v>49695881.753400013</v>
      </c>
      <c r="AP31" s="87">
        <f t="shared" si="19"/>
        <v>-10100769.894399986</v>
      </c>
      <c r="AQ31" s="88">
        <f t="shared" si="20"/>
        <v>-10100769.894399986</v>
      </c>
      <c r="AR31" s="87">
        <f>IF(Dyn_Insured="","",IF(ISNUMBER(AN31)=FALSE,"n/a",MIN(MAX(AN31-'Layer Comparison'!Excess_Past,0),'Layer Comparison'!Limit_Past)))</f>
        <v>44796651.647799999</v>
      </c>
      <c r="AS31" s="87">
        <f>IF(Dyn_Insured="","",IF(ISNUMBER(AO31)=FALSE,"n/a",MIN(MAX(AO31-'Layer Comparison'!Excess_Latest,0),'Layer Comparison'!Limit_Latest)))</f>
        <v>34695881.753400013</v>
      </c>
      <c r="AT31" s="87">
        <f t="shared" si="21"/>
        <v>-10100769.894399986</v>
      </c>
      <c r="AU31" s="88">
        <f t="shared" si="22"/>
        <v>-10100769.894399986</v>
      </c>
      <c r="AV31" s="87">
        <v>84824100.9155</v>
      </c>
      <c r="AW31" s="87">
        <v>72794589.484900013</v>
      </c>
      <c r="AX31" s="87">
        <f t="shared" si="23"/>
        <v>-12029511.430599988</v>
      </c>
      <c r="AY31" s="88">
        <f t="shared" si="24"/>
        <v>-12029511.430599988</v>
      </c>
      <c r="AZ31" s="87">
        <f>IF(Dyn_Insured="","",IF(ISNUMBER(AV31)=FALSE,"n/a",MIN(MAX(AV31-'Layer Comparison'!Excess_Past,0),'Layer Comparison'!Limit_Past)))</f>
        <v>69824100.9155</v>
      </c>
      <c r="BA31" s="87">
        <f>IF(Dyn_Insured="","",IF(ISNUMBER(AW31)=FALSE,"n/a",MIN(MAX(AW31-'Layer Comparison'!Excess_Latest,0),'Layer Comparison'!Limit_Latest)))</f>
        <v>57794589.484900013</v>
      </c>
      <c r="BB31" s="87">
        <f t="shared" si="25"/>
        <v>-12029511.430599988</v>
      </c>
      <c r="BC31" s="88">
        <f t="shared" si="26"/>
        <v>-12029511.430599988</v>
      </c>
      <c r="BD31" s="87">
        <v>105947512.40689999</v>
      </c>
      <c r="BE31" s="87">
        <v>92760309.86530003</v>
      </c>
      <c r="BF31" s="87">
        <f t="shared" si="27"/>
        <v>-13187202.541599959</v>
      </c>
      <c r="BG31" s="88">
        <f t="shared" si="28"/>
        <v>-13187202.541599959</v>
      </c>
      <c r="BH31" s="87">
        <f>IF(Dyn_Insured="","",IF(ISNUMBER(BD31)=FALSE,"n/a",MIN(MAX(BD31-'Layer Comparison'!Excess_Past,0),'Layer Comparison'!Limit_Past)))</f>
        <v>90947512.406899989</v>
      </c>
      <c r="BI31" s="87">
        <f>IF(Dyn_Insured="","",IF(ISNUMBER(BE31)=FALSE,"n/a",MIN(MAX(BE31-'Layer Comparison'!Excess_Latest,0),'Layer Comparison'!Limit_Latest)))</f>
        <v>77760309.86530003</v>
      </c>
      <c r="BJ31" s="87">
        <f t="shared" si="29"/>
        <v>-13187202.541599959</v>
      </c>
      <c r="BK31" s="88">
        <f t="shared" si="30"/>
        <v>-13187202.541599959</v>
      </c>
      <c r="BL31" s="87">
        <v>108388855.61379999</v>
      </c>
      <c r="BM31" s="87">
        <v>95059472.210299984</v>
      </c>
      <c r="BN31" s="87">
        <f t="shared" si="31"/>
        <v>-13329383.403500006</v>
      </c>
      <c r="BO31" s="88">
        <f t="shared" si="32"/>
        <v>-13329383.403500006</v>
      </c>
      <c r="BP31" s="87">
        <f>IF(Dyn_Insured="","",IF(ISNUMBER(BL31)=FALSE,"n/a",MIN(MAX(BL31-'Layer Comparison'!Excess_Past,0),'Layer Comparison'!Limit_Past)))</f>
        <v>93388855.613799989</v>
      </c>
      <c r="BQ31" s="87">
        <f>IF(Dyn_Insured="","",IF(ISNUMBER(BM31)=FALSE,"n/a",MIN(MAX(BM31-'Layer Comparison'!Excess_Latest,0),'Layer Comparison'!Limit_Latest)))</f>
        <v>80059472.210299984</v>
      </c>
      <c r="BR31" s="87">
        <f t="shared" si="33"/>
        <v>-13329383.403500006</v>
      </c>
      <c r="BS31" s="88">
        <f t="shared" si="34"/>
        <v>-13329383.403500006</v>
      </c>
      <c r="BT31" s="46" t="s">
        <v>13</v>
      </c>
    </row>
    <row r="32" spans="1:72" x14ac:dyDescent="0.25">
      <c r="A32" s="89">
        <v>32</v>
      </c>
      <c r="B32" s="89">
        <f t="shared" si="0"/>
        <v>1</v>
      </c>
      <c r="C32" s="89">
        <f t="shared" si="1"/>
        <v>1</v>
      </c>
      <c r="D32" s="90">
        <f t="shared" si="2"/>
        <v>1</v>
      </c>
      <c r="E32" s="90">
        <f t="shared" si="2"/>
        <v>1</v>
      </c>
      <c r="F32" s="48" t="s">
        <v>73</v>
      </c>
      <c r="G32" s="38" t="s">
        <v>17</v>
      </c>
      <c r="H32" s="87">
        <v>1452935.5329</v>
      </c>
      <c r="I32" s="87">
        <v>1323593.6033000001</v>
      </c>
      <c r="J32" s="87">
        <f t="shared" si="3"/>
        <v>-129341.92959999992</v>
      </c>
      <c r="K32" s="88">
        <f t="shared" si="4"/>
        <v>-129341.92959999992</v>
      </c>
      <c r="L32" s="87">
        <f>IF(Dyn_Insured="","",IF(ISNUMBER(H32)=FALSE,"n/a",MIN(MAX(H32-'Layer Comparison'!Excess_Past,0),'Layer Comparison'!Limit_Past)))</f>
        <v>0</v>
      </c>
      <c r="M32" s="87">
        <f>IF(Dyn_Insured="","",IF(ISNUMBER(I32)=FALSE,"n/a",MIN(MAX(I32-'Layer Comparison'!Excess_Latest,0),'Layer Comparison'!Limit_Latest)))</f>
        <v>0</v>
      </c>
      <c r="N32" s="87">
        <f t="shared" si="5"/>
        <v>0</v>
      </c>
      <c r="O32" s="88">
        <f t="shared" si="6"/>
        <v>0</v>
      </c>
      <c r="P32" s="87">
        <v>7456010.5456999987</v>
      </c>
      <c r="Q32" s="87">
        <v>8676909.7831999995</v>
      </c>
      <c r="R32" s="87">
        <f t="shared" si="7"/>
        <v>1220899.2375000007</v>
      </c>
      <c r="S32" s="88">
        <f t="shared" si="8"/>
        <v>1220899.2375000007</v>
      </c>
      <c r="T32" s="87">
        <f>IF(Dyn_Insured="","",IF(ISNUMBER(P32)=FALSE,"n/a",MIN(MAX(P32-'Layer Comparison'!Excess_Past,0),'Layer Comparison'!Limit_Past)))</f>
        <v>0</v>
      </c>
      <c r="U32" s="87">
        <f>IF(Dyn_Insured="","",IF(ISNUMBER(Q32)=FALSE,"n/a",MIN(MAX(Q32-'Layer Comparison'!Excess_Latest,0),'Layer Comparison'!Limit_Latest)))</f>
        <v>0</v>
      </c>
      <c r="V32" s="87">
        <f t="shared" si="9"/>
        <v>0</v>
      </c>
      <c r="W32" s="88">
        <f t="shared" si="10"/>
        <v>0</v>
      </c>
      <c r="X32" s="87">
        <v>13384180.154899998</v>
      </c>
      <c r="Y32" s="87">
        <v>16312054.199199999</v>
      </c>
      <c r="Z32" s="87">
        <f t="shared" si="11"/>
        <v>2927874.0443000011</v>
      </c>
      <c r="AA32" s="88">
        <f t="shared" si="12"/>
        <v>2927874.0443000011</v>
      </c>
      <c r="AB32" s="87">
        <f>IF(Dyn_Insured="","",IF(ISNUMBER(X32)=FALSE,"n/a",MIN(MAX(X32-'Layer Comparison'!Excess_Past,0),'Layer Comparison'!Limit_Past)))</f>
        <v>0</v>
      </c>
      <c r="AC32" s="87">
        <f>IF(Dyn_Insured="","",IF(ISNUMBER(Y32)=FALSE,"n/a",MIN(MAX(Y32-'Layer Comparison'!Excess_Latest,0),'Layer Comparison'!Limit_Latest)))</f>
        <v>1312054.1991999988</v>
      </c>
      <c r="AD32" s="87">
        <f t="shared" si="13"/>
        <v>1312054.1991999988</v>
      </c>
      <c r="AE32" s="88">
        <f t="shared" si="14"/>
        <v>1312054.1991999988</v>
      </c>
      <c r="AF32" s="87">
        <v>20433407.341399997</v>
      </c>
      <c r="AG32" s="87">
        <v>24563529.469299998</v>
      </c>
      <c r="AH32" s="87">
        <f t="shared" si="15"/>
        <v>4130122.1279000007</v>
      </c>
      <c r="AI32" s="88">
        <f t="shared" si="16"/>
        <v>4130122.1279000007</v>
      </c>
      <c r="AJ32" s="87">
        <f>IF(Dyn_Insured="","",IF(ISNUMBER(AF32)=FALSE,"n/a",MIN(MAX(AF32-'Layer Comparison'!Excess_Past,0),'Layer Comparison'!Limit_Past)))</f>
        <v>5433407.3413999975</v>
      </c>
      <c r="AK32" s="87">
        <f>IF(Dyn_Insured="","",IF(ISNUMBER(AG32)=FALSE,"n/a",MIN(MAX(AG32-'Layer Comparison'!Excess_Latest,0),'Layer Comparison'!Limit_Latest)))</f>
        <v>9563529.4692999981</v>
      </c>
      <c r="AL32" s="87">
        <f t="shared" si="17"/>
        <v>4130122.1279000007</v>
      </c>
      <c r="AM32" s="88">
        <f t="shared" si="18"/>
        <v>4130122.1279000007</v>
      </c>
      <c r="AN32" s="87">
        <v>34340110.794700004</v>
      </c>
      <c r="AO32" s="87">
        <v>42725516.080600001</v>
      </c>
      <c r="AP32" s="87">
        <f t="shared" si="19"/>
        <v>8385405.2858999968</v>
      </c>
      <c r="AQ32" s="88">
        <f t="shared" si="20"/>
        <v>8385405.2858999968</v>
      </c>
      <c r="AR32" s="87">
        <f>IF(Dyn_Insured="","",IF(ISNUMBER(AN32)=FALSE,"n/a",MIN(MAX(AN32-'Layer Comparison'!Excess_Past,0),'Layer Comparison'!Limit_Past)))</f>
        <v>19340110.794700004</v>
      </c>
      <c r="AS32" s="87">
        <f>IF(Dyn_Insured="","",IF(ISNUMBER(AO32)=FALSE,"n/a",MIN(MAX(AO32-'Layer Comparison'!Excess_Latest,0),'Layer Comparison'!Limit_Latest)))</f>
        <v>27725516.080600001</v>
      </c>
      <c r="AT32" s="87">
        <f t="shared" si="21"/>
        <v>8385405.2858999968</v>
      </c>
      <c r="AU32" s="88">
        <f t="shared" si="22"/>
        <v>8385405.2858999968</v>
      </c>
      <c r="AV32" s="87">
        <v>43115715.859399997</v>
      </c>
      <c r="AW32" s="87">
        <v>56758769.233699992</v>
      </c>
      <c r="AX32" s="87">
        <f t="shared" si="23"/>
        <v>13643053.374299996</v>
      </c>
      <c r="AY32" s="88">
        <f t="shared" si="24"/>
        <v>13643053.374299996</v>
      </c>
      <c r="AZ32" s="87">
        <f>IF(Dyn_Insured="","",IF(ISNUMBER(AV32)=FALSE,"n/a",MIN(MAX(AV32-'Layer Comparison'!Excess_Past,0),'Layer Comparison'!Limit_Past)))</f>
        <v>28115715.859399997</v>
      </c>
      <c r="BA32" s="87">
        <f>IF(Dyn_Insured="","",IF(ISNUMBER(AW32)=FALSE,"n/a",MIN(MAX(AW32-'Layer Comparison'!Excess_Latest,0),'Layer Comparison'!Limit_Latest)))</f>
        <v>41758769.233699992</v>
      </c>
      <c r="BB32" s="87">
        <f t="shared" si="25"/>
        <v>13643053.374299996</v>
      </c>
      <c r="BC32" s="88">
        <f t="shared" si="26"/>
        <v>13643053.374299996</v>
      </c>
      <c r="BD32" s="87">
        <v>44236655.423300013</v>
      </c>
      <c r="BE32" s="87">
        <v>58385840.040499993</v>
      </c>
      <c r="BF32" s="87">
        <f t="shared" si="27"/>
        <v>14149184.61719998</v>
      </c>
      <c r="BG32" s="88">
        <f t="shared" si="28"/>
        <v>14149184.61719998</v>
      </c>
      <c r="BH32" s="87">
        <f>IF(Dyn_Insured="","",IF(ISNUMBER(BD32)=FALSE,"n/a",MIN(MAX(BD32-'Layer Comparison'!Excess_Past,0),'Layer Comparison'!Limit_Past)))</f>
        <v>29236655.423300013</v>
      </c>
      <c r="BI32" s="87">
        <f>IF(Dyn_Insured="","",IF(ISNUMBER(BE32)=FALSE,"n/a",MIN(MAX(BE32-'Layer Comparison'!Excess_Latest,0),'Layer Comparison'!Limit_Latest)))</f>
        <v>43385840.040499993</v>
      </c>
      <c r="BJ32" s="87">
        <f t="shared" si="29"/>
        <v>14149184.61719998</v>
      </c>
      <c r="BK32" s="88">
        <f t="shared" si="30"/>
        <v>14149184.61719998</v>
      </c>
      <c r="BL32" s="87">
        <v>45064801.456900001</v>
      </c>
      <c r="BM32" s="87">
        <v>59811508.472499982</v>
      </c>
      <c r="BN32" s="87">
        <f t="shared" si="31"/>
        <v>14746707.015599981</v>
      </c>
      <c r="BO32" s="88">
        <f t="shared" si="32"/>
        <v>14746707.015599981</v>
      </c>
      <c r="BP32" s="87">
        <f>IF(Dyn_Insured="","",IF(ISNUMBER(BL32)=FALSE,"n/a",MIN(MAX(BL32-'Layer Comparison'!Excess_Past,0),'Layer Comparison'!Limit_Past)))</f>
        <v>30064801.456900001</v>
      </c>
      <c r="BQ32" s="87">
        <f>IF(Dyn_Insured="","",IF(ISNUMBER(BM32)=FALSE,"n/a",MIN(MAX(BM32-'Layer Comparison'!Excess_Latest,0),'Layer Comparison'!Limit_Latest)))</f>
        <v>44811508.472499982</v>
      </c>
      <c r="BR32" s="87">
        <f t="shared" si="33"/>
        <v>14746707.015599981</v>
      </c>
      <c r="BS32" s="88">
        <f t="shared" si="34"/>
        <v>14746707.015599981</v>
      </c>
      <c r="BT32" s="46" t="s">
        <v>13</v>
      </c>
    </row>
    <row r="33" spans="1:72" x14ac:dyDescent="0.25">
      <c r="A33" s="89">
        <v>33</v>
      </c>
      <c r="B33" s="89">
        <f t="shared" si="0"/>
        <v>1</v>
      </c>
      <c r="C33" s="89">
        <f t="shared" si="1"/>
        <v>1</v>
      </c>
      <c r="D33" s="90">
        <f t="shared" si="2"/>
        <v>1</v>
      </c>
      <c r="E33" s="90">
        <f t="shared" si="2"/>
        <v>1</v>
      </c>
      <c r="F33" s="48" t="s">
        <v>74</v>
      </c>
      <c r="G33" s="38" t="s">
        <v>17</v>
      </c>
      <c r="H33" s="87">
        <v>2664556.2458000001</v>
      </c>
      <c r="I33" s="87">
        <v>2240589.7490999997</v>
      </c>
      <c r="J33" s="87">
        <f t="shared" si="3"/>
        <v>-423966.49670000048</v>
      </c>
      <c r="K33" s="88">
        <f t="shared" si="4"/>
        <v>-423966.49670000048</v>
      </c>
      <c r="L33" s="87">
        <f>IF(Dyn_Insured="","",IF(ISNUMBER(H33)=FALSE,"n/a",MIN(MAX(H33-'Layer Comparison'!Excess_Past,0),'Layer Comparison'!Limit_Past)))</f>
        <v>0</v>
      </c>
      <c r="M33" s="87">
        <f>IF(Dyn_Insured="","",IF(ISNUMBER(I33)=FALSE,"n/a",MIN(MAX(I33-'Layer Comparison'!Excess_Latest,0),'Layer Comparison'!Limit_Latest)))</f>
        <v>0</v>
      </c>
      <c r="N33" s="87">
        <f t="shared" si="5"/>
        <v>0</v>
      </c>
      <c r="O33" s="88">
        <f t="shared" si="6"/>
        <v>0</v>
      </c>
      <c r="P33" s="87">
        <v>11530417.638000002</v>
      </c>
      <c r="Q33" s="87">
        <v>9719008.2765000015</v>
      </c>
      <c r="R33" s="87">
        <f t="shared" si="7"/>
        <v>-1811409.3615000006</v>
      </c>
      <c r="S33" s="88">
        <f t="shared" si="8"/>
        <v>-1811409.3615000006</v>
      </c>
      <c r="T33" s="87">
        <f>IF(Dyn_Insured="","",IF(ISNUMBER(P33)=FALSE,"n/a",MIN(MAX(P33-'Layer Comparison'!Excess_Past,0),'Layer Comparison'!Limit_Past)))</f>
        <v>0</v>
      </c>
      <c r="U33" s="87">
        <f>IF(Dyn_Insured="","",IF(ISNUMBER(Q33)=FALSE,"n/a",MIN(MAX(Q33-'Layer Comparison'!Excess_Latest,0),'Layer Comparison'!Limit_Latest)))</f>
        <v>0</v>
      </c>
      <c r="V33" s="87">
        <f t="shared" si="9"/>
        <v>0</v>
      </c>
      <c r="W33" s="88">
        <f t="shared" si="10"/>
        <v>0</v>
      </c>
      <c r="X33" s="87">
        <v>21342522.613400001</v>
      </c>
      <c r="Y33" s="87">
        <v>17231706.856800001</v>
      </c>
      <c r="Z33" s="87">
        <f t="shared" si="11"/>
        <v>-4110815.7566</v>
      </c>
      <c r="AA33" s="88">
        <f t="shared" si="12"/>
        <v>-4110815.7566</v>
      </c>
      <c r="AB33" s="87">
        <f>IF(Dyn_Insured="","",IF(ISNUMBER(X33)=FALSE,"n/a",MIN(MAX(X33-'Layer Comparison'!Excess_Past,0),'Layer Comparison'!Limit_Past)))</f>
        <v>6342522.6134000011</v>
      </c>
      <c r="AC33" s="87">
        <f>IF(Dyn_Insured="","",IF(ISNUMBER(Y33)=FALSE,"n/a",MIN(MAX(Y33-'Layer Comparison'!Excess_Latest,0),'Layer Comparison'!Limit_Latest)))</f>
        <v>2231706.8568000011</v>
      </c>
      <c r="AD33" s="87">
        <f t="shared" si="13"/>
        <v>-4110815.7566</v>
      </c>
      <c r="AE33" s="88">
        <f t="shared" si="14"/>
        <v>-4110815.7566</v>
      </c>
      <c r="AF33" s="87">
        <v>30637969.120099995</v>
      </c>
      <c r="AG33" s="87">
        <v>24418549.7729</v>
      </c>
      <c r="AH33" s="87">
        <f t="shared" si="15"/>
        <v>-6219419.3471999951</v>
      </c>
      <c r="AI33" s="88">
        <f t="shared" si="16"/>
        <v>-6219419.3471999951</v>
      </c>
      <c r="AJ33" s="87">
        <f>IF(Dyn_Insured="","",IF(ISNUMBER(AF33)=FALSE,"n/a",MIN(MAX(AF33-'Layer Comparison'!Excess_Past,0),'Layer Comparison'!Limit_Past)))</f>
        <v>15637969.120099995</v>
      </c>
      <c r="AK33" s="87">
        <f>IF(Dyn_Insured="","",IF(ISNUMBER(AG33)=FALSE,"n/a",MIN(MAX(AG33-'Layer Comparison'!Excess_Latest,0),'Layer Comparison'!Limit_Latest)))</f>
        <v>9418549.7729000002</v>
      </c>
      <c r="AL33" s="87">
        <f t="shared" si="17"/>
        <v>-6219419.3471999951</v>
      </c>
      <c r="AM33" s="88">
        <f t="shared" si="18"/>
        <v>-6219419.3471999951</v>
      </c>
      <c r="AN33" s="87">
        <v>48636747.987400003</v>
      </c>
      <c r="AO33" s="87">
        <v>39388917.989900008</v>
      </c>
      <c r="AP33" s="87">
        <f t="shared" si="19"/>
        <v>-9247829.9974999949</v>
      </c>
      <c r="AQ33" s="88">
        <f t="shared" si="20"/>
        <v>-9247829.9974999949</v>
      </c>
      <c r="AR33" s="87">
        <f>IF(Dyn_Insured="","",IF(ISNUMBER(AN33)=FALSE,"n/a",MIN(MAX(AN33-'Layer Comparison'!Excess_Past,0),'Layer Comparison'!Limit_Past)))</f>
        <v>33636747.987400003</v>
      </c>
      <c r="AS33" s="87">
        <f>IF(Dyn_Insured="","",IF(ISNUMBER(AO33)=FALSE,"n/a",MIN(MAX(AO33-'Layer Comparison'!Excess_Latest,0),'Layer Comparison'!Limit_Latest)))</f>
        <v>24388917.989900008</v>
      </c>
      <c r="AT33" s="87">
        <f t="shared" si="21"/>
        <v>-9247829.9974999949</v>
      </c>
      <c r="AU33" s="88">
        <f t="shared" si="22"/>
        <v>-9247829.9974999949</v>
      </c>
      <c r="AV33" s="87">
        <v>66754616.970100008</v>
      </c>
      <c r="AW33" s="87">
        <v>54200901.2623</v>
      </c>
      <c r="AX33" s="87">
        <f t="shared" si="23"/>
        <v>-12553715.707800008</v>
      </c>
      <c r="AY33" s="88">
        <f t="shared" si="24"/>
        <v>-12553715.707800008</v>
      </c>
      <c r="AZ33" s="87">
        <f>IF(Dyn_Insured="","",IF(ISNUMBER(AV33)=FALSE,"n/a",MIN(MAX(AV33-'Layer Comparison'!Excess_Past,0),'Layer Comparison'!Limit_Past)))</f>
        <v>51754616.970100008</v>
      </c>
      <c r="BA33" s="87">
        <f>IF(Dyn_Insured="","",IF(ISNUMBER(AW33)=FALSE,"n/a",MIN(MAX(AW33-'Layer Comparison'!Excess_Latest,0),'Layer Comparison'!Limit_Latest)))</f>
        <v>39200901.2623</v>
      </c>
      <c r="BB33" s="87">
        <f t="shared" si="25"/>
        <v>-12553715.707800008</v>
      </c>
      <c r="BC33" s="88">
        <f t="shared" si="26"/>
        <v>-12553715.707800008</v>
      </c>
      <c r="BD33" s="87">
        <v>84427850.738100022</v>
      </c>
      <c r="BE33" s="87">
        <v>69165087.015900016</v>
      </c>
      <c r="BF33" s="87">
        <f t="shared" si="27"/>
        <v>-15262763.722200006</v>
      </c>
      <c r="BG33" s="88">
        <f t="shared" si="28"/>
        <v>-15262763.722200006</v>
      </c>
      <c r="BH33" s="87">
        <f>IF(Dyn_Insured="","",IF(ISNUMBER(BD33)=FALSE,"n/a",MIN(MAX(BD33-'Layer Comparison'!Excess_Past,0),'Layer Comparison'!Limit_Past)))</f>
        <v>69427850.738100022</v>
      </c>
      <c r="BI33" s="87">
        <f>IF(Dyn_Insured="","",IF(ISNUMBER(BE33)=FALSE,"n/a",MIN(MAX(BE33-'Layer Comparison'!Excess_Latest,0),'Layer Comparison'!Limit_Latest)))</f>
        <v>54165087.015900016</v>
      </c>
      <c r="BJ33" s="87">
        <f t="shared" si="29"/>
        <v>-15262763.722200006</v>
      </c>
      <c r="BK33" s="88">
        <f t="shared" si="30"/>
        <v>-15262763.722200006</v>
      </c>
      <c r="BL33" s="87">
        <v>86218182.528400034</v>
      </c>
      <c r="BM33" s="87">
        <v>70661307.656499997</v>
      </c>
      <c r="BN33" s="87">
        <f t="shared" si="31"/>
        <v>-15556874.871900037</v>
      </c>
      <c r="BO33" s="88">
        <f t="shared" si="32"/>
        <v>-15556874.871900037</v>
      </c>
      <c r="BP33" s="87">
        <f>IF(Dyn_Insured="","",IF(ISNUMBER(BL33)=FALSE,"n/a",MIN(MAX(BL33-'Layer Comparison'!Excess_Past,0),'Layer Comparison'!Limit_Past)))</f>
        <v>71218182.528400034</v>
      </c>
      <c r="BQ33" s="87">
        <f>IF(Dyn_Insured="","",IF(ISNUMBER(BM33)=FALSE,"n/a",MIN(MAX(BM33-'Layer Comparison'!Excess_Latest,0),'Layer Comparison'!Limit_Latest)))</f>
        <v>55661307.656499997</v>
      </c>
      <c r="BR33" s="87">
        <f t="shared" si="33"/>
        <v>-15556874.871900037</v>
      </c>
      <c r="BS33" s="88">
        <f t="shared" si="34"/>
        <v>-15556874.871900037</v>
      </c>
      <c r="BT33" s="46" t="s">
        <v>13</v>
      </c>
    </row>
    <row r="34" spans="1:72" x14ac:dyDescent="0.25">
      <c r="A34" s="89">
        <v>34</v>
      </c>
      <c r="B34" s="89">
        <f t="shared" si="0"/>
        <v>1</v>
      </c>
      <c r="C34" s="89">
        <f t="shared" si="1"/>
        <v>1</v>
      </c>
      <c r="D34" s="90">
        <f t="shared" ref="D34:E53" si="35">IF(SUMIFS($F34:$BO34,$F$9:$BO$9,D$9,$F$10:$BO$10,D$10)&gt;0,1,0)</f>
        <v>1</v>
      </c>
      <c r="E34" s="90">
        <f t="shared" si="35"/>
        <v>1</v>
      </c>
      <c r="F34" s="48" t="s">
        <v>75</v>
      </c>
      <c r="G34" s="38" t="s">
        <v>17</v>
      </c>
      <c r="H34" s="87">
        <v>2813984.3370999997</v>
      </c>
      <c r="I34" s="87">
        <v>1172902.3824</v>
      </c>
      <c r="J34" s="87">
        <f t="shared" si="3"/>
        <v>-1641081.9546999997</v>
      </c>
      <c r="K34" s="88">
        <f t="shared" si="4"/>
        <v>-1641081.9546999997</v>
      </c>
      <c r="L34" s="87">
        <f>IF(Dyn_Insured="","",IF(ISNUMBER(H34)=FALSE,"n/a",MIN(MAX(H34-'Layer Comparison'!Excess_Past,0),'Layer Comparison'!Limit_Past)))</f>
        <v>0</v>
      </c>
      <c r="M34" s="87">
        <f>IF(Dyn_Insured="","",IF(ISNUMBER(I34)=FALSE,"n/a",MIN(MAX(I34-'Layer Comparison'!Excess_Latest,0),'Layer Comparison'!Limit_Latest)))</f>
        <v>0</v>
      </c>
      <c r="N34" s="87">
        <f t="shared" si="5"/>
        <v>0</v>
      </c>
      <c r="O34" s="88">
        <f t="shared" si="6"/>
        <v>0</v>
      </c>
      <c r="P34" s="87">
        <v>13083035.791200001</v>
      </c>
      <c r="Q34" s="87">
        <v>7333769.5012000017</v>
      </c>
      <c r="R34" s="87">
        <f t="shared" si="7"/>
        <v>-5749266.2899999991</v>
      </c>
      <c r="S34" s="88">
        <f t="shared" si="8"/>
        <v>-5749266.2899999991</v>
      </c>
      <c r="T34" s="87">
        <f>IF(Dyn_Insured="","",IF(ISNUMBER(P34)=FALSE,"n/a",MIN(MAX(P34-'Layer Comparison'!Excess_Past,0),'Layer Comparison'!Limit_Past)))</f>
        <v>0</v>
      </c>
      <c r="U34" s="87">
        <f>IF(Dyn_Insured="","",IF(ISNUMBER(Q34)=FALSE,"n/a",MIN(MAX(Q34-'Layer Comparison'!Excess_Latest,0),'Layer Comparison'!Limit_Latest)))</f>
        <v>0</v>
      </c>
      <c r="V34" s="87">
        <f t="shared" si="9"/>
        <v>0</v>
      </c>
      <c r="W34" s="88">
        <f t="shared" si="10"/>
        <v>0</v>
      </c>
      <c r="X34" s="87">
        <v>24202207.072700001</v>
      </c>
      <c r="Y34" s="87">
        <v>15419371.067699997</v>
      </c>
      <c r="Z34" s="87">
        <f t="shared" si="11"/>
        <v>-8782836.0050000045</v>
      </c>
      <c r="AA34" s="88">
        <f t="shared" si="12"/>
        <v>-8782836.0050000045</v>
      </c>
      <c r="AB34" s="87">
        <f>IF(Dyn_Insured="","",IF(ISNUMBER(X34)=FALSE,"n/a",MIN(MAX(X34-'Layer Comparison'!Excess_Past,0),'Layer Comparison'!Limit_Past)))</f>
        <v>9202207.0727000013</v>
      </c>
      <c r="AC34" s="87">
        <f>IF(Dyn_Insured="","",IF(ISNUMBER(Y34)=FALSE,"n/a",MIN(MAX(Y34-'Layer Comparison'!Excess_Latest,0),'Layer Comparison'!Limit_Latest)))</f>
        <v>419371.06769999675</v>
      </c>
      <c r="AD34" s="87">
        <f t="shared" si="13"/>
        <v>-8782836.0050000045</v>
      </c>
      <c r="AE34" s="88">
        <f t="shared" si="14"/>
        <v>-8782836.0050000045</v>
      </c>
      <c r="AF34" s="87">
        <v>36286794.724299997</v>
      </c>
      <c r="AG34" s="87">
        <v>24664486.560800005</v>
      </c>
      <c r="AH34" s="87">
        <f t="shared" si="15"/>
        <v>-11622308.163499992</v>
      </c>
      <c r="AI34" s="88">
        <f t="shared" si="16"/>
        <v>-11622308.163499992</v>
      </c>
      <c r="AJ34" s="87">
        <f>IF(Dyn_Insured="","",IF(ISNUMBER(AF34)=FALSE,"n/a",MIN(MAX(AF34-'Layer Comparison'!Excess_Past,0),'Layer Comparison'!Limit_Past)))</f>
        <v>21286794.724299997</v>
      </c>
      <c r="AK34" s="87">
        <f>IF(Dyn_Insured="","",IF(ISNUMBER(AG34)=FALSE,"n/a",MIN(MAX(AG34-'Layer Comparison'!Excess_Latest,0),'Layer Comparison'!Limit_Latest)))</f>
        <v>9664486.5608000048</v>
      </c>
      <c r="AL34" s="87">
        <f t="shared" si="17"/>
        <v>-11622308.163499992</v>
      </c>
      <c r="AM34" s="88">
        <f t="shared" si="18"/>
        <v>-11622308.163499992</v>
      </c>
      <c r="AN34" s="87">
        <v>51194063.541800007</v>
      </c>
      <c r="AO34" s="87">
        <v>38061770.4485</v>
      </c>
      <c r="AP34" s="87">
        <f t="shared" si="19"/>
        <v>-13132293.093300007</v>
      </c>
      <c r="AQ34" s="88">
        <f t="shared" si="20"/>
        <v>-13132293.093300007</v>
      </c>
      <c r="AR34" s="87">
        <f>IF(Dyn_Insured="","",IF(ISNUMBER(AN34)=FALSE,"n/a",MIN(MAX(AN34-'Layer Comparison'!Excess_Past,0),'Layer Comparison'!Limit_Past)))</f>
        <v>36194063.541800007</v>
      </c>
      <c r="AS34" s="87">
        <f>IF(Dyn_Insured="","",IF(ISNUMBER(AO34)=FALSE,"n/a",MIN(MAX(AO34-'Layer Comparison'!Excess_Latest,0),'Layer Comparison'!Limit_Latest)))</f>
        <v>23061770.4485</v>
      </c>
      <c r="AT34" s="87">
        <f t="shared" si="21"/>
        <v>-13132293.093300007</v>
      </c>
      <c r="AU34" s="88">
        <f t="shared" si="22"/>
        <v>-13132293.093300007</v>
      </c>
      <c r="AV34" s="87">
        <v>61238933.554100007</v>
      </c>
      <c r="AW34" s="87">
        <v>50476551.998799995</v>
      </c>
      <c r="AX34" s="87">
        <f t="shared" si="23"/>
        <v>-10762381.555300012</v>
      </c>
      <c r="AY34" s="88">
        <f t="shared" si="24"/>
        <v>-10762381.555300012</v>
      </c>
      <c r="AZ34" s="87">
        <f>IF(Dyn_Insured="","",IF(ISNUMBER(AV34)=FALSE,"n/a",MIN(MAX(AV34-'Layer Comparison'!Excess_Past,0),'Layer Comparison'!Limit_Past)))</f>
        <v>46238933.554100007</v>
      </c>
      <c r="BA34" s="87">
        <f>IF(Dyn_Insured="","",IF(ISNUMBER(AW34)=FALSE,"n/a",MIN(MAX(AW34-'Layer Comparison'!Excess_Latest,0),'Layer Comparison'!Limit_Latest)))</f>
        <v>35476551.998799995</v>
      </c>
      <c r="BB34" s="87">
        <f t="shared" si="25"/>
        <v>-10762381.555300012</v>
      </c>
      <c r="BC34" s="88">
        <f t="shared" si="26"/>
        <v>-10762381.555300012</v>
      </c>
      <c r="BD34" s="87">
        <v>63897111.519099995</v>
      </c>
      <c r="BE34" s="87">
        <v>52749302.46199999</v>
      </c>
      <c r="BF34" s="87">
        <f t="shared" si="27"/>
        <v>-11147809.057100005</v>
      </c>
      <c r="BG34" s="88">
        <f t="shared" si="28"/>
        <v>-11147809.057100005</v>
      </c>
      <c r="BH34" s="87">
        <f>IF(Dyn_Insured="","",IF(ISNUMBER(BD34)=FALSE,"n/a",MIN(MAX(BD34-'Layer Comparison'!Excess_Past,0),'Layer Comparison'!Limit_Past)))</f>
        <v>48897111.519099995</v>
      </c>
      <c r="BI34" s="87">
        <f>IF(Dyn_Insured="","",IF(ISNUMBER(BE34)=FALSE,"n/a",MIN(MAX(BE34-'Layer Comparison'!Excess_Latest,0),'Layer Comparison'!Limit_Latest)))</f>
        <v>37749302.46199999</v>
      </c>
      <c r="BJ34" s="87">
        <f t="shared" si="29"/>
        <v>-11147809.057100005</v>
      </c>
      <c r="BK34" s="88">
        <f t="shared" si="30"/>
        <v>-11147809.057100005</v>
      </c>
      <c r="BL34" s="87">
        <v>65596762.415499993</v>
      </c>
      <c r="BM34" s="87">
        <v>54157468.981500007</v>
      </c>
      <c r="BN34" s="87">
        <f t="shared" si="31"/>
        <v>-11439293.433999985</v>
      </c>
      <c r="BO34" s="88">
        <f t="shared" si="32"/>
        <v>-11439293.433999985</v>
      </c>
      <c r="BP34" s="87">
        <f>IF(Dyn_Insured="","",IF(ISNUMBER(BL34)=FALSE,"n/a",MIN(MAX(BL34-'Layer Comparison'!Excess_Past,0),'Layer Comparison'!Limit_Past)))</f>
        <v>50596762.415499993</v>
      </c>
      <c r="BQ34" s="87">
        <f>IF(Dyn_Insured="","",IF(ISNUMBER(BM34)=FALSE,"n/a",MIN(MAX(BM34-'Layer Comparison'!Excess_Latest,0),'Layer Comparison'!Limit_Latest)))</f>
        <v>39157468.981500007</v>
      </c>
      <c r="BR34" s="87">
        <f t="shared" si="33"/>
        <v>-11439293.433999985</v>
      </c>
      <c r="BS34" s="88">
        <f t="shared" si="34"/>
        <v>-11439293.433999985</v>
      </c>
      <c r="BT34" s="46" t="s">
        <v>13</v>
      </c>
    </row>
    <row r="35" spans="1:72" x14ac:dyDescent="0.25">
      <c r="A35" s="89">
        <v>35</v>
      </c>
      <c r="B35" s="89">
        <f t="shared" si="0"/>
        <v>1</v>
      </c>
      <c r="C35" s="89">
        <f t="shared" si="1"/>
        <v>1</v>
      </c>
      <c r="D35" s="90">
        <f t="shared" si="35"/>
        <v>1</v>
      </c>
      <c r="E35" s="90">
        <f t="shared" si="35"/>
        <v>1</v>
      </c>
      <c r="F35" s="48" t="s">
        <v>76</v>
      </c>
      <c r="G35" s="38" t="s">
        <v>17</v>
      </c>
      <c r="H35" s="87">
        <v>1301782.4983000001</v>
      </c>
      <c r="I35" s="87">
        <v>254840.1011</v>
      </c>
      <c r="J35" s="87">
        <f t="shared" si="3"/>
        <v>-1046942.3972000001</v>
      </c>
      <c r="K35" s="88">
        <f t="shared" si="4"/>
        <v>-1046942.3972000001</v>
      </c>
      <c r="L35" s="87">
        <f>IF(Dyn_Insured="","",IF(ISNUMBER(H35)=FALSE,"n/a",MIN(MAX(H35-'Layer Comparison'!Excess_Past,0),'Layer Comparison'!Limit_Past)))</f>
        <v>0</v>
      </c>
      <c r="M35" s="87">
        <f>IF(Dyn_Insured="","",IF(ISNUMBER(I35)=FALSE,"n/a",MIN(MAX(I35-'Layer Comparison'!Excess_Latest,0),'Layer Comparison'!Limit_Latest)))</f>
        <v>0</v>
      </c>
      <c r="N35" s="87">
        <f t="shared" si="5"/>
        <v>0</v>
      </c>
      <c r="O35" s="88">
        <f t="shared" si="6"/>
        <v>0</v>
      </c>
      <c r="P35" s="87">
        <v>5801443.6552000009</v>
      </c>
      <c r="Q35" s="87">
        <v>1932102.6912999996</v>
      </c>
      <c r="R35" s="87">
        <f t="shared" si="7"/>
        <v>-3869340.9639000013</v>
      </c>
      <c r="S35" s="88">
        <f t="shared" si="8"/>
        <v>-3869340.9639000013</v>
      </c>
      <c r="T35" s="87">
        <f>IF(Dyn_Insured="","",IF(ISNUMBER(P35)=FALSE,"n/a",MIN(MAX(P35-'Layer Comparison'!Excess_Past,0),'Layer Comparison'!Limit_Past)))</f>
        <v>0</v>
      </c>
      <c r="U35" s="87">
        <f>IF(Dyn_Insured="","",IF(ISNUMBER(Q35)=FALSE,"n/a",MIN(MAX(Q35-'Layer Comparison'!Excess_Latest,0),'Layer Comparison'!Limit_Latest)))</f>
        <v>0</v>
      </c>
      <c r="V35" s="87">
        <f t="shared" si="9"/>
        <v>0</v>
      </c>
      <c r="W35" s="88">
        <f t="shared" si="10"/>
        <v>0</v>
      </c>
      <c r="X35" s="87">
        <v>12233738.4813</v>
      </c>
      <c r="Y35" s="87">
        <v>4310177.7807</v>
      </c>
      <c r="Z35" s="87">
        <f t="shared" si="11"/>
        <v>-7923560.7006000001</v>
      </c>
      <c r="AA35" s="88">
        <f t="shared" si="12"/>
        <v>-7923560.7006000001</v>
      </c>
      <c r="AB35" s="87">
        <f>IF(Dyn_Insured="","",IF(ISNUMBER(X35)=FALSE,"n/a",MIN(MAX(X35-'Layer Comparison'!Excess_Past,0),'Layer Comparison'!Limit_Past)))</f>
        <v>0</v>
      </c>
      <c r="AC35" s="87">
        <f>IF(Dyn_Insured="","",IF(ISNUMBER(Y35)=FALSE,"n/a",MIN(MAX(Y35-'Layer Comparison'!Excess_Latest,0),'Layer Comparison'!Limit_Latest)))</f>
        <v>0</v>
      </c>
      <c r="AD35" s="87">
        <f t="shared" si="13"/>
        <v>0</v>
      </c>
      <c r="AE35" s="88">
        <f t="shared" si="14"/>
        <v>0</v>
      </c>
      <c r="AF35" s="87">
        <v>19326681.491700001</v>
      </c>
      <c r="AG35" s="87">
        <v>7046899.6497999988</v>
      </c>
      <c r="AH35" s="87">
        <f t="shared" si="15"/>
        <v>-12279781.841900002</v>
      </c>
      <c r="AI35" s="88">
        <f t="shared" si="16"/>
        <v>-12279781.841900002</v>
      </c>
      <c r="AJ35" s="87">
        <f>IF(Dyn_Insured="","",IF(ISNUMBER(AF35)=FALSE,"n/a",MIN(MAX(AF35-'Layer Comparison'!Excess_Past,0),'Layer Comparison'!Limit_Past)))</f>
        <v>4326681.4917000011</v>
      </c>
      <c r="AK35" s="87">
        <f>IF(Dyn_Insured="","",IF(ISNUMBER(AG35)=FALSE,"n/a",MIN(MAX(AG35-'Layer Comparison'!Excess_Latest,0),'Layer Comparison'!Limit_Latest)))</f>
        <v>0</v>
      </c>
      <c r="AL35" s="87">
        <f t="shared" si="17"/>
        <v>-4326681.4917000011</v>
      </c>
      <c r="AM35" s="88">
        <f t="shared" si="18"/>
        <v>-4326681.4917000011</v>
      </c>
      <c r="AN35" s="87">
        <v>32928660.105599999</v>
      </c>
      <c r="AO35" s="87">
        <v>14104061.749300003</v>
      </c>
      <c r="AP35" s="87">
        <f t="shared" si="19"/>
        <v>-18824598.356299996</v>
      </c>
      <c r="AQ35" s="88">
        <f t="shared" si="20"/>
        <v>-18824598.356299996</v>
      </c>
      <c r="AR35" s="87">
        <f>IF(Dyn_Insured="","",IF(ISNUMBER(AN35)=FALSE,"n/a",MIN(MAX(AN35-'Layer Comparison'!Excess_Past,0),'Layer Comparison'!Limit_Past)))</f>
        <v>17928660.105599999</v>
      </c>
      <c r="AS35" s="87">
        <f>IF(Dyn_Insured="","",IF(ISNUMBER(AO35)=FALSE,"n/a",MIN(MAX(AO35-'Layer Comparison'!Excess_Latest,0),'Layer Comparison'!Limit_Latest)))</f>
        <v>0</v>
      </c>
      <c r="AT35" s="87">
        <f t="shared" si="21"/>
        <v>-17928660.105599999</v>
      </c>
      <c r="AU35" s="88">
        <f t="shared" si="22"/>
        <v>-17928660.105599999</v>
      </c>
      <c r="AV35" s="87">
        <v>47812847.050799996</v>
      </c>
      <c r="AW35" s="87">
        <v>22599750.797000002</v>
      </c>
      <c r="AX35" s="87">
        <f t="shared" si="23"/>
        <v>-25213096.253799994</v>
      </c>
      <c r="AY35" s="88">
        <f t="shared" si="24"/>
        <v>-25213096.253799994</v>
      </c>
      <c r="AZ35" s="87">
        <f>IF(Dyn_Insured="","",IF(ISNUMBER(AV35)=FALSE,"n/a",MIN(MAX(AV35-'Layer Comparison'!Excess_Past,0),'Layer Comparison'!Limit_Past)))</f>
        <v>32812847.050799996</v>
      </c>
      <c r="BA35" s="87">
        <f>IF(Dyn_Insured="","",IF(ISNUMBER(AW35)=FALSE,"n/a",MIN(MAX(AW35-'Layer Comparison'!Excess_Latest,0),'Layer Comparison'!Limit_Latest)))</f>
        <v>7599750.7970000021</v>
      </c>
      <c r="BB35" s="87">
        <f t="shared" si="25"/>
        <v>-25213096.253799994</v>
      </c>
      <c r="BC35" s="88">
        <f t="shared" si="26"/>
        <v>-25213096.253799994</v>
      </c>
      <c r="BD35" s="87">
        <v>63930475.676700003</v>
      </c>
      <c r="BE35" s="87">
        <v>32231264.649</v>
      </c>
      <c r="BF35" s="87">
        <f t="shared" si="27"/>
        <v>-31699211.027700003</v>
      </c>
      <c r="BG35" s="88">
        <f t="shared" si="28"/>
        <v>-31699211.027700003</v>
      </c>
      <c r="BH35" s="87">
        <f>IF(Dyn_Insured="","",IF(ISNUMBER(BD35)=FALSE,"n/a",MIN(MAX(BD35-'Layer Comparison'!Excess_Past,0),'Layer Comparison'!Limit_Past)))</f>
        <v>48930475.676700003</v>
      </c>
      <c r="BI35" s="87">
        <f>IF(Dyn_Insured="","",IF(ISNUMBER(BE35)=FALSE,"n/a",MIN(MAX(BE35-'Layer Comparison'!Excess_Latest,0),'Layer Comparison'!Limit_Latest)))</f>
        <v>17231264.649</v>
      </c>
      <c r="BJ35" s="87">
        <f t="shared" si="29"/>
        <v>-31699211.027700003</v>
      </c>
      <c r="BK35" s="88">
        <f t="shared" si="30"/>
        <v>-31699211.027700003</v>
      </c>
      <c r="BL35" s="87">
        <v>65536417.310500003</v>
      </c>
      <c r="BM35" s="87">
        <v>33244607.083200011</v>
      </c>
      <c r="BN35" s="87">
        <f t="shared" si="31"/>
        <v>-32291810.227299992</v>
      </c>
      <c r="BO35" s="88">
        <f t="shared" si="32"/>
        <v>-32291810.227299992</v>
      </c>
      <c r="BP35" s="87">
        <f>IF(Dyn_Insured="","",IF(ISNUMBER(BL35)=FALSE,"n/a",MIN(MAX(BL35-'Layer Comparison'!Excess_Past,0),'Layer Comparison'!Limit_Past)))</f>
        <v>50536417.310500003</v>
      </c>
      <c r="BQ35" s="87">
        <f>IF(Dyn_Insured="","",IF(ISNUMBER(BM35)=FALSE,"n/a",MIN(MAX(BM35-'Layer Comparison'!Excess_Latest,0),'Layer Comparison'!Limit_Latest)))</f>
        <v>18244607.083200011</v>
      </c>
      <c r="BR35" s="87">
        <f t="shared" si="33"/>
        <v>-32291810.227299992</v>
      </c>
      <c r="BS35" s="88">
        <f t="shared" si="34"/>
        <v>-32291810.227299992</v>
      </c>
      <c r="BT35" s="46" t="s">
        <v>13</v>
      </c>
    </row>
    <row r="36" spans="1:72" x14ac:dyDescent="0.25">
      <c r="A36" s="89">
        <v>36</v>
      </c>
      <c r="B36" s="89">
        <f t="shared" si="0"/>
        <v>1</v>
      </c>
      <c r="C36" s="89">
        <f t="shared" si="1"/>
        <v>1</v>
      </c>
      <c r="D36" s="90">
        <f t="shared" si="35"/>
        <v>1</v>
      </c>
      <c r="E36" s="90">
        <f t="shared" si="35"/>
        <v>1</v>
      </c>
      <c r="F36" s="48" t="s">
        <v>77</v>
      </c>
      <c r="G36" s="38" t="s">
        <v>17</v>
      </c>
      <c r="H36" s="87">
        <v>4535222.4952000007</v>
      </c>
      <c r="I36" s="87">
        <v>2670332.5221000002</v>
      </c>
      <c r="J36" s="87">
        <f t="shared" si="3"/>
        <v>-1864889.9731000005</v>
      </c>
      <c r="K36" s="88">
        <f t="shared" si="4"/>
        <v>-1864889.9731000005</v>
      </c>
      <c r="L36" s="87">
        <f>IF(Dyn_Insured="","",IF(ISNUMBER(H36)=FALSE,"n/a",MIN(MAX(H36-'Layer Comparison'!Excess_Past,0),'Layer Comparison'!Limit_Past)))</f>
        <v>0</v>
      </c>
      <c r="M36" s="87">
        <f>IF(Dyn_Insured="","",IF(ISNUMBER(I36)=FALSE,"n/a",MIN(MAX(I36-'Layer Comparison'!Excess_Latest,0),'Layer Comparison'!Limit_Latest)))</f>
        <v>0</v>
      </c>
      <c r="N36" s="87">
        <f t="shared" si="5"/>
        <v>0</v>
      </c>
      <c r="O36" s="88">
        <f t="shared" si="6"/>
        <v>0</v>
      </c>
      <c r="P36" s="87">
        <v>13682608.120599998</v>
      </c>
      <c r="Q36" s="87">
        <v>12242380.562100001</v>
      </c>
      <c r="R36" s="87">
        <f t="shared" si="7"/>
        <v>-1440227.5584999975</v>
      </c>
      <c r="S36" s="88">
        <f t="shared" si="8"/>
        <v>-1440227.5584999975</v>
      </c>
      <c r="T36" s="87">
        <f>IF(Dyn_Insured="","",IF(ISNUMBER(P36)=FALSE,"n/a",MIN(MAX(P36-'Layer Comparison'!Excess_Past,0),'Layer Comparison'!Limit_Past)))</f>
        <v>0</v>
      </c>
      <c r="U36" s="87">
        <f>IF(Dyn_Insured="","",IF(ISNUMBER(Q36)=FALSE,"n/a",MIN(MAX(Q36-'Layer Comparison'!Excess_Latest,0),'Layer Comparison'!Limit_Latest)))</f>
        <v>0</v>
      </c>
      <c r="V36" s="87">
        <f t="shared" si="9"/>
        <v>0</v>
      </c>
      <c r="W36" s="88">
        <f t="shared" si="10"/>
        <v>0</v>
      </c>
      <c r="X36" s="87">
        <v>24279693.599600002</v>
      </c>
      <c r="Y36" s="87">
        <v>24445460.020900004</v>
      </c>
      <c r="Z36" s="87">
        <f t="shared" si="11"/>
        <v>165766.42130000144</v>
      </c>
      <c r="AA36" s="88">
        <f t="shared" si="12"/>
        <v>165766.42130000144</v>
      </c>
      <c r="AB36" s="87">
        <f>IF(Dyn_Insured="","",IF(ISNUMBER(X36)=FALSE,"n/a",MIN(MAX(X36-'Layer Comparison'!Excess_Past,0),'Layer Comparison'!Limit_Past)))</f>
        <v>9279693.5996000022</v>
      </c>
      <c r="AC36" s="87">
        <f>IF(Dyn_Insured="","",IF(ISNUMBER(Y36)=FALSE,"n/a",MIN(MAX(Y36-'Layer Comparison'!Excess_Latest,0),'Layer Comparison'!Limit_Latest)))</f>
        <v>9445460.0209000036</v>
      </c>
      <c r="AD36" s="87">
        <f t="shared" si="13"/>
        <v>165766.42130000144</v>
      </c>
      <c r="AE36" s="88">
        <f t="shared" si="14"/>
        <v>165766.42130000144</v>
      </c>
      <c r="AF36" s="87">
        <v>34534954.486900002</v>
      </c>
      <c r="AG36" s="87">
        <v>35692102.460500002</v>
      </c>
      <c r="AH36" s="87">
        <f t="shared" si="15"/>
        <v>1157147.9736000001</v>
      </c>
      <c r="AI36" s="88">
        <f t="shared" si="16"/>
        <v>1157147.9736000001</v>
      </c>
      <c r="AJ36" s="87">
        <f>IF(Dyn_Insured="","",IF(ISNUMBER(AF36)=FALSE,"n/a",MIN(MAX(AF36-'Layer Comparison'!Excess_Past,0),'Layer Comparison'!Limit_Past)))</f>
        <v>19534954.486900002</v>
      </c>
      <c r="AK36" s="87">
        <f>IF(Dyn_Insured="","",IF(ISNUMBER(AG36)=FALSE,"n/a",MIN(MAX(AG36-'Layer Comparison'!Excess_Latest,0),'Layer Comparison'!Limit_Latest)))</f>
        <v>20692102.460500002</v>
      </c>
      <c r="AL36" s="87">
        <f t="shared" si="17"/>
        <v>1157147.9736000001</v>
      </c>
      <c r="AM36" s="88">
        <f t="shared" si="18"/>
        <v>1157147.9736000001</v>
      </c>
      <c r="AN36" s="87">
        <v>39444533.047500007</v>
      </c>
      <c r="AO36" s="87">
        <v>40031364.4965</v>
      </c>
      <c r="AP36" s="87">
        <f t="shared" si="19"/>
        <v>586831.4489999935</v>
      </c>
      <c r="AQ36" s="88">
        <f t="shared" si="20"/>
        <v>586831.4489999935</v>
      </c>
      <c r="AR36" s="87">
        <f>IF(Dyn_Insured="","",IF(ISNUMBER(AN36)=FALSE,"n/a",MIN(MAX(AN36-'Layer Comparison'!Excess_Past,0),'Layer Comparison'!Limit_Past)))</f>
        <v>24444533.047500007</v>
      </c>
      <c r="AS36" s="87">
        <f>IF(Dyn_Insured="","",IF(ISNUMBER(AO36)=FALSE,"n/a",MIN(MAX(AO36-'Layer Comparison'!Excess_Latest,0),'Layer Comparison'!Limit_Latest)))</f>
        <v>25031364.4965</v>
      </c>
      <c r="AT36" s="87">
        <f t="shared" si="21"/>
        <v>586831.4489999935</v>
      </c>
      <c r="AU36" s="88">
        <f t="shared" si="22"/>
        <v>586831.4489999935</v>
      </c>
      <c r="AV36" s="87">
        <v>39444533.047500007</v>
      </c>
      <c r="AW36" s="87">
        <v>40031364.4965</v>
      </c>
      <c r="AX36" s="87">
        <f t="shared" si="23"/>
        <v>586831.4489999935</v>
      </c>
      <c r="AY36" s="88">
        <f t="shared" si="24"/>
        <v>586831.4489999935</v>
      </c>
      <c r="AZ36" s="87">
        <f>IF(Dyn_Insured="","",IF(ISNUMBER(AV36)=FALSE,"n/a",MIN(MAX(AV36-'Layer Comparison'!Excess_Past,0),'Layer Comparison'!Limit_Past)))</f>
        <v>24444533.047500007</v>
      </c>
      <c r="BA36" s="87">
        <f>IF(Dyn_Insured="","",IF(ISNUMBER(AW36)=FALSE,"n/a",MIN(MAX(AW36-'Layer Comparison'!Excess_Latest,0),'Layer Comparison'!Limit_Latest)))</f>
        <v>25031364.4965</v>
      </c>
      <c r="BB36" s="87">
        <f t="shared" si="25"/>
        <v>586831.4489999935</v>
      </c>
      <c r="BC36" s="88">
        <f t="shared" si="26"/>
        <v>586831.4489999935</v>
      </c>
      <c r="BD36" s="87">
        <v>39444533.047500007</v>
      </c>
      <c r="BE36" s="87">
        <v>40031364.496499993</v>
      </c>
      <c r="BF36" s="87">
        <f t="shared" si="27"/>
        <v>586831.44899998605</v>
      </c>
      <c r="BG36" s="88">
        <f t="shared" si="28"/>
        <v>586831.44899998605</v>
      </c>
      <c r="BH36" s="87">
        <f>IF(Dyn_Insured="","",IF(ISNUMBER(BD36)=FALSE,"n/a",MIN(MAX(BD36-'Layer Comparison'!Excess_Past,0),'Layer Comparison'!Limit_Past)))</f>
        <v>24444533.047500007</v>
      </c>
      <c r="BI36" s="87">
        <f>IF(Dyn_Insured="","",IF(ISNUMBER(BE36)=FALSE,"n/a",MIN(MAX(BE36-'Layer Comparison'!Excess_Latest,0),'Layer Comparison'!Limit_Latest)))</f>
        <v>25031364.496499993</v>
      </c>
      <c r="BJ36" s="87">
        <f t="shared" si="29"/>
        <v>586831.44899998605</v>
      </c>
      <c r="BK36" s="88">
        <f t="shared" si="30"/>
        <v>586831.44899998605</v>
      </c>
      <c r="BL36" s="87">
        <v>39444533.047500007</v>
      </c>
      <c r="BM36" s="87">
        <v>40031364.4965</v>
      </c>
      <c r="BN36" s="87">
        <f t="shared" si="31"/>
        <v>586831.4489999935</v>
      </c>
      <c r="BO36" s="88">
        <f t="shared" si="32"/>
        <v>586831.4489999935</v>
      </c>
      <c r="BP36" s="87">
        <f>IF(Dyn_Insured="","",IF(ISNUMBER(BL36)=FALSE,"n/a",MIN(MAX(BL36-'Layer Comparison'!Excess_Past,0),'Layer Comparison'!Limit_Past)))</f>
        <v>24444533.047500007</v>
      </c>
      <c r="BQ36" s="87">
        <f>IF(Dyn_Insured="","",IF(ISNUMBER(BM36)=FALSE,"n/a",MIN(MAX(BM36-'Layer Comparison'!Excess_Latest,0),'Layer Comparison'!Limit_Latest)))</f>
        <v>25031364.4965</v>
      </c>
      <c r="BR36" s="87">
        <f t="shared" si="33"/>
        <v>586831.4489999935</v>
      </c>
      <c r="BS36" s="88">
        <f t="shared" si="34"/>
        <v>586831.4489999935</v>
      </c>
      <c r="BT36" s="46" t="s">
        <v>13</v>
      </c>
    </row>
    <row r="37" spans="1:72" x14ac:dyDescent="0.25">
      <c r="A37" s="89">
        <v>37</v>
      </c>
      <c r="B37" s="89">
        <f t="shared" si="0"/>
        <v>1</v>
      </c>
      <c r="C37" s="89">
        <f t="shared" si="1"/>
        <v>1</v>
      </c>
      <c r="D37" s="90">
        <f t="shared" si="35"/>
        <v>1</v>
      </c>
      <c r="E37" s="90">
        <f t="shared" si="35"/>
        <v>1</v>
      </c>
      <c r="F37" s="48" t="s">
        <v>78</v>
      </c>
      <c r="G37" s="38" t="s">
        <v>17</v>
      </c>
      <c r="H37" s="87">
        <v>4364173.8235999998</v>
      </c>
      <c r="I37" s="87">
        <v>2560437.4372999999</v>
      </c>
      <c r="J37" s="87">
        <f t="shared" si="3"/>
        <v>-1803736.3862999999</v>
      </c>
      <c r="K37" s="88">
        <f t="shared" si="4"/>
        <v>-1803736.3862999999</v>
      </c>
      <c r="L37" s="87">
        <f>IF(Dyn_Insured="","",IF(ISNUMBER(H37)=FALSE,"n/a",MIN(MAX(H37-'Layer Comparison'!Excess_Past,0),'Layer Comparison'!Limit_Past)))</f>
        <v>0</v>
      </c>
      <c r="M37" s="87">
        <f>IF(Dyn_Insured="","",IF(ISNUMBER(I37)=FALSE,"n/a",MIN(MAX(I37-'Layer Comparison'!Excess_Latest,0),'Layer Comparison'!Limit_Latest)))</f>
        <v>0</v>
      </c>
      <c r="N37" s="87">
        <f t="shared" si="5"/>
        <v>0</v>
      </c>
      <c r="O37" s="88">
        <f t="shared" si="6"/>
        <v>0</v>
      </c>
      <c r="P37" s="87">
        <v>15395791.943600001</v>
      </c>
      <c r="Q37" s="87">
        <v>12590749.8484</v>
      </c>
      <c r="R37" s="87">
        <f t="shared" si="7"/>
        <v>-2805042.0952000003</v>
      </c>
      <c r="S37" s="88">
        <f t="shared" si="8"/>
        <v>-2805042.0952000003</v>
      </c>
      <c r="T37" s="87">
        <f>IF(Dyn_Insured="","",IF(ISNUMBER(P37)=FALSE,"n/a",MIN(MAX(P37-'Layer Comparison'!Excess_Past,0),'Layer Comparison'!Limit_Past)))</f>
        <v>395791.94360000081</v>
      </c>
      <c r="U37" s="87">
        <f>IF(Dyn_Insured="","",IF(ISNUMBER(Q37)=FALSE,"n/a",MIN(MAX(Q37-'Layer Comparison'!Excess_Latest,0),'Layer Comparison'!Limit_Latest)))</f>
        <v>0</v>
      </c>
      <c r="V37" s="87">
        <f t="shared" si="9"/>
        <v>-395791.94360000081</v>
      </c>
      <c r="W37" s="88">
        <f t="shared" si="10"/>
        <v>-395791.94360000081</v>
      </c>
      <c r="X37" s="87">
        <v>27367379.387000002</v>
      </c>
      <c r="Y37" s="87">
        <v>23655120.886800006</v>
      </c>
      <c r="Z37" s="87">
        <f t="shared" si="11"/>
        <v>-3712258.5001999959</v>
      </c>
      <c r="AA37" s="88">
        <f t="shared" si="12"/>
        <v>-3712258.5001999959</v>
      </c>
      <c r="AB37" s="87">
        <f>IF(Dyn_Insured="","",IF(ISNUMBER(X37)=FALSE,"n/a",MIN(MAX(X37-'Layer Comparison'!Excess_Past,0),'Layer Comparison'!Limit_Past)))</f>
        <v>12367379.387000002</v>
      </c>
      <c r="AC37" s="87">
        <f>IF(Dyn_Insured="","",IF(ISNUMBER(Y37)=FALSE,"n/a",MIN(MAX(Y37-'Layer Comparison'!Excess_Latest,0),'Layer Comparison'!Limit_Latest)))</f>
        <v>8655120.886800006</v>
      </c>
      <c r="AD37" s="87">
        <f t="shared" si="13"/>
        <v>-3712258.5001999959</v>
      </c>
      <c r="AE37" s="88">
        <f t="shared" si="14"/>
        <v>-3712258.5001999959</v>
      </c>
      <c r="AF37" s="87">
        <v>39588048.138599999</v>
      </c>
      <c r="AG37" s="87">
        <v>35205157.222099997</v>
      </c>
      <c r="AH37" s="87">
        <f t="shared" si="15"/>
        <v>-4382890.9165000021</v>
      </c>
      <c r="AI37" s="88">
        <f t="shared" si="16"/>
        <v>-4382890.9165000021</v>
      </c>
      <c r="AJ37" s="87">
        <f>IF(Dyn_Insured="","",IF(ISNUMBER(AF37)=FALSE,"n/a",MIN(MAX(AF37-'Layer Comparison'!Excess_Past,0),'Layer Comparison'!Limit_Past)))</f>
        <v>24588048.138599999</v>
      </c>
      <c r="AK37" s="87">
        <f>IF(Dyn_Insured="","",IF(ISNUMBER(AG37)=FALSE,"n/a",MIN(MAX(AG37-'Layer Comparison'!Excess_Latest,0),'Layer Comparison'!Limit_Latest)))</f>
        <v>20205157.222099997</v>
      </c>
      <c r="AL37" s="87">
        <f t="shared" si="17"/>
        <v>-4382890.9165000021</v>
      </c>
      <c r="AM37" s="88">
        <f t="shared" si="18"/>
        <v>-4382890.9165000021</v>
      </c>
      <c r="AN37" s="87">
        <v>60113879.092500016</v>
      </c>
      <c r="AO37" s="87">
        <v>55138343.403799996</v>
      </c>
      <c r="AP37" s="87">
        <f t="shared" si="19"/>
        <v>-4975535.6887000203</v>
      </c>
      <c r="AQ37" s="88">
        <f t="shared" si="20"/>
        <v>-4975535.6887000203</v>
      </c>
      <c r="AR37" s="87">
        <f>IF(Dyn_Insured="","",IF(ISNUMBER(AN37)=FALSE,"n/a",MIN(MAX(AN37-'Layer Comparison'!Excess_Past,0),'Layer Comparison'!Limit_Past)))</f>
        <v>45113879.092500016</v>
      </c>
      <c r="AS37" s="87">
        <f>IF(Dyn_Insured="","",IF(ISNUMBER(AO37)=FALSE,"n/a",MIN(MAX(AO37-'Layer Comparison'!Excess_Latest,0),'Layer Comparison'!Limit_Latest)))</f>
        <v>40138343.403799996</v>
      </c>
      <c r="AT37" s="87">
        <f t="shared" si="21"/>
        <v>-4975535.6887000203</v>
      </c>
      <c r="AU37" s="88">
        <f t="shared" si="22"/>
        <v>-4975535.6887000203</v>
      </c>
      <c r="AV37" s="87">
        <v>62738487.976600006</v>
      </c>
      <c r="AW37" s="87">
        <v>57753353.914000005</v>
      </c>
      <c r="AX37" s="87">
        <f t="shared" si="23"/>
        <v>-4985134.0626000017</v>
      </c>
      <c r="AY37" s="88">
        <f t="shared" si="24"/>
        <v>-4985134.0626000017</v>
      </c>
      <c r="AZ37" s="87">
        <f>IF(Dyn_Insured="","",IF(ISNUMBER(AV37)=FALSE,"n/a",MIN(MAX(AV37-'Layer Comparison'!Excess_Past,0),'Layer Comparison'!Limit_Past)))</f>
        <v>47738487.976600006</v>
      </c>
      <c r="BA37" s="87">
        <f>IF(Dyn_Insured="","",IF(ISNUMBER(AW37)=FALSE,"n/a",MIN(MAX(AW37-'Layer Comparison'!Excess_Latest,0),'Layer Comparison'!Limit_Latest)))</f>
        <v>42753353.914000005</v>
      </c>
      <c r="BB37" s="87">
        <f t="shared" si="25"/>
        <v>-4985134.0626000017</v>
      </c>
      <c r="BC37" s="88">
        <f t="shared" si="26"/>
        <v>-4985134.0626000017</v>
      </c>
      <c r="BD37" s="87">
        <v>64695564.605399996</v>
      </c>
      <c r="BE37" s="87">
        <v>59616099.443700001</v>
      </c>
      <c r="BF37" s="87">
        <f t="shared" si="27"/>
        <v>-5079465.1616999954</v>
      </c>
      <c r="BG37" s="88">
        <f t="shared" si="28"/>
        <v>-5079465.1616999954</v>
      </c>
      <c r="BH37" s="87">
        <f>IF(Dyn_Insured="","",IF(ISNUMBER(BD37)=FALSE,"n/a",MIN(MAX(BD37-'Layer Comparison'!Excess_Past,0),'Layer Comparison'!Limit_Past)))</f>
        <v>49695564.605399996</v>
      </c>
      <c r="BI37" s="87">
        <f>IF(Dyn_Insured="","",IF(ISNUMBER(BE37)=FALSE,"n/a",MIN(MAX(BE37-'Layer Comparison'!Excess_Latest,0),'Layer Comparison'!Limit_Latest)))</f>
        <v>44616099.443700001</v>
      </c>
      <c r="BJ37" s="87">
        <f t="shared" si="29"/>
        <v>-5079465.1616999954</v>
      </c>
      <c r="BK37" s="88">
        <f t="shared" si="30"/>
        <v>-5079465.1616999954</v>
      </c>
      <c r="BL37" s="87">
        <v>64901935.466500014</v>
      </c>
      <c r="BM37" s="87">
        <v>59977376.094799995</v>
      </c>
      <c r="BN37" s="87">
        <f t="shared" si="31"/>
        <v>-4924559.3717000186</v>
      </c>
      <c r="BO37" s="88">
        <f t="shared" si="32"/>
        <v>-4924559.3717000186</v>
      </c>
      <c r="BP37" s="87">
        <f>IF(Dyn_Insured="","",IF(ISNUMBER(BL37)=FALSE,"n/a",MIN(MAX(BL37-'Layer Comparison'!Excess_Past,0),'Layer Comparison'!Limit_Past)))</f>
        <v>49901935.466500014</v>
      </c>
      <c r="BQ37" s="87">
        <f>IF(Dyn_Insured="","",IF(ISNUMBER(BM37)=FALSE,"n/a",MIN(MAX(BM37-'Layer Comparison'!Excess_Latest,0),'Layer Comparison'!Limit_Latest)))</f>
        <v>44977376.094799995</v>
      </c>
      <c r="BR37" s="87">
        <f t="shared" si="33"/>
        <v>-4924559.3717000186</v>
      </c>
      <c r="BS37" s="88">
        <f t="shared" si="34"/>
        <v>-4924559.3717000186</v>
      </c>
      <c r="BT37" s="46" t="s">
        <v>13</v>
      </c>
    </row>
    <row r="38" spans="1:72" x14ac:dyDescent="0.25">
      <c r="A38" s="89">
        <v>38</v>
      </c>
      <c r="B38" s="89">
        <f t="shared" si="0"/>
        <v>1</v>
      </c>
      <c r="C38" s="89">
        <f t="shared" si="1"/>
        <v>1</v>
      </c>
      <c r="D38" s="90">
        <f t="shared" si="35"/>
        <v>1</v>
      </c>
      <c r="E38" s="90">
        <f t="shared" si="35"/>
        <v>1</v>
      </c>
      <c r="F38" s="48" t="s">
        <v>79</v>
      </c>
      <c r="G38" s="38" t="s">
        <v>17</v>
      </c>
      <c r="H38" s="87">
        <v>3147612.7549999999</v>
      </c>
      <c r="I38" s="87">
        <v>1556396.9622999998</v>
      </c>
      <c r="J38" s="87">
        <f t="shared" si="3"/>
        <v>-1591215.7927000001</v>
      </c>
      <c r="K38" s="88">
        <f t="shared" si="4"/>
        <v>-1591215.7927000001</v>
      </c>
      <c r="L38" s="87">
        <f>IF(Dyn_Insured="","",IF(ISNUMBER(H38)=FALSE,"n/a",MIN(MAX(H38-'Layer Comparison'!Excess_Past,0),'Layer Comparison'!Limit_Past)))</f>
        <v>0</v>
      </c>
      <c r="M38" s="87">
        <f>IF(Dyn_Insured="","",IF(ISNUMBER(I38)=FALSE,"n/a",MIN(MAX(I38-'Layer Comparison'!Excess_Latest,0),'Layer Comparison'!Limit_Latest)))</f>
        <v>0</v>
      </c>
      <c r="N38" s="87">
        <f t="shared" si="5"/>
        <v>0</v>
      </c>
      <c r="O38" s="88">
        <f t="shared" si="6"/>
        <v>0</v>
      </c>
      <c r="P38" s="87">
        <v>12646725.210000001</v>
      </c>
      <c r="Q38" s="87">
        <v>7201948.0453000031</v>
      </c>
      <c r="R38" s="87">
        <f t="shared" si="7"/>
        <v>-5444777.1646999978</v>
      </c>
      <c r="S38" s="88">
        <f t="shared" si="8"/>
        <v>-5444777.1646999978</v>
      </c>
      <c r="T38" s="87">
        <f>IF(Dyn_Insured="","",IF(ISNUMBER(P38)=FALSE,"n/a",MIN(MAX(P38-'Layer Comparison'!Excess_Past,0),'Layer Comparison'!Limit_Past)))</f>
        <v>0</v>
      </c>
      <c r="U38" s="87">
        <f>IF(Dyn_Insured="","",IF(ISNUMBER(Q38)=FALSE,"n/a",MIN(MAX(Q38-'Layer Comparison'!Excess_Latest,0),'Layer Comparison'!Limit_Latest)))</f>
        <v>0</v>
      </c>
      <c r="V38" s="87">
        <f t="shared" si="9"/>
        <v>0</v>
      </c>
      <c r="W38" s="88">
        <f t="shared" si="10"/>
        <v>0</v>
      </c>
      <c r="X38" s="87">
        <v>23088154.5447</v>
      </c>
      <c r="Y38" s="87">
        <v>14266069.6292</v>
      </c>
      <c r="Z38" s="87">
        <f t="shared" si="11"/>
        <v>-8822084.9155000001</v>
      </c>
      <c r="AA38" s="88">
        <f t="shared" si="12"/>
        <v>-8822084.9155000001</v>
      </c>
      <c r="AB38" s="87">
        <f>IF(Dyn_Insured="","",IF(ISNUMBER(X38)=FALSE,"n/a",MIN(MAX(X38-'Layer Comparison'!Excess_Past,0),'Layer Comparison'!Limit_Past)))</f>
        <v>8088154.5447000004</v>
      </c>
      <c r="AC38" s="87">
        <f>IF(Dyn_Insured="","",IF(ISNUMBER(Y38)=FALSE,"n/a",MIN(MAX(Y38-'Layer Comparison'!Excess_Latest,0),'Layer Comparison'!Limit_Latest)))</f>
        <v>0</v>
      </c>
      <c r="AD38" s="87">
        <f t="shared" si="13"/>
        <v>-8088154.5447000004</v>
      </c>
      <c r="AE38" s="88">
        <f t="shared" si="14"/>
        <v>-8088154.5447000004</v>
      </c>
      <c r="AF38" s="87">
        <v>34772297.391099989</v>
      </c>
      <c r="AG38" s="87">
        <v>22548254.194700003</v>
      </c>
      <c r="AH38" s="87">
        <f t="shared" si="15"/>
        <v>-12224043.196399987</v>
      </c>
      <c r="AI38" s="88">
        <f t="shared" si="16"/>
        <v>-12224043.196399987</v>
      </c>
      <c r="AJ38" s="87">
        <f>IF(Dyn_Insured="","",IF(ISNUMBER(AF38)=FALSE,"n/a",MIN(MAX(AF38-'Layer Comparison'!Excess_Past,0),'Layer Comparison'!Limit_Past)))</f>
        <v>19772297.391099989</v>
      </c>
      <c r="AK38" s="87">
        <f>IF(Dyn_Insured="","",IF(ISNUMBER(AG38)=FALSE,"n/a",MIN(MAX(AG38-'Layer Comparison'!Excess_Latest,0),'Layer Comparison'!Limit_Latest)))</f>
        <v>7548254.1947000027</v>
      </c>
      <c r="AL38" s="87">
        <f t="shared" si="17"/>
        <v>-12224043.196399987</v>
      </c>
      <c r="AM38" s="88">
        <f t="shared" si="18"/>
        <v>-12224043.196399987</v>
      </c>
      <c r="AN38" s="87">
        <v>57037837.290999986</v>
      </c>
      <c r="AO38" s="87">
        <v>38082909.362300001</v>
      </c>
      <c r="AP38" s="87">
        <f t="shared" si="19"/>
        <v>-18954927.928699985</v>
      </c>
      <c r="AQ38" s="88">
        <f t="shared" si="20"/>
        <v>-18954927.928699985</v>
      </c>
      <c r="AR38" s="87">
        <f>IF(Dyn_Insured="","",IF(ISNUMBER(AN38)=FALSE,"n/a",MIN(MAX(AN38-'Layer Comparison'!Excess_Past,0),'Layer Comparison'!Limit_Past)))</f>
        <v>42037837.290999986</v>
      </c>
      <c r="AS38" s="87">
        <f>IF(Dyn_Insured="","",IF(ISNUMBER(AO38)=FALSE,"n/a",MIN(MAX(AO38-'Layer Comparison'!Excess_Latest,0),'Layer Comparison'!Limit_Latest)))</f>
        <v>23082909.362300001</v>
      </c>
      <c r="AT38" s="87">
        <f t="shared" si="21"/>
        <v>-18954927.928699985</v>
      </c>
      <c r="AU38" s="88">
        <f t="shared" si="22"/>
        <v>-18954927.928699985</v>
      </c>
      <c r="AV38" s="87">
        <v>73281946.0836</v>
      </c>
      <c r="AW38" s="87">
        <v>51633450.8605</v>
      </c>
      <c r="AX38" s="87">
        <f t="shared" si="23"/>
        <v>-21648495.223099999</v>
      </c>
      <c r="AY38" s="88">
        <f t="shared" si="24"/>
        <v>-21648495.223099999</v>
      </c>
      <c r="AZ38" s="87">
        <f>IF(Dyn_Insured="","",IF(ISNUMBER(AV38)=FALSE,"n/a",MIN(MAX(AV38-'Layer Comparison'!Excess_Past,0),'Layer Comparison'!Limit_Past)))</f>
        <v>58281946.0836</v>
      </c>
      <c r="BA38" s="87">
        <f>IF(Dyn_Insured="","",IF(ISNUMBER(AW38)=FALSE,"n/a",MIN(MAX(AW38-'Layer Comparison'!Excess_Latest,0),'Layer Comparison'!Limit_Latest)))</f>
        <v>36633450.8605</v>
      </c>
      <c r="BB38" s="87">
        <f t="shared" si="25"/>
        <v>-21648495.223099999</v>
      </c>
      <c r="BC38" s="88">
        <f t="shared" si="26"/>
        <v>-21648495.223099999</v>
      </c>
      <c r="BD38" s="87">
        <v>79529707.467900008</v>
      </c>
      <c r="BE38" s="87">
        <v>57935041.383099988</v>
      </c>
      <c r="BF38" s="87">
        <f t="shared" si="27"/>
        <v>-21594666.08480002</v>
      </c>
      <c r="BG38" s="88">
        <f t="shared" si="28"/>
        <v>-21594666.08480002</v>
      </c>
      <c r="BH38" s="87">
        <f>IF(Dyn_Insured="","",IF(ISNUMBER(BD38)=FALSE,"n/a",MIN(MAX(BD38-'Layer Comparison'!Excess_Past,0),'Layer Comparison'!Limit_Past)))</f>
        <v>64529707.467900008</v>
      </c>
      <c r="BI38" s="87">
        <f>IF(Dyn_Insured="","",IF(ISNUMBER(BE38)=FALSE,"n/a",MIN(MAX(BE38-'Layer Comparison'!Excess_Latest,0),'Layer Comparison'!Limit_Latest)))</f>
        <v>42935041.383099988</v>
      </c>
      <c r="BJ38" s="87">
        <f t="shared" si="29"/>
        <v>-21594666.08480002</v>
      </c>
      <c r="BK38" s="88">
        <f t="shared" si="30"/>
        <v>-21594666.08480002</v>
      </c>
      <c r="BL38" s="87">
        <v>79529707.467899993</v>
      </c>
      <c r="BM38" s="87">
        <v>57935041.383099988</v>
      </c>
      <c r="BN38" s="87">
        <f t="shared" si="31"/>
        <v>-21594666.084800005</v>
      </c>
      <c r="BO38" s="88">
        <f t="shared" si="32"/>
        <v>-21594666.084800005</v>
      </c>
      <c r="BP38" s="87">
        <f>IF(Dyn_Insured="","",IF(ISNUMBER(BL38)=FALSE,"n/a",MIN(MAX(BL38-'Layer Comparison'!Excess_Past,0),'Layer Comparison'!Limit_Past)))</f>
        <v>64529707.467899993</v>
      </c>
      <c r="BQ38" s="87">
        <f>IF(Dyn_Insured="","",IF(ISNUMBER(BM38)=FALSE,"n/a",MIN(MAX(BM38-'Layer Comparison'!Excess_Latest,0),'Layer Comparison'!Limit_Latest)))</f>
        <v>42935041.383099988</v>
      </c>
      <c r="BR38" s="87">
        <f t="shared" si="33"/>
        <v>-21594666.084800005</v>
      </c>
      <c r="BS38" s="88">
        <f t="shared" si="34"/>
        <v>-21594666.084800005</v>
      </c>
      <c r="BT38" s="46" t="s">
        <v>13</v>
      </c>
    </row>
    <row r="39" spans="1:72" x14ac:dyDescent="0.25">
      <c r="A39" s="89">
        <v>39</v>
      </c>
      <c r="B39" s="89">
        <f t="shared" si="0"/>
        <v>1</v>
      </c>
      <c r="C39" s="89">
        <f t="shared" si="1"/>
        <v>1</v>
      </c>
      <c r="D39" s="90">
        <f t="shared" si="35"/>
        <v>1</v>
      </c>
      <c r="E39" s="90">
        <f t="shared" si="35"/>
        <v>1</v>
      </c>
      <c r="F39" s="48" t="s">
        <v>80</v>
      </c>
      <c r="G39" s="38" t="s">
        <v>17</v>
      </c>
      <c r="H39" s="87">
        <v>2884286.7319</v>
      </c>
      <c r="I39" s="87">
        <v>1313869.8964999998</v>
      </c>
      <c r="J39" s="87">
        <f t="shared" si="3"/>
        <v>-1570416.8354000002</v>
      </c>
      <c r="K39" s="88">
        <f t="shared" si="4"/>
        <v>-1570416.8354000002</v>
      </c>
      <c r="L39" s="87">
        <f>IF(Dyn_Insured="","",IF(ISNUMBER(H39)=FALSE,"n/a",MIN(MAX(H39-'Layer Comparison'!Excess_Past,0),'Layer Comparison'!Limit_Past)))</f>
        <v>0</v>
      </c>
      <c r="M39" s="87">
        <f>IF(Dyn_Insured="","",IF(ISNUMBER(I39)=FALSE,"n/a",MIN(MAX(I39-'Layer Comparison'!Excess_Latest,0),'Layer Comparison'!Limit_Latest)))</f>
        <v>0</v>
      </c>
      <c r="N39" s="87">
        <f t="shared" si="5"/>
        <v>0</v>
      </c>
      <c r="O39" s="88">
        <f t="shared" si="6"/>
        <v>0</v>
      </c>
      <c r="P39" s="87">
        <v>12661934.000299999</v>
      </c>
      <c r="Q39" s="87">
        <v>8393875.8895999994</v>
      </c>
      <c r="R39" s="87">
        <f t="shared" si="7"/>
        <v>-4268058.1107000001</v>
      </c>
      <c r="S39" s="88">
        <f t="shared" si="8"/>
        <v>-4268058.1107000001</v>
      </c>
      <c r="T39" s="87">
        <f>IF(Dyn_Insured="","",IF(ISNUMBER(P39)=FALSE,"n/a",MIN(MAX(P39-'Layer Comparison'!Excess_Past,0),'Layer Comparison'!Limit_Past)))</f>
        <v>0</v>
      </c>
      <c r="U39" s="87">
        <f>IF(Dyn_Insured="","",IF(ISNUMBER(Q39)=FALSE,"n/a",MIN(MAX(Q39-'Layer Comparison'!Excess_Latest,0),'Layer Comparison'!Limit_Latest)))</f>
        <v>0</v>
      </c>
      <c r="V39" s="87">
        <f t="shared" si="9"/>
        <v>0</v>
      </c>
      <c r="W39" s="88">
        <f t="shared" si="10"/>
        <v>0</v>
      </c>
      <c r="X39" s="87">
        <v>22904084.2212</v>
      </c>
      <c r="Y39" s="87">
        <v>16194975.225600002</v>
      </c>
      <c r="Z39" s="87">
        <f t="shared" si="11"/>
        <v>-6709108.9955999982</v>
      </c>
      <c r="AA39" s="88">
        <f t="shared" si="12"/>
        <v>-6709108.9955999982</v>
      </c>
      <c r="AB39" s="87">
        <f>IF(Dyn_Insured="","",IF(ISNUMBER(X39)=FALSE,"n/a",MIN(MAX(X39-'Layer Comparison'!Excess_Past,0),'Layer Comparison'!Limit_Past)))</f>
        <v>7904084.2212000005</v>
      </c>
      <c r="AC39" s="87">
        <f>IF(Dyn_Insured="","",IF(ISNUMBER(Y39)=FALSE,"n/a",MIN(MAX(Y39-'Layer Comparison'!Excess_Latest,0),'Layer Comparison'!Limit_Latest)))</f>
        <v>1194975.2256000023</v>
      </c>
      <c r="AD39" s="87">
        <f t="shared" si="13"/>
        <v>-6709108.9955999982</v>
      </c>
      <c r="AE39" s="88">
        <f t="shared" si="14"/>
        <v>-6709108.9955999982</v>
      </c>
      <c r="AF39" s="87">
        <v>33787923.565799996</v>
      </c>
      <c r="AG39" s="87">
        <v>24550270.026299998</v>
      </c>
      <c r="AH39" s="87">
        <f t="shared" si="15"/>
        <v>-9237653.5394999981</v>
      </c>
      <c r="AI39" s="88">
        <f t="shared" si="16"/>
        <v>-9237653.5394999981</v>
      </c>
      <c r="AJ39" s="87">
        <f>IF(Dyn_Insured="","",IF(ISNUMBER(AF39)=FALSE,"n/a",MIN(MAX(AF39-'Layer Comparison'!Excess_Past,0),'Layer Comparison'!Limit_Past)))</f>
        <v>18787923.565799996</v>
      </c>
      <c r="AK39" s="87">
        <f>IF(Dyn_Insured="","",IF(ISNUMBER(AG39)=FALSE,"n/a",MIN(MAX(AG39-'Layer Comparison'!Excess_Latest,0),'Layer Comparison'!Limit_Latest)))</f>
        <v>9550270.0262999982</v>
      </c>
      <c r="AL39" s="87">
        <f t="shared" si="17"/>
        <v>-9237653.5394999981</v>
      </c>
      <c r="AM39" s="88">
        <f t="shared" si="18"/>
        <v>-9237653.5394999981</v>
      </c>
      <c r="AN39" s="87">
        <v>57694381.448799998</v>
      </c>
      <c r="AO39" s="87">
        <v>44318590.968199991</v>
      </c>
      <c r="AP39" s="87">
        <f t="shared" si="19"/>
        <v>-13375790.480600007</v>
      </c>
      <c r="AQ39" s="88">
        <f t="shared" si="20"/>
        <v>-13375790.480600007</v>
      </c>
      <c r="AR39" s="87">
        <f>IF(Dyn_Insured="","",IF(ISNUMBER(AN39)=FALSE,"n/a",MIN(MAX(AN39-'Layer Comparison'!Excess_Past,0),'Layer Comparison'!Limit_Past)))</f>
        <v>42694381.448799998</v>
      </c>
      <c r="AS39" s="87">
        <f>IF(Dyn_Insured="","",IF(ISNUMBER(AO39)=FALSE,"n/a",MIN(MAX(AO39-'Layer Comparison'!Excess_Latest,0),'Layer Comparison'!Limit_Latest)))</f>
        <v>29318590.968199991</v>
      </c>
      <c r="AT39" s="87">
        <f t="shared" si="21"/>
        <v>-13375790.480600007</v>
      </c>
      <c r="AU39" s="88">
        <f t="shared" si="22"/>
        <v>-13375790.480600007</v>
      </c>
      <c r="AV39" s="87">
        <v>78388340.205000013</v>
      </c>
      <c r="AW39" s="87">
        <v>64199808.224699989</v>
      </c>
      <c r="AX39" s="87">
        <f t="shared" si="23"/>
        <v>-14188531.980300024</v>
      </c>
      <c r="AY39" s="88">
        <f t="shared" si="24"/>
        <v>-14188531.980300024</v>
      </c>
      <c r="AZ39" s="87">
        <f>IF(Dyn_Insured="","",IF(ISNUMBER(AV39)=FALSE,"n/a",MIN(MAX(AV39-'Layer Comparison'!Excess_Past,0),'Layer Comparison'!Limit_Past)))</f>
        <v>63388340.205000013</v>
      </c>
      <c r="BA39" s="87">
        <f>IF(Dyn_Insured="","",IF(ISNUMBER(AW39)=FALSE,"n/a",MIN(MAX(AW39-'Layer Comparison'!Excess_Latest,0),'Layer Comparison'!Limit_Latest)))</f>
        <v>49199808.224699989</v>
      </c>
      <c r="BB39" s="87">
        <f t="shared" si="25"/>
        <v>-14188531.980300024</v>
      </c>
      <c r="BC39" s="88">
        <f t="shared" si="26"/>
        <v>-14188531.980300024</v>
      </c>
      <c r="BD39" s="87">
        <v>95837532.989299983</v>
      </c>
      <c r="BE39" s="87">
        <v>80660370.957000017</v>
      </c>
      <c r="BF39" s="87">
        <f t="shared" si="27"/>
        <v>-15177162.032299966</v>
      </c>
      <c r="BG39" s="88">
        <f t="shared" si="28"/>
        <v>-15177162.032299966</v>
      </c>
      <c r="BH39" s="87">
        <f>IF(Dyn_Insured="","",IF(ISNUMBER(BD39)=FALSE,"n/a",MIN(MAX(BD39-'Layer Comparison'!Excess_Past,0),'Layer Comparison'!Limit_Past)))</f>
        <v>80837532.989299983</v>
      </c>
      <c r="BI39" s="87">
        <f>IF(Dyn_Insured="","",IF(ISNUMBER(BE39)=FALSE,"n/a",MIN(MAX(BE39-'Layer Comparison'!Excess_Latest,0),'Layer Comparison'!Limit_Latest)))</f>
        <v>65660370.957000017</v>
      </c>
      <c r="BJ39" s="87">
        <f t="shared" si="29"/>
        <v>-15177162.032299966</v>
      </c>
      <c r="BK39" s="88">
        <f t="shared" si="30"/>
        <v>-15177162.032299966</v>
      </c>
      <c r="BL39" s="87">
        <v>97818896.021399975</v>
      </c>
      <c r="BM39" s="87">
        <v>82714457.534099981</v>
      </c>
      <c r="BN39" s="87">
        <f t="shared" si="31"/>
        <v>-15104438.487299994</v>
      </c>
      <c r="BO39" s="88">
        <f t="shared" si="32"/>
        <v>-15104438.487299994</v>
      </c>
      <c r="BP39" s="87">
        <f>IF(Dyn_Insured="","",IF(ISNUMBER(BL39)=FALSE,"n/a",MIN(MAX(BL39-'Layer Comparison'!Excess_Past,0),'Layer Comparison'!Limit_Past)))</f>
        <v>82818896.021399975</v>
      </c>
      <c r="BQ39" s="87">
        <f>IF(Dyn_Insured="","",IF(ISNUMBER(BM39)=FALSE,"n/a",MIN(MAX(BM39-'Layer Comparison'!Excess_Latest,0),'Layer Comparison'!Limit_Latest)))</f>
        <v>67714457.534099981</v>
      </c>
      <c r="BR39" s="87">
        <f t="shared" si="33"/>
        <v>-15104438.487299994</v>
      </c>
      <c r="BS39" s="88">
        <f t="shared" si="34"/>
        <v>-15104438.487299994</v>
      </c>
      <c r="BT39" s="46" t="s">
        <v>13</v>
      </c>
    </row>
    <row r="40" spans="1:72" x14ac:dyDescent="0.25">
      <c r="A40" s="89">
        <v>40</v>
      </c>
      <c r="B40" s="89">
        <f t="shared" si="0"/>
        <v>1</v>
      </c>
      <c r="C40" s="89">
        <f t="shared" si="1"/>
        <v>1</v>
      </c>
      <c r="D40" s="90">
        <f t="shared" si="35"/>
        <v>1</v>
      </c>
      <c r="E40" s="90">
        <f t="shared" si="35"/>
        <v>1</v>
      </c>
      <c r="F40" s="48" t="s">
        <v>81</v>
      </c>
      <c r="G40" s="38" t="s">
        <v>17</v>
      </c>
      <c r="H40" s="87">
        <v>4234497.7834999999</v>
      </c>
      <c r="I40" s="87">
        <v>3073979.9120000005</v>
      </c>
      <c r="J40" s="87">
        <f t="shared" si="3"/>
        <v>-1160517.8714999994</v>
      </c>
      <c r="K40" s="88">
        <f t="shared" si="4"/>
        <v>-1160517.8714999994</v>
      </c>
      <c r="L40" s="87">
        <f>IF(Dyn_Insured="","",IF(ISNUMBER(H40)=FALSE,"n/a",MIN(MAX(H40-'Layer Comparison'!Excess_Past,0),'Layer Comparison'!Limit_Past)))</f>
        <v>0</v>
      </c>
      <c r="M40" s="87">
        <f>IF(Dyn_Insured="","",IF(ISNUMBER(I40)=FALSE,"n/a",MIN(MAX(I40-'Layer Comparison'!Excess_Latest,0),'Layer Comparison'!Limit_Latest)))</f>
        <v>0</v>
      </c>
      <c r="N40" s="87">
        <f t="shared" si="5"/>
        <v>0</v>
      </c>
      <c r="O40" s="88">
        <f t="shared" si="6"/>
        <v>0</v>
      </c>
      <c r="P40" s="87">
        <v>14534126.2215</v>
      </c>
      <c r="Q40" s="87">
        <v>11686080.415800005</v>
      </c>
      <c r="R40" s="87">
        <f t="shared" si="7"/>
        <v>-2848045.8056999948</v>
      </c>
      <c r="S40" s="88">
        <f t="shared" si="8"/>
        <v>-2848045.8056999948</v>
      </c>
      <c r="T40" s="87">
        <f>IF(Dyn_Insured="","",IF(ISNUMBER(P40)=FALSE,"n/a",MIN(MAX(P40-'Layer Comparison'!Excess_Past,0),'Layer Comparison'!Limit_Past)))</f>
        <v>0</v>
      </c>
      <c r="U40" s="87">
        <f>IF(Dyn_Insured="","",IF(ISNUMBER(Q40)=FALSE,"n/a",MIN(MAX(Q40-'Layer Comparison'!Excess_Latest,0),'Layer Comparison'!Limit_Latest)))</f>
        <v>0</v>
      </c>
      <c r="V40" s="87">
        <f t="shared" si="9"/>
        <v>0</v>
      </c>
      <c r="W40" s="88">
        <f t="shared" si="10"/>
        <v>0</v>
      </c>
      <c r="X40" s="87">
        <v>25024818.971000001</v>
      </c>
      <c r="Y40" s="87">
        <v>20858846.362400003</v>
      </c>
      <c r="Z40" s="87">
        <f t="shared" si="11"/>
        <v>-4165972.6085999981</v>
      </c>
      <c r="AA40" s="88">
        <f t="shared" si="12"/>
        <v>-4165972.6085999981</v>
      </c>
      <c r="AB40" s="87">
        <f>IF(Dyn_Insured="","",IF(ISNUMBER(X40)=FALSE,"n/a",MIN(MAX(X40-'Layer Comparison'!Excess_Past,0),'Layer Comparison'!Limit_Past)))</f>
        <v>10024818.971000001</v>
      </c>
      <c r="AC40" s="87">
        <f>IF(Dyn_Insured="","",IF(ISNUMBER(Y40)=FALSE,"n/a",MIN(MAX(Y40-'Layer Comparison'!Excess_Latest,0),'Layer Comparison'!Limit_Latest)))</f>
        <v>5858846.3624000028</v>
      </c>
      <c r="AD40" s="87">
        <f t="shared" si="13"/>
        <v>-4165972.6085999981</v>
      </c>
      <c r="AE40" s="88">
        <f t="shared" si="14"/>
        <v>-4165972.6085999981</v>
      </c>
      <c r="AF40" s="87">
        <v>36253780.222200006</v>
      </c>
      <c r="AG40" s="87">
        <v>30686531.66170001</v>
      </c>
      <c r="AH40" s="87">
        <f t="shared" si="15"/>
        <v>-5567248.5604999959</v>
      </c>
      <c r="AI40" s="88">
        <f t="shared" si="16"/>
        <v>-5567248.5604999959</v>
      </c>
      <c r="AJ40" s="87">
        <f>IF(Dyn_Insured="","",IF(ISNUMBER(AF40)=FALSE,"n/a",MIN(MAX(AF40-'Layer Comparison'!Excess_Past,0),'Layer Comparison'!Limit_Past)))</f>
        <v>21253780.222200006</v>
      </c>
      <c r="AK40" s="87">
        <f>IF(Dyn_Insured="","",IF(ISNUMBER(AG40)=FALSE,"n/a",MIN(MAX(AG40-'Layer Comparison'!Excess_Latest,0),'Layer Comparison'!Limit_Latest)))</f>
        <v>15686531.66170001</v>
      </c>
      <c r="AL40" s="87">
        <f t="shared" si="17"/>
        <v>-5567248.5604999959</v>
      </c>
      <c r="AM40" s="88">
        <f t="shared" si="18"/>
        <v>-5567248.5604999959</v>
      </c>
      <c r="AN40" s="87">
        <v>60633955.646400005</v>
      </c>
      <c r="AO40" s="87">
        <v>53151480.210900016</v>
      </c>
      <c r="AP40" s="87">
        <f t="shared" si="19"/>
        <v>-7482475.4354999885</v>
      </c>
      <c r="AQ40" s="88">
        <f t="shared" si="20"/>
        <v>-7482475.4354999885</v>
      </c>
      <c r="AR40" s="87">
        <f>IF(Dyn_Insured="","",IF(ISNUMBER(AN40)=FALSE,"n/a",MIN(MAX(AN40-'Layer Comparison'!Excess_Past,0),'Layer Comparison'!Limit_Past)))</f>
        <v>45633955.646400005</v>
      </c>
      <c r="AS40" s="87">
        <f>IF(Dyn_Insured="","",IF(ISNUMBER(AO40)=FALSE,"n/a",MIN(MAX(AO40-'Layer Comparison'!Excess_Latest,0),'Layer Comparison'!Limit_Latest)))</f>
        <v>38151480.210900016</v>
      </c>
      <c r="AT40" s="87">
        <f t="shared" si="21"/>
        <v>-7482475.4354999885</v>
      </c>
      <c r="AU40" s="88">
        <f t="shared" si="22"/>
        <v>-7482475.4354999885</v>
      </c>
      <c r="AV40" s="87">
        <v>70625783.929700002</v>
      </c>
      <c r="AW40" s="87">
        <v>62463351.616699979</v>
      </c>
      <c r="AX40" s="87">
        <f t="shared" si="23"/>
        <v>-8162432.3130000234</v>
      </c>
      <c r="AY40" s="88">
        <f t="shared" si="24"/>
        <v>-8162432.3130000234</v>
      </c>
      <c r="AZ40" s="87">
        <f>IF(Dyn_Insured="","",IF(ISNUMBER(AV40)=FALSE,"n/a",MIN(MAX(AV40-'Layer Comparison'!Excess_Past,0),'Layer Comparison'!Limit_Past)))</f>
        <v>55625783.929700002</v>
      </c>
      <c r="BA40" s="87">
        <f>IF(Dyn_Insured="","",IF(ISNUMBER(AW40)=FALSE,"n/a",MIN(MAX(AW40-'Layer Comparison'!Excess_Latest,0),'Layer Comparison'!Limit_Latest)))</f>
        <v>47463351.616699979</v>
      </c>
      <c r="BB40" s="87">
        <f t="shared" si="25"/>
        <v>-8162432.3130000234</v>
      </c>
      <c r="BC40" s="88">
        <f t="shared" si="26"/>
        <v>-8162432.3130000234</v>
      </c>
      <c r="BD40" s="87">
        <v>72883623.761400014</v>
      </c>
      <c r="BE40" s="87">
        <v>64534121.094500005</v>
      </c>
      <c r="BF40" s="87">
        <f t="shared" si="27"/>
        <v>-8349502.6669000089</v>
      </c>
      <c r="BG40" s="88">
        <f t="shared" si="28"/>
        <v>-8349502.6669000089</v>
      </c>
      <c r="BH40" s="87">
        <f>IF(Dyn_Insured="","",IF(ISNUMBER(BD40)=FALSE,"n/a",MIN(MAX(BD40-'Layer Comparison'!Excess_Past,0),'Layer Comparison'!Limit_Past)))</f>
        <v>57883623.761400014</v>
      </c>
      <c r="BI40" s="87">
        <f>IF(Dyn_Insured="","",IF(ISNUMBER(BE40)=FALSE,"n/a",MIN(MAX(BE40-'Layer Comparison'!Excess_Latest,0),'Layer Comparison'!Limit_Latest)))</f>
        <v>49534121.094500005</v>
      </c>
      <c r="BJ40" s="87">
        <f t="shared" si="29"/>
        <v>-8349502.6669000089</v>
      </c>
      <c r="BK40" s="88">
        <f t="shared" si="30"/>
        <v>-8349502.6669000089</v>
      </c>
      <c r="BL40" s="87">
        <v>73387587.988499999</v>
      </c>
      <c r="BM40" s="87">
        <v>65029517.477800012</v>
      </c>
      <c r="BN40" s="87">
        <f t="shared" si="31"/>
        <v>-8358070.5106999874</v>
      </c>
      <c r="BO40" s="88">
        <f t="shared" si="32"/>
        <v>-8358070.5106999874</v>
      </c>
      <c r="BP40" s="87">
        <f>IF(Dyn_Insured="","",IF(ISNUMBER(BL40)=FALSE,"n/a",MIN(MAX(BL40-'Layer Comparison'!Excess_Past,0),'Layer Comparison'!Limit_Past)))</f>
        <v>58387587.988499999</v>
      </c>
      <c r="BQ40" s="87">
        <f>IF(Dyn_Insured="","",IF(ISNUMBER(BM40)=FALSE,"n/a",MIN(MAX(BM40-'Layer Comparison'!Excess_Latest,0),'Layer Comparison'!Limit_Latest)))</f>
        <v>50029517.477800012</v>
      </c>
      <c r="BR40" s="87">
        <f t="shared" si="33"/>
        <v>-8358070.5106999874</v>
      </c>
      <c r="BS40" s="88">
        <f t="shared" si="34"/>
        <v>-8358070.5106999874</v>
      </c>
      <c r="BT40" s="46" t="s">
        <v>13</v>
      </c>
    </row>
    <row r="41" spans="1:72" x14ac:dyDescent="0.25">
      <c r="A41" s="89">
        <v>41</v>
      </c>
      <c r="B41" s="89">
        <f t="shared" si="0"/>
        <v>1</v>
      </c>
      <c r="C41" s="89">
        <f t="shared" si="1"/>
        <v>1</v>
      </c>
      <c r="D41" s="90">
        <f t="shared" si="35"/>
        <v>1</v>
      </c>
      <c r="E41" s="90">
        <f t="shared" si="35"/>
        <v>1</v>
      </c>
      <c r="F41" s="48" t="s">
        <v>82</v>
      </c>
      <c r="G41" s="38" t="s">
        <v>17</v>
      </c>
      <c r="H41" s="87">
        <v>4415358.4204000002</v>
      </c>
      <c r="I41" s="87">
        <v>1885630.5460000001</v>
      </c>
      <c r="J41" s="87">
        <f t="shared" si="3"/>
        <v>-2529727.8744000001</v>
      </c>
      <c r="K41" s="88">
        <f t="shared" si="4"/>
        <v>-2529727.8744000001</v>
      </c>
      <c r="L41" s="87">
        <f>IF(Dyn_Insured="","",IF(ISNUMBER(H41)=FALSE,"n/a",MIN(MAX(H41-'Layer Comparison'!Excess_Past,0),'Layer Comparison'!Limit_Past)))</f>
        <v>0</v>
      </c>
      <c r="M41" s="87">
        <f>IF(Dyn_Insured="","",IF(ISNUMBER(I41)=FALSE,"n/a",MIN(MAX(I41-'Layer Comparison'!Excess_Latest,0),'Layer Comparison'!Limit_Latest)))</f>
        <v>0</v>
      </c>
      <c r="N41" s="87">
        <f t="shared" si="5"/>
        <v>0</v>
      </c>
      <c r="O41" s="88">
        <f t="shared" si="6"/>
        <v>0</v>
      </c>
      <c r="P41" s="87">
        <v>15568000.720299998</v>
      </c>
      <c r="Q41" s="87">
        <v>9693419.2746000011</v>
      </c>
      <c r="R41" s="87">
        <f t="shared" si="7"/>
        <v>-5874581.4456999972</v>
      </c>
      <c r="S41" s="88">
        <f t="shared" si="8"/>
        <v>-5874581.4456999972</v>
      </c>
      <c r="T41" s="87">
        <f>IF(Dyn_Insured="","",IF(ISNUMBER(P41)=FALSE,"n/a",MIN(MAX(P41-'Layer Comparison'!Excess_Past,0),'Layer Comparison'!Limit_Past)))</f>
        <v>568000.7202999983</v>
      </c>
      <c r="U41" s="87">
        <f>IF(Dyn_Insured="","",IF(ISNUMBER(Q41)=FALSE,"n/a",MIN(MAX(Q41-'Layer Comparison'!Excess_Latest,0),'Layer Comparison'!Limit_Latest)))</f>
        <v>0</v>
      </c>
      <c r="V41" s="87">
        <f t="shared" si="9"/>
        <v>-568000.7202999983</v>
      </c>
      <c r="W41" s="88">
        <f t="shared" si="10"/>
        <v>-568000.7202999983</v>
      </c>
      <c r="X41" s="87">
        <v>28647090.973199993</v>
      </c>
      <c r="Y41" s="87">
        <v>19472968.693800002</v>
      </c>
      <c r="Z41" s="87">
        <f t="shared" si="11"/>
        <v>-9174122.279399991</v>
      </c>
      <c r="AA41" s="88">
        <f t="shared" si="12"/>
        <v>-9174122.279399991</v>
      </c>
      <c r="AB41" s="87">
        <f>IF(Dyn_Insured="","",IF(ISNUMBER(X41)=FALSE,"n/a",MIN(MAX(X41-'Layer Comparison'!Excess_Past,0),'Layer Comparison'!Limit_Past)))</f>
        <v>13647090.973199993</v>
      </c>
      <c r="AC41" s="87">
        <f>IF(Dyn_Insured="","",IF(ISNUMBER(Y41)=FALSE,"n/a",MIN(MAX(Y41-'Layer Comparison'!Excess_Latest,0),'Layer Comparison'!Limit_Latest)))</f>
        <v>4472968.6938000023</v>
      </c>
      <c r="AD41" s="87">
        <f t="shared" si="13"/>
        <v>-9174122.279399991</v>
      </c>
      <c r="AE41" s="88">
        <f t="shared" si="14"/>
        <v>-9174122.279399991</v>
      </c>
      <c r="AF41" s="87">
        <v>42920201.424400009</v>
      </c>
      <c r="AG41" s="87">
        <v>29366674.123900004</v>
      </c>
      <c r="AH41" s="87">
        <f t="shared" si="15"/>
        <v>-13553527.300500005</v>
      </c>
      <c r="AI41" s="88">
        <f t="shared" si="16"/>
        <v>-13553527.300500005</v>
      </c>
      <c r="AJ41" s="87">
        <f>IF(Dyn_Insured="","",IF(ISNUMBER(AF41)=FALSE,"n/a",MIN(MAX(AF41-'Layer Comparison'!Excess_Past,0),'Layer Comparison'!Limit_Past)))</f>
        <v>27920201.424400009</v>
      </c>
      <c r="AK41" s="87">
        <f>IF(Dyn_Insured="","",IF(ISNUMBER(AG41)=FALSE,"n/a",MIN(MAX(AG41-'Layer Comparison'!Excess_Latest,0),'Layer Comparison'!Limit_Latest)))</f>
        <v>14366674.123900004</v>
      </c>
      <c r="AL41" s="87">
        <f t="shared" si="17"/>
        <v>-13553527.300500005</v>
      </c>
      <c r="AM41" s="88">
        <f t="shared" si="18"/>
        <v>-13553527.300500005</v>
      </c>
      <c r="AN41" s="87">
        <v>72501700.579100028</v>
      </c>
      <c r="AO41" s="87">
        <v>53031320.539999999</v>
      </c>
      <c r="AP41" s="87">
        <f t="shared" si="19"/>
        <v>-19470380.039100029</v>
      </c>
      <c r="AQ41" s="88">
        <f t="shared" si="20"/>
        <v>-19470380.039100029</v>
      </c>
      <c r="AR41" s="87">
        <f>IF(Dyn_Insured="","",IF(ISNUMBER(AN41)=FALSE,"n/a",MIN(MAX(AN41-'Layer Comparison'!Excess_Past,0),'Layer Comparison'!Limit_Past)))</f>
        <v>57501700.579100028</v>
      </c>
      <c r="AS41" s="87">
        <f>IF(Dyn_Insured="","",IF(ISNUMBER(AO41)=FALSE,"n/a",MIN(MAX(AO41-'Layer Comparison'!Excess_Latest,0),'Layer Comparison'!Limit_Latest)))</f>
        <v>38031320.539999999</v>
      </c>
      <c r="AT41" s="87">
        <f t="shared" si="21"/>
        <v>-19470380.039100029</v>
      </c>
      <c r="AU41" s="88">
        <f t="shared" si="22"/>
        <v>-19470380.039100029</v>
      </c>
      <c r="AV41" s="87">
        <v>96786169.658600032</v>
      </c>
      <c r="AW41" s="87">
        <v>78101532.671800032</v>
      </c>
      <c r="AX41" s="87">
        <f t="shared" si="23"/>
        <v>-18684636.9868</v>
      </c>
      <c r="AY41" s="88">
        <f t="shared" si="24"/>
        <v>-18684636.9868</v>
      </c>
      <c r="AZ41" s="87">
        <f>IF(Dyn_Insured="","",IF(ISNUMBER(AV41)=FALSE,"n/a",MIN(MAX(AV41-'Layer Comparison'!Excess_Past,0),'Layer Comparison'!Limit_Past)))</f>
        <v>81786169.658600032</v>
      </c>
      <c r="BA41" s="87">
        <f>IF(Dyn_Insured="","",IF(ISNUMBER(AW41)=FALSE,"n/a",MIN(MAX(AW41-'Layer Comparison'!Excess_Latest,0),'Layer Comparison'!Limit_Latest)))</f>
        <v>63101532.671800032</v>
      </c>
      <c r="BB41" s="87">
        <f t="shared" si="25"/>
        <v>-18684636.9868</v>
      </c>
      <c r="BC41" s="88">
        <f t="shared" si="26"/>
        <v>-18684636.9868</v>
      </c>
      <c r="BD41" s="87">
        <v>118615647.19679998</v>
      </c>
      <c r="BE41" s="87">
        <v>100706385.47850001</v>
      </c>
      <c r="BF41" s="87">
        <f t="shared" si="27"/>
        <v>-17909261.71829997</v>
      </c>
      <c r="BG41" s="88">
        <f t="shared" si="28"/>
        <v>-17909261.71829997</v>
      </c>
      <c r="BH41" s="87">
        <f>IF(Dyn_Insured="","",IF(ISNUMBER(BD41)=FALSE,"n/a",MIN(MAX(BD41-'Layer Comparison'!Excess_Past,0),'Layer Comparison'!Limit_Past)))</f>
        <v>103615647.19679998</v>
      </c>
      <c r="BI41" s="87">
        <f>IF(Dyn_Insured="","",IF(ISNUMBER(BE41)=FALSE,"n/a",MIN(MAX(BE41-'Layer Comparison'!Excess_Latest,0),'Layer Comparison'!Limit_Latest)))</f>
        <v>85706385.478500009</v>
      </c>
      <c r="BJ41" s="87">
        <f t="shared" si="29"/>
        <v>-17909261.71829997</v>
      </c>
      <c r="BK41" s="88">
        <f t="shared" si="30"/>
        <v>-17909261.71829997</v>
      </c>
      <c r="BL41" s="87">
        <v>120772106.93580005</v>
      </c>
      <c r="BM41" s="87">
        <v>102644181.60460006</v>
      </c>
      <c r="BN41" s="87">
        <f t="shared" si="31"/>
        <v>-18127925.331199989</v>
      </c>
      <c r="BO41" s="88">
        <f t="shared" si="32"/>
        <v>-18127925.331199989</v>
      </c>
      <c r="BP41" s="87">
        <f>IF(Dyn_Insured="","",IF(ISNUMBER(BL41)=FALSE,"n/a",MIN(MAX(BL41-'Layer Comparison'!Excess_Past,0),'Layer Comparison'!Limit_Past)))</f>
        <v>105772106.93580005</v>
      </c>
      <c r="BQ41" s="87">
        <f>IF(Dyn_Insured="","",IF(ISNUMBER(BM41)=FALSE,"n/a",MIN(MAX(BM41-'Layer Comparison'!Excess_Latest,0),'Layer Comparison'!Limit_Latest)))</f>
        <v>87644181.604600057</v>
      </c>
      <c r="BR41" s="87">
        <f t="shared" si="33"/>
        <v>-18127925.331199989</v>
      </c>
      <c r="BS41" s="88">
        <f t="shared" si="34"/>
        <v>-18127925.331199989</v>
      </c>
      <c r="BT41" s="46" t="s">
        <v>13</v>
      </c>
    </row>
    <row r="42" spans="1:72" x14ac:dyDescent="0.25">
      <c r="A42" s="89">
        <v>42</v>
      </c>
      <c r="B42" s="89">
        <f t="shared" si="0"/>
        <v>1</v>
      </c>
      <c r="C42" s="89">
        <f t="shared" si="1"/>
        <v>1</v>
      </c>
      <c r="D42" s="90">
        <f t="shared" si="35"/>
        <v>1</v>
      </c>
      <c r="E42" s="90">
        <f t="shared" si="35"/>
        <v>1</v>
      </c>
      <c r="F42" s="48" t="s">
        <v>83</v>
      </c>
      <c r="G42" s="38" t="s">
        <v>17</v>
      </c>
      <c r="H42" s="87">
        <v>2369751.1315000001</v>
      </c>
      <c r="I42" s="87">
        <v>1914774.0872</v>
      </c>
      <c r="J42" s="87">
        <f t="shared" si="3"/>
        <v>-454977.04430000018</v>
      </c>
      <c r="K42" s="88">
        <f t="shared" si="4"/>
        <v>-454977.04430000018</v>
      </c>
      <c r="L42" s="87">
        <f>IF(Dyn_Insured="","",IF(ISNUMBER(H42)=FALSE,"n/a",MIN(MAX(H42-'Layer Comparison'!Excess_Past,0),'Layer Comparison'!Limit_Past)))</f>
        <v>0</v>
      </c>
      <c r="M42" s="87">
        <f>IF(Dyn_Insured="","",IF(ISNUMBER(I42)=FALSE,"n/a",MIN(MAX(I42-'Layer Comparison'!Excess_Latest,0),'Layer Comparison'!Limit_Latest)))</f>
        <v>0</v>
      </c>
      <c r="N42" s="87">
        <f t="shared" si="5"/>
        <v>0</v>
      </c>
      <c r="O42" s="88">
        <f t="shared" si="6"/>
        <v>0</v>
      </c>
      <c r="P42" s="87">
        <v>14186895.148600001</v>
      </c>
      <c r="Q42" s="87">
        <v>7649403.5075999983</v>
      </c>
      <c r="R42" s="87">
        <f t="shared" si="7"/>
        <v>-6537491.6410000026</v>
      </c>
      <c r="S42" s="88">
        <f t="shared" si="8"/>
        <v>-6537491.6410000026</v>
      </c>
      <c r="T42" s="87">
        <f>IF(Dyn_Insured="","",IF(ISNUMBER(P42)=FALSE,"n/a",MIN(MAX(P42-'Layer Comparison'!Excess_Past,0),'Layer Comparison'!Limit_Past)))</f>
        <v>0</v>
      </c>
      <c r="U42" s="87">
        <f>IF(Dyn_Insured="","",IF(ISNUMBER(Q42)=FALSE,"n/a",MIN(MAX(Q42-'Layer Comparison'!Excess_Latest,0),'Layer Comparison'!Limit_Latest)))</f>
        <v>0</v>
      </c>
      <c r="V42" s="87">
        <f t="shared" si="9"/>
        <v>0</v>
      </c>
      <c r="W42" s="88">
        <f t="shared" si="10"/>
        <v>0</v>
      </c>
      <c r="X42" s="87">
        <v>25310705.793299995</v>
      </c>
      <c r="Y42" s="87">
        <v>14001707.002300004</v>
      </c>
      <c r="Z42" s="87">
        <f t="shared" si="11"/>
        <v>-11308998.790999992</v>
      </c>
      <c r="AA42" s="88">
        <f t="shared" si="12"/>
        <v>-11308998.790999992</v>
      </c>
      <c r="AB42" s="87">
        <f>IF(Dyn_Insured="","",IF(ISNUMBER(X42)=FALSE,"n/a",MIN(MAX(X42-'Layer Comparison'!Excess_Past,0),'Layer Comparison'!Limit_Past)))</f>
        <v>10310705.793299995</v>
      </c>
      <c r="AC42" s="87">
        <f>IF(Dyn_Insured="","",IF(ISNUMBER(Y42)=FALSE,"n/a",MIN(MAX(Y42-'Layer Comparison'!Excess_Latest,0),'Layer Comparison'!Limit_Latest)))</f>
        <v>0</v>
      </c>
      <c r="AD42" s="87">
        <f t="shared" si="13"/>
        <v>-10310705.793299995</v>
      </c>
      <c r="AE42" s="88">
        <f t="shared" si="14"/>
        <v>-10310705.793299995</v>
      </c>
      <c r="AF42" s="87">
        <v>36420610.017900005</v>
      </c>
      <c r="AG42" s="87">
        <v>21887705.855700001</v>
      </c>
      <c r="AH42" s="87">
        <f t="shared" si="15"/>
        <v>-14532904.162200004</v>
      </c>
      <c r="AI42" s="88">
        <f t="shared" si="16"/>
        <v>-14532904.162200004</v>
      </c>
      <c r="AJ42" s="87">
        <f>IF(Dyn_Insured="","",IF(ISNUMBER(AF42)=FALSE,"n/a",MIN(MAX(AF42-'Layer Comparison'!Excess_Past,0),'Layer Comparison'!Limit_Past)))</f>
        <v>21420610.017900005</v>
      </c>
      <c r="AK42" s="87">
        <f>IF(Dyn_Insured="","",IF(ISNUMBER(AG42)=FALSE,"n/a",MIN(MAX(AG42-'Layer Comparison'!Excess_Latest,0),'Layer Comparison'!Limit_Latest)))</f>
        <v>6887705.8557000011</v>
      </c>
      <c r="AL42" s="87">
        <f t="shared" si="17"/>
        <v>-14532904.162200004</v>
      </c>
      <c r="AM42" s="88">
        <f t="shared" si="18"/>
        <v>-14532904.162200004</v>
      </c>
      <c r="AN42" s="87">
        <v>60145444.857299998</v>
      </c>
      <c r="AO42" s="87">
        <v>37927497.016600005</v>
      </c>
      <c r="AP42" s="87">
        <f t="shared" si="19"/>
        <v>-22217947.840699993</v>
      </c>
      <c r="AQ42" s="88">
        <f t="shared" si="20"/>
        <v>-22217947.840699993</v>
      </c>
      <c r="AR42" s="87">
        <f>IF(Dyn_Insured="","",IF(ISNUMBER(AN42)=FALSE,"n/a",MIN(MAX(AN42-'Layer Comparison'!Excess_Past,0),'Layer Comparison'!Limit_Past)))</f>
        <v>45145444.857299998</v>
      </c>
      <c r="AS42" s="87">
        <f>IF(Dyn_Insured="","",IF(ISNUMBER(AO42)=FALSE,"n/a",MIN(MAX(AO42-'Layer Comparison'!Excess_Latest,0),'Layer Comparison'!Limit_Latest)))</f>
        <v>22927497.016600005</v>
      </c>
      <c r="AT42" s="87">
        <f t="shared" si="21"/>
        <v>-22217947.840699993</v>
      </c>
      <c r="AU42" s="88">
        <f t="shared" si="22"/>
        <v>-22217947.840699993</v>
      </c>
      <c r="AV42" s="87">
        <v>84037591.343699992</v>
      </c>
      <c r="AW42" s="87">
        <v>49800729.034100004</v>
      </c>
      <c r="AX42" s="87">
        <f t="shared" si="23"/>
        <v>-34236862.309599988</v>
      </c>
      <c r="AY42" s="88">
        <f t="shared" si="24"/>
        <v>-34236862.309599988</v>
      </c>
      <c r="AZ42" s="87">
        <f>IF(Dyn_Insured="","",IF(ISNUMBER(AV42)=FALSE,"n/a",MIN(MAX(AV42-'Layer Comparison'!Excess_Past,0),'Layer Comparison'!Limit_Past)))</f>
        <v>69037591.343699992</v>
      </c>
      <c r="BA42" s="87">
        <f>IF(Dyn_Insured="","",IF(ISNUMBER(AW42)=FALSE,"n/a",MIN(MAX(AW42-'Layer Comparison'!Excess_Latest,0),'Layer Comparison'!Limit_Latest)))</f>
        <v>34800729.034100004</v>
      </c>
      <c r="BB42" s="87">
        <f t="shared" si="25"/>
        <v>-34236862.309599988</v>
      </c>
      <c r="BC42" s="88">
        <f t="shared" si="26"/>
        <v>-34236862.309599988</v>
      </c>
      <c r="BD42" s="87">
        <v>92940196.550300032</v>
      </c>
      <c r="BE42" s="87">
        <v>54925135.110799998</v>
      </c>
      <c r="BF42" s="87">
        <f t="shared" si="27"/>
        <v>-38015061.439500034</v>
      </c>
      <c r="BG42" s="88">
        <f t="shared" si="28"/>
        <v>-38015061.439500034</v>
      </c>
      <c r="BH42" s="87">
        <f>IF(Dyn_Insured="","",IF(ISNUMBER(BD42)=FALSE,"n/a",MIN(MAX(BD42-'Layer Comparison'!Excess_Past,0),'Layer Comparison'!Limit_Past)))</f>
        <v>77940196.550300032</v>
      </c>
      <c r="BI42" s="87">
        <f>IF(Dyn_Insured="","",IF(ISNUMBER(BE42)=FALSE,"n/a",MIN(MAX(BE42-'Layer Comparison'!Excess_Latest,0),'Layer Comparison'!Limit_Latest)))</f>
        <v>39925135.110799998</v>
      </c>
      <c r="BJ42" s="87">
        <f t="shared" si="29"/>
        <v>-38015061.439500034</v>
      </c>
      <c r="BK42" s="88">
        <f t="shared" si="30"/>
        <v>-38015061.439500034</v>
      </c>
      <c r="BL42" s="87">
        <v>93937260.107700005</v>
      </c>
      <c r="BM42" s="87">
        <v>55621331.018299989</v>
      </c>
      <c r="BN42" s="87">
        <f t="shared" si="31"/>
        <v>-38315929.089400016</v>
      </c>
      <c r="BO42" s="88">
        <f t="shared" si="32"/>
        <v>-38315929.089400016</v>
      </c>
      <c r="BP42" s="87">
        <f>IF(Dyn_Insured="","",IF(ISNUMBER(BL42)=FALSE,"n/a",MIN(MAX(BL42-'Layer Comparison'!Excess_Past,0),'Layer Comparison'!Limit_Past)))</f>
        <v>78937260.107700005</v>
      </c>
      <c r="BQ42" s="87">
        <f>IF(Dyn_Insured="","",IF(ISNUMBER(BM42)=FALSE,"n/a",MIN(MAX(BM42-'Layer Comparison'!Excess_Latest,0),'Layer Comparison'!Limit_Latest)))</f>
        <v>40621331.018299989</v>
      </c>
      <c r="BR42" s="87">
        <f t="shared" si="33"/>
        <v>-38315929.089400016</v>
      </c>
      <c r="BS42" s="88">
        <f t="shared" si="34"/>
        <v>-38315929.089400016</v>
      </c>
      <c r="BT42" s="46" t="s">
        <v>13</v>
      </c>
    </row>
    <row r="43" spans="1:72" x14ac:dyDescent="0.25">
      <c r="A43" s="89">
        <v>43</v>
      </c>
      <c r="B43" s="89">
        <f t="shared" si="0"/>
        <v>1</v>
      </c>
      <c r="C43" s="89">
        <f t="shared" si="1"/>
        <v>1</v>
      </c>
      <c r="D43" s="90">
        <f t="shared" si="35"/>
        <v>1</v>
      </c>
      <c r="E43" s="90">
        <f t="shared" si="35"/>
        <v>1</v>
      </c>
      <c r="F43" s="48" t="s">
        <v>84</v>
      </c>
      <c r="G43" s="38" t="s">
        <v>17</v>
      </c>
      <c r="H43" s="87">
        <v>5140386.3947000001</v>
      </c>
      <c r="I43" s="87">
        <v>1726805.0755</v>
      </c>
      <c r="J43" s="87">
        <f t="shared" si="3"/>
        <v>-3413581.3191999998</v>
      </c>
      <c r="K43" s="88">
        <f t="shared" si="4"/>
        <v>-3413581.3191999998</v>
      </c>
      <c r="L43" s="87">
        <f>IF(Dyn_Insured="","",IF(ISNUMBER(H43)=FALSE,"n/a",MIN(MAX(H43-'Layer Comparison'!Excess_Past,0),'Layer Comparison'!Limit_Past)))</f>
        <v>0</v>
      </c>
      <c r="M43" s="87">
        <f>IF(Dyn_Insured="","",IF(ISNUMBER(I43)=FALSE,"n/a",MIN(MAX(I43-'Layer Comparison'!Excess_Latest,0),'Layer Comparison'!Limit_Latest)))</f>
        <v>0</v>
      </c>
      <c r="N43" s="87">
        <f t="shared" si="5"/>
        <v>0</v>
      </c>
      <c r="O43" s="88">
        <f t="shared" si="6"/>
        <v>0</v>
      </c>
      <c r="P43" s="87">
        <v>16589615.8059</v>
      </c>
      <c r="Q43" s="87">
        <v>7735231.2967999987</v>
      </c>
      <c r="R43" s="87">
        <f t="shared" si="7"/>
        <v>-8854384.5091000013</v>
      </c>
      <c r="S43" s="88">
        <f t="shared" si="8"/>
        <v>-8854384.5091000013</v>
      </c>
      <c r="T43" s="87">
        <f>IF(Dyn_Insured="","",IF(ISNUMBER(P43)=FALSE,"n/a",MIN(MAX(P43-'Layer Comparison'!Excess_Past,0),'Layer Comparison'!Limit_Past)))</f>
        <v>1589615.8059</v>
      </c>
      <c r="U43" s="87">
        <f>IF(Dyn_Insured="","",IF(ISNUMBER(Q43)=FALSE,"n/a",MIN(MAX(Q43-'Layer Comparison'!Excess_Latest,0),'Layer Comparison'!Limit_Latest)))</f>
        <v>0</v>
      </c>
      <c r="V43" s="87">
        <f t="shared" si="9"/>
        <v>-1589615.8059</v>
      </c>
      <c r="W43" s="88">
        <f t="shared" si="10"/>
        <v>-1589615.8059</v>
      </c>
      <c r="X43" s="87">
        <v>30734387.233199999</v>
      </c>
      <c r="Y43" s="87">
        <v>16370688.9376</v>
      </c>
      <c r="Z43" s="87">
        <f t="shared" si="11"/>
        <v>-14363698.295599999</v>
      </c>
      <c r="AA43" s="88">
        <f t="shared" si="12"/>
        <v>-14363698.295599999</v>
      </c>
      <c r="AB43" s="87">
        <f>IF(Dyn_Insured="","",IF(ISNUMBER(X43)=FALSE,"n/a",MIN(MAX(X43-'Layer Comparison'!Excess_Past,0),'Layer Comparison'!Limit_Past)))</f>
        <v>15734387.233199999</v>
      </c>
      <c r="AC43" s="87">
        <f>IF(Dyn_Insured="","",IF(ISNUMBER(Y43)=FALSE,"n/a",MIN(MAX(Y43-'Layer Comparison'!Excess_Latest,0),'Layer Comparison'!Limit_Latest)))</f>
        <v>1370688.9375999998</v>
      </c>
      <c r="AD43" s="87">
        <f t="shared" si="13"/>
        <v>-14363698.295599999</v>
      </c>
      <c r="AE43" s="88">
        <f t="shared" si="14"/>
        <v>-14363698.295599999</v>
      </c>
      <c r="AF43" s="87">
        <v>44621142.562700003</v>
      </c>
      <c r="AG43" s="87">
        <v>25233527.849799994</v>
      </c>
      <c r="AH43" s="87">
        <f t="shared" si="15"/>
        <v>-19387614.712900009</v>
      </c>
      <c r="AI43" s="88">
        <f t="shared" si="16"/>
        <v>-19387614.712900009</v>
      </c>
      <c r="AJ43" s="87">
        <f>IF(Dyn_Insured="","",IF(ISNUMBER(AF43)=FALSE,"n/a",MIN(MAX(AF43-'Layer Comparison'!Excess_Past,0),'Layer Comparison'!Limit_Past)))</f>
        <v>29621142.562700003</v>
      </c>
      <c r="AK43" s="87">
        <f>IF(Dyn_Insured="","",IF(ISNUMBER(AG43)=FALSE,"n/a",MIN(MAX(AG43-'Layer Comparison'!Excess_Latest,0),'Layer Comparison'!Limit_Latest)))</f>
        <v>10233527.849799994</v>
      </c>
      <c r="AL43" s="87">
        <f t="shared" si="17"/>
        <v>-19387614.712900009</v>
      </c>
      <c r="AM43" s="88">
        <f t="shared" si="18"/>
        <v>-19387614.712900009</v>
      </c>
      <c r="AN43" s="87">
        <v>75234472.834100023</v>
      </c>
      <c r="AO43" s="87">
        <v>43419378.494399995</v>
      </c>
      <c r="AP43" s="87">
        <f t="shared" si="19"/>
        <v>-31815094.339700028</v>
      </c>
      <c r="AQ43" s="88">
        <f t="shared" si="20"/>
        <v>-31815094.339700028</v>
      </c>
      <c r="AR43" s="87">
        <f>IF(Dyn_Insured="","",IF(ISNUMBER(AN43)=FALSE,"n/a",MIN(MAX(AN43-'Layer Comparison'!Excess_Past,0),'Layer Comparison'!Limit_Past)))</f>
        <v>60234472.834100023</v>
      </c>
      <c r="AS43" s="87">
        <f>IF(Dyn_Insured="","",IF(ISNUMBER(AO43)=FALSE,"n/a",MIN(MAX(AO43-'Layer Comparison'!Excess_Latest,0),'Layer Comparison'!Limit_Latest)))</f>
        <v>28419378.494399995</v>
      </c>
      <c r="AT43" s="87">
        <f t="shared" si="21"/>
        <v>-31815094.339700028</v>
      </c>
      <c r="AU43" s="88">
        <f t="shared" si="22"/>
        <v>-31815094.339700028</v>
      </c>
      <c r="AV43" s="87">
        <v>88603550.089299992</v>
      </c>
      <c r="AW43" s="87">
        <v>51846688.952699997</v>
      </c>
      <c r="AX43" s="87">
        <f t="shared" si="23"/>
        <v>-36756861.136599995</v>
      </c>
      <c r="AY43" s="88">
        <f t="shared" si="24"/>
        <v>-36756861.136599995</v>
      </c>
      <c r="AZ43" s="87">
        <f>IF(Dyn_Insured="","",IF(ISNUMBER(AV43)=FALSE,"n/a",MIN(MAX(AV43-'Layer Comparison'!Excess_Past,0),'Layer Comparison'!Limit_Past)))</f>
        <v>73603550.089299992</v>
      </c>
      <c r="BA43" s="87">
        <f>IF(Dyn_Insured="","",IF(ISNUMBER(AW43)=FALSE,"n/a",MIN(MAX(AW43-'Layer Comparison'!Excess_Latest,0),'Layer Comparison'!Limit_Latest)))</f>
        <v>36846688.952699997</v>
      </c>
      <c r="BB43" s="87">
        <f t="shared" si="25"/>
        <v>-36756861.136599995</v>
      </c>
      <c r="BC43" s="88">
        <f t="shared" si="26"/>
        <v>-36756861.136599995</v>
      </c>
      <c r="BD43" s="87">
        <v>90185346.8671</v>
      </c>
      <c r="BE43" s="87">
        <v>52876608.78930001</v>
      </c>
      <c r="BF43" s="87">
        <f t="shared" si="27"/>
        <v>-37308738.077799991</v>
      </c>
      <c r="BG43" s="88">
        <f t="shared" si="28"/>
        <v>-37308738.077799991</v>
      </c>
      <c r="BH43" s="87">
        <f>IF(Dyn_Insured="","",IF(ISNUMBER(BD43)=FALSE,"n/a",MIN(MAX(BD43-'Layer Comparison'!Excess_Past,0),'Layer Comparison'!Limit_Past)))</f>
        <v>75185346.8671</v>
      </c>
      <c r="BI43" s="87">
        <f>IF(Dyn_Insured="","",IF(ISNUMBER(BE43)=FALSE,"n/a",MIN(MAX(BE43-'Layer Comparison'!Excess_Latest,0),'Layer Comparison'!Limit_Latest)))</f>
        <v>37876608.78930001</v>
      </c>
      <c r="BJ43" s="87">
        <f t="shared" si="29"/>
        <v>-37308738.077799991</v>
      </c>
      <c r="BK43" s="88">
        <f t="shared" si="30"/>
        <v>-37308738.077799991</v>
      </c>
      <c r="BL43" s="87">
        <v>90185346.8671</v>
      </c>
      <c r="BM43" s="87">
        <v>52876608.789300017</v>
      </c>
      <c r="BN43" s="87">
        <f t="shared" si="31"/>
        <v>-37308738.077799983</v>
      </c>
      <c r="BO43" s="88">
        <f t="shared" si="32"/>
        <v>-37308738.077799983</v>
      </c>
      <c r="BP43" s="87">
        <f>IF(Dyn_Insured="","",IF(ISNUMBER(BL43)=FALSE,"n/a",MIN(MAX(BL43-'Layer Comparison'!Excess_Past,0),'Layer Comparison'!Limit_Past)))</f>
        <v>75185346.8671</v>
      </c>
      <c r="BQ43" s="87">
        <f>IF(Dyn_Insured="","",IF(ISNUMBER(BM43)=FALSE,"n/a",MIN(MAX(BM43-'Layer Comparison'!Excess_Latest,0),'Layer Comparison'!Limit_Latest)))</f>
        <v>37876608.789300017</v>
      </c>
      <c r="BR43" s="87">
        <f t="shared" si="33"/>
        <v>-37308738.077799983</v>
      </c>
      <c r="BS43" s="88">
        <f t="shared" si="34"/>
        <v>-37308738.077799983</v>
      </c>
      <c r="BT43" s="46" t="s">
        <v>13</v>
      </c>
    </row>
    <row r="44" spans="1:72" x14ac:dyDescent="0.25">
      <c r="A44" s="89">
        <v>44</v>
      </c>
      <c r="B44" s="89">
        <f t="shared" si="0"/>
        <v>1</v>
      </c>
      <c r="C44" s="89">
        <f t="shared" si="1"/>
        <v>1</v>
      </c>
      <c r="D44" s="90">
        <f t="shared" si="35"/>
        <v>1</v>
      </c>
      <c r="E44" s="90">
        <f t="shared" si="35"/>
        <v>1</v>
      </c>
      <c r="F44" s="48" t="s">
        <v>85</v>
      </c>
      <c r="G44" s="38" t="s">
        <v>17</v>
      </c>
      <c r="H44" s="87">
        <v>4075534.2104000007</v>
      </c>
      <c r="I44" s="87">
        <v>2858341.9951999998</v>
      </c>
      <c r="J44" s="87">
        <f t="shared" si="3"/>
        <v>-1217192.2152000009</v>
      </c>
      <c r="K44" s="88">
        <f t="shared" si="4"/>
        <v>-1217192.2152000009</v>
      </c>
      <c r="L44" s="87">
        <f>IF(Dyn_Insured="","",IF(ISNUMBER(H44)=FALSE,"n/a",MIN(MAX(H44-'Layer Comparison'!Excess_Past,0),'Layer Comparison'!Limit_Past)))</f>
        <v>0</v>
      </c>
      <c r="M44" s="87">
        <f>IF(Dyn_Insured="","",IF(ISNUMBER(I44)=FALSE,"n/a",MIN(MAX(I44-'Layer Comparison'!Excess_Latest,0),'Layer Comparison'!Limit_Latest)))</f>
        <v>0</v>
      </c>
      <c r="N44" s="87">
        <f t="shared" si="5"/>
        <v>0</v>
      </c>
      <c r="O44" s="88">
        <f t="shared" si="6"/>
        <v>0</v>
      </c>
      <c r="P44" s="87">
        <v>13741804.940899998</v>
      </c>
      <c r="Q44" s="87">
        <v>12358027.104800001</v>
      </c>
      <c r="R44" s="87">
        <f t="shared" si="7"/>
        <v>-1383777.8360999972</v>
      </c>
      <c r="S44" s="88">
        <f t="shared" si="8"/>
        <v>-1383777.8360999972</v>
      </c>
      <c r="T44" s="87">
        <f>IF(Dyn_Insured="","",IF(ISNUMBER(P44)=FALSE,"n/a",MIN(MAX(P44-'Layer Comparison'!Excess_Past,0),'Layer Comparison'!Limit_Past)))</f>
        <v>0</v>
      </c>
      <c r="U44" s="87">
        <f>IF(Dyn_Insured="","",IF(ISNUMBER(Q44)=FALSE,"n/a",MIN(MAX(Q44-'Layer Comparison'!Excess_Latest,0),'Layer Comparison'!Limit_Latest)))</f>
        <v>0</v>
      </c>
      <c r="V44" s="87">
        <f t="shared" si="9"/>
        <v>0</v>
      </c>
      <c r="W44" s="88">
        <f t="shared" si="10"/>
        <v>0</v>
      </c>
      <c r="X44" s="87">
        <v>24791178.862</v>
      </c>
      <c r="Y44" s="87">
        <v>23046556.792300001</v>
      </c>
      <c r="Z44" s="87">
        <f t="shared" si="11"/>
        <v>-1744622.0696999989</v>
      </c>
      <c r="AA44" s="88">
        <f t="shared" si="12"/>
        <v>-1744622.0696999989</v>
      </c>
      <c r="AB44" s="87">
        <f>IF(Dyn_Insured="","",IF(ISNUMBER(X44)=FALSE,"n/a",MIN(MAX(X44-'Layer Comparison'!Excess_Past,0),'Layer Comparison'!Limit_Past)))</f>
        <v>9791178.8619999997</v>
      </c>
      <c r="AC44" s="87">
        <f>IF(Dyn_Insured="","",IF(ISNUMBER(Y44)=FALSE,"n/a",MIN(MAX(Y44-'Layer Comparison'!Excess_Latest,0),'Layer Comparison'!Limit_Latest)))</f>
        <v>8046556.7923000008</v>
      </c>
      <c r="AD44" s="87">
        <f t="shared" si="13"/>
        <v>-1744622.0696999989</v>
      </c>
      <c r="AE44" s="88">
        <f t="shared" si="14"/>
        <v>-1744622.0696999989</v>
      </c>
      <c r="AF44" s="87">
        <v>36540839.935599998</v>
      </c>
      <c r="AG44" s="87">
        <v>33573056.628399998</v>
      </c>
      <c r="AH44" s="87">
        <f t="shared" si="15"/>
        <v>-2967783.3071999997</v>
      </c>
      <c r="AI44" s="88">
        <f t="shared" si="16"/>
        <v>-2967783.3071999997</v>
      </c>
      <c r="AJ44" s="87">
        <f>IF(Dyn_Insured="","",IF(ISNUMBER(AF44)=FALSE,"n/a",MIN(MAX(AF44-'Layer Comparison'!Excess_Past,0),'Layer Comparison'!Limit_Past)))</f>
        <v>21540839.935599998</v>
      </c>
      <c r="AK44" s="87">
        <f>IF(Dyn_Insured="","",IF(ISNUMBER(AG44)=FALSE,"n/a",MIN(MAX(AG44-'Layer Comparison'!Excess_Latest,0),'Layer Comparison'!Limit_Latest)))</f>
        <v>18573056.628399998</v>
      </c>
      <c r="AL44" s="87">
        <f t="shared" si="17"/>
        <v>-2967783.3071999997</v>
      </c>
      <c r="AM44" s="88">
        <f t="shared" si="18"/>
        <v>-2967783.3071999997</v>
      </c>
      <c r="AN44" s="87">
        <v>62284825.250400007</v>
      </c>
      <c r="AO44" s="87">
        <v>55463812.834299996</v>
      </c>
      <c r="AP44" s="87">
        <f t="shared" si="19"/>
        <v>-6821012.4161000103</v>
      </c>
      <c r="AQ44" s="88">
        <f t="shared" si="20"/>
        <v>-6821012.4161000103</v>
      </c>
      <c r="AR44" s="87">
        <f>IF(Dyn_Insured="","",IF(ISNUMBER(AN44)=FALSE,"n/a",MIN(MAX(AN44-'Layer Comparison'!Excess_Past,0),'Layer Comparison'!Limit_Past)))</f>
        <v>47284825.250400007</v>
      </c>
      <c r="AS44" s="87">
        <f>IF(Dyn_Insured="","",IF(ISNUMBER(AO44)=FALSE,"n/a",MIN(MAX(AO44-'Layer Comparison'!Excess_Latest,0),'Layer Comparison'!Limit_Latest)))</f>
        <v>40463812.834299996</v>
      </c>
      <c r="AT44" s="87">
        <f t="shared" si="21"/>
        <v>-6821012.4161000103</v>
      </c>
      <c r="AU44" s="88">
        <f t="shared" si="22"/>
        <v>-6821012.4161000103</v>
      </c>
      <c r="AV44" s="87">
        <v>86865775.949899971</v>
      </c>
      <c r="AW44" s="87">
        <v>76151856.223799989</v>
      </c>
      <c r="AX44" s="87">
        <f t="shared" si="23"/>
        <v>-10713919.726099983</v>
      </c>
      <c r="AY44" s="88">
        <f t="shared" si="24"/>
        <v>-10713919.726099983</v>
      </c>
      <c r="AZ44" s="87">
        <f>IF(Dyn_Insured="","",IF(ISNUMBER(AV44)=FALSE,"n/a",MIN(MAX(AV44-'Layer Comparison'!Excess_Past,0),'Layer Comparison'!Limit_Past)))</f>
        <v>71865775.949899971</v>
      </c>
      <c r="BA44" s="87">
        <f>IF(Dyn_Insured="","",IF(ISNUMBER(AW44)=FALSE,"n/a",MIN(MAX(AW44-'Layer Comparison'!Excess_Latest,0),'Layer Comparison'!Limit_Latest)))</f>
        <v>61151856.223799989</v>
      </c>
      <c r="BB44" s="87">
        <f t="shared" si="25"/>
        <v>-10713919.726099983</v>
      </c>
      <c r="BC44" s="88">
        <f t="shared" si="26"/>
        <v>-10713919.726099983</v>
      </c>
      <c r="BD44" s="87">
        <v>89540060.072399974</v>
      </c>
      <c r="BE44" s="87">
        <v>78668152.637199998</v>
      </c>
      <c r="BF44" s="87">
        <f t="shared" si="27"/>
        <v>-10871907.435199976</v>
      </c>
      <c r="BG44" s="88">
        <f t="shared" si="28"/>
        <v>-10871907.435199976</v>
      </c>
      <c r="BH44" s="87">
        <f>IF(Dyn_Insured="","",IF(ISNUMBER(BD44)=FALSE,"n/a",MIN(MAX(BD44-'Layer Comparison'!Excess_Past,0),'Layer Comparison'!Limit_Past)))</f>
        <v>74540060.072399974</v>
      </c>
      <c r="BI44" s="87">
        <f>IF(Dyn_Insured="","",IF(ISNUMBER(BE44)=FALSE,"n/a",MIN(MAX(BE44-'Layer Comparison'!Excess_Latest,0),'Layer Comparison'!Limit_Latest)))</f>
        <v>63668152.637199998</v>
      </c>
      <c r="BJ44" s="87">
        <f t="shared" si="29"/>
        <v>-10871907.435199976</v>
      </c>
      <c r="BK44" s="88">
        <f t="shared" si="30"/>
        <v>-10871907.435199976</v>
      </c>
      <c r="BL44" s="87">
        <v>91277978.079900041</v>
      </c>
      <c r="BM44" s="87">
        <v>80012478.5616</v>
      </c>
      <c r="BN44" s="87">
        <f t="shared" si="31"/>
        <v>-11265499.518300042</v>
      </c>
      <c r="BO44" s="88">
        <f t="shared" si="32"/>
        <v>-11265499.518300042</v>
      </c>
      <c r="BP44" s="87">
        <f>IF(Dyn_Insured="","",IF(ISNUMBER(BL44)=FALSE,"n/a",MIN(MAX(BL44-'Layer Comparison'!Excess_Past,0),'Layer Comparison'!Limit_Past)))</f>
        <v>76277978.079900041</v>
      </c>
      <c r="BQ44" s="87">
        <f>IF(Dyn_Insured="","",IF(ISNUMBER(BM44)=FALSE,"n/a",MIN(MAX(BM44-'Layer Comparison'!Excess_Latest,0),'Layer Comparison'!Limit_Latest)))</f>
        <v>65012478.5616</v>
      </c>
      <c r="BR44" s="87">
        <f t="shared" si="33"/>
        <v>-11265499.518300042</v>
      </c>
      <c r="BS44" s="88">
        <f t="shared" si="34"/>
        <v>-11265499.518300042</v>
      </c>
      <c r="BT44" s="46" t="s">
        <v>13</v>
      </c>
    </row>
    <row r="45" spans="1:72" x14ac:dyDescent="0.25">
      <c r="A45" s="89">
        <v>45</v>
      </c>
      <c r="B45" s="89">
        <f t="shared" si="0"/>
        <v>1</v>
      </c>
      <c r="C45" s="89">
        <f t="shared" si="1"/>
        <v>1</v>
      </c>
      <c r="D45" s="90">
        <f t="shared" si="35"/>
        <v>1</v>
      </c>
      <c r="E45" s="90">
        <f t="shared" si="35"/>
        <v>1</v>
      </c>
      <c r="F45" s="48" t="s">
        <v>86</v>
      </c>
      <c r="G45" s="38" t="s">
        <v>17</v>
      </c>
      <c r="H45" s="87">
        <v>4681272.4539000001</v>
      </c>
      <c r="I45" s="87">
        <v>5280966.3854999999</v>
      </c>
      <c r="J45" s="87">
        <f t="shared" si="3"/>
        <v>599693.93159999978</v>
      </c>
      <c r="K45" s="88">
        <f t="shared" si="4"/>
        <v>599693.93159999978</v>
      </c>
      <c r="L45" s="87">
        <f>IF(Dyn_Insured="","",IF(ISNUMBER(H45)=FALSE,"n/a",MIN(MAX(H45-'Layer Comparison'!Excess_Past,0),'Layer Comparison'!Limit_Past)))</f>
        <v>0</v>
      </c>
      <c r="M45" s="87">
        <f>IF(Dyn_Insured="","",IF(ISNUMBER(I45)=FALSE,"n/a",MIN(MAX(I45-'Layer Comparison'!Excess_Latest,0),'Layer Comparison'!Limit_Latest)))</f>
        <v>0</v>
      </c>
      <c r="N45" s="87">
        <f t="shared" si="5"/>
        <v>0</v>
      </c>
      <c r="O45" s="88">
        <f t="shared" si="6"/>
        <v>0</v>
      </c>
      <c r="P45" s="87">
        <v>16499580.8048</v>
      </c>
      <c r="Q45" s="87">
        <v>16297017.672500001</v>
      </c>
      <c r="R45" s="87">
        <f t="shared" si="7"/>
        <v>-202563.13229999878</v>
      </c>
      <c r="S45" s="88">
        <f t="shared" si="8"/>
        <v>-202563.13229999878</v>
      </c>
      <c r="T45" s="87">
        <f>IF(Dyn_Insured="","",IF(ISNUMBER(P45)=FALSE,"n/a",MIN(MAX(P45-'Layer Comparison'!Excess_Past,0),'Layer Comparison'!Limit_Past)))</f>
        <v>1499580.8048</v>
      </c>
      <c r="U45" s="87">
        <f>IF(Dyn_Insured="","",IF(ISNUMBER(Q45)=FALSE,"n/a",MIN(MAX(Q45-'Layer Comparison'!Excess_Latest,0),'Layer Comparison'!Limit_Latest)))</f>
        <v>1297017.6725000013</v>
      </c>
      <c r="V45" s="87">
        <f t="shared" si="9"/>
        <v>-202563.13229999878</v>
      </c>
      <c r="W45" s="88">
        <f t="shared" si="10"/>
        <v>-202563.13229999878</v>
      </c>
      <c r="X45" s="87">
        <v>28169671.7786</v>
      </c>
      <c r="Y45" s="87">
        <v>26411864.5088</v>
      </c>
      <c r="Z45" s="87">
        <f t="shared" si="11"/>
        <v>-1757807.2697999999</v>
      </c>
      <c r="AA45" s="88">
        <f t="shared" si="12"/>
        <v>-1757807.2697999999</v>
      </c>
      <c r="AB45" s="87">
        <f>IF(Dyn_Insured="","",IF(ISNUMBER(X45)=FALSE,"n/a",MIN(MAX(X45-'Layer Comparison'!Excess_Past,0),'Layer Comparison'!Limit_Past)))</f>
        <v>13169671.7786</v>
      </c>
      <c r="AC45" s="87">
        <f>IF(Dyn_Insured="","",IF(ISNUMBER(Y45)=FALSE,"n/a",MIN(MAX(Y45-'Layer Comparison'!Excess_Latest,0),'Layer Comparison'!Limit_Latest)))</f>
        <v>11411864.5088</v>
      </c>
      <c r="AD45" s="87">
        <f t="shared" si="13"/>
        <v>-1757807.2697999999</v>
      </c>
      <c r="AE45" s="88">
        <f t="shared" si="14"/>
        <v>-1757807.2697999999</v>
      </c>
      <c r="AF45" s="87">
        <v>34993842.686299995</v>
      </c>
      <c r="AG45" s="87">
        <v>30388246.925600007</v>
      </c>
      <c r="AH45" s="87">
        <f t="shared" si="15"/>
        <v>-4605595.7606999874</v>
      </c>
      <c r="AI45" s="88">
        <f t="shared" si="16"/>
        <v>-4605595.7606999874</v>
      </c>
      <c r="AJ45" s="87">
        <f>IF(Dyn_Insured="","",IF(ISNUMBER(AF45)=FALSE,"n/a",MIN(MAX(AF45-'Layer Comparison'!Excess_Past,0),'Layer Comparison'!Limit_Past)))</f>
        <v>19993842.686299995</v>
      </c>
      <c r="AK45" s="87">
        <f>IF(Dyn_Insured="","",IF(ISNUMBER(AG45)=FALSE,"n/a",MIN(MAX(AG45-'Layer Comparison'!Excess_Latest,0),'Layer Comparison'!Limit_Latest)))</f>
        <v>15388246.925600007</v>
      </c>
      <c r="AL45" s="87">
        <f t="shared" si="17"/>
        <v>-4605595.7606999874</v>
      </c>
      <c r="AM45" s="88">
        <f t="shared" si="18"/>
        <v>-4605595.7606999874</v>
      </c>
      <c r="AN45" s="87">
        <v>35230353.307199992</v>
      </c>
      <c r="AO45" s="87">
        <v>31049726.582100004</v>
      </c>
      <c r="AP45" s="87">
        <f t="shared" si="19"/>
        <v>-4180626.7250999883</v>
      </c>
      <c r="AQ45" s="88">
        <f t="shared" si="20"/>
        <v>-4180626.7250999883</v>
      </c>
      <c r="AR45" s="87">
        <f>IF(Dyn_Insured="","",IF(ISNUMBER(AN45)=FALSE,"n/a",MIN(MAX(AN45-'Layer Comparison'!Excess_Past,0),'Layer Comparison'!Limit_Past)))</f>
        <v>20230353.307199992</v>
      </c>
      <c r="AS45" s="87">
        <f>IF(Dyn_Insured="","",IF(ISNUMBER(AO45)=FALSE,"n/a",MIN(MAX(AO45-'Layer Comparison'!Excess_Latest,0),'Layer Comparison'!Limit_Latest)))</f>
        <v>16049726.582100004</v>
      </c>
      <c r="AT45" s="87">
        <f t="shared" si="21"/>
        <v>-4180626.7250999883</v>
      </c>
      <c r="AU45" s="88">
        <f t="shared" si="22"/>
        <v>-4180626.7250999883</v>
      </c>
      <c r="AV45" s="87">
        <v>35230353.3072</v>
      </c>
      <c r="AW45" s="87">
        <v>31049726.582099997</v>
      </c>
      <c r="AX45" s="87">
        <f t="shared" si="23"/>
        <v>-4180626.7251000032</v>
      </c>
      <c r="AY45" s="88">
        <f t="shared" si="24"/>
        <v>-4180626.7251000032</v>
      </c>
      <c r="AZ45" s="87">
        <f>IF(Dyn_Insured="","",IF(ISNUMBER(AV45)=FALSE,"n/a",MIN(MAX(AV45-'Layer Comparison'!Excess_Past,0),'Layer Comparison'!Limit_Past)))</f>
        <v>20230353.3072</v>
      </c>
      <c r="BA45" s="87">
        <f>IF(Dyn_Insured="","",IF(ISNUMBER(AW45)=FALSE,"n/a",MIN(MAX(AW45-'Layer Comparison'!Excess_Latest,0),'Layer Comparison'!Limit_Latest)))</f>
        <v>16049726.582099997</v>
      </c>
      <c r="BB45" s="87">
        <f t="shared" si="25"/>
        <v>-4180626.7251000032</v>
      </c>
      <c r="BC45" s="88">
        <f t="shared" si="26"/>
        <v>-4180626.7251000032</v>
      </c>
      <c r="BD45" s="87">
        <v>35230353.3072</v>
      </c>
      <c r="BE45" s="87">
        <v>31049726.5821</v>
      </c>
      <c r="BF45" s="87">
        <f t="shared" si="27"/>
        <v>-4180626.7250999995</v>
      </c>
      <c r="BG45" s="88">
        <f t="shared" si="28"/>
        <v>-4180626.7250999995</v>
      </c>
      <c r="BH45" s="87">
        <f>IF(Dyn_Insured="","",IF(ISNUMBER(BD45)=FALSE,"n/a",MIN(MAX(BD45-'Layer Comparison'!Excess_Past,0),'Layer Comparison'!Limit_Past)))</f>
        <v>20230353.3072</v>
      </c>
      <c r="BI45" s="87">
        <f>IF(Dyn_Insured="","",IF(ISNUMBER(BE45)=FALSE,"n/a",MIN(MAX(BE45-'Layer Comparison'!Excess_Latest,0),'Layer Comparison'!Limit_Latest)))</f>
        <v>16049726.5821</v>
      </c>
      <c r="BJ45" s="87">
        <f t="shared" si="29"/>
        <v>-4180626.7250999995</v>
      </c>
      <c r="BK45" s="88">
        <f t="shared" si="30"/>
        <v>-4180626.7250999995</v>
      </c>
      <c r="BL45" s="87">
        <v>35230353.3072</v>
      </c>
      <c r="BM45" s="87">
        <v>31049726.582099997</v>
      </c>
      <c r="BN45" s="87">
        <f t="shared" si="31"/>
        <v>-4180626.7251000032</v>
      </c>
      <c r="BO45" s="88">
        <f t="shared" si="32"/>
        <v>-4180626.7251000032</v>
      </c>
      <c r="BP45" s="87">
        <f>IF(Dyn_Insured="","",IF(ISNUMBER(BL45)=FALSE,"n/a",MIN(MAX(BL45-'Layer Comparison'!Excess_Past,0),'Layer Comparison'!Limit_Past)))</f>
        <v>20230353.3072</v>
      </c>
      <c r="BQ45" s="87">
        <f>IF(Dyn_Insured="","",IF(ISNUMBER(BM45)=FALSE,"n/a",MIN(MAX(BM45-'Layer Comparison'!Excess_Latest,0),'Layer Comparison'!Limit_Latest)))</f>
        <v>16049726.582099997</v>
      </c>
      <c r="BR45" s="87">
        <f t="shared" si="33"/>
        <v>-4180626.7251000032</v>
      </c>
      <c r="BS45" s="88">
        <f t="shared" si="34"/>
        <v>-4180626.7251000032</v>
      </c>
      <c r="BT45" s="46" t="s">
        <v>13</v>
      </c>
    </row>
    <row r="46" spans="1:72" x14ac:dyDescent="0.25">
      <c r="A46" s="89">
        <v>46</v>
      </c>
      <c r="B46" s="89">
        <f t="shared" si="0"/>
        <v>1</v>
      </c>
      <c r="C46" s="89">
        <f t="shared" si="1"/>
        <v>1</v>
      </c>
      <c r="D46" s="90">
        <f t="shared" si="35"/>
        <v>1</v>
      </c>
      <c r="E46" s="90">
        <f t="shared" si="35"/>
        <v>1</v>
      </c>
      <c r="F46" s="48" t="s">
        <v>87</v>
      </c>
      <c r="G46" s="38" t="s">
        <v>17</v>
      </c>
      <c r="H46" s="87">
        <v>3996077.8952999995</v>
      </c>
      <c r="I46" s="87">
        <v>3271700.1275999998</v>
      </c>
      <c r="J46" s="87">
        <f t="shared" ref="J46:J77" si="36">IF(Dyn_Insured="","",IF(ISNUMBER(I46)=FALSE,0,I46)-IF(ISNUMBER(H46)=FALSE,0,H46))</f>
        <v>-724377.76769999973</v>
      </c>
      <c r="K46" s="88">
        <f t="shared" si="4"/>
        <v>-724377.76769999973</v>
      </c>
      <c r="L46" s="87">
        <f>IF(Dyn_Insured="","",IF(ISNUMBER(H46)=FALSE,"n/a",MIN(MAX(H46-'Layer Comparison'!Excess_Past,0),'Layer Comparison'!Limit_Past)))</f>
        <v>0</v>
      </c>
      <c r="M46" s="87">
        <f>IF(Dyn_Insured="","",IF(ISNUMBER(I46)=FALSE,"n/a",MIN(MAX(I46-'Layer Comparison'!Excess_Latest,0),'Layer Comparison'!Limit_Latest)))</f>
        <v>0</v>
      </c>
      <c r="N46" s="87">
        <f t="shared" ref="N46:N77" si="37">IF(Dyn_Insured="","",IF(ISNUMBER(M46)=FALSE,0,M46)-IF(ISNUMBER(L46)=FALSE,0,L46))</f>
        <v>0</v>
      </c>
      <c r="O46" s="88">
        <f t="shared" si="6"/>
        <v>0</v>
      </c>
      <c r="P46" s="87">
        <v>14478736.325200003</v>
      </c>
      <c r="Q46" s="87">
        <v>13217476.487699997</v>
      </c>
      <c r="R46" s="87">
        <f t="shared" ref="R46:R77" si="38">IF(Dyn_Insured="","",IF(ISNUMBER(Q46)=FALSE,0,Q46)-IF(ISNUMBER(P46)=FALSE,0,P46))</f>
        <v>-1261259.837500006</v>
      </c>
      <c r="S46" s="88">
        <f t="shared" si="8"/>
        <v>-1261259.837500006</v>
      </c>
      <c r="T46" s="87">
        <f>IF(Dyn_Insured="","",IF(ISNUMBER(P46)=FALSE,"n/a",MIN(MAX(P46-'Layer Comparison'!Excess_Past,0),'Layer Comparison'!Limit_Past)))</f>
        <v>0</v>
      </c>
      <c r="U46" s="87">
        <f>IF(Dyn_Insured="","",IF(ISNUMBER(Q46)=FALSE,"n/a",MIN(MAX(Q46-'Layer Comparison'!Excess_Latest,0),'Layer Comparison'!Limit_Latest)))</f>
        <v>0</v>
      </c>
      <c r="V46" s="87">
        <f t="shared" ref="V46:V77" si="39">IF(Dyn_Insured="","",IF(ISNUMBER(U46)=FALSE,0,U46)-IF(ISNUMBER(T46)=FALSE,0,T46))</f>
        <v>0</v>
      </c>
      <c r="W46" s="88">
        <f t="shared" si="10"/>
        <v>0</v>
      </c>
      <c r="X46" s="87">
        <v>25838053.024799999</v>
      </c>
      <c r="Y46" s="87">
        <v>24805227.433300003</v>
      </c>
      <c r="Z46" s="87">
        <f t="shared" ref="Z46:Z77" si="40">IF(Dyn_Insured="","",IF(ISNUMBER(Y46)=FALSE,0,Y46)-IF(ISNUMBER(X46)=FALSE,0,X46))</f>
        <v>-1032825.5914999954</v>
      </c>
      <c r="AA46" s="88">
        <f t="shared" si="12"/>
        <v>-1032825.5914999954</v>
      </c>
      <c r="AB46" s="87">
        <f>IF(Dyn_Insured="","",IF(ISNUMBER(X46)=FALSE,"n/a",MIN(MAX(X46-'Layer Comparison'!Excess_Past,0),'Layer Comparison'!Limit_Past)))</f>
        <v>10838053.024799999</v>
      </c>
      <c r="AC46" s="87">
        <f>IF(Dyn_Insured="","",IF(ISNUMBER(Y46)=FALSE,"n/a",MIN(MAX(Y46-'Layer Comparison'!Excess_Latest,0),'Layer Comparison'!Limit_Latest)))</f>
        <v>9805227.4333000034</v>
      </c>
      <c r="AD46" s="87">
        <f t="shared" ref="AD46:AD77" si="41">IF(Dyn_Insured="","",IF(ISNUMBER(AC46)=FALSE,0,AC46)-IF(ISNUMBER(AB46)=FALSE,0,AB46))</f>
        <v>-1032825.5914999954</v>
      </c>
      <c r="AE46" s="88">
        <f t="shared" si="14"/>
        <v>-1032825.5914999954</v>
      </c>
      <c r="AF46" s="87">
        <v>36671584.623499997</v>
      </c>
      <c r="AG46" s="87">
        <v>36622987.05870001</v>
      </c>
      <c r="AH46" s="87">
        <f t="shared" ref="AH46:AH77" si="42">IF(Dyn_Insured="","",IF(ISNUMBER(AG46)=FALSE,0,AG46)-IF(ISNUMBER(AF46)=FALSE,0,AF46))</f>
        <v>-48597.56479998678</v>
      </c>
      <c r="AI46" s="88">
        <f t="shared" si="16"/>
        <v>-48597.56479998678</v>
      </c>
      <c r="AJ46" s="87">
        <f>IF(Dyn_Insured="","",IF(ISNUMBER(AF46)=FALSE,"n/a",MIN(MAX(AF46-'Layer Comparison'!Excess_Past,0),'Layer Comparison'!Limit_Past)))</f>
        <v>21671584.623499997</v>
      </c>
      <c r="AK46" s="87">
        <f>IF(Dyn_Insured="","",IF(ISNUMBER(AG46)=FALSE,"n/a",MIN(MAX(AG46-'Layer Comparison'!Excess_Latest,0),'Layer Comparison'!Limit_Latest)))</f>
        <v>21622987.05870001</v>
      </c>
      <c r="AL46" s="87">
        <f t="shared" ref="AL46:AL77" si="43">IF(Dyn_Insured="","",IF(ISNUMBER(AK46)=FALSE,0,AK46)-IF(ISNUMBER(AJ46)=FALSE,0,AJ46))</f>
        <v>-48597.56479998678</v>
      </c>
      <c r="AM46" s="88">
        <f t="shared" si="18"/>
        <v>-48597.56479998678</v>
      </c>
      <c r="AN46" s="87">
        <v>59113713.279300012</v>
      </c>
      <c r="AO46" s="87">
        <v>57807233.511200011</v>
      </c>
      <c r="AP46" s="87">
        <f t="shared" ref="AP46:AP77" si="44">IF(Dyn_Insured="","",IF(ISNUMBER(AO46)=FALSE,0,AO46)-IF(ISNUMBER(AN46)=FALSE,0,AN46))</f>
        <v>-1306479.7681000009</v>
      </c>
      <c r="AQ46" s="88">
        <f t="shared" si="20"/>
        <v>-1306479.7681000009</v>
      </c>
      <c r="AR46" s="87">
        <f>IF(Dyn_Insured="","",IF(ISNUMBER(AN46)=FALSE,"n/a",MIN(MAX(AN46-'Layer Comparison'!Excess_Past,0),'Layer Comparison'!Limit_Past)))</f>
        <v>44113713.279300012</v>
      </c>
      <c r="AS46" s="87">
        <f>IF(Dyn_Insured="","",IF(ISNUMBER(AO46)=FALSE,"n/a",MIN(MAX(AO46-'Layer Comparison'!Excess_Latest,0),'Layer Comparison'!Limit_Latest)))</f>
        <v>42807233.511200011</v>
      </c>
      <c r="AT46" s="87">
        <f t="shared" ref="AT46:AT77" si="45">IF(Dyn_Insured="","",IF(ISNUMBER(AS46)=FALSE,0,AS46)-IF(ISNUMBER(AR46)=FALSE,0,AR46))</f>
        <v>-1306479.7681000009</v>
      </c>
      <c r="AU46" s="88">
        <f t="shared" si="22"/>
        <v>-1306479.7681000009</v>
      </c>
      <c r="AV46" s="87">
        <v>66392266.994599998</v>
      </c>
      <c r="AW46" s="87">
        <v>64783860.885900013</v>
      </c>
      <c r="AX46" s="87">
        <f t="shared" ref="AX46:AX77" si="46">IF(Dyn_Insured="","",IF(ISNUMBER(AW46)=FALSE,0,AW46)-IF(ISNUMBER(AV46)=FALSE,0,AV46))</f>
        <v>-1608406.1086999848</v>
      </c>
      <c r="AY46" s="88">
        <f t="shared" si="24"/>
        <v>-1608406.1086999848</v>
      </c>
      <c r="AZ46" s="87">
        <f>IF(Dyn_Insured="","",IF(ISNUMBER(AV46)=FALSE,"n/a",MIN(MAX(AV46-'Layer Comparison'!Excess_Past,0),'Layer Comparison'!Limit_Past)))</f>
        <v>51392266.994599998</v>
      </c>
      <c r="BA46" s="87">
        <f>IF(Dyn_Insured="","",IF(ISNUMBER(AW46)=FALSE,"n/a",MIN(MAX(AW46-'Layer Comparison'!Excess_Latest,0),'Layer Comparison'!Limit_Latest)))</f>
        <v>49783860.885900013</v>
      </c>
      <c r="BB46" s="87">
        <f t="shared" ref="BB46:BB77" si="47">IF(Dyn_Insured="","",IF(ISNUMBER(BA46)=FALSE,0,BA46)-IF(ISNUMBER(AZ46)=FALSE,0,AZ46))</f>
        <v>-1608406.1086999848</v>
      </c>
      <c r="BC46" s="88">
        <f t="shared" si="26"/>
        <v>-1608406.1086999848</v>
      </c>
      <c r="BD46" s="87">
        <v>68142687.882700011</v>
      </c>
      <c r="BE46" s="87">
        <v>66552523.828299999</v>
      </c>
      <c r="BF46" s="87">
        <f t="shared" ref="BF46:BF77" si="48">IF(Dyn_Insured="","",IF(ISNUMBER(BE46)=FALSE,0,BE46)-IF(ISNUMBER(BD46)=FALSE,0,BD46))</f>
        <v>-1590164.0544000119</v>
      </c>
      <c r="BG46" s="88">
        <f t="shared" si="28"/>
        <v>-1590164.0544000119</v>
      </c>
      <c r="BH46" s="87">
        <f>IF(Dyn_Insured="","",IF(ISNUMBER(BD46)=FALSE,"n/a",MIN(MAX(BD46-'Layer Comparison'!Excess_Past,0),'Layer Comparison'!Limit_Past)))</f>
        <v>53142687.882700011</v>
      </c>
      <c r="BI46" s="87">
        <f>IF(Dyn_Insured="","",IF(ISNUMBER(BE46)=FALSE,"n/a",MIN(MAX(BE46-'Layer Comparison'!Excess_Latest,0),'Layer Comparison'!Limit_Latest)))</f>
        <v>51552523.828299999</v>
      </c>
      <c r="BJ46" s="87">
        <f t="shared" ref="BJ46:BJ77" si="49">IF(Dyn_Insured="","",IF(ISNUMBER(BI46)=FALSE,0,BI46)-IF(ISNUMBER(BH46)=FALSE,0,BH46))</f>
        <v>-1590164.0544000119</v>
      </c>
      <c r="BK46" s="88">
        <f t="shared" si="30"/>
        <v>-1590164.0544000119</v>
      </c>
      <c r="BL46" s="87">
        <v>69003186.023099989</v>
      </c>
      <c r="BM46" s="87">
        <v>67493429.450699985</v>
      </c>
      <c r="BN46" s="87">
        <f t="shared" ref="BN46:BN77" si="50">IF(Dyn_Insured="","",IF(ISNUMBER(BM46)=FALSE,0,BM46)-IF(ISNUMBER(BL46)=FALSE,0,BL46))</f>
        <v>-1509756.5724000037</v>
      </c>
      <c r="BO46" s="88">
        <f t="shared" si="32"/>
        <v>-1509756.5724000037</v>
      </c>
      <c r="BP46" s="87">
        <f>IF(Dyn_Insured="","",IF(ISNUMBER(BL46)=FALSE,"n/a",MIN(MAX(BL46-'Layer Comparison'!Excess_Past,0),'Layer Comparison'!Limit_Past)))</f>
        <v>54003186.023099989</v>
      </c>
      <c r="BQ46" s="87">
        <f>IF(Dyn_Insured="","",IF(ISNUMBER(BM46)=FALSE,"n/a",MIN(MAX(BM46-'Layer Comparison'!Excess_Latest,0),'Layer Comparison'!Limit_Latest)))</f>
        <v>52493429.450699985</v>
      </c>
      <c r="BR46" s="87">
        <f t="shared" ref="BR46:BR77" si="51">IF(Dyn_Insured="","",IF(ISNUMBER(BQ46)=FALSE,0,BQ46)-IF(ISNUMBER(BP46)=FALSE,0,BP46))</f>
        <v>-1509756.5724000037</v>
      </c>
      <c r="BS46" s="88">
        <f t="shared" si="34"/>
        <v>-1509756.5724000037</v>
      </c>
      <c r="BT46" s="46" t="s">
        <v>13</v>
      </c>
    </row>
    <row r="47" spans="1:72" x14ac:dyDescent="0.25">
      <c r="A47" s="89">
        <v>47</v>
      </c>
      <c r="B47" s="89">
        <f t="shared" si="0"/>
        <v>1</v>
      </c>
      <c r="C47" s="89">
        <f t="shared" si="1"/>
        <v>1</v>
      </c>
      <c r="D47" s="90">
        <f t="shared" si="35"/>
        <v>1</v>
      </c>
      <c r="E47" s="90">
        <f t="shared" si="35"/>
        <v>1</v>
      </c>
      <c r="F47" s="48" t="s">
        <v>88</v>
      </c>
      <c r="G47" s="38" t="s">
        <v>17</v>
      </c>
      <c r="H47" s="87">
        <v>5215132.6102999998</v>
      </c>
      <c r="I47" s="87">
        <v>2693156.8365999996</v>
      </c>
      <c r="J47" s="87">
        <f t="shared" si="36"/>
        <v>-2521975.7737000003</v>
      </c>
      <c r="K47" s="88">
        <f t="shared" si="4"/>
        <v>-2521975.7737000003</v>
      </c>
      <c r="L47" s="87">
        <f>IF(Dyn_Insured="","",IF(ISNUMBER(H47)=FALSE,"n/a",MIN(MAX(H47-'Layer Comparison'!Excess_Past,0),'Layer Comparison'!Limit_Past)))</f>
        <v>0</v>
      </c>
      <c r="M47" s="87">
        <f>IF(Dyn_Insured="","",IF(ISNUMBER(I47)=FALSE,"n/a",MIN(MAX(I47-'Layer Comparison'!Excess_Latest,0),'Layer Comparison'!Limit_Latest)))</f>
        <v>0</v>
      </c>
      <c r="N47" s="87">
        <f t="shared" si="37"/>
        <v>0</v>
      </c>
      <c r="O47" s="88">
        <f t="shared" si="6"/>
        <v>0</v>
      </c>
      <c r="P47" s="87">
        <v>16846101.1961</v>
      </c>
      <c r="Q47" s="87">
        <v>11658245.9397</v>
      </c>
      <c r="R47" s="87">
        <f t="shared" si="38"/>
        <v>-5187855.2564000003</v>
      </c>
      <c r="S47" s="88">
        <f t="shared" si="8"/>
        <v>-5187855.2564000003</v>
      </c>
      <c r="T47" s="87">
        <f>IF(Dyn_Insured="","",IF(ISNUMBER(P47)=FALSE,"n/a",MIN(MAX(P47-'Layer Comparison'!Excess_Past,0),'Layer Comparison'!Limit_Past)))</f>
        <v>1846101.1961000003</v>
      </c>
      <c r="U47" s="87">
        <f>IF(Dyn_Insured="","",IF(ISNUMBER(Q47)=FALSE,"n/a",MIN(MAX(Q47-'Layer Comparison'!Excess_Latest,0),'Layer Comparison'!Limit_Latest)))</f>
        <v>0</v>
      </c>
      <c r="V47" s="87">
        <f t="shared" si="39"/>
        <v>-1846101.1961000003</v>
      </c>
      <c r="W47" s="88">
        <f t="shared" si="10"/>
        <v>-1846101.1961000003</v>
      </c>
      <c r="X47" s="87">
        <v>28495984.960000001</v>
      </c>
      <c r="Y47" s="87">
        <v>21804460.968800005</v>
      </c>
      <c r="Z47" s="87">
        <f t="shared" si="40"/>
        <v>-6691523.9911999963</v>
      </c>
      <c r="AA47" s="88">
        <f t="shared" si="12"/>
        <v>-6691523.9911999963</v>
      </c>
      <c r="AB47" s="87">
        <f>IF(Dyn_Insured="","",IF(ISNUMBER(X47)=FALSE,"n/a",MIN(MAX(X47-'Layer Comparison'!Excess_Past,0),'Layer Comparison'!Limit_Past)))</f>
        <v>13495984.960000001</v>
      </c>
      <c r="AC47" s="87">
        <f>IF(Dyn_Insured="","",IF(ISNUMBER(Y47)=FALSE,"n/a",MIN(MAX(Y47-'Layer Comparison'!Excess_Latest,0),'Layer Comparison'!Limit_Latest)))</f>
        <v>6804460.9688000046</v>
      </c>
      <c r="AD47" s="87">
        <f t="shared" si="41"/>
        <v>-6691523.9911999963</v>
      </c>
      <c r="AE47" s="88">
        <f t="shared" si="14"/>
        <v>-6691523.9911999963</v>
      </c>
      <c r="AF47" s="87">
        <v>40972804.804000005</v>
      </c>
      <c r="AG47" s="87">
        <v>32704781.377400011</v>
      </c>
      <c r="AH47" s="87">
        <f t="shared" si="42"/>
        <v>-8268023.4265999943</v>
      </c>
      <c r="AI47" s="88">
        <f t="shared" si="16"/>
        <v>-8268023.4265999943</v>
      </c>
      <c r="AJ47" s="87">
        <f>IF(Dyn_Insured="","",IF(ISNUMBER(AF47)=FALSE,"n/a",MIN(MAX(AF47-'Layer Comparison'!Excess_Past,0),'Layer Comparison'!Limit_Past)))</f>
        <v>25972804.804000005</v>
      </c>
      <c r="AK47" s="87">
        <f>IF(Dyn_Insured="","",IF(ISNUMBER(AG47)=FALSE,"n/a",MIN(MAX(AG47-'Layer Comparison'!Excess_Latest,0),'Layer Comparison'!Limit_Latest)))</f>
        <v>17704781.377400011</v>
      </c>
      <c r="AL47" s="87">
        <f t="shared" si="43"/>
        <v>-8268023.4265999943</v>
      </c>
      <c r="AM47" s="88">
        <f t="shared" si="18"/>
        <v>-8268023.4265999943</v>
      </c>
      <c r="AN47" s="87">
        <v>68101800.654500008</v>
      </c>
      <c r="AO47" s="87">
        <v>56609821.915099993</v>
      </c>
      <c r="AP47" s="87">
        <f t="shared" si="44"/>
        <v>-11491978.739400014</v>
      </c>
      <c r="AQ47" s="88">
        <f t="shared" si="20"/>
        <v>-11491978.739400014</v>
      </c>
      <c r="AR47" s="87">
        <f>IF(Dyn_Insured="","",IF(ISNUMBER(AN47)=FALSE,"n/a",MIN(MAX(AN47-'Layer Comparison'!Excess_Past,0),'Layer Comparison'!Limit_Past)))</f>
        <v>53101800.654500008</v>
      </c>
      <c r="AS47" s="87">
        <f>IF(Dyn_Insured="","",IF(ISNUMBER(AO47)=FALSE,"n/a",MIN(MAX(AO47-'Layer Comparison'!Excess_Latest,0),'Layer Comparison'!Limit_Latest)))</f>
        <v>41609821.915099993</v>
      </c>
      <c r="AT47" s="87">
        <f t="shared" si="45"/>
        <v>-11491978.739400014</v>
      </c>
      <c r="AU47" s="88">
        <f t="shared" si="22"/>
        <v>-11491978.739400014</v>
      </c>
      <c r="AV47" s="87">
        <v>91882868.265000001</v>
      </c>
      <c r="AW47" s="87">
        <v>75498129.019300014</v>
      </c>
      <c r="AX47" s="87">
        <f t="shared" si="46"/>
        <v>-16384739.245699987</v>
      </c>
      <c r="AY47" s="88">
        <f t="shared" si="24"/>
        <v>-16384739.245699987</v>
      </c>
      <c r="AZ47" s="87">
        <f>IF(Dyn_Insured="","",IF(ISNUMBER(AV47)=FALSE,"n/a",MIN(MAX(AV47-'Layer Comparison'!Excess_Past,0),'Layer Comparison'!Limit_Past)))</f>
        <v>76882868.265000001</v>
      </c>
      <c r="BA47" s="87">
        <f>IF(Dyn_Insured="","",IF(ISNUMBER(AW47)=FALSE,"n/a",MIN(MAX(AW47-'Layer Comparison'!Excess_Latest,0),'Layer Comparison'!Limit_Latest)))</f>
        <v>60498129.019300014</v>
      </c>
      <c r="BB47" s="87">
        <f t="shared" si="47"/>
        <v>-16384739.245699987</v>
      </c>
      <c r="BC47" s="88">
        <f t="shared" si="26"/>
        <v>-16384739.245699987</v>
      </c>
      <c r="BD47" s="87">
        <v>100012299.9382</v>
      </c>
      <c r="BE47" s="87">
        <v>83253691.083100021</v>
      </c>
      <c r="BF47" s="87">
        <f t="shared" si="48"/>
        <v>-16758608.855099976</v>
      </c>
      <c r="BG47" s="88">
        <f t="shared" si="28"/>
        <v>-16758608.855099976</v>
      </c>
      <c r="BH47" s="87">
        <f>IF(Dyn_Insured="","",IF(ISNUMBER(BD47)=FALSE,"n/a",MIN(MAX(BD47-'Layer Comparison'!Excess_Past,0),'Layer Comparison'!Limit_Past)))</f>
        <v>85012299.938199997</v>
      </c>
      <c r="BI47" s="87">
        <f>IF(Dyn_Insured="","",IF(ISNUMBER(BE47)=FALSE,"n/a",MIN(MAX(BE47-'Layer Comparison'!Excess_Latest,0),'Layer Comparison'!Limit_Latest)))</f>
        <v>68253691.083100021</v>
      </c>
      <c r="BJ47" s="87">
        <f t="shared" si="49"/>
        <v>-16758608.855099976</v>
      </c>
      <c r="BK47" s="88">
        <f t="shared" si="30"/>
        <v>-16758608.855099976</v>
      </c>
      <c r="BL47" s="87">
        <v>100041942.33759999</v>
      </c>
      <c r="BM47" s="87">
        <v>83300327.918900028</v>
      </c>
      <c r="BN47" s="87">
        <f t="shared" si="50"/>
        <v>-16741614.418699965</v>
      </c>
      <c r="BO47" s="88">
        <f t="shared" si="32"/>
        <v>-16741614.418699965</v>
      </c>
      <c r="BP47" s="87">
        <f>IF(Dyn_Insured="","",IF(ISNUMBER(BL47)=FALSE,"n/a",MIN(MAX(BL47-'Layer Comparison'!Excess_Past,0),'Layer Comparison'!Limit_Past)))</f>
        <v>85041942.337599993</v>
      </c>
      <c r="BQ47" s="87">
        <f>IF(Dyn_Insured="","",IF(ISNUMBER(BM47)=FALSE,"n/a",MIN(MAX(BM47-'Layer Comparison'!Excess_Latest,0),'Layer Comparison'!Limit_Latest)))</f>
        <v>68300327.918900028</v>
      </c>
      <c r="BR47" s="87">
        <f t="shared" si="51"/>
        <v>-16741614.418699965</v>
      </c>
      <c r="BS47" s="88">
        <f t="shared" si="34"/>
        <v>-16741614.418699965</v>
      </c>
      <c r="BT47" s="46" t="s">
        <v>13</v>
      </c>
    </row>
    <row r="48" spans="1:72" x14ac:dyDescent="0.25">
      <c r="A48" s="89">
        <v>48</v>
      </c>
      <c r="B48" s="89">
        <f t="shared" si="0"/>
        <v>1</v>
      </c>
      <c r="C48" s="89">
        <f t="shared" si="1"/>
        <v>1</v>
      </c>
      <c r="D48" s="90">
        <f t="shared" si="35"/>
        <v>1</v>
      </c>
      <c r="E48" s="90">
        <f t="shared" si="35"/>
        <v>1</v>
      </c>
      <c r="F48" s="48" t="s">
        <v>89</v>
      </c>
      <c r="G48" s="38" t="s">
        <v>17</v>
      </c>
      <c r="H48" s="87">
        <v>2435630.7456</v>
      </c>
      <c r="I48" s="87">
        <v>5000</v>
      </c>
      <c r="J48" s="87">
        <f t="shared" si="36"/>
        <v>-2430630.7456</v>
      </c>
      <c r="K48" s="88">
        <f t="shared" si="4"/>
        <v>-2430630.7456</v>
      </c>
      <c r="L48" s="87">
        <f>IF(Dyn_Insured="","",IF(ISNUMBER(H48)=FALSE,"n/a",MIN(MAX(H48-'Layer Comparison'!Excess_Past,0),'Layer Comparison'!Limit_Past)))</f>
        <v>0</v>
      </c>
      <c r="M48" s="87">
        <f>IF(Dyn_Insured="","",IF(ISNUMBER(I48)=FALSE,"n/a",MIN(MAX(I48-'Layer Comparison'!Excess_Latest,0),'Layer Comparison'!Limit_Latest)))</f>
        <v>0</v>
      </c>
      <c r="N48" s="87">
        <f t="shared" si="37"/>
        <v>0</v>
      </c>
      <c r="O48" s="88">
        <f t="shared" si="6"/>
        <v>0</v>
      </c>
      <c r="P48" s="87">
        <v>7903871.3518000003</v>
      </c>
      <c r="Q48" s="87">
        <v>642500</v>
      </c>
      <c r="R48" s="87">
        <f t="shared" si="38"/>
        <v>-7261371.3518000003</v>
      </c>
      <c r="S48" s="88">
        <f t="shared" si="8"/>
        <v>-7261371.3518000003</v>
      </c>
      <c r="T48" s="87">
        <f>IF(Dyn_Insured="","",IF(ISNUMBER(P48)=FALSE,"n/a",MIN(MAX(P48-'Layer Comparison'!Excess_Past,0),'Layer Comparison'!Limit_Past)))</f>
        <v>0</v>
      </c>
      <c r="U48" s="87">
        <f>IF(Dyn_Insured="","",IF(ISNUMBER(Q48)=FALSE,"n/a",MIN(MAX(Q48-'Layer Comparison'!Excess_Latest,0),'Layer Comparison'!Limit_Latest)))</f>
        <v>0</v>
      </c>
      <c r="V48" s="87">
        <f t="shared" si="39"/>
        <v>0</v>
      </c>
      <c r="W48" s="88">
        <f t="shared" si="10"/>
        <v>0</v>
      </c>
      <c r="X48" s="87">
        <v>13646634.029899999</v>
      </c>
      <c r="Y48" s="87">
        <v>2048750</v>
      </c>
      <c r="Z48" s="87">
        <f t="shared" si="40"/>
        <v>-11597884.029899999</v>
      </c>
      <c r="AA48" s="88">
        <f t="shared" si="12"/>
        <v>-11597884.029899999</v>
      </c>
      <c r="AB48" s="87">
        <f>IF(Dyn_Insured="","",IF(ISNUMBER(X48)=FALSE,"n/a",MIN(MAX(X48-'Layer Comparison'!Excess_Past,0),'Layer Comparison'!Limit_Past)))</f>
        <v>0</v>
      </c>
      <c r="AC48" s="87">
        <f>IF(Dyn_Insured="","",IF(ISNUMBER(Y48)=FALSE,"n/a",MIN(MAX(Y48-'Layer Comparison'!Excess_Latest,0),'Layer Comparison'!Limit_Latest)))</f>
        <v>0</v>
      </c>
      <c r="AD48" s="87">
        <f t="shared" si="41"/>
        <v>0</v>
      </c>
      <c r="AE48" s="88">
        <f t="shared" si="14"/>
        <v>0</v>
      </c>
      <c r="AF48" s="87">
        <v>18863976.9056</v>
      </c>
      <c r="AG48" s="87">
        <v>3455000</v>
      </c>
      <c r="AH48" s="87">
        <f t="shared" si="42"/>
        <v>-15408976.9056</v>
      </c>
      <c r="AI48" s="88">
        <f t="shared" si="16"/>
        <v>-15408976.9056</v>
      </c>
      <c r="AJ48" s="87">
        <f>IF(Dyn_Insured="","",IF(ISNUMBER(AF48)=FALSE,"n/a",MIN(MAX(AF48-'Layer Comparison'!Excess_Past,0),'Layer Comparison'!Limit_Past)))</f>
        <v>3863976.9056000002</v>
      </c>
      <c r="AK48" s="87">
        <f>IF(Dyn_Insured="","",IF(ISNUMBER(AG48)=FALSE,"n/a",MIN(MAX(AG48-'Layer Comparison'!Excess_Latest,0),'Layer Comparison'!Limit_Latest)))</f>
        <v>0</v>
      </c>
      <c r="AL48" s="87">
        <f t="shared" si="43"/>
        <v>-3863976.9056000002</v>
      </c>
      <c r="AM48" s="88">
        <f t="shared" si="18"/>
        <v>-3863976.9056000002</v>
      </c>
      <c r="AN48" s="87">
        <v>28060381.5352</v>
      </c>
      <c r="AO48" s="87">
        <v>4537812.4988000002</v>
      </c>
      <c r="AP48" s="87">
        <f t="shared" si="44"/>
        <v>-23522569.036399998</v>
      </c>
      <c r="AQ48" s="88">
        <f t="shared" si="20"/>
        <v>-23522569.036399998</v>
      </c>
      <c r="AR48" s="87">
        <f>IF(Dyn_Insured="","",IF(ISNUMBER(AN48)=FALSE,"n/a",MIN(MAX(AN48-'Layer Comparison'!Excess_Past,0),'Layer Comparison'!Limit_Past)))</f>
        <v>13060381.5352</v>
      </c>
      <c r="AS48" s="87">
        <f>IF(Dyn_Insured="","",IF(ISNUMBER(AO48)=FALSE,"n/a",MIN(MAX(AO48-'Layer Comparison'!Excess_Latest,0),'Layer Comparison'!Limit_Latest)))</f>
        <v>0</v>
      </c>
      <c r="AT48" s="87">
        <f t="shared" si="45"/>
        <v>-13060381.5352</v>
      </c>
      <c r="AU48" s="88">
        <f t="shared" si="22"/>
        <v>-13060381.5352</v>
      </c>
      <c r="AV48" s="87">
        <v>31991095.562999994</v>
      </c>
      <c r="AW48" s="87">
        <v>4537812.4988000002</v>
      </c>
      <c r="AX48" s="87">
        <f t="shared" si="46"/>
        <v>-27453283.064199992</v>
      </c>
      <c r="AY48" s="88">
        <f t="shared" si="24"/>
        <v>-27453283.064199992</v>
      </c>
      <c r="AZ48" s="87">
        <f>IF(Dyn_Insured="","",IF(ISNUMBER(AV48)=FALSE,"n/a",MIN(MAX(AV48-'Layer Comparison'!Excess_Past,0),'Layer Comparison'!Limit_Past)))</f>
        <v>16991095.562999994</v>
      </c>
      <c r="BA48" s="87">
        <f>IF(Dyn_Insured="","",IF(ISNUMBER(AW48)=FALSE,"n/a",MIN(MAX(AW48-'Layer Comparison'!Excess_Latest,0),'Layer Comparison'!Limit_Latest)))</f>
        <v>0</v>
      </c>
      <c r="BB48" s="87">
        <f t="shared" si="47"/>
        <v>-16991095.562999994</v>
      </c>
      <c r="BC48" s="88">
        <f t="shared" si="26"/>
        <v>-16991095.562999994</v>
      </c>
      <c r="BD48" s="87">
        <v>33251491.483600002</v>
      </c>
      <c r="BE48" s="87">
        <v>4537812.4988000002</v>
      </c>
      <c r="BF48" s="87">
        <f t="shared" si="48"/>
        <v>-28713678.984800003</v>
      </c>
      <c r="BG48" s="88">
        <f t="shared" si="28"/>
        <v>-28713678.984800003</v>
      </c>
      <c r="BH48" s="87">
        <f>IF(Dyn_Insured="","",IF(ISNUMBER(BD48)=FALSE,"n/a",MIN(MAX(BD48-'Layer Comparison'!Excess_Past,0),'Layer Comparison'!Limit_Past)))</f>
        <v>18251491.483600002</v>
      </c>
      <c r="BI48" s="87">
        <f>IF(Dyn_Insured="","",IF(ISNUMBER(BE48)=FALSE,"n/a",MIN(MAX(BE48-'Layer Comparison'!Excess_Latest,0),'Layer Comparison'!Limit_Latest)))</f>
        <v>0</v>
      </c>
      <c r="BJ48" s="87">
        <f t="shared" si="49"/>
        <v>-18251491.483600002</v>
      </c>
      <c r="BK48" s="88">
        <f t="shared" si="30"/>
        <v>-18251491.483600002</v>
      </c>
      <c r="BL48" s="87">
        <v>33265390.145100001</v>
      </c>
      <c r="BM48" s="87">
        <v>4537812.4988000002</v>
      </c>
      <c r="BN48" s="87">
        <f t="shared" si="50"/>
        <v>-28727577.646300003</v>
      </c>
      <c r="BO48" s="88">
        <f t="shared" si="32"/>
        <v>-28727577.646300003</v>
      </c>
      <c r="BP48" s="87">
        <f>IF(Dyn_Insured="","",IF(ISNUMBER(BL48)=FALSE,"n/a",MIN(MAX(BL48-'Layer Comparison'!Excess_Past,0),'Layer Comparison'!Limit_Past)))</f>
        <v>18265390.145100001</v>
      </c>
      <c r="BQ48" s="87">
        <f>IF(Dyn_Insured="","",IF(ISNUMBER(BM48)=FALSE,"n/a",MIN(MAX(BM48-'Layer Comparison'!Excess_Latest,0),'Layer Comparison'!Limit_Latest)))</f>
        <v>0</v>
      </c>
      <c r="BR48" s="87">
        <f t="shared" si="51"/>
        <v>-18265390.145100001</v>
      </c>
      <c r="BS48" s="88">
        <f t="shared" si="34"/>
        <v>-18265390.145100001</v>
      </c>
      <c r="BT48" s="46" t="s">
        <v>13</v>
      </c>
    </row>
    <row r="49" spans="1:72" x14ac:dyDescent="0.25">
      <c r="A49" s="89">
        <v>49</v>
      </c>
      <c r="B49" s="89">
        <f t="shared" si="0"/>
        <v>1</v>
      </c>
      <c r="C49" s="89">
        <f t="shared" si="1"/>
        <v>1</v>
      </c>
      <c r="D49" s="90">
        <f t="shared" si="35"/>
        <v>1</v>
      </c>
      <c r="E49" s="90">
        <f t="shared" si="35"/>
        <v>1</v>
      </c>
      <c r="F49" s="48" t="s">
        <v>90</v>
      </c>
      <c r="G49" s="38" t="s">
        <v>17</v>
      </c>
      <c r="H49" s="87">
        <v>4982860.6963999998</v>
      </c>
      <c r="I49" s="87">
        <v>1965773.6267999997</v>
      </c>
      <c r="J49" s="87">
        <f t="shared" si="36"/>
        <v>-3017087.0696</v>
      </c>
      <c r="K49" s="88">
        <f t="shared" si="4"/>
        <v>-3017087.0696</v>
      </c>
      <c r="L49" s="87">
        <f>IF(Dyn_Insured="","",IF(ISNUMBER(H49)=FALSE,"n/a",MIN(MAX(H49-'Layer Comparison'!Excess_Past,0),'Layer Comparison'!Limit_Past)))</f>
        <v>0</v>
      </c>
      <c r="M49" s="87">
        <f>IF(Dyn_Insured="","",IF(ISNUMBER(I49)=FALSE,"n/a",MIN(MAX(I49-'Layer Comparison'!Excess_Latest,0),'Layer Comparison'!Limit_Latest)))</f>
        <v>0</v>
      </c>
      <c r="N49" s="87">
        <f t="shared" si="37"/>
        <v>0</v>
      </c>
      <c r="O49" s="88">
        <f t="shared" si="6"/>
        <v>0</v>
      </c>
      <c r="P49" s="87">
        <v>18072586.058599997</v>
      </c>
      <c r="Q49" s="87">
        <v>10790843.313800002</v>
      </c>
      <c r="R49" s="87">
        <f t="shared" si="38"/>
        <v>-7281742.7447999958</v>
      </c>
      <c r="S49" s="88">
        <f t="shared" si="8"/>
        <v>-7281742.7447999958</v>
      </c>
      <c r="T49" s="87">
        <f>IF(Dyn_Insured="","",IF(ISNUMBER(P49)=FALSE,"n/a",MIN(MAX(P49-'Layer Comparison'!Excess_Past,0),'Layer Comparison'!Limit_Past)))</f>
        <v>3072586.0585999973</v>
      </c>
      <c r="U49" s="87">
        <f>IF(Dyn_Insured="","",IF(ISNUMBER(Q49)=FALSE,"n/a",MIN(MAX(Q49-'Layer Comparison'!Excess_Latest,0),'Layer Comparison'!Limit_Latest)))</f>
        <v>0</v>
      </c>
      <c r="V49" s="87">
        <f t="shared" si="39"/>
        <v>-3072586.0585999973</v>
      </c>
      <c r="W49" s="88">
        <f t="shared" si="10"/>
        <v>-3072586.0585999973</v>
      </c>
      <c r="X49" s="87">
        <v>31208203.429299999</v>
      </c>
      <c r="Y49" s="87">
        <v>21009004.249899998</v>
      </c>
      <c r="Z49" s="87">
        <f t="shared" si="40"/>
        <v>-10199199.179400001</v>
      </c>
      <c r="AA49" s="88">
        <f t="shared" si="12"/>
        <v>-10199199.179400001</v>
      </c>
      <c r="AB49" s="87">
        <f>IF(Dyn_Insured="","",IF(ISNUMBER(X49)=FALSE,"n/a",MIN(MAX(X49-'Layer Comparison'!Excess_Past,0),'Layer Comparison'!Limit_Past)))</f>
        <v>16208203.429299999</v>
      </c>
      <c r="AC49" s="87">
        <f>IF(Dyn_Insured="","",IF(ISNUMBER(Y49)=FALSE,"n/a",MIN(MAX(Y49-'Layer Comparison'!Excess_Latest,0),'Layer Comparison'!Limit_Latest)))</f>
        <v>6009004.2498999983</v>
      </c>
      <c r="AD49" s="87">
        <f t="shared" si="41"/>
        <v>-10199199.179400001</v>
      </c>
      <c r="AE49" s="88">
        <f t="shared" si="14"/>
        <v>-10199199.179400001</v>
      </c>
      <c r="AF49" s="87">
        <v>45177730.990100011</v>
      </c>
      <c r="AG49" s="87">
        <v>31918495.408700004</v>
      </c>
      <c r="AH49" s="87">
        <f t="shared" si="42"/>
        <v>-13259235.581400007</v>
      </c>
      <c r="AI49" s="88">
        <f t="shared" si="16"/>
        <v>-13259235.581400007</v>
      </c>
      <c r="AJ49" s="87">
        <f>IF(Dyn_Insured="","",IF(ISNUMBER(AF49)=FALSE,"n/a",MIN(MAX(AF49-'Layer Comparison'!Excess_Past,0),'Layer Comparison'!Limit_Past)))</f>
        <v>30177730.990100011</v>
      </c>
      <c r="AK49" s="87">
        <f>IF(Dyn_Insured="","",IF(ISNUMBER(AG49)=FALSE,"n/a",MIN(MAX(AG49-'Layer Comparison'!Excess_Latest,0),'Layer Comparison'!Limit_Latest)))</f>
        <v>16918495.408700004</v>
      </c>
      <c r="AL49" s="87">
        <f t="shared" si="43"/>
        <v>-13259235.581400007</v>
      </c>
      <c r="AM49" s="88">
        <f t="shared" si="18"/>
        <v>-13259235.581400007</v>
      </c>
      <c r="AN49" s="87">
        <v>72221221.264200002</v>
      </c>
      <c r="AO49" s="87">
        <v>54830346.065400004</v>
      </c>
      <c r="AP49" s="87">
        <f t="shared" si="44"/>
        <v>-17390875.198799998</v>
      </c>
      <c r="AQ49" s="88">
        <f t="shared" si="20"/>
        <v>-17390875.198799998</v>
      </c>
      <c r="AR49" s="87">
        <f>IF(Dyn_Insured="","",IF(ISNUMBER(AN49)=FALSE,"n/a",MIN(MAX(AN49-'Layer Comparison'!Excess_Past,0),'Layer Comparison'!Limit_Past)))</f>
        <v>57221221.264200002</v>
      </c>
      <c r="AS49" s="87">
        <f>IF(Dyn_Insured="","",IF(ISNUMBER(AO49)=FALSE,"n/a",MIN(MAX(AO49-'Layer Comparison'!Excess_Latest,0),'Layer Comparison'!Limit_Latest)))</f>
        <v>39830346.065400004</v>
      </c>
      <c r="AT49" s="87">
        <f t="shared" si="45"/>
        <v>-17390875.198799998</v>
      </c>
      <c r="AU49" s="88">
        <f t="shared" si="22"/>
        <v>-17390875.198799998</v>
      </c>
      <c r="AV49" s="87">
        <v>96221042.216300011</v>
      </c>
      <c r="AW49" s="87">
        <v>75089345.055500001</v>
      </c>
      <c r="AX49" s="87">
        <f t="shared" si="46"/>
        <v>-21131697.16080001</v>
      </c>
      <c r="AY49" s="88">
        <f t="shared" si="24"/>
        <v>-21131697.16080001</v>
      </c>
      <c r="AZ49" s="87">
        <f>IF(Dyn_Insured="","",IF(ISNUMBER(AV49)=FALSE,"n/a",MIN(MAX(AV49-'Layer Comparison'!Excess_Past,0),'Layer Comparison'!Limit_Past)))</f>
        <v>81221042.216300011</v>
      </c>
      <c r="BA49" s="87">
        <f>IF(Dyn_Insured="","",IF(ISNUMBER(AW49)=FALSE,"n/a",MIN(MAX(AW49-'Layer Comparison'!Excess_Latest,0),'Layer Comparison'!Limit_Latest)))</f>
        <v>60089345.055500001</v>
      </c>
      <c r="BB49" s="87">
        <f t="shared" si="47"/>
        <v>-21131697.16080001</v>
      </c>
      <c r="BC49" s="88">
        <f t="shared" si="26"/>
        <v>-21131697.16080001</v>
      </c>
      <c r="BD49" s="87">
        <v>117694269.71860002</v>
      </c>
      <c r="BE49" s="87">
        <v>92172119.378000021</v>
      </c>
      <c r="BF49" s="87">
        <f t="shared" si="48"/>
        <v>-25522150.340599999</v>
      </c>
      <c r="BG49" s="88">
        <f t="shared" si="28"/>
        <v>-25522150.340599999</v>
      </c>
      <c r="BH49" s="87">
        <f>IF(Dyn_Insured="","",IF(ISNUMBER(BD49)=FALSE,"n/a",MIN(MAX(BD49-'Layer Comparison'!Excess_Past,0),'Layer Comparison'!Limit_Past)))</f>
        <v>102694269.71860002</v>
      </c>
      <c r="BI49" s="87">
        <f>IF(Dyn_Insured="","",IF(ISNUMBER(BE49)=FALSE,"n/a",MIN(MAX(BE49-'Layer Comparison'!Excess_Latest,0),'Layer Comparison'!Limit_Latest)))</f>
        <v>77172119.378000021</v>
      </c>
      <c r="BJ49" s="87">
        <f t="shared" si="49"/>
        <v>-25522150.340599999</v>
      </c>
      <c r="BK49" s="88">
        <f t="shared" si="30"/>
        <v>-25522150.340599999</v>
      </c>
      <c r="BL49" s="87">
        <v>120183330.58870001</v>
      </c>
      <c r="BM49" s="87">
        <v>94256319.921700001</v>
      </c>
      <c r="BN49" s="87">
        <f t="shared" si="50"/>
        <v>-25927010.667000011</v>
      </c>
      <c r="BO49" s="88">
        <f t="shared" si="32"/>
        <v>-25927010.667000011</v>
      </c>
      <c r="BP49" s="87">
        <f>IF(Dyn_Insured="","",IF(ISNUMBER(BL49)=FALSE,"n/a",MIN(MAX(BL49-'Layer Comparison'!Excess_Past,0),'Layer Comparison'!Limit_Past)))</f>
        <v>105183330.58870001</v>
      </c>
      <c r="BQ49" s="87">
        <f>IF(Dyn_Insured="","",IF(ISNUMBER(BM49)=FALSE,"n/a",MIN(MAX(BM49-'Layer Comparison'!Excess_Latest,0),'Layer Comparison'!Limit_Latest)))</f>
        <v>79256319.921700001</v>
      </c>
      <c r="BR49" s="87">
        <f t="shared" si="51"/>
        <v>-25927010.667000011</v>
      </c>
      <c r="BS49" s="88">
        <f t="shared" si="34"/>
        <v>-25927010.667000011</v>
      </c>
      <c r="BT49" s="46" t="s">
        <v>13</v>
      </c>
    </row>
    <row r="50" spans="1:72" x14ac:dyDescent="0.25">
      <c r="A50" s="89">
        <v>50</v>
      </c>
      <c r="B50" s="89">
        <f t="shared" si="0"/>
        <v>1</v>
      </c>
      <c r="C50" s="89">
        <f t="shared" si="1"/>
        <v>1</v>
      </c>
      <c r="D50" s="90">
        <f t="shared" si="35"/>
        <v>1</v>
      </c>
      <c r="E50" s="90">
        <f t="shared" si="35"/>
        <v>1</v>
      </c>
      <c r="F50" s="48" t="s">
        <v>91</v>
      </c>
      <c r="G50" s="38" t="s">
        <v>17</v>
      </c>
      <c r="H50" s="87">
        <v>2527794.7008000002</v>
      </c>
      <c r="I50" s="87">
        <v>1336139.6331</v>
      </c>
      <c r="J50" s="87">
        <f t="shared" si="36"/>
        <v>-1191655.0677000002</v>
      </c>
      <c r="K50" s="88">
        <f t="shared" si="4"/>
        <v>-1191655.0677000002</v>
      </c>
      <c r="L50" s="87">
        <f>IF(Dyn_Insured="","",IF(ISNUMBER(H50)=FALSE,"n/a",MIN(MAX(H50-'Layer Comparison'!Excess_Past,0),'Layer Comparison'!Limit_Past)))</f>
        <v>0</v>
      </c>
      <c r="M50" s="87">
        <f>IF(Dyn_Insured="","",IF(ISNUMBER(I50)=FALSE,"n/a",MIN(MAX(I50-'Layer Comparison'!Excess_Latest,0),'Layer Comparison'!Limit_Latest)))</f>
        <v>0</v>
      </c>
      <c r="N50" s="87">
        <f t="shared" si="37"/>
        <v>0</v>
      </c>
      <c r="O50" s="88">
        <f t="shared" si="6"/>
        <v>0</v>
      </c>
      <c r="P50" s="87">
        <v>10669383.168299999</v>
      </c>
      <c r="Q50" s="87">
        <v>8152896.4898000006</v>
      </c>
      <c r="R50" s="87">
        <f t="shared" si="38"/>
        <v>-2516486.6784999985</v>
      </c>
      <c r="S50" s="88">
        <f t="shared" si="8"/>
        <v>-2516486.6784999985</v>
      </c>
      <c r="T50" s="87">
        <f>IF(Dyn_Insured="","",IF(ISNUMBER(P50)=FALSE,"n/a",MIN(MAX(P50-'Layer Comparison'!Excess_Past,0),'Layer Comparison'!Limit_Past)))</f>
        <v>0</v>
      </c>
      <c r="U50" s="87">
        <f>IF(Dyn_Insured="","",IF(ISNUMBER(Q50)=FALSE,"n/a",MIN(MAX(Q50-'Layer Comparison'!Excess_Latest,0),'Layer Comparison'!Limit_Latest)))</f>
        <v>0</v>
      </c>
      <c r="V50" s="87">
        <f t="shared" si="39"/>
        <v>0</v>
      </c>
      <c r="W50" s="88">
        <f t="shared" si="10"/>
        <v>0</v>
      </c>
      <c r="X50" s="87">
        <v>19103668.319400001</v>
      </c>
      <c r="Y50" s="87">
        <v>15520160.554900002</v>
      </c>
      <c r="Z50" s="87">
        <f t="shared" si="40"/>
        <v>-3583507.7644999996</v>
      </c>
      <c r="AA50" s="88">
        <f t="shared" si="12"/>
        <v>-3583507.7644999996</v>
      </c>
      <c r="AB50" s="87">
        <f>IF(Dyn_Insured="","",IF(ISNUMBER(X50)=FALSE,"n/a",MIN(MAX(X50-'Layer Comparison'!Excess_Past,0),'Layer Comparison'!Limit_Past)))</f>
        <v>4103668.3194000013</v>
      </c>
      <c r="AC50" s="87">
        <f>IF(Dyn_Insured="","",IF(ISNUMBER(Y50)=FALSE,"n/a",MIN(MAX(Y50-'Layer Comparison'!Excess_Latest,0),'Layer Comparison'!Limit_Latest)))</f>
        <v>520160.55490000173</v>
      </c>
      <c r="AD50" s="87">
        <f t="shared" si="41"/>
        <v>-3583507.7644999996</v>
      </c>
      <c r="AE50" s="88">
        <f t="shared" si="14"/>
        <v>-3583507.7644999996</v>
      </c>
      <c r="AF50" s="87">
        <v>27920798.7049</v>
      </c>
      <c r="AG50" s="87">
        <v>23268025.032200001</v>
      </c>
      <c r="AH50" s="87">
        <f t="shared" si="42"/>
        <v>-4652773.6726999991</v>
      </c>
      <c r="AI50" s="88">
        <f t="shared" si="16"/>
        <v>-4652773.6726999991</v>
      </c>
      <c r="AJ50" s="87">
        <f>IF(Dyn_Insured="","",IF(ISNUMBER(AF50)=FALSE,"n/a",MIN(MAX(AF50-'Layer Comparison'!Excess_Past,0),'Layer Comparison'!Limit_Past)))</f>
        <v>12920798.7049</v>
      </c>
      <c r="AK50" s="87">
        <f>IF(Dyn_Insured="","",IF(ISNUMBER(AG50)=FALSE,"n/a",MIN(MAX(AG50-'Layer Comparison'!Excess_Latest,0),'Layer Comparison'!Limit_Latest)))</f>
        <v>8268025.0322000012</v>
      </c>
      <c r="AL50" s="87">
        <f t="shared" si="43"/>
        <v>-4652773.6726999991</v>
      </c>
      <c r="AM50" s="88">
        <f t="shared" si="18"/>
        <v>-4652773.6726999991</v>
      </c>
      <c r="AN50" s="87">
        <v>47472725.689799994</v>
      </c>
      <c r="AO50" s="87">
        <v>40983922.931299999</v>
      </c>
      <c r="AP50" s="87">
        <f t="shared" si="44"/>
        <v>-6488802.7584999949</v>
      </c>
      <c r="AQ50" s="88">
        <f t="shared" si="20"/>
        <v>-6488802.7584999949</v>
      </c>
      <c r="AR50" s="87">
        <f>IF(Dyn_Insured="","",IF(ISNUMBER(AN50)=FALSE,"n/a",MIN(MAX(AN50-'Layer Comparison'!Excess_Past,0),'Layer Comparison'!Limit_Past)))</f>
        <v>32472725.689799994</v>
      </c>
      <c r="AS50" s="87">
        <f>IF(Dyn_Insured="","",IF(ISNUMBER(AO50)=FALSE,"n/a",MIN(MAX(AO50-'Layer Comparison'!Excess_Latest,0),'Layer Comparison'!Limit_Latest)))</f>
        <v>25983922.931299999</v>
      </c>
      <c r="AT50" s="87">
        <f t="shared" si="45"/>
        <v>-6488802.7584999949</v>
      </c>
      <c r="AU50" s="88">
        <f t="shared" si="22"/>
        <v>-6488802.7584999949</v>
      </c>
      <c r="AV50" s="87">
        <v>63772096.449200004</v>
      </c>
      <c r="AW50" s="87">
        <v>57054400.569100007</v>
      </c>
      <c r="AX50" s="87">
        <f t="shared" si="46"/>
        <v>-6717695.8800999969</v>
      </c>
      <c r="AY50" s="88">
        <f t="shared" si="24"/>
        <v>-6717695.8800999969</v>
      </c>
      <c r="AZ50" s="87">
        <f>IF(Dyn_Insured="","",IF(ISNUMBER(AV50)=FALSE,"n/a",MIN(MAX(AV50-'Layer Comparison'!Excess_Past,0),'Layer Comparison'!Limit_Past)))</f>
        <v>48772096.449200004</v>
      </c>
      <c r="BA50" s="87">
        <f>IF(Dyn_Insured="","",IF(ISNUMBER(AW50)=FALSE,"n/a",MIN(MAX(AW50-'Layer Comparison'!Excess_Latest,0),'Layer Comparison'!Limit_Latest)))</f>
        <v>42054400.569100007</v>
      </c>
      <c r="BB50" s="87">
        <f t="shared" si="47"/>
        <v>-6717695.8800999969</v>
      </c>
      <c r="BC50" s="88">
        <f t="shared" si="26"/>
        <v>-6717695.8800999969</v>
      </c>
      <c r="BD50" s="87">
        <v>65369054.960300006</v>
      </c>
      <c r="BE50" s="87">
        <v>58876642.53489998</v>
      </c>
      <c r="BF50" s="87">
        <f t="shared" si="48"/>
        <v>-6492412.4254000261</v>
      </c>
      <c r="BG50" s="88">
        <f t="shared" si="28"/>
        <v>-6492412.4254000261</v>
      </c>
      <c r="BH50" s="87">
        <f>IF(Dyn_Insured="","",IF(ISNUMBER(BD50)=FALSE,"n/a",MIN(MAX(BD50-'Layer Comparison'!Excess_Past,0),'Layer Comparison'!Limit_Past)))</f>
        <v>50369054.960300006</v>
      </c>
      <c r="BI50" s="87">
        <f>IF(Dyn_Insured="","",IF(ISNUMBER(BE50)=FALSE,"n/a",MIN(MAX(BE50-'Layer Comparison'!Excess_Latest,0),'Layer Comparison'!Limit_Latest)))</f>
        <v>43876642.53489998</v>
      </c>
      <c r="BJ50" s="87">
        <f t="shared" si="49"/>
        <v>-6492412.4254000261</v>
      </c>
      <c r="BK50" s="88">
        <f t="shared" si="30"/>
        <v>-6492412.4254000261</v>
      </c>
      <c r="BL50" s="87">
        <v>66305870.908999994</v>
      </c>
      <c r="BM50" s="87">
        <v>59845762.169700012</v>
      </c>
      <c r="BN50" s="87">
        <f t="shared" si="50"/>
        <v>-6460108.7392999828</v>
      </c>
      <c r="BO50" s="88">
        <f t="shared" si="32"/>
        <v>-6460108.7392999828</v>
      </c>
      <c r="BP50" s="87">
        <f>IF(Dyn_Insured="","",IF(ISNUMBER(BL50)=FALSE,"n/a",MIN(MAX(BL50-'Layer Comparison'!Excess_Past,0),'Layer Comparison'!Limit_Past)))</f>
        <v>51305870.908999994</v>
      </c>
      <c r="BQ50" s="87">
        <f>IF(Dyn_Insured="","",IF(ISNUMBER(BM50)=FALSE,"n/a",MIN(MAX(BM50-'Layer Comparison'!Excess_Latest,0),'Layer Comparison'!Limit_Latest)))</f>
        <v>44845762.169700012</v>
      </c>
      <c r="BR50" s="87">
        <f t="shared" si="51"/>
        <v>-6460108.7392999828</v>
      </c>
      <c r="BS50" s="88">
        <f t="shared" si="34"/>
        <v>-6460108.7392999828</v>
      </c>
      <c r="BT50" s="46" t="s">
        <v>13</v>
      </c>
    </row>
    <row r="51" spans="1:72" x14ac:dyDescent="0.25">
      <c r="A51" s="89">
        <v>51</v>
      </c>
      <c r="B51" s="89">
        <f t="shared" si="0"/>
        <v>1</v>
      </c>
      <c r="C51" s="89">
        <f t="shared" si="1"/>
        <v>1</v>
      </c>
      <c r="D51" s="90">
        <f t="shared" si="35"/>
        <v>1</v>
      </c>
      <c r="E51" s="90">
        <f t="shared" si="35"/>
        <v>1</v>
      </c>
      <c r="F51" s="48" t="s">
        <v>92</v>
      </c>
      <c r="G51" s="38" t="s">
        <v>17</v>
      </c>
      <c r="H51" s="87">
        <v>1812388.9843000001</v>
      </c>
      <c r="I51" s="87">
        <v>619371.42449999996</v>
      </c>
      <c r="J51" s="87">
        <f t="shared" si="36"/>
        <v>-1193017.5598000002</v>
      </c>
      <c r="K51" s="88">
        <f t="shared" si="4"/>
        <v>-1193017.5598000002</v>
      </c>
      <c r="L51" s="87">
        <f>IF(Dyn_Insured="","",IF(ISNUMBER(H51)=FALSE,"n/a",MIN(MAX(H51-'Layer Comparison'!Excess_Past,0),'Layer Comparison'!Limit_Past)))</f>
        <v>0</v>
      </c>
      <c r="M51" s="87">
        <f>IF(Dyn_Insured="","",IF(ISNUMBER(I51)=FALSE,"n/a",MIN(MAX(I51-'Layer Comparison'!Excess_Latest,0),'Layer Comparison'!Limit_Latest)))</f>
        <v>0</v>
      </c>
      <c r="N51" s="87">
        <f t="shared" si="37"/>
        <v>0</v>
      </c>
      <c r="O51" s="88">
        <f t="shared" si="6"/>
        <v>0</v>
      </c>
      <c r="P51" s="87">
        <v>11541409.933</v>
      </c>
      <c r="Q51" s="87">
        <v>7941309.3867000015</v>
      </c>
      <c r="R51" s="87">
        <f t="shared" si="38"/>
        <v>-3600100.5462999986</v>
      </c>
      <c r="S51" s="88">
        <f t="shared" si="8"/>
        <v>-3600100.5462999986</v>
      </c>
      <c r="T51" s="87">
        <f>IF(Dyn_Insured="","",IF(ISNUMBER(P51)=FALSE,"n/a",MIN(MAX(P51-'Layer Comparison'!Excess_Past,0),'Layer Comparison'!Limit_Past)))</f>
        <v>0</v>
      </c>
      <c r="U51" s="87">
        <f>IF(Dyn_Insured="","",IF(ISNUMBER(Q51)=FALSE,"n/a",MIN(MAX(Q51-'Layer Comparison'!Excess_Latest,0),'Layer Comparison'!Limit_Latest)))</f>
        <v>0</v>
      </c>
      <c r="V51" s="87">
        <f t="shared" si="39"/>
        <v>0</v>
      </c>
      <c r="W51" s="88">
        <f t="shared" si="10"/>
        <v>0</v>
      </c>
      <c r="X51" s="87">
        <v>23518415.556000002</v>
      </c>
      <c r="Y51" s="87">
        <v>17785200.751600005</v>
      </c>
      <c r="Z51" s="87">
        <f t="shared" si="40"/>
        <v>-5733214.804399997</v>
      </c>
      <c r="AA51" s="88">
        <f t="shared" si="12"/>
        <v>-5733214.804399997</v>
      </c>
      <c r="AB51" s="87">
        <f>IF(Dyn_Insured="","",IF(ISNUMBER(X51)=FALSE,"n/a",MIN(MAX(X51-'Layer Comparison'!Excess_Past,0),'Layer Comparison'!Limit_Past)))</f>
        <v>8518415.5560000017</v>
      </c>
      <c r="AC51" s="87">
        <f>IF(Dyn_Insured="","",IF(ISNUMBER(Y51)=FALSE,"n/a",MIN(MAX(Y51-'Layer Comparison'!Excess_Latest,0),'Layer Comparison'!Limit_Latest)))</f>
        <v>2785200.7516000047</v>
      </c>
      <c r="AD51" s="87">
        <f t="shared" si="41"/>
        <v>-5733214.804399997</v>
      </c>
      <c r="AE51" s="88">
        <f t="shared" si="14"/>
        <v>-5733214.804399997</v>
      </c>
      <c r="AF51" s="87">
        <v>35769915.062600002</v>
      </c>
      <c r="AG51" s="87">
        <v>29013965.061200012</v>
      </c>
      <c r="AH51" s="87">
        <f t="shared" si="42"/>
        <v>-6755950.0013999902</v>
      </c>
      <c r="AI51" s="88">
        <f t="shared" si="16"/>
        <v>-6755950.0013999902</v>
      </c>
      <c r="AJ51" s="87">
        <f>IF(Dyn_Insured="","",IF(ISNUMBER(AF51)=FALSE,"n/a",MIN(MAX(AF51-'Layer Comparison'!Excess_Past,0),'Layer Comparison'!Limit_Past)))</f>
        <v>20769915.062600002</v>
      </c>
      <c r="AK51" s="87">
        <f>IF(Dyn_Insured="","",IF(ISNUMBER(AG51)=FALSE,"n/a",MIN(MAX(AG51-'Layer Comparison'!Excess_Latest,0),'Layer Comparison'!Limit_Latest)))</f>
        <v>14013965.061200012</v>
      </c>
      <c r="AL51" s="87">
        <f t="shared" si="43"/>
        <v>-6755950.0013999902</v>
      </c>
      <c r="AM51" s="88">
        <f t="shared" si="18"/>
        <v>-6755950.0013999902</v>
      </c>
      <c r="AN51" s="87">
        <v>61618685.641600013</v>
      </c>
      <c r="AO51" s="87">
        <v>54333512.763700008</v>
      </c>
      <c r="AP51" s="87">
        <f t="shared" si="44"/>
        <v>-7285172.8779000044</v>
      </c>
      <c r="AQ51" s="88">
        <f t="shared" si="20"/>
        <v>-7285172.8779000044</v>
      </c>
      <c r="AR51" s="87">
        <f>IF(Dyn_Insured="","",IF(ISNUMBER(AN51)=FALSE,"n/a",MIN(MAX(AN51-'Layer Comparison'!Excess_Past,0),'Layer Comparison'!Limit_Past)))</f>
        <v>46618685.641600013</v>
      </c>
      <c r="AS51" s="87">
        <f>IF(Dyn_Insured="","",IF(ISNUMBER(AO51)=FALSE,"n/a",MIN(MAX(AO51-'Layer Comparison'!Excess_Latest,0),'Layer Comparison'!Limit_Latest)))</f>
        <v>39333512.763700008</v>
      </c>
      <c r="AT51" s="87">
        <f t="shared" si="45"/>
        <v>-7285172.8779000044</v>
      </c>
      <c r="AU51" s="88">
        <f t="shared" si="22"/>
        <v>-7285172.8779000044</v>
      </c>
      <c r="AV51" s="87">
        <v>86774572.007300019</v>
      </c>
      <c r="AW51" s="87">
        <v>78046614.914400011</v>
      </c>
      <c r="AX51" s="87">
        <f t="shared" si="46"/>
        <v>-8727957.092900008</v>
      </c>
      <c r="AY51" s="88">
        <f t="shared" si="24"/>
        <v>-8727957.092900008</v>
      </c>
      <c r="AZ51" s="87">
        <f>IF(Dyn_Insured="","",IF(ISNUMBER(AV51)=FALSE,"n/a",MIN(MAX(AV51-'Layer Comparison'!Excess_Past,0),'Layer Comparison'!Limit_Past)))</f>
        <v>71774572.007300019</v>
      </c>
      <c r="BA51" s="87">
        <f>IF(Dyn_Insured="","",IF(ISNUMBER(AW51)=FALSE,"n/a",MIN(MAX(AW51-'Layer Comparison'!Excess_Latest,0),'Layer Comparison'!Limit_Latest)))</f>
        <v>63046614.914400011</v>
      </c>
      <c r="BB51" s="87">
        <f t="shared" si="47"/>
        <v>-8727957.092900008</v>
      </c>
      <c r="BC51" s="88">
        <f t="shared" si="26"/>
        <v>-8727957.092900008</v>
      </c>
      <c r="BD51" s="87">
        <v>104163871.4893</v>
      </c>
      <c r="BE51" s="87">
        <v>96197231.560599983</v>
      </c>
      <c r="BF51" s="87">
        <f t="shared" si="48"/>
        <v>-7966639.9287000149</v>
      </c>
      <c r="BG51" s="88">
        <f t="shared" si="28"/>
        <v>-7966639.9287000149</v>
      </c>
      <c r="BH51" s="87">
        <f>IF(Dyn_Insured="","",IF(ISNUMBER(BD51)=FALSE,"n/a",MIN(MAX(BD51-'Layer Comparison'!Excess_Past,0),'Layer Comparison'!Limit_Past)))</f>
        <v>89163871.489299998</v>
      </c>
      <c r="BI51" s="87">
        <f>IF(Dyn_Insured="","",IF(ISNUMBER(BE51)=FALSE,"n/a",MIN(MAX(BE51-'Layer Comparison'!Excess_Latest,0),'Layer Comparison'!Limit_Latest)))</f>
        <v>81197231.560599983</v>
      </c>
      <c r="BJ51" s="87">
        <f t="shared" si="49"/>
        <v>-7966639.9287000149</v>
      </c>
      <c r="BK51" s="88">
        <f t="shared" si="30"/>
        <v>-7966639.9287000149</v>
      </c>
      <c r="BL51" s="87">
        <v>106281504.23410003</v>
      </c>
      <c r="BM51" s="87">
        <v>98236192.506799981</v>
      </c>
      <c r="BN51" s="87">
        <f t="shared" si="50"/>
        <v>-8045311.7273000479</v>
      </c>
      <c r="BO51" s="88">
        <f t="shared" si="32"/>
        <v>-8045311.7273000479</v>
      </c>
      <c r="BP51" s="87">
        <f>IF(Dyn_Insured="","",IF(ISNUMBER(BL51)=FALSE,"n/a",MIN(MAX(BL51-'Layer Comparison'!Excess_Past,0),'Layer Comparison'!Limit_Past)))</f>
        <v>91281504.234100029</v>
      </c>
      <c r="BQ51" s="87">
        <f>IF(Dyn_Insured="","",IF(ISNUMBER(BM51)=FALSE,"n/a",MIN(MAX(BM51-'Layer Comparison'!Excess_Latest,0),'Layer Comparison'!Limit_Latest)))</f>
        <v>83236192.506799981</v>
      </c>
      <c r="BR51" s="87">
        <f t="shared" si="51"/>
        <v>-8045311.7273000479</v>
      </c>
      <c r="BS51" s="88">
        <f t="shared" si="34"/>
        <v>-8045311.7273000479</v>
      </c>
      <c r="BT51" s="46" t="s">
        <v>13</v>
      </c>
    </row>
    <row r="52" spans="1:72" x14ac:dyDescent="0.25">
      <c r="A52" s="89">
        <v>52</v>
      </c>
      <c r="B52" s="89">
        <f t="shared" si="0"/>
        <v>1</v>
      </c>
      <c r="C52" s="89">
        <f t="shared" si="1"/>
        <v>1</v>
      </c>
      <c r="D52" s="90">
        <f t="shared" si="35"/>
        <v>1</v>
      </c>
      <c r="E52" s="90">
        <f t="shared" si="35"/>
        <v>1</v>
      </c>
      <c r="F52" s="48" t="s">
        <v>93</v>
      </c>
      <c r="G52" s="38" t="s">
        <v>17</v>
      </c>
      <c r="H52" s="87">
        <v>1812388.9843000001</v>
      </c>
      <c r="I52" s="87">
        <v>619284.70039999997</v>
      </c>
      <c r="J52" s="87">
        <f t="shared" si="36"/>
        <v>-1193104.2839000002</v>
      </c>
      <c r="K52" s="88">
        <f t="shared" si="4"/>
        <v>-1193104.2839000002</v>
      </c>
      <c r="L52" s="87">
        <f>IF(Dyn_Insured="","",IF(ISNUMBER(H52)=FALSE,"n/a",MIN(MAX(H52-'Layer Comparison'!Excess_Past,0),'Layer Comparison'!Limit_Past)))</f>
        <v>0</v>
      </c>
      <c r="M52" s="87">
        <f>IF(Dyn_Insured="","",IF(ISNUMBER(I52)=FALSE,"n/a",MIN(MAX(I52-'Layer Comparison'!Excess_Latest,0),'Layer Comparison'!Limit_Latest)))</f>
        <v>0</v>
      </c>
      <c r="N52" s="87">
        <f t="shared" si="37"/>
        <v>0</v>
      </c>
      <c r="O52" s="88">
        <f t="shared" si="6"/>
        <v>0</v>
      </c>
      <c r="P52" s="87">
        <v>11007659.933</v>
      </c>
      <c r="Q52" s="87">
        <v>7941135.9385000011</v>
      </c>
      <c r="R52" s="87">
        <f t="shared" si="38"/>
        <v>-3066523.9944999991</v>
      </c>
      <c r="S52" s="88">
        <f t="shared" si="8"/>
        <v>-3066523.9944999991</v>
      </c>
      <c r="T52" s="87">
        <f>IF(Dyn_Insured="","",IF(ISNUMBER(P52)=FALSE,"n/a",MIN(MAX(P52-'Layer Comparison'!Excess_Past,0),'Layer Comparison'!Limit_Past)))</f>
        <v>0</v>
      </c>
      <c r="U52" s="87">
        <f>IF(Dyn_Insured="","",IF(ISNUMBER(Q52)=FALSE,"n/a",MIN(MAX(Q52-'Layer Comparison'!Excess_Latest,0),'Layer Comparison'!Limit_Latest)))</f>
        <v>0</v>
      </c>
      <c r="V52" s="87">
        <f t="shared" si="39"/>
        <v>0</v>
      </c>
      <c r="W52" s="88">
        <f t="shared" si="10"/>
        <v>0</v>
      </c>
      <c r="X52" s="87">
        <v>22228415.556000002</v>
      </c>
      <c r="Y52" s="87">
        <v>17784940.579400007</v>
      </c>
      <c r="Z52" s="87">
        <f t="shared" si="40"/>
        <v>-4443474.976599995</v>
      </c>
      <c r="AA52" s="88">
        <f t="shared" si="12"/>
        <v>-4443474.976599995</v>
      </c>
      <c r="AB52" s="87">
        <f>IF(Dyn_Insured="","",IF(ISNUMBER(X52)=FALSE,"n/a",MIN(MAX(X52-'Layer Comparison'!Excess_Past,0),'Layer Comparison'!Limit_Past)))</f>
        <v>7228415.5560000017</v>
      </c>
      <c r="AC52" s="87">
        <f>IF(Dyn_Insured="","",IF(ISNUMBER(Y52)=FALSE,"n/a",MIN(MAX(Y52-'Layer Comparison'!Excess_Latest,0),'Layer Comparison'!Limit_Latest)))</f>
        <v>2784940.5794000067</v>
      </c>
      <c r="AD52" s="87">
        <f t="shared" si="41"/>
        <v>-4443474.976599995</v>
      </c>
      <c r="AE52" s="88">
        <f t="shared" si="14"/>
        <v>-4443474.976599995</v>
      </c>
      <c r="AF52" s="87">
        <v>33723665.062600002</v>
      </c>
      <c r="AG52" s="87">
        <v>29013618.16500001</v>
      </c>
      <c r="AH52" s="87">
        <f t="shared" si="42"/>
        <v>-4710046.8975999914</v>
      </c>
      <c r="AI52" s="88">
        <f t="shared" si="16"/>
        <v>-4710046.8975999914</v>
      </c>
      <c r="AJ52" s="87">
        <f>IF(Dyn_Insured="","",IF(ISNUMBER(AF52)=FALSE,"n/a",MIN(MAX(AF52-'Layer Comparison'!Excess_Past,0),'Layer Comparison'!Limit_Past)))</f>
        <v>18723665.062600002</v>
      </c>
      <c r="AK52" s="87">
        <f>IF(Dyn_Insured="","",IF(ISNUMBER(AG52)=FALSE,"n/a",MIN(MAX(AG52-'Layer Comparison'!Excess_Latest,0),'Layer Comparison'!Limit_Latest)))</f>
        <v>14013618.16500001</v>
      </c>
      <c r="AL52" s="87">
        <f t="shared" si="43"/>
        <v>-4710046.8975999914</v>
      </c>
      <c r="AM52" s="88">
        <f t="shared" si="18"/>
        <v>-4710046.8975999914</v>
      </c>
      <c r="AN52" s="87">
        <v>57951185.641600013</v>
      </c>
      <c r="AO52" s="87">
        <v>54332992.419500008</v>
      </c>
      <c r="AP52" s="87">
        <f t="shared" si="44"/>
        <v>-3618193.2221000046</v>
      </c>
      <c r="AQ52" s="88">
        <f t="shared" si="20"/>
        <v>-3618193.2221000046</v>
      </c>
      <c r="AR52" s="87">
        <f>IF(Dyn_Insured="","",IF(ISNUMBER(AN52)=FALSE,"n/a",MIN(MAX(AN52-'Layer Comparison'!Excess_Past,0),'Layer Comparison'!Limit_Past)))</f>
        <v>42951185.641600013</v>
      </c>
      <c r="AS52" s="87">
        <f>IF(Dyn_Insured="","",IF(ISNUMBER(AO52)=FALSE,"n/a",MIN(MAX(AO52-'Layer Comparison'!Excess_Latest,0),'Layer Comparison'!Limit_Latest)))</f>
        <v>39332992.419500008</v>
      </c>
      <c r="AT52" s="87">
        <f t="shared" si="45"/>
        <v>-3618193.2221000046</v>
      </c>
      <c r="AU52" s="88">
        <f t="shared" si="22"/>
        <v>-3618193.2221000046</v>
      </c>
      <c r="AV52" s="87">
        <v>77306369.118400022</v>
      </c>
      <c r="AW52" s="87">
        <v>73468087.057899997</v>
      </c>
      <c r="AX52" s="87">
        <f t="shared" si="46"/>
        <v>-3838282.0605000257</v>
      </c>
      <c r="AY52" s="88">
        <f t="shared" si="24"/>
        <v>-3838282.0605000257</v>
      </c>
      <c r="AZ52" s="87">
        <f>IF(Dyn_Insured="","",IF(ISNUMBER(AV52)=FALSE,"n/a",MIN(MAX(AV52-'Layer Comparison'!Excess_Past,0),'Layer Comparison'!Limit_Past)))</f>
        <v>62306369.118400022</v>
      </c>
      <c r="BA52" s="87">
        <f>IF(Dyn_Insured="","",IF(ISNUMBER(AW52)=FALSE,"n/a",MIN(MAX(AW52-'Layer Comparison'!Excess_Latest,0),'Layer Comparison'!Limit_Latest)))</f>
        <v>58468087.057899997</v>
      </c>
      <c r="BB52" s="87">
        <f t="shared" si="47"/>
        <v>-3838282.0605000257</v>
      </c>
      <c r="BC52" s="88">
        <f t="shared" si="26"/>
        <v>-3838282.0605000257</v>
      </c>
      <c r="BD52" s="87">
        <v>90147112.55659999</v>
      </c>
      <c r="BE52" s="87">
        <v>88158327.319499984</v>
      </c>
      <c r="BF52" s="87">
        <f t="shared" si="48"/>
        <v>-1988785.2371000051</v>
      </c>
      <c r="BG52" s="88">
        <f t="shared" si="28"/>
        <v>-1988785.2371000051</v>
      </c>
      <c r="BH52" s="87">
        <f>IF(Dyn_Insured="","",IF(ISNUMBER(BD52)=FALSE,"n/a",MIN(MAX(BD52-'Layer Comparison'!Excess_Past,0),'Layer Comparison'!Limit_Past)))</f>
        <v>75147112.55659999</v>
      </c>
      <c r="BI52" s="87">
        <f>IF(Dyn_Insured="","",IF(ISNUMBER(BE52)=FALSE,"n/a",MIN(MAX(BE52-'Layer Comparison'!Excess_Latest,0),'Layer Comparison'!Limit_Latest)))</f>
        <v>73158327.319499984</v>
      </c>
      <c r="BJ52" s="87">
        <f t="shared" si="49"/>
        <v>-1988785.2371000051</v>
      </c>
      <c r="BK52" s="88">
        <f t="shared" si="30"/>
        <v>-1988785.2371000051</v>
      </c>
      <c r="BL52" s="87">
        <v>92541051.923399985</v>
      </c>
      <c r="BM52" s="87">
        <v>90718191.789499998</v>
      </c>
      <c r="BN52" s="87">
        <f t="shared" si="50"/>
        <v>-1822860.1338999867</v>
      </c>
      <c r="BO52" s="88">
        <f t="shared" si="32"/>
        <v>-1822860.1338999867</v>
      </c>
      <c r="BP52" s="87">
        <f>IF(Dyn_Insured="","",IF(ISNUMBER(BL52)=FALSE,"n/a",MIN(MAX(BL52-'Layer Comparison'!Excess_Past,0),'Layer Comparison'!Limit_Past)))</f>
        <v>77541051.923399985</v>
      </c>
      <c r="BQ52" s="87">
        <f>IF(Dyn_Insured="","",IF(ISNUMBER(BM52)=FALSE,"n/a",MIN(MAX(BM52-'Layer Comparison'!Excess_Latest,0),'Layer Comparison'!Limit_Latest)))</f>
        <v>75718191.789499998</v>
      </c>
      <c r="BR52" s="87">
        <f t="shared" si="51"/>
        <v>-1822860.1338999867</v>
      </c>
      <c r="BS52" s="88">
        <f t="shared" si="34"/>
        <v>-1822860.1338999867</v>
      </c>
      <c r="BT52" s="46" t="s">
        <v>13</v>
      </c>
    </row>
    <row r="53" spans="1:72" x14ac:dyDescent="0.25">
      <c r="A53" s="89">
        <v>53</v>
      </c>
      <c r="B53" s="89">
        <f t="shared" si="0"/>
        <v>1</v>
      </c>
      <c r="C53" s="89">
        <f t="shared" si="1"/>
        <v>1</v>
      </c>
      <c r="D53" s="90">
        <f t="shared" si="35"/>
        <v>1</v>
      </c>
      <c r="E53" s="90">
        <f t="shared" si="35"/>
        <v>1</v>
      </c>
      <c r="F53" s="48" t="s">
        <v>94</v>
      </c>
      <c r="G53" s="38" t="s">
        <v>17</v>
      </c>
      <c r="H53" s="87">
        <v>1774928.1077000001</v>
      </c>
      <c r="I53" s="87">
        <v>619284.70039999997</v>
      </c>
      <c r="J53" s="87">
        <f t="shared" si="36"/>
        <v>-1155643.4073000001</v>
      </c>
      <c r="K53" s="88">
        <f t="shared" si="4"/>
        <v>-1155643.4073000001</v>
      </c>
      <c r="L53" s="87">
        <f>IF(Dyn_Insured="","",IF(ISNUMBER(H53)=FALSE,"n/a",MIN(MAX(H53-'Layer Comparison'!Excess_Past,0),'Layer Comparison'!Limit_Past)))</f>
        <v>0</v>
      </c>
      <c r="M53" s="87">
        <f>IF(Dyn_Insured="","",IF(ISNUMBER(I53)=FALSE,"n/a",MIN(MAX(I53-'Layer Comparison'!Excess_Latest,0),'Layer Comparison'!Limit_Latest)))</f>
        <v>0</v>
      </c>
      <c r="N53" s="87">
        <f t="shared" si="37"/>
        <v>0</v>
      </c>
      <c r="O53" s="88">
        <f t="shared" si="6"/>
        <v>0</v>
      </c>
      <c r="P53" s="87">
        <v>10995172.974599998</v>
      </c>
      <c r="Q53" s="87">
        <v>7941135.9385000011</v>
      </c>
      <c r="R53" s="87">
        <f t="shared" si="38"/>
        <v>-3054037.0360999973</v>
      </c>
      <c r="S53" s="88">
        <f t="shared" si="8"/>
        <v>-3054037.0360999973</v>
      </c>
      <c r="T53" s="87">
        <f>IF(Dyn_Insured="","",IF(ISNUMBER(P53)=FALSE,"n/a",MIN(MAX(P53-'Layer Comparison'!Excess_Past,0),'Layer Comparison'!Limit_Past)))</f>
        <v>0</v>
      </c>
      <c r="U53" s="87">
        <f>IF(Dyn_Insured="","",IF(ISNUMBER(Q53)=FALSE,"n/a",MIN(MAX(Q53-'Layer Comparison'!Excess_Latest,0),'Layer Comparison'!Limit_Latest)))</f>
        <v>0</v>
      </c>
      <c r="V53" s="87">
        <f t="shared" si="39"/>
        <v>0</v>
      </c>
      <c r="W53" s="88">
        <f t="shared" si="10"/>
        <v>0</v>
      </c>
      <c r="X53" s="87">
        <v>22696272.699100003</v>
      </c>
      <c r="Y53" s="87">
        <v>17836231.659100004</v>
      </c>
      <c r="Z53" s="87">
        <f t="shared" si="40"/>
        <v>-4860041.0399999991</v>
      </c>
      <c r="AA53" s="88">
        <f t="shared" si="12"/>
        <v>-4860041.0399999991</v>
      </c>
      <c r="AB53" s="87">
        <f>IF(Dyn_Insured="","",IF(ISNUMBER(X53)=FALSE,"n/a",MIN(MAX(X53-'Layer Comparison'!Excess_Past,0),'Layer Comparison'!Limit_Past)))</f>
        <v>7696272.6991000026</v>
      </c>
      <c r="AC53" s="87">
        <f>IF(Dyn_Insured="","",IF(ISNUMBER(Y53)=FALSE,"n/a",MIN(MAX(Y53-'Layer Comparison'!Excess_Latest,0),'Layer Comparison'!Limit_Latest)))</f>
        <v>2836231.6591000035</v>
      </c>
      <c r="AD53" s="87">
        <f t="shared" si="41"/>
        <v>-4860041.0399999991</v>
      </c>
      <c r="AE53" s="88">
        <f t="shared" si="14"/>
        <v>-4860041.0399999991</v>
      </c>
      <c r="AF53" s="87">
        <v>33697361.158399999</v>
      </c>
      <c r="AG53" s="87">
        <v>28147085.043000013</v>
      </c>
      <c r="AH53" s="87">
        <f t="shared" si="42"/>
        <v>-5550276.1153999865</v>
      </c>
      <c r="AI53" s="88">
        <f t="shared" si="16"/>
        <v>-5550276.1153999865</v>
      </c>
      <c r="AJ53" s="87">
        <f>IF(Dyn_Insured="","",IF(ISNUMBER(AF53)=FALSE,"n/a",MIN(MAX(AF53-'Layer Comparison'!Excess_Past,0),'Layer Comparison'!Limit_Past)))</f>
        <v>18697361.158399999</v>
      </c>
      <c r="AK53" s="87">
        <f>IF(Dyn_Insured="","",IF(ISNUMBER(AG53)=FALSE,"n/a",MIN(MAX(AG53-'Layer Comparison'!Excess_Latest,0),'Layer Comparison'!Limit_Latest)))</f>
        <v>13147085.043000013</v>
      </c>
      <c r="AL53" s="87">
        <f t="shared" si="43"/>
        <v>-5550276.1153999865</v>
      </c>
      <c r="AM53" s="88">
        <f t="shared" si="18"/>
        <v>-5550276.1153999865</v>
      </c>
      <c r="AN53" s="87">
        <v>51467997.88000001</v>
      </c>
      <c r="AO53" s="87">
        <v>44527489.617200002</v>
      </c>
      <c r="AP53" s="87">
        <f t="shared" si="44"/>
        <v>-6940508.2628000081</v>
      </c>
      <c r="AQ53" s="88">
        <f t="shared" si="20"/>
        <v>-6940508.2628000081</v>
      </c>
      <c r="AR53" s="87">
        <f>IF(Dyn_Insured="","",IF(ISNUMBER(AN53)=FALSE,"n/a",MIN(MAX(AN53-'Layer Comparison'!Excess_Past,0),'Layer Comparison'!Limit_Past)))</f>
        <v>36467997.88000001</v>
      </c>
      <c r="AS53" s="87">
        <f>IF(Dyn_Insured="","",IF(ISNUMBER(AO53)=FALSE,"n/a",MIN(MAX(AO53-'Layer Comparison'!Excess_Latest,0),'Layer Comparison'!Limit_Latest)))</f>
        <v>29527489.617200002</v>
      </c>
      <c r="AT53" s="87">
        <f t="shared" si="45"/>
        <v>-6940508.2628000081</v>
      </c>
      <c r="AU53" s="88">
        <f t="shared" si="22"/>
        <v>-6940508.2628000081</v>
      </c>
      <c r="AV53" s="87">
        <v>69698379.391900018</v>
      </c>
      <c r="AW53" s="87">
        <v>61608002.016299985</v>
      </c>
      <c r="AX53" s="87">
        <f t="shared" si="46"/>
        <v>-8090377.3756000325</v>
      </c>
      <c r="AY53" s="88">
        <f t="shared" si="24"/>
        <v>-8090377.3756000325</v>
      </c>
      <c r="AZ53" s="87">
        <f>IF(Dyn_Insured="","",IF(ISNUMBER(AV53)=FALSE,"n/a",MIN(MAX(AV53-'Layer Comparison'!Excess_Past,0),'Layer Comparison'!Limit_Past)))</f>
        <v>54698379.391900018</v>
      </c>
      <c r="BA53" s="87">
        <f>IF(Dyn_Insured="","",IF(ISNUMBER(AW53)=FALSE,"n/a",MIN(MAX(AW53-'Layer Comparison'!Excess_Latest,0),'Layer Comparison'!Limit_Latest)))</f>
        <v>46608002.016299985</v>
      </c>
      <c r="BB53" s="87">
        <f t="shared" si="47"/>
        <v>-8090377.3756000325</v>
      </c>
      <c r="BC53" s="88">
        <f t="shared" si="26"/>
        <v>-8090377.3756000325</v>
      </c>
      <c r="BD53" s="87">
        <v>83513966.021300003</v>
      </c>
      <c r="BE53" s="87">
        <v>76438539.468999997</v>
      </c>
      <c r="BF53" s="87">
        <f t="shared" si="48"/>
        <v>-7075426.5523000062</v>
      </c>
      <c r="BG53" s="88">
        <f t="shared" si="28"/>
        <v>-7075426.5523000062</v>
      </c>
      <c r="BH53" s="87">
        <f>IF(Dyn_Insured="","",IF(ISNUMBER(BD53)=FALSE,"n/a",MIN(MAX(BD53-'Layer Comparison'!Excess_Past,0),'Layer Comparison'!Limit_Past)))</f>
        <v>68513966.021300003</v>
      </c>
      <c r="BI53" s="87">
        <f>IF(Dyn_Insured="","",IF(ISNUMBER(BE53)=FALSE,"n/a",MIN(MAX(BE53-'Layer Comparison'!Excess_Latest,0),'Layer Comparison'!Limit_Latest)))</f>
        <v>61438539.468999997</v>
      </c>
      <c r="BJ53" s="87">
        <f t="shared" si="49"/>
        <v>-7075426.5523000062</v>
      </c>
      <c r="BK53" s="88">
        <f t="shared" si="30"/>
        <v>-7075426.5523000062</v>
      </c>
      <c r="BL53" s="87">
        <v>86263762.685399979</v>
      </c>
      <c r="BM53" s="87">
        <v>79126088.193499982</v>
      </c>
      <c r="BN53" s="87">
        <f t="shared" si="50"/>
        <v>-7137674.491899997</v>
      </c>
      <c r="BO53" s="88">
        <f t="shared" si="32"/>
        <v>-7137674.491899997</v>
      </c>
      <c r="BP53" s="87">
        <f>IF(Dyn_Insured="","",IF(ISNUMBER(BL53)=FALSE,"n/a",MIN(MAX(BL53-'Layer Comparison'!Excess_Past,0),'Layer Comparison'!Limit_Past)))</f>
        <v>71263762.685399979</v>
      </c>
      <c r="BQ53" s="87">
        <f>IF(Dyn_Insured="","",IF(ISNUMBER(BM53)=FALSE,"n/a",MIN(MAX(BM53-'Layer Comparison'!Excess_Latest,0),'Layer Comparison'!Limit_Latest)))</f>
        <v>64126088.193499982</v>
      </c>
      <c r="BR53" s="87">
        <f t="shared" si="51"/>
        <v>-7137674.491899997</v>
      </c>
      <c r="BS53" s="88">
        <f t="shared" si="34"/>
        <v>-7137674.491899997</v>
      </c>
      <c r="BT53" s="46" t="s">
        <v>13</v>
      </c>
    </row>
    <row r="54" spans="1:72" x14ac:dyDescent="0.25">
      <c r="A54" s="89">
        <v>54</v>
      </c>
      <c r="B54" s="89">
        <f t="shared" si="0"/>
        <v>1</v>
      </c>
      <c r="C54" s="89">
        <f t="shared" si="1"/>
        <v>1</v>
      </c>
      <c r="D54" s="90">
        <f t="shared" ref="D54:E73" si="52">IF(SUMIFS($F54:$BO54,$F$9:$BO$9,D$9,$F$10:$BO$10,D$10)&gt;0,1,0)</f>
        <v>1</v>
      </c>
      <c r="E54" s="90">
        <f t="shared" si="52"/>
        <v>1</v>
      </c>
      <c r="F54" s="48" t="s">
        <v>95</v>
      </c>
      <c r="G54" s="38" t="s">
        <v>17</v>
      </c>
      <c r="H54" s="87">
        <v>3482635.3816999998</v>
      </c>
      <c r="I54" s="87">
        <v>2192101.909</v>
      </c>
      <c r="J54" s="87">
        <f t="shared" si="36"/>
        <v>-1290533.4726999998</v>
      </c>
      <c r="K54" s="88">
        <f t="shared" si="4"/>
        <v>-1290533.4726999998</v>
      </c>
      <c r="L54" s="87">
        <f>IF(Dyn_Insured="","",IF(ISNUMBER(H54)=FALSE,"n/a",MIN(MAX(H54-'Layer Comparison'!Excess_Past,0),'Layer Comparison'!Limit_Past)))</f>
        <v>0</v>
      </c>
      <c r="M54" s="87">
        <f>IF(Dyn_Insured="","",IF(ISNUMBER(I54)=FALSE,"n/a",MIN(MAX(I54-'Layer Comparison'!Excess_Latest,0),'Layer Comparison'!Limit_Latest)))</f>
        <v>0</v>
      </c>
      <c r="N54" s="87">
        <f t="shared" si="37"/>
        <v>0</v>
      </c>
      <c r="O54" s="88">
        <f t="shared" si="6"/>
        <v>0</v>
      </c>
      <c r="P54" s="87">
        <v>12989298.205699997</v>
      </c>
      <c r="Q54" s="87">
        <v>9863934.4766000006</v>
      </c>
      <c r="R54" s="87">
        <f t="shared" si="38"/>
        <v>-3125363.7290999964</v>
      </c>
      <c r="S54" s="88">
        <f t="shared" si="8"/>
        <v>-3125363.7290999964</v>
      </c>
      <c r="T54" s="87">
        <f>IF(Dyn_Insured="","",IF(ISNUMBER(P54)=FALSE,"n/a",MIN(MAX(P54-'Layer Comparison'!Excess_Past,0),'Layer Comparison'!Limit_Past)))</f>
        <v>0</v>
      </c>
      <c r="U54" s="87">
        <f>IF(Dyn_Insured="","",IF(ISNUMBER(Q54)=FALSE,"n/a",MIN(MAX(Q54-'Layer Comparison'!Excess_Latest,0),'Layer Comparison'!Limit_Latest)))</f>
        <v>0</v>
      </c>
      <c r="V54" s="87">
        <f t="shared" si="39"/>
        <v>0</v>
      </c>
      <c r="W54" s="88">
        <f t="shared" si="10"/>
        <v>0</v>
      </c>
      <c r="X54" s="87">
        <v>23327365.583000004</v>
      </c>
      <c r="Y54" s="87">
        <v>19626247.833100006</v>
      </c>
      <c r="Z54" s="87">
        <f t="shared" si="40"/>
        <v>-3701117.7498999983</v>
      </c>
      <c r="AA54" s="88">
        <f t="shared" si="12"/>
        <v>-3701117.7498999983</v>
      </c>
      <c r="AB54" s="87">
        <f>IF(Dyn_Insured="","",IF(ISNUMBER(X54)=FALSE,"n/a",MIN(MAX(X54-'Layer Comparison'!Excess_Past,0),'Layer Comparison'!Limit_Past)))</f>
        <v>8327365.5830000043</v>
      </c>
      <c r="AC54" s="87">
        <f>IF(Dyn_Insured="","",IF(ISNUMBER(Y54)=FALSE,"n/a",MIN(MAX(Y54-'Layer Comparison'!Excess_Latest,0),'Layer Comparison'!Limit_Latest)))</f>
        <v>4626247.833100006</v>
      </c>
      <c r="AD54" s="87">
        <f t="shared" si="41"/>
        <v>-3701117.7498999983</v>
      </c>
      <c r="AE54" s="88">
        <f t="shared" si="14"/>
        <v>-3701117.7498999983</v>
      </c>
      <c r="AF54" s="87">
        <v>34728277.732600003</v>
      </c>
      <c r="AG54" s="87">
        <v>30055401.995499995</v>
      </c>
      <c r="AH54" s="87">
        <f t="shared" si="42"/>
        <v>-4672875.7371000089</v>
      </c>
      <c r="AI54" s="88">
        <f t="shared" si="16"/>
        <v>-4672875.7371000089</v>
      </c>
      <c r="AJ54" s="87">
        <f>IF(Dyn_Insured="","",IF(ISNUMBER(AF54)=FALSE,"n/a",MIN(MAX(AF54-'Layer Comparison'!Excess_Past,0),'Layer Comparison'!Limit_Past)))</f>
        <v>19728277.732600003</v>
      </c>
      <c r="AK54" s="87">
        <f>IF(Dyn_Insured="","",IF(ISNUMBER(AG54)=FALSE,"n/a",MIN(MAX(AG54-'Layer Comparison'!Excess_Latest,0),'Layer Comparison'!Limit_Latest)))</f>
        <v>15055401.995499995</v>
      </c>
      <c r="AL54" s="87">
        <f t="shared" si="43"/>
        <v>-4672875.7371000089</v>
      </c>
      <c r="AM54" s="88">
        <f t="shared" si="18"/>
        <v>-4672875.7371000089</v>
      </c>
      <c r="AN54" s="87">
        <v>59301274.269000009</v>
      </c>
      <c r="AO54" s="87">
        <v>52268657.7654</v>
      </c>
      <c r="AP54" s="87">
        <f t="shared" si="44"/>
        <v>-7032616.5036000088</v>
      </c>
      <c r="AQ54" s="88">
        <f t="shared" si="20"/>
        <v>-7032616.5036000088</v>
      </c>
      <c r="AR54" s="87">
        <f>IF(Dyn_Insured="","",IF(ISNUMBER(AN54)=FALSE,"n/a",MIN(MAX(AN54-'Layer Comparison'!Excess_Past,0),'Layer Comparison'!Limit_Past)))</f>
        <v>44301274.269000009</v>
      </c>
      <c r="AS54" s="87">
        <f>IF(Dyn_Insured="","",IF(ISNUMBER(AO54)=FALSE,"n/a",MIN(MAX(AO54-'Layer Comparison'!Excess_Latest,0),'Layer Comparison'!Limit_Latest)))</f>
        <v>37268657.7654</v>
      </c>
      <c r="AT54" s="87">
        <f t="shared" si="45"/>
        <v>-7032616.5036000088</v>
      </c>
      <c r="AU54" s="88">
        <f t="shared" si="22"/>
        <v>-7032616.5036000088</v>
      </c>
      <c r="AV54" s="87">
        <v>79643409.307100013</v>
      </c>
      <c r="AW54" s="87">
        <v>71688418.473199993</v>
      </c>
      <c r="AX54" s="87">
        <f t="shared" si="46"/>
        <v>-7954990.8339000195</v>
      </c>
      <c r="AY54" s="88">
        <f t="shared" si="24"/>
        <v>-7954990.8339000195</v>
      </c>
      <c r="AZ54" s="87">
        <f>IF(Dyn_Insured="","",IF(ISNUMBER(AV54)=FALSE,"n/a",MIN(MAX(AV54-'Layer Comparison'!Excess_Past,0),'Layer Comparison'!Limit_Past)))</f>
        <v>64643409.307100013</v>
      </c>
      <c r="BA54" s="87">
        <f>IF(Dyn_Insured="","",IF(ISNUMBER(AW54)=FALSE,"n/a",MIN(MAX(AW54-'Layer Comparison'!Excess_Latest,0),'Layer Comparison'!Limit_Latest)))</f>
        <v>56688418.473199993</v>
      </c>
      <c r="BB54" s="87">
        <f t="shared" si="47"/>
        <v>-7954990.8339000195</v>
      </c>
      <c r="BC54" s="88">
        <f t="shared" si="26"/>
        <v>-7954990.8339000195</v>
      </c>
      <c r="BD54" s="87">
        <v>97796689.377799973</v>
      </c>
      <c r="BE54" s="87">
        <v>89416637.150600016</v>
      </c>
      <c r="BF54" s="87">
        <f t="shared" si="48"/>
        <v>-8380052.2271999568</v>
      </c>
      <c r="BG54" s="88">
        <f t="shared" si="28"/>
        <v>-8380052.2271999568</v>
      </c>
      <c r="BH54" s="87">
        <f>IF(Dyn_Insured="","",IF(ISNUMBER(BD54)=FALSE,"n/a",MIN(MAX(BD54-'Layer Comparison'!Excess_Past,0),'Layer Comparison'!Limit_Past)))</f>
        <v>82796689.377799973</v>
      </c>
      <c r="BI54" s="87">
        <f>IF(Dyn_Insured="","",IF(ISNUMBER(BE54)=FALSE,"n/a",MIN(MAX(BE54-'Layer Comparison'!Excess_Latest,0),'Layer Comparison'!Limit_Latest)))</f>
        <v>74416637.150600016</v>
      </c>
      <c r="BJ54" s="87">
        <f t="shared" si="49"/>
        <v>-8380052.2271999568</v>
      </c>
      <c r="BK54" s="88">
        <f t="shared" si="30"/>
        <v>-8380052.2271999568</v>
      </c>
      <c r="BL54" s="87">
        <v>99465187.554800063</v>
      </c>
      <c r="BM54" s="87">
        <v>90875748.344699964</v>
      </c>
      <c r="BN54" s="87">
        <f t="shared" si="50"/>
        <v>-8589439.2101000994</v>
      </c>
      <c r="BO54" s="88">
        <f t="shared" si="32"/>
        <v>-8589439.2101000994</v>
      </c>
      <c r="BP54" s="87">
        <f>IF(Dyn_Insured="","",IF(ISNUMBER(BL54)=FALSE,"n/a",MIN(MAX(BL54-'Layer Comparison'!Excess_Past,0),'Layer Comparison'!Limit_Past)))</f>
        <v>84465187.554800063</v>
      </c>
      <c r="BQ54" s="87">
        <f>IF(Dyn_Insured="","",IF(ISNUMBER(BM54)=FALSE,"n/a",MIN(MAX(BM54-'Layer Comparison'!Excess_Latest,0),'Layer Comparison'!Limit_Latest)))</f>
        <v>75875748.344699964</v>
      </c>
      <c r="BR54" s="87">
        <f t="shared" si="51"/>
        <v>-8589439.2101000994</v>
      </c>
      <c r="BS54" s="88">
        <f t="shared" si="34"/>
        <v>-8589439.2101000994</v>
      </c>
      <c r="BT54" s="46" t="s">
        <v>13</v>
      </c>
    </row>
    <row r="55" spans="1:72" x14ac:dyDescent="0.25">
      <c r="A55" s="89">
        <v>55</v>
      </c>
      <c r="B55" s="89">
        <f t="shared" si="0"/>
        <v>1</v>
      </c>
      <c r="C55" s="89">
        <f t="shared" si="1"/>
        <v>1</v>
      </c>
      <c r="D55" s="90">
        <f t="shared" si="52"/>
        <v>1</v>
      </c>
      <c r="E55" s="90">
        <f t="shared" si="52"/>
        <v>1</v>
      </c>
      <c r="F55" s="48" t="s">
        <v>96</v>
      </c>
      <c r="G55" s="38" t="s">
        <v>17</v>
      </c>
      <c r="H55" s="87">
        <v>4147313.1597000007</v>
      </c>
      <c r="I55" s="87">
        <v>3535452.2480000006</v>
      </c>
      <c r="J55" s="87">
        <f t="shared" si="36"/>
        <v>-611860.91170000006</v>
      </c>
      <c r="K55" s="88">
        <f t="shared" si="4"/>
        <v>-611860.91170000006</v>
      </c>
      <c r="L55" s="87">
        <f>IF(Dyn_Insured="","",IF(ISNUMBER(H55)=FALSE,"n/a",MIN(MAX(H55-'Layer Comparison'!Excess_Past,0),'Layer Comparison'!Limit_Past)))</f>
        <v>0</v>
      </c>
      <c r="M55" s="87">
        <f>IF(Dyn_Insured="","",IF(ISNUMBER(I55)=FALSE,"n/a",MIN(MAX(I55-'Layer Comparison'!Excess_Latest,0),'Layer Comparison'!Limit_Latest)))</f>
        <v>0</v>
      </c>
      <c r="N55" s="87">
        <f t="shared" si="37"/>
        <v>0</v>
      </c>
      <c r="O55" s="88">
        <f t="shared" si="6"/>
        <v>0</v>
      </c>
      <c r="P55" s="87">
        <v>16076224.862799998</v>
      </c>
      <c r="Q55" s="87">
        <v>14454757.588900002</v>
      </c>
      <c r="R55" s="87">
        <f t="shared" si="38"/>
        <v>-1621467.2738999967</v>
      </c>
      <c r="S55" s="88">
        <f t="shared" si="8"/>
        <v>-1621467.2738999967</v>
      </c>
      <c r="T55" s="87">
        <f>IF(Dyn_Insured="","",IF(ISNUMBER(P55)=FALSE,"n/a",MIN(MAX(P55-'Layer Comparison'!Excess_Past,0),'Layer Comparison'!Limit_Past)))</f>
        <v>1076224.8627999984</v>
      </c>
      <c r="U55" s="87">
        <f>IF(Dyn_Insured="","",IF(ISNUMBER(Q55)=FALSE,"n/a",MIN(MAX(Q55-'Layer Comparison'!Excess_Latest,0),'Layer Comparison'!Limit_Latest)))</f>
        <v>0</v>
      </c>
      <c r="V55" s="87">
        <f t="shared" si="39"/>
        <v>-1076224.8627999984</v>
      </c>
      <c r="W55" s="88">
        <f t="shared" si="10"/>
        <v>-1076224.8627999984</v>
      </c>
      <c r="X55" s="87">
        <v>28026583.405100007</v>
      </c>
      <c r="Y55" s="87">
        <v>26617905.900199998</v>
      </c>
      <c r="Z55" s="87">
        <f t="shared" si="40"/>
        <v>-1408677.5049000084</v>
      </c>
      <c r="AA55" s="88">
        <f t="shared" si="12"/>
        <v>-1408677.5049000084</v>
      </c>
      <c r="AB55" s="87">
        <f>IF(Dyn_Insured="","",IF(ISNUMBER(X55)=FALSE,"n/a",MIN(MAX(X55-'Layer Comparison'!Excess_Past,0),'Layer Comparison'!Limit_Past)))</f>
        <v>13026583.405100007</v>
      </c>
      <c r="AC55" s="87">
        <f>IF(Dyn_Insured="","",IF(ISNUMBER(Y55)=FALSE,"n/a",MIN(MAX(Y55-'Layer Comparison'!Excess_Latest,0),'Layer Comparison'!Limit_Latest)))</f>
        <v>11617905.900199998</v>
      </c>
      <c r="AD55" s="87">
        <f t="shared" si="41"/>
        <v>-1408677.5049000084</v>
      </c>
      <c r="AE55" s="88">
        <f t="shared" si="14"/>
        <v>-1408677.5049000084</v>
      </c>
      <c r="AF55" s="87">
        <v>40621905.403700009</v>
      </c>
      <c r="AG55" s="87">
        <v>39660836.7905</v>
      </c>
      <c r="AH55" s="87">
        <f t="shared" si="42"/>
        <v>-961068.61320000887</v>
      </c>
      <c r="AI55" s="88">
        <f t="shared" si="16"/>
        <v>-961068.61320000887</v>
      </c>
      <c r="AJ55" s="87">
        <f>IF(Dyn_Insured="","",IF(ISNUMBER(AF55)=FALSE,"n/a",MIN(MAX(AF55-'Layer Comparison'!Excess_Past,0),'Layer Comparison'!Limit_Past)))</f>
        <v>25621905.403700009</v>
      </c>
      <c r="AK55" s="87">
        <f>IF(Dyn_Insured="","",IF(ISNUMBER(AG55)=FALSE,"n/a",MIN(MAX(AG55-'Layer Comparison'!Excess_Latest,0),'Layer Comparison'!Limit_Latest)))</f>
        <v>24660836.7905</v>
      </c>
      <c r="AL55" s="87">
        <f t="shared" si="43"/>
        <v>-961068.61320000887</v>
      </c>
      <c r="AM55" s="88">
        <f t="shared" si="18"/>
        <v>-961068.61320000887</v>
      </c>
      <c r="AN55" s="87">
        <v>66285729.97200001</v>
      </c>
      <c r="AO55" s="87">
        <v>65464696.576500006</v>
      </c>
      <c r="AP55" s="87">
        <f t="shared" si="44"/>
        <v>-821033.39550000429</v>
      </c>
      <c r="AQ55" s="88">
        <f t="shared" si="20"/>
        <v>-821033.39550000429</v>
      </c>
      <c r="AR55" s="87">
        <f>IF(Dyn_Insured="","",IF(ISNUMBER(AN55)=FALSE,"n/a",MIN(MAX(AN55-'Layer Comparison'!Excess_Past,0),'Layer Comparison'!Limit_Past)))</f>
        <v>51285729.97200001</v>
      </c>
      <c r="AS55" s="87">
        <f>IF(Dyn_Insured="","",IF(ISNUMBER(AO55)=FALSE,"n/a",MIN(MAX(AO55-'Layer Comparison'!Excess_Latest,0),'Layer Comparison'!Limit_Latest)))</f>
        <v>50464696.576500006</v>
      </c>
      <c r="AT55" s="87">
        <f t="shared" si="45"/>
        <v>-821033.39550000429</v>
      </c>
      <c r="AU55" s="88">
        <f t="shared" si="22"/>
        <v>-821033.39550000429</v>
      </c>
      <c r="AV55" s="87">
        <v>86136781.737299994</v>
      </c>
      <c r="AW55" s="87">
        <v>85202097.994800001</v>
      </c>
      <c r="AX55" s="87">
        <f t="shared" si="46"/>
        <v>-934683.74249999225</v>
      </c>
      <c r="AY55" s="88">
        <f t="shared" si="24"/>
        <v>-934683.74249999225</v>
      </c>
      <c r="AZ55" s="87">
        <f>IF(Dyn_Insured="","",IF(ISNUMBER(AV55)=FALSE,"n/a",MIN(MAX(AV55-'Layer Comparison'!Excess_Past,0),'Layer Comparison'!Limit_Past)))</f>
        <v>71136781.737299994</v>
      </c>
      <c r="BA55" s="87">
        <f>IF(Dyn_Insured="","",IF(ISNUMBER(AW55)=FALSE,"n/a",MIN(MAX(AW55-'Layer Comparison'!Excess_Latest,0),'Layer Comparison'!Limit_Latest)))</f>
        <v>70202097.994800001</v>
      </c>
      <c r="BB55" s="87">
        <f t="shared" si="47"/>
        <v>-934683.74249999225</v>
      </c>
      <c r="BC55" s="88">
        <f t="shared" si="26"/>
        <v>-934683.74249999225</v>
      </c>
      <c r="BD55" s="87">
        <v>88344192.994999975</v>
      </c>
      <c r="BE55" s="87">
        <v>87395071.517199993</v>
      </c>
      <c r="BF55" s="87">
        <f t="shared" si="48"/>
        <v>-949121.47779998183</v>
      </c>
      <c r="BG55" s="88">
        <f t="shared" si="28"/>
        <v>-949121.47779998183</v>
      </c>
      <c r="BH55" s="87">
        <f>IF(Dyn_Insured="","",IF(ISNUMBER(BD55)=FALSE,"n/a",MIN(MAX(BD55-'Layer Comparison'!Excess_Past,0),'Layer Comparison'!Limit_Past)))</f>
        <v>73344192.994999975</v>
      </c>
      <c r="BI55" s="87">
        <f>IF(Dyn_Insured="","",IF(ISNUMBER(BE55)=FALSE,"n/a",MIN(MAX(BE55-'Layer Comparison'!Excess_Latest,0),'Layer Comparison'!Limit_Latest)))</f>
        <v>72395071.517199993</v>
      </c>
      <c r="BJ55" s="87">
        <f t="shared" si="49"/>
        <v>-949121.47779998183</v>
      </c>
      <c r="BK55" s="88">
        <f t="shared" si="30"/>
        <v>-949121.47779998183</v>
      </c>
      <c r="BL55" s="87">
        <v>90553668.442700028</v>
      </c>
      <c r="BM55" s="87">
        <v>89592731.044699997</v>
      </c>
      <c r="BN55" s="87">
        <f t="shared" si="50"/>
        <v>-960937.39800003171</v>
      </c>
      <c r="BO55" s="88">
        <f t="shared" si="32"/>
        <v>-960937.39800003171</v>
      </c>
      <c r="BP55" s="87">
        <f>IF(Dyn_Insured="","",IF(ISNUMBER(BL55)=FALSE,"n/a",MIN(MAX(BL55-'Layer Comparison'!Excess_Past,0),'Layer Comparison'!Limit_Past)))</f>
        <v>75553668.442700028</v>
      </c>
      <c r="BQ55" s="87">
        <f>IF(Dyn_Insured="","",IF(ISNUMBER(BM55)=FALSE,"n/a",MIN(MAX(BM55-'Layer Comparison'!Excess_Latest,0),'Layer Comparison'!Limit_Latest)))</f>
        <v>74592731.044699997</v>
      </c>
      <c r="BR55" s="87">
        <f t="shared" si="51"/>
        <v>-960937.39800003171</v>
      </c>
      <c r="BS55" s="88">
        <f t="shared" si="34"/>
        <v>-960937.39800003171</v>
      </c>
      <c r="BT55" s="46" t="s">
        <v>13</v>
      </c>
    </row>
    <row r="56" spans="1:72" x14ac:dyDescent="0.25">
      <c r="A56" s="89">
        <v>56</v>
      </c>
      <c r="B56" s="89">
        <f t="shared" si="0"/>
        <v>1</v>
      </c>
      <c r="C56" s="89">
        <f t="shared" si="1"/>
        <v>1</v>
      </c>
      <c r="D56" s="90">
        <f t="shared" si="52"/>
        <v>1</v>
      </c>
      <c r="E56" s="90">
        <f t="shared" si="52"/>
        <v>1</v>
      </c>
      <c r="F56" s="48" t="s">
        <v>97</v>
      </c>
      <c r="G56" s="38" t="s">
        <v>17</v>
      </c>
      <c r="H56" s="87">
        <v>2899559.5967000001</v>
      </c>
      <c r="I56" s="87">
        <v>1776137.2764999997</v>
      </c>
      <c r="J56" s="87">
        <f t="shared" si="36"/>
        <v>-1123422.3202000004</v>
      </c>
      <c r="K56" s="88">
        <f t="shared" si="4"/>
        <v>-1123422.3202000004</v>
      </c>
      <c r="L56" s="87">
        <f>IF(Dyn_Insured="","",IF(ISNUMBER(H56)=FALSE,"n/a",MIN(MAX(H56-'Layer Comparison'!Excess_Past,0),'Layer Comparison'!Limit_Past)))</f>
        <v>0</v>
      </c>
      <c r="M56" s="87">
        <f>IF(Dyn_Insured="","",IF(ISNUMBER(I56)=FALSE,"n/a",MIN(MAX(I56-'Layer Comparison'!Excess_Latest,0),'Layer Comparison'!Limit_Latest)))</f>
        <v>0</v>
      </c>
      <c r="N56" s="87">
        <f t="shared" si="37"/>
        <v>0</v>
      </c>
      <c r="O56" s="88">
        <f t="shared" si="6"/>
        <v>0</v>
      </c>
      <c r="P56" s="87">
        <v>11834936.773300001</v>
      </c>
      <c r="Q56" s="87">
        <v>8875389.4947000016</v>
      </c>
      <c r="R56" s="87">
        <f t="shared" si="38"/>
        <v>-2959547.2785999998</v>
      </c>
      <c r="S56" s="88">
        <f t="shared" si="8"/>
        <v>-2959547.2785999998</v>
      </c>
      <c r="T56" s="87">
        <f>IF(Dyn_Insured="","",IF(ISNUMBER(P56)=FALSE,"n/a",MIN(MAX(P56-'Layer Comparison'!Excess_Past,0),'Layer Comparison'!Limit_Past)))</f>
        <v>0</v>
      </c>
      <c r="U56" s="87">
        <f>IF(Dyn_Insured="","",IF(ISNUMBER(Q56)=FALSE,"n/a",MIN(MAX(Q56-'Layer Comparison'!Excess_Latest,0),'Layer Comparison'!Limit_Latest)))</f>
        <v>0</v>
      </c>
      <c r="V56" s="87">
        <f t="shared" si="39"/>
        <v>0</v>
      </c>
      <c r="W56" s="88">
        <f t="shared" si="10"/>
        <v>0</v>
      </c>
      <c r="X56" s="87">
        <v>22133504.331700001</v>
      </c>
      <c r="Y56" s="87">
        <v>17675924.364399999</v>
      </c>
      <c r="Z56" s="87">
        <f t="shared" si="40"/>
        <v>-4457579.9673000015</v>
      </c>
      <c r="AA56" s="88">
        <f t="shared" si="12"/>
        <v>-4457579.9673000015</v>
      </c>
      <c r="AB56" s="87">
        <f>IF(Dyn_Insured="","",IF(ISNUMBER(X56)=FALSE,"n/a",MIN(MAX(X56-'Layer Comparison'!Excess_Past,0),'Layer Comparison'!Limit_Past)))</f>
        <v>7133504.3317000009</v>
      </c>
      <c r="AC56" s="87">
        <f>IF(Dyn_Insured="","",IF(ISNUMBER(Y56)=FALSE,"n/a",MIN(MAX(Y56-'Layer Comparison'!Excess_Latest,0),'Layer Comparison'!Limit_Latest)))</f>
        <v>2675924.3643999994</v>
      </c>
      <c r="AD56" s="87">
        <f t="shared" si="41"/>
        <v>-4457579.9673000015</v>
      </c>
      <c r="AE56" s="88">
        <f t="shared" si="14"/>
        <v>-4457579.9673000015</v>
      </c>
      <c r="AF56" s="87">
        <v>33488358.302299999</v>
      </c>
      <c r="AG56" s="87">
        <v>26208510.858800005</v>
      </c>
      <c r="AH56" s="87">
        <f t="shared" si="42"/>
        <v>-7279847.4434999935</v>
      </c>
      <c r="AI56" s="88">
        <f t="shared" si="16"/>
        <v>-7279847.4434999935</v>
      </c>
      <c r="AJ56" s="87">
        <f>IF(Dyn_Insured="","",IF(ISNUMBER(AF56)=FALSE,"n/a",MIN(MAX(AF56-'Layer Comparison'!Excess_Past,0),'Layer Comparison'!Limit_Past)))</f>
        <v>18488358.302299999</v>
      </c>
      <c r="AK56" s="87">
        <f>IF(Dyn_Insured="","",IF(ISNUMBER(AG56)=FALSE,"n/a",MIN(MAX(AG56-'Layer Comparison'!Excess_Latest,0),'Layer Comparison'!Limit_Latest)))</f>
        <v>11208510.858800005</v>
      </c>
      <c r="AL56" s="87">
        <f t="shared" si="43"/>
        <v>-7279847.4434999935</v>
      </c>
      <c r="AM56" s="88">
        <f t="shared" si="18"/>
        <v>-7279847.4434999935</v>
      </c>
      <c r="AN56" s="87">
        <v>41552786.025800005</v>
      </c>
      <c r="AO56" s="87">
        <v>32579651.616100002</v>
      </c>
      <c r="AP56" s="87">
        <f t="shared" si="44"/>
        <v>-8973134.4097000025</v>
      </c>
      <c r="AQ56" s="88">
        <f t="shared" si="20"/>
        <v>-8973134.4097000025</v>
      </c>
      <c r="AR56" s="87">
        <f>IF(Dyn_Insured="","",IF(ISNUMBER(AN56)=FALSE,"n/a",MIN(MAX(AN56-'Layer Comparison'!Excess_Past,0),'Layer Comparison'!Limit_Past)))</f>
        <v>26552786.025800005</v>
      </c>
      <c r="AS56" s="87">
        <f>IF(Dyn_Insured="","",IF(ISNUMBER(AO56)=FALSE,"n/a",MIN(MAX(AO56-'Layer Comparison'!Excess_Latest,0),'Layer Comparison'!Limit_Latest)))</f>
        <v>17579651.616100002</v>
      </c>
      <c r="AT56" s="87">
        <f t="shared" si="45"/>
        <v>-8973134.4097000025</v>
      </c>
      <c r="AU56" s="88">
        <f t="shared" si="22"/>
        <v>-8973134.4097000025</v>
      </c>
      <c r="AV56" s="87">
        <v>44883291.547299996</v>
      </c>
      <c r="AW56" s="87">
        <v>35354354.423500001</v>
      </c>
      <c r="AX56" s="87">
        <f t="shared" si="46"/>
        <v>-9528937.1237999946</v>
      </c>
      <c r="AY56" s="88">
        <f t="shared" si="24"/>
        <v>-9528937.1237999946</v>
      </c>
      <c r="AZ56" s="87">
        <f>IF(Dyn_Insured="","",IF(ISNUMBER(AV56)=FALSE,"n/a",MIN(MAX(AV56-'Layer Comparison'!Excess_Past,0),'Layer Comparison'!Limit_Past)))</f>
        <v>29883291.547299996</v>
      </c>
      <c r="BA56" s="87">
        <f>IF(Dyn_Insured="","",IF(ISNUMBER(AW56)=FALSE,"n/a",MIN(MAX(AW56-'Layer Comparison'!Excess_Latest,0),'Layer Comparison'!Limit_Latest)))</f>
        <v>20354354.423500001</v>
      </c>
      <c r="BB56" s="87">
        <f t="shared" si="47"/>
        <v>-9528937.1237999946</v>
      </c>
      <c r="BC56" s="88">
        <f t="shared" si="26"/>
        <v>-9528937.1237999946</v>
      </c>
      <c r="BD56" s="87">
        <v>47994453.041500002</v>
      </c>
      <c r="BE56" s="87">
        <v>37618882.110500008</v>
      </c>
      <c r="BF56" s="87">
        <f t="shared" si="48"/>
        <v>-10375570.930999994</v>
      </c>
      <c r="BG56" s="88">
        <f t="shared" si="28"/>
        <v>-10375570.930999994</v>
      </c>
      <c r="BH56" s="87">
        <f>IF(Dyn_Insured="","",IF(ISNUMBER(BD56)=FALSE,"n/a",MIN(MAX(BD56-'Layer Comparison'!Excess_Past,0),'Layer Comparison'!Limit_Past)))</f>
        <v>32994453.041500002</v>
      </c>
      <c r="BI56" s="87">
        <f>IF(Dyn_Insured="","",IF(ISNUMBER(BE56)=FALSE,"n/a",MIN(MAX(BE56-'Layer Comparison'!Excess_Latest,0),'Layer Comparison'!Limit_Latest)))</f>
        <v>22618882.110500008</v>
      </c>
      <c r="BJ56" s="87">
        <f t="shared" si="49"/>
        <v>-10375570.930999994</v>
      </c>
      <c r="BK56" s="88">
        <f t="shared" si="30"/>
        <v>-10375570.930999994</v>
      </c>
      <c r="BL56" s="87">
        <v>48251560.607300013</v>
      </c>
      <c r="BM56" s="87">
        <v>37862516.453600012</v>
      </c>
      <c r="BN56" s="87">
        <f t="shared" si="50"/>
        <v>-10389044.153700002</v>
      </c>
      <c r="BO56" s="88">
        <f t="shared" si="32"/>
        <v>-10389044.153700002</v>
      </c>
      <c r="BP56" s="87">
        <f>IF(Dyn_Insured="","",IF(ISNUMBER(BL56)=FALSE,"n/a",MIN(MAX(BL56-'Layer Comparison'!Excess_Past,0),'Layer Comparison'!Limit_Past)))</f>
        <v>33251560.607300013</v>
      </c>
      <c r="BQ56" s="87">
        <f>IF(Dyn_Insured="","",IF(ISNUMBER(BM56)=FALSE,"n/a",MIN(MAX(BM56-'Layer Comparison'!Excess_Latest,0),'Layer Comparison'!Limit_Latest)))</f>
        <v>22862516.453600012</v>
      </c>
      <c r="BR56" s="87">
        <f t="shared" si="51"/>
        <v>-10389044.153700002</v>
      </c>
      <c r="BS56" s="88">
        <f t="shared" si="34"/>
        <v>-10389044.153700002</v>
      </c>
      <c r="BT56" s="46" t="s">
        <v>13</v>
      </c>
    </row>
    <row r="57" spans="1:72" x14ac:dyDescent="0.25">
      <c r="A57" s="89">
        <v>57</v>
      </c>
      <c r="B57" s="89">
        <f t="shared" si="0"/>
        <v>1</v>
      </c>
      <c r="C57" s="89">
        <f t="shared" si="1"/>
        <v>1</v>
      </c>
      <c r="D57" s="90">
        <f t="shared" si="52"/>
        <v>1</v>
      </c>
      <c r="E57" s="90">
        <f t="shared" si="52"/>
        <v>1</v>
      </c>
      <c r="F57" s="48" t="s">
        <v>98</v>
      </c>
      <c r="G57" s="38" t="s">
        <v>17</v>
      </c>
      <c r="H57" s="87">
        <v>4806431.6794000007</v>
      </c>
      <c r="I57" s="87">
        <v>1664533.0114</v>
      </c>
      <c r="J57" s="87">
        <f t="shared" si="36"/>
        <v>-3141898.6680000005</v>
      </c>
      <c r="K57" s="88">
        <f t="shared" si="4"/>
        <v>-3141898.6680000005</v>
      </c>
      <c r="L57" s="87">
        <f>IF(Dyn_Insured="","",IF(ISNUMBER(H57)=FALSE,"n/a",MIN(MAX(H57-'Layer Comparison'!Excess_Past,0),'Layer Comparison'!Limit_Past)))</f>
        <v>0</v>
      </c>
      <c r="M57" s="87">
        <f>IF(Dyn_Insured="","",IF(ISNUMBER(I57)=FALSE,"n/a",MIN(MAX(I57-'Layer Comparison'!Excess_Latest,0),'Layer Comparison'!Limit_Latest)))</f>
        <v>0</v>
      </c>
      <c r="N57" s="87">
        <f t="shared" si="37"/>
        <v>0</v>
      </c>
      <c r="O57" s="88">
        <f t="shared" si="6"/>
        <v>0</v>
      </c>
      <c r="P57" s="87">
        <v>16540945.450100001</v>
      </c>
      <c r="Q57" s="87">
        <v>9593302.5672000032</v>
      </c>
      <c r="R57" s="87">
        <f t="shared" si="38"/>
        <v>-6947642.8828999978</v>
      </c>
      <c r="S57" s="88">
        <f t="shared" si="8"/>
        <v>-6947642.8828999978</v>
      </c>
      <c r="T57" s="87">
        <f>IF(Dyn_Insured="","",IF(ISNUMBER(P57)=FALSE,"n/a",MIN(MAX(P57-'Layer Comparison'!Excess_Past,0),'Layer Comparison'!Limit_Past)))</f>
        <v>1540945.4501000009</v>
      </c>
      <c r="U57" s="87">
        <f>IF(Dyn_Insured="","",IF(ISNUMBER(Q57)=FALSE,"n/a",MIN(MAX(Q57-'Layer Comparison'!Excess_Latest,0),'Layer Comparison'!Limit_Latest)))</f>
        <v>0</v>
      </c>
      <c r="V57" s="87">
        <f t="shared" si="39"/>
        <v>-1540945.4501000009</v>
      </c>
      <c r="W57" s="88">
        <f t="shared" si="10"/>
        <v>-1540945.4501000009</v>
      </c>
      <c r="X57" s="87">
        <v>29901908.254299995</v>
      </c>
      <c r="Y57" s="87">
        <v>19463836.70790001</v>
      </c>
      <c r="Z57" s="87">
        <f t="shared" si="40"/>
        <v>-10438071.546399985</v>
      </c>
      <c r="AA57" s="88">
        <f t="shared" si="12"/>
        <v>-10438071.546399985</v>
      </c>
      <c r="AB57" s="87">
        <f>IF(Dyn_Insured="","",IF(ISNUMBER(X57)=FALSE,"n/a",MIN(MAX(X57-'Layer Comparison'!Excess_Past,0),'Layer Comparison'!Limit_Past)))</f>
        <v>14901908.254299995</v>
      </c>
      <c r="AC57" s="87">
        <f>IF(Dyn_Insured="","",IF(ISNUMBER(Y57)=FALSE,"n/a",MIN(MAX(Y57-'Layer Comparison'!Excess_Latest,0),'Layer Comparison'!Limit_Latest)))</f>
        <v>4463836.70790001</v>
      </c>
      <c r="AD57" s="87">
        <f t="shared" si="41"/>
        <v>-10438071.546399985</v>
      </c>
      <c r="AE57" s="88">
        <f t="shared" si="14"/>
        <v>-10438071.546399985</v>
      </c>
      <c r="AF57" s="87">
        <v>43143248.275800005</v>
      </c>
      <c r="AG57" s="87">
        <v>29802209.816400006</v>
      </c>
      <c r="AH57" s="87">
        <f t="shared" si="42"/>
        <v>-13341038.459399998</v>
      </c>
      <c r="AI57" s="88">
        <f t="shared" si="16"/>
        <v>-13341038.459399998</v>
      </c>
      <c r="AJ57" s="87">
        <f>IF(Dyn_Insured="","",IF(ISNUMBER(AF57)=FALSE,"n/a",MIN(MAX(AF57-'Layer Comparison'!Excess_Past,0),'Layer Comparison'!Limit_Past)))</f>
        <v>28143248.275800005</v>
      </c>
      <c r="AK57" s="87">
        <f>IF(Dyn_Insured="","",IF(ISNUMBER(AG57)=FALSE,"n/a",MIN(MAX(AG57-'Layer Comparison'!Excess_Latest,0),'Layer Comparison'!Limit_Latest)))</f>
        <v>14802209.816400006</v>
      </c>
      <c r="AL57" s="87">
        <f t="shared" si="43"/>
        <v>-13341038.459399998</v>
      </c>
      <c r="AM57" s="88">
        <f t="shared" si="18"/>
        <v>-13341038.459399998</v>
      </c>
      <c r="AN57" s="87">
        <v>69621367.083000004</v>
      </c>
      <c r="AO57" s="87">
        <v>50968874.179200009</v>
      </c>
      <c r="AP57" s="87">
        <f t="shared" si="44"/>
        <v>-18652492.903799996</v>
      </c>
      <c r="AQ57" s="88">
        <f t="shared" si="20"/>
        <v>-18652492.903799996</v>
      </c>
      <c r="AR57" s="87">
        <f>IF(Dyn_Insured="","",IF(ISNUMBER(AN57)=FALSE,"n/a",MIN(MAX(AN57-'Layer Comparison'!Excess_Past,0),'Layer Comparison'!Limit_Past)))</f>
        <v>54621367.083000004</v>
      </c>
      <c r="AS57" s="87">
        <f>IF(Dyn_Insured="","",IF(ISNUMBER(AO57)=FALSE,"n/a",MIN(MAX(AO57-'Layer Comparison'!Excess_Latest,0),'Layer Comparison'!Limit_Latest)))</f>
        <v>35968874.179200009</v>
      </c>
      <c r="AT57" s="87">
        <f t="shared" si="45"/>
        <v>-18652492.903799996</v>
      </c>
      <c r="AU57" s="88">
        <f t="shared" si="22"/>
        <v>-18652492.903799996</v>
      </c>
      <c r="AV57" s="87">
        <v>96585490.920899972</v>
      </c>
      <c r="AW57" s="87">
        <v>72142729.169600025</v>
      </c>
      <c r="AX57" s="87">
        <f t="shared" si="46"/>
        <v>-24442761.751299948</v>
      </c>
      <c r="AY57" s="88">
        <f t="shared" si="24"/>
        <v>-24442761.751299948</v>
      </c>
      <c r="AZ57" s="87">
        <f>IF(Dyn_Insured="","",IF(ISNUMBER(AV57)=FALSE,"n/a",MIN(MAX(AV57-'Layer Comparison'!Excess_Past,0),'Layer Comparison'!Limit_Past)))</f>
        <v>81585490.920899972</v>
      </c>
      <c r="BA57" s="87">
        <f>IF(Dyn_Insured="","",IF(ISNUMBER(AW57)=FALSE,"n/a",MIN(MAX(AW57-'Layer Comparison'!Excess_Latest,0),'Layer Comparison'!Limit_Latest)))</f>
        <v>57142729.169600025</v>
      </c>
      <c r="BB57" s="87">
        <f t="shared" si="47"/>
        <v>-24442761.751299948</v>
      </c>
      <c r="BC57" s="88">
        <f t="shared" si="26"/>
        <v>-24442761.751299948</v>
      </c>
      <c r="BD57" s="87">
        <v>107739939.74540001</v>
      </c>
      <c r="BE57" s="87">
        <v>80781312.460599944</v>
      </c>
      <c r="BF57" s="87">
        <f t="shared" si="48"/>
        <v>-26958627.284800068</v>
      </c>
      <c r="BG57" s="88">
        <f t="shared" si="28"/>
        <v>-26958627.284800068</v>
      </c>
      <c r="BH57" s="87">
        <f>IF(Dyn_Insured="","",IF(ISNUMBER(BD57)=FALSE,"n/a",MIN(MAX(BD57-'Layer Comparison'!Excess_Past,0),'Layer Comparison'!Limit_Past)))</f>
        <v>92739939.745400012</v>
      </c>
      <c r="BI57" s="87">
        <f>IF(Dyn_Insured="","",IF(ISNUMBER(BE57)=FALSE,"n/a",MIN(MAX(BE57-'Layer Comparison'!Excess_Latest,0),'Layer Comparison'!Limit_Latest)))</f>
        <v>65781312.460599944</v>
      </c>
      <c r="BJ57" s="87">
        <f t="shared" si="49"/>
        <v>-26958627.284800068</v>
      </c>
      <c r="BK57" s="88">
        <f t="shared" si="30"/>
        <v>-26958627.284800068</v>
      </c>
      <c r="BL57" s="87">
        <v>110291956.51459996</v>
      </c>
      <c r="BM57" s="87">
        <v>82467884.186199978</v>
      </c>
      <c r="BN57" s="87">
        <f t="shared" si="50"/>
        <v>-27824072.328399986</v>
      </c>
      <c r="BO57" s="88">
        <f t="shared" si="32"/>
        <v>-27824072.328399986</v>
      </c>
      <c r="BP57" s="87">
        <f>IF(Dyn_Insured="","",IF(ISNUMBER(BL57)=FALSE,"n/a",MIN(MAX(BL57-'Layer Comparison'!Excess_Past,0),'Layer Comparison'!Limit_Past)))</f>
        <v>95291956.514599964</v>
      </c>
      <c r="BQ57" s="87">
        <f>IF(Dyn_Insured="","",IF(ISNUMBER(BM57)=FALSE,"n/a",MIN(MAX(BM57-'Layer Comparison'!Excess_Latest,0),'Layer Comparison'!Limit_Latest)))</f>
        <v>67467884.186199978</v>
      </c>
      <c r="BR57" s="87">
        <f t="shared" si="51"/>
        <v>-27824072.328399986</v>
      </c>
      <c r="BS57" s="88">
        <f t="shared" si="34"/>
        <v>-27824072.328399986</v>
      </c>
      <c r="BT57" s="46" t="s">
        <v>13</v>
      </c>
    </row>
    <row r="58" spans="1:72" x14ac:dyDescent="0.25">
      <c r="A58" s="89">
        <v>58</v>
      </c>
      <c r="B58" s="89">
        <f t="shared" si="0"/>
        <v>1</v>
      </c>
      <c r="C58" s="89">
        <f t="shared" si="1"/>
        <v>1</v>
      </c>
      <c r="D58" s="90">
        <f t="shared" si="52"/>
        <v>1</v>
      </c>
      <c r="E58" s="90">
        <f t="shared" si="52"/>
        <v>1</v>
      </c>
      <c r="F58" s="48" t="s">
        <v>99</v>
      </c>
      <c r="G58" s="38" t="s">
        <v>17</v>
      </c>
      <c r="H58" s="87">
        <v>6031661.4330000002</v>
      </c>
      <c r="I58" s="87">
        <v>3519033.5918999999</v>
      </c>
      <c r="J58" s="87">
        <f t="shared" si="36"/>
        <v>-2512627.8411000003</v>
      </c>
      <c r="K58" s="88">
        <f t="shared" si="4"/>
        <v>-2512627.8411000003</v>
      </c>
      <c r="L58" s="87">
        <f>IF(Dyn_Insured="","",IF(ISNUMBER(H58)=FALSE,"n/a",MIN(MAX(H58-'Layer Comparison'!Excess_Past,0),'Layer Comparison'!Limit_Past)))</f>
        <v>0</v>
      </c>
      <c r="M58" s="87">
        <f>IF(Dyn_Insured="","",IF(ISNUMBER(I58)=FALSE,"n/a",MIN(MAX(I58-'Layer Comparison'!Excess_Latest,0),'Layer Comparison'!Limit_Latest)))</f>
        <v>0</v>
      </c>
      <c r="N58" s="87">
        <f t="shared" si="37"/>
        <v>0</v>
      </c>
      <c r="O58" s="88">
        <f t="shared" si="6"/>
        <v>0</v>
      </c>
      <c r="P58" s="87">
        <v>17400885.980099995</v>
      </c>
      <c r="Q58" s="87">
        <v>12251349.8266</v>
      </c>
      <c r="R58" s="87">
        <f t="shared" si="38"/>
        <v>-5149536.1534999944</v>
      </c>
      <c r="S58" s="88">
        <f t="shared" si="8"/>
        <v>-5149536.1534999944</v>
      </c>
      <c r="T58" s="87">
        <f>IF(Dyn_Insured="","",IF(ISNUMBER(P58)=FALSE,"n/a",MIN(MAX(P58-'Layer Comparison'!Excess_Past,0),'Layer Comparison'!Limit_Past)))</f>
        <v>2400885.9800999947</v>
      </c>
      <c r="U58" s="87">
        <f>IF(Dyn_Insured="","",IF(ISNUMBER(Q58)=FALSE,"n/a",MIN(MAX(Q58-'Layer Comparison'!Excess_Latest,0),'Layer Comparison'!Limit_Latest)))</f>
        <v>0</v>
      </c>
      <c r="V58" s="87">
        <f t="shared" si="39"/>
        <v>-2400885.9800999947</v>
      </c>
      <c r="W58" s="88">
        <f t="shared" si="10"/>
        <v>-2400885.9800999947</v>
      </c>
      <c r="X58" s="87">
        <v>31259772.604100004</v>
      </c>
      <c r="Y58" s="87">
        <v>24047674.960200001</v>
      </c>
      <c r="Z58" s="87">
        <f t="shared" si="40"/>
        <v>-7212097.6439000033</v>
      </c>
      <c r="AA58" s="88">
        <f t="shared" si="12"/>
        <v>-7212097.6439000033</v>
      </c>
      <c r="AB58" s="87">
        <f>IF(Dyn_Insured="","",IF(ISNUMBER(X58)=FALSE,"n/a",MIN(MAX(X58-'Layer Comparison'!Excess_Past,0),'Layer Comparison'!Limit_Past)))</f>
        <v>16259772.604100004</v>
      </c>
      <c r="AC58" s="87">
        <f>IF(Dyn_Insured="","",IF(ISNUMBER(Y58)=FALSE,"n/a",MIN(MAX(Y58-'Layer Comparison'!Excess_Latest,0),'Layer Comparison'!Limit_Latest)))</f>
        <v>9047674.9602000006</v>
      </c>
      <c r="AD58" s="87">
        <f t="shared" si="41"/>
        <v>-7212097.6439000033</v>
      </c>
      <c r="AE58" s="88">
        <f t="shared" si="14"/>
        <v>-7212097.6439000033</v>
      </c>
      <c r="AF58" s="87">
        <v>45048131.277199984</v>
      </c>
      <c r="AG58" s="87">
        <v>35750021.967799999</v>
      </c>
      <c r="AH58" s="87">
        <f t="shared" si="42"/>
        <v>-9298109.3093999848</v>
      </c>
      <c r="AI58" s="88">
        <f t="shared" si="16"/>
        <v>-9298109.3093999848</v>
      </c>
      <c r="AJ58" s="87">
        <f>IF(Dyn_Insured="","",IF(ISNUMBER(AF58)=FALSE,"n/a",MIN(MAX(AF58-'Layer Comparison'!Excess_Past,0),'Layer Comparison'!Limit_Past)))</f>
        <v>30048131.277199984</v>
      </c>
      <c r="AK58" s="87">
        <f>IF(Dyn_Insured="","",IF(ISNUMBER(AG58)=FALSE,"n/a",MIN(MAX(AG58-'Layer Comparison'!Excess_Latest,0),'Layer Comparison'!Limit_Latest)))</f>
        <v>20750021.967799999</v>
      </c>
      <c r="AL58" s="87">
        <f t="shared" si="43"/>
        <v>-9298109.3093999848</v>
      </c>
      <c r="AM58" s="88">
        <f t="shared" si="18"/>
        <v>-9298109.3093999848</v>
      </c>
      <c r="AN58" s="87">
        <v>53291839.077099986</v>
      </c>
      <c r="AO58" s="87">
        <v>43004598.883000016</v>
      </c>
      <c r="AP58" s="87">
        <f t="shared" si="44"/>
        <v>-10287240.19409997</v>
      </c>
      <c r="AQ58" s="88">
        <f t="shared" si="20"/>
        <v>-10287240.19409997</v>
      </c>
      <c r="AR58" s="87">
        <f>IF(Dyn_Insured="","",IF(ISNUMBER(AN58)=FALSE,"n/a",MIN(MAX(AN58-'Layer Comparison'!Excess_Past,0),'Layer Comparison'!Limit_Past)))</f>
        <v>38291839.077099986</v>
      </c>
      <c r="AS58" s="87">
        <f>IF(Dyn_Insured="","",IF(ISNUMBER(AO58)=FALSE,"n/a",MIN(MAX(AO58-'Layer Comparison'!Excess_Latest,0),'Layer Comparison'!Limit_Latest)))</f>
        <v>28004598.883000016</v>
      </c>
      <c r="AT58" s="87">
        <f t="shared" si="45"/>
        <v>-10287240.19409997</v>
      </c>
      <c r="AU58" s="88">
        <f t="shared" si="22"/>
        <v>-10287240.19409997</v>
      </c>
      <c r="AV58" s="87">
        <v>53291839.077099986</v>
      </c>
      <c r="AW58" s="87">
        <v>43377988.320700012</v>
      </c>
      <c r="AX58" s="87">
        <f t="shared" si="46"/>
        <v>-9913850.7563999742</v>
      </c>
      <c r="AY58" s="88">
        <f t="shared" si="24"/>
        <v>-9913850.7563999742</v>
      </c>
      <c r="AZ58" s="87">
        <f>IF(Dyn_Insured="","",IF(ISNUMBER(AV58)=FALSE,"n/a",MIN(MAX(AV58-'Layer Comparison'!Excess_Past,0),'Layer Comparison'!Limit_Past)))</f>
        <v>38291839.077099986</v>
      </c>
      <c r="BA58" s="87">
        <f>IF(Dyn_Insured="","",IF(ISNUMBER(AW58)=FALSE,"n/a",MIN(MAX(AW58-'Layer Comparison'!Excess_Latest,0),'Layer Comparison'!Limit_Latest)))</f>
        <v>28377988.320700012</v>
      </c>
      <c r="BB58" s="87">
        <f t="shared" si="47"/>
        <v>-9913850.7563999742</v>
      </c>
      <c r="BC58" s="88">
        <f t="shared" si="26"/>
        <v>-9913850.7563999742</v>
      </c>
      <c r="BD58" s="87">
        <v>53291839.077099986</v>
      </c>
      <c r="BE58" s="87">
        <v>43377988.320700005</v>
      </c>
      <c r="BF58" s="87">
        <f t="shared" si="48"/>
        <v>-9913850.7563999817</v>
      </c>
      <c r="BG58" s="88">
        <f t="shared" si="28"/>
        <v>-9913850.7563999817</v>
      </c>
      <c r="BH58" s="87">
        <f>IF(Dyn_Insured="","",IF(ISNUMBER(BD58)=FALSE,"n/a",MIN(MAX(BD58-'Layer Comparison'!Excess_Past,0),'Layer Comparison'!Limit_Past)))</f>
        <v>38291839.077099986</v>
      </c>
      <c r="BI58" s="87">
        <f>IF(Dyn_Insured="","",IF(ISNUMBER(BE58)=FALSE,"n/a",MIN(MAX(BE58-'Layer Comparison'!Excess_Latest,0),'Layer Comparison'!Limit_Latest)))</f>
        <v>28377988.320700005</v>
      </c>
      <c r="BJ58" s="87">
        <f t="shared" si="49"/>
        <v>-9913850.7563999817</v>
      </c>
      <c r="BK58" s="88">
        <f t="shared" si="30"/>
        <v>-9913850.7563999817</v>
      </c>
      <c r="BL58" s="87">
        <v>53291839.077099986</v>
      </c>
      <c r="BM58" s="87">
        <v>43377988.320700012</v>
      </c>
      <c r="BN58" s="87">
        <f t="shared" si="50"/>
        <v>-9913850.7563999742</v>
      </c>
      <c r="BO58" s="88">
        <f t="shared" si="32"/>
        <v>-9913850.7563999742</v>
      </c>
      <c r="BP58" s="87">
        <f>IF(Dyn_Insured="","",IF(ISNUMBER(BL58)=FALSE,"n/a",MIN(MAX(BL58-'Layer Comparison'!Excess_Past,0),'Layer Comparison'!Limit_Past)))</f>
        <v>38291839.077099986</v>
      </c>
      <c r="BQ58" s="87">
        <f>IF(Dyn_Insured="","",IF(ISNUMBER(BM58)=FALSE,"n/a",MIN(MAX(BM58-'Layer Comparison'!Excess_Latest,0),'Layer Comparison'!Limit_Latest)))</f>
        <v>28377988.320700012</v>
      </c>
      <c r="BR58" s="87">
        <f t="shared" si="51"/>
        <v>-9913850.7563999742</v>
      </c>
      <c r="BS58" s="88">
        <f t="shared" si="34"/>
        <v>-9913850.7563999742</v>
      </c>
      <c r="BT58" s="46" t="s">
        <v>13</v>
      </c>
    </row>
    <row r="59" spans="1:72" x14ac:dyDescent="0.25">
      <c r="A59" s="89">
        <v>59</v>
      </c>
      <c r="B59" s="89">
        <f t="shared" si="0"/>
        <v>1</v>
      </c>
      <c r="C59" s="89">
        <f t="shared" si="1"/>
        <v>1</v>
      </c>
      <c r="D59" s="90">
        <f t="shared" si="52"/>
        <v>1</v>
      </c>
      <c r="E59" s="90">
        <f t="shared" si="52"/>
        <v>1</v>
      </c>
      <c r="F59" s="48" t="s">
        <v>100</v>
      </c>
      <c r="G59" s="38" t="s">
        <v>17</v>
      </c>
      <c r="H59" s="87">
        <v>1525079.9672000001</v>
      </c>
      <c r="I59" s="87">
        <v>1167627.2590999999</v>
      </c>
      <c r="J59" s="87">
        <f t="shared" si="36"/>
        <v>-357452.70810000016</v>
      </c>
      <c r="K59" s="88">
        <f t="shared" si="4"/>
        <v>-357452.70810000016</v>
      </c>
      <c r="L59" s="87">
        <f>IF(Dyn_Insured="","",IF(ISNUMBER(H59)=FALSE,"n/a",MIN(MAX(H59-'Layer Comparison'!Excess_Past,0),'Layer Comparison'!Limit_Past)))</f>
        <v>0</v>
      </c>
      <c r="M59" s="87">
        <f>IF(Dyn_Insured="","",IF(ISNUMBER(I59)=FALSE,"n/a",MIN(MAX(I59-'Layer Comparison'!Excess_Latest,0),'Layer Comparison'!Limit_Latest)))</f>
        <v>0</v>
      </c>
      <c r="N59" s="87">
        <f t="shared" si="37"/>
        <v>0</v>
      </c>
      <c r="O59" s="88">
        <f t="shared" si="6"/>
        <v>0</v>
      </c>
      <c r="P59" s="87">
        <v>9679730.4563999996</v>
      </c>
      <c r="Q59" s="87">
        <v>8828977.8526000008</v>
      </c>
      <c r="R59" s="87">
        <f t="shared" si="38"/>
        <v>-850752.60379999876</v>
      </c>
      <c r="S59" s="88">
        <f t="shared" si="8"/>
        <v>-850752.60379999876</v>
      </c>
      <c r="T59" s="87">
        <f>IF(Dyn_Insured="","",IF(ISNUMBER(P59)=FALSE,"n/a",MIN(MAX(P59-'Layer Comparison'!Excess_Past,0),'Layer Comparison'!Limit_Past)))</f>
        <v>0</v>
      </c>
      <c r="U59" s="87">
        <f>IF(Dyn_Insured="","",IF(ISNUMBER(Q59)=FALSE,"n/a",MIN(MAX(Q59-'Layer Comparison'!Excess_Latest,0),'Layer Comparison'!Limit_Latest)))</f>
        <v>0</v>
      </c>
      <c r="V59" s="87">
        <f t="shared" si="39"/>
        <v>0</v>
      </c>
      <c r="W59" s="88">
        <f t="shared" si="10"/>
        <v>0</v>
      </c>
      <c r="X59" s="87">
        <v>20328350.665999997</v>
      </c>
      <c r="Y59" s="87">
        <v>19650608.479600001</v>
      </c>
      <c r="Z59" s="87">
        <f t="shared" si="40"/>
        <v>-677742.18639999628</v>
      </c>
      <c r="AA59" s="88">
        <f t="shared" si="12"/>
        <v>-677742.18639999628</v>
      </c>
      <c r="AB59" s="87">
        <f>IF(Dyn_Insured="","",IF(ISNUMBER(X59)=FALSE,"n/a",MIN(MAX(X59-'Layer Comparison'!Excess_Past,0),'Layer Comparison'!Limit_Past)))</f>
        <v>5328350.6659999974</v>
      </c>
      <c r="AC59" s="87">
        <f>IF(Dyn_Insured="","",IF(ISNUMBER(Y59)=FALSE,"n/a",MIN(MAX(Y59-'Layer Comparison'!Excess_Latest,0),'Layer Comparison'!Limit_Latest)))</f>
        <v>4650608.4796000011</v>
      </c>
      <c r="AD59" s="87">
        <f t="shared" si="41"/>
        <v>-677742.18639999628</v>
      </c>
      <c r="AE59" s="88">
        <f t="shared" si="14"/>
        <v>-677742.18639999628</v>
      </c>
      <c r="AF59" s="87">
        <v>31119772.024800003</v>
      </c>
      <c r="AG59" s="87">
        <v>30895587.458999999</v>
      </c>
      <c r="AH59" s="87">
        <f t="shared" si="42"/>
        <v>-224184.56580000371</v>
      </c>
      <c r="AI59" s="88">
        <f t="shared" si="16"/>
        <v>-224184.56580000371</v>
      </c>
      <c r="AJ59" s="87">
        <f>IF(Dyn_Insured="","",IF(ISNUMBER(AF59)=FALSE,"n/a",MIN(MAX(AF59-'Layer Comparison'!Excess_Past,0),'Layer Comparison'!Limit_Past)))</f>
        <v>16119772.024800003</v>
      </c>
      <c r="AK59" s="87">
        <f>IF(Dyn_Insured="","",IF(ISNUMBER(AG59)=FALSE,"n/a",MIN(MAX(AG59-'Layer Comparison'!Excess_Latest,0),'Layer Comparison'!Limit_Latest)))</f>
        <v>15895587.458999999</v>
      </c>
      <c r="AL59" s="87">
        <f t="shared" si="43"/>
        <v>-224184.56580000371</v>
      </c>
      <c r="AM59" s="88">
        <f t="shared" si="18"/>
        <v>-224184.56580000371</v>
      </c>
      <c r="AN59" s="87">
        <v>54338989.637100011</v>
      </c>
      <c r="AO59" s="87">
        <v>55729233.818500005</v>
      </c>
      <c r="AP59" s="87">
        <f t="shared" si="44"/>
        <v>1390244.1813999936</v>
      </c>
      <c r="AQ59" s="88">
        <f t="shared" si="20"/>
        <v>1390244.1813999936</v>
      </c>
      <c r="AR59" s="87">
        <f>IF(Dyn_Insured="","",IF(ISNUMBER(AN59)=FALSE,"n/a",MIN(MAX(AN59-'Layer Comparison'!Excess_Past,0),'Layer Comparison'!Limit_Past)))</f>
        <v>39338989.637100011</v>
      </c>
      <c r="AS59" s="87">
        <f>IF(Dyn_Insured="","",IF(ISNUMBER(AO59)=FALSE,"n/a",MIN(MAX(AO59-'Layer Comparison'!Excess_Latest,0),'Layer Comparison'!Limit_Latest)))</f>
        <v>40729233.818500005</v>
      </c>
      <c r="AT59" s="87">
        <f t="shared" si="45"/>
        <v>1390244.1813999936</v>
      </c>
      <c r="AU59" s="88">
        <f t="shared" si="22"/>
        <v>1390244.1813999936</v>
      </c>
      <c r="AV59" s="87">
        <v>78609095.589200005</v>
      </c>
      <c r="AW59" s="87">
        <v>81377135.355499998</v>
      </c>
      <c r="AX59" s="87">
        <f t="shared" si="46"/>
        <v>2768039.7662999928</v>
      </c>
      <c r="AY59" s="88">
        <f t="shared" si="24"/>
        <v>2768039.7662999928</v>
      </c>
      <c r="AZ59" s="87">
        <f>IF(Dyn_Insured="","",IF(ISNUMBER(AV59)=FALSE,"n/a",MIN(MAX(AV59-'Layer Comparison'!Excess_Past,0),'Layer Comparison'!Limit_Past)))</f>
        <v>63609095.589200005</v>
      </c>
      <c r="BA59" s="87">
        <f>IF(Dyn_Insured="","",IF(ISNUMBER(AW59)=FALSE,"n/a",MIN(MAX(AW59-'Layer Comparison'!Excess_Latest,0),'Layer Comparison'!Limit_Latest)))</f>
        <v>66377135.355499998</v>
      </c>
      <c r="BB59" s="87">
        <f t="shared" si="47"/>
        <v>2768039.7662999928</v>
      </c>
      <c r="BC59" s="88">
        <f t="shared" si="26"/>
        <v>2768039.7662999928</v>
      </c>
      <c r="BD59" s="87">
        <v>103256665.01999995</v>
      </c>
      <c r="BE59" s="87">
        <v>104562857.79809999</v>
      </c>
      <c r="BF59" s="87">
        <f t="shared" si="48"/>
        <v>1306192.7781000435</v>
      </c>
      <c r="BG59" s="88">
        <f t="shared" si="28"/>
        <v>1306192.7781000435</v>
      </c>
      <c r="BH59" s="87">
        <f>IF(Dyn_Insured="","",IF(ISNUMBER(BD59)=FALSE,"n/a",MIN(MAX(BD59-'Layer Comparison'!Excess_Past,0),'Layer Comparison'!Limit_Past)))</f>
        <v>88256665.019999951</v>
      </c>
      <c r="BI59" s="87">
        <f>IF(Dyn_Insured="","",IF(ISNUMBER(BE59)=FALSE,"n/a",MIN(MAX(BE59-'Layer Comparison'!Excess_Latest,0),'Layer Comparison'!Limit_Latest)))</f>
        <v>89562857.798099995</v>
      </c>
      <c r="BJ59" s="87">
        <f t="shared" si="49"/>
        <v>1306192.7781000435</v>
      </c>
      <c r="BK59" s="88">
        <f t="shared" si="30"/>
        <v>1306192.7781000435</v>
      </c>
      <c r="BL59" s="87">
        <v>105101577.6397</v>
      </c>
      <c r="BM59" s="87">
        <v>106246182.6771</v>
      </c>
      <c r="BN59" s="87">
        <f t="shared" si="50"/>
        <v>1144605.0374000072</v>
      </c>
      <c r="BO59" s="88">
        <f t="shared" si="32"/>
        <v>1144605.0374000072</v>
      </c>
      <c r="BP59" s="87">
        <f>IF(Dyn_Insured="","",IF(ISNUMBER(BL59)=FALSE,"n/a",MIN(MAX(BL59-'Layer Comparison'!Excess_Past,0),'Layer Comparison'!Limit_Past)))</f>
        <v>90101577.639699996</v>
      </c>
      <c r="BQ59" s="87">
        <f>IF(Dyn_Insured="","",IF(ISNUMBER(BM59)=FALSE,"n/a",MIN(MAX(BM59-'Layer Comparison'!Excess_Latest,0),'Layer Comparison'!Limit_Latest)))</f>
        <v>91246182.677100003</v>
      </c>
      <c r="BR59" s="87">
        <f t="shared" si="51"/>
        <v>1144605.0374000072</v>
      </c>
      <c r="BS59" s="88">
        <f t="shared" si="34"/>
        <v>1144605.0374000072</v>
      </c>
      <c r="BT59" s="46" t="s">
        <v>13</v>
      </c>
    </row>
    <row r="60" spans="1:72" x14ac:dyDescent="0.25">
      <c r="A60" s="89">
        <v>60</v>
      </c>
      <c r="B60" s="89">
        <f t="shared" si="0"/>
        <v>1</v>
      </c>
      <c r="C60" s="89">
        <f t="shared" si="1"/>
        <v>1</v>
      </c>
      <c r="D60" s="90">
        <f t="shared" si="52"/>
        <v>1</v>
      </c>
      <c r="E60" s="90">
        <f t="shared" si="52"/>
        <v>1</v>
      </c>
      <c r="F60" s="48" t="s">
        <v>101</v>
      </c>
      <c r="G60" s="38" t="s">
        <v>17</v>
      </c>
      <c r="H60" s="87">
        <v>1684672.6572999998</v>
      </c>
      <c r="I60" s="87">
        <v>1620355.7002999999</v>
      </c>
      <c r="J60" s="87">
        <f t="shared" si="36"/>
        <v>-64316.956999999937</v>
      </c>
      <c r="K60" s="88">
        <f t="shared" si="4"/>
        <v>-64316.956999999937</v>
      </c>
      <c r="L60" s="87">
        <f>IF(Dyn_Insured="","",IF(ISNUMBER(H60)=FALSE,"n/a",MIN(MAX(H60-'Layer Comparison'!Excess_Past,0),'Layer Comparison'!Limit_Past)))</f>
        <v>0</v>
      </c>
      <c r="M60" s="87">
        <f>IF(Dyn_Insured="","",IF(ISNUMBER(I60)=FALSE,"n/a",MIN(MAX(I60-'Layer Comparison'!Excess_Latest,0),'Layer Comparison'!Limit_Latest)))</f>
        <v>0</v>
      </c>
      <c r="N60" s="87">
        <f t="shared" si="37"/>
        <v>0</v>
      </c>
      <c r="O60" s="88">
        <f t="shared" si="6"/>
        <v>0</v>
      </c>
      <c r="P60" s="87">
        <v>8974652.5289000012</v>
      </c>
      <c r="Q60" s="87">
        <v>9135360.1385999992</v>
      </c>
      <c r="R60" s="87">
        <f t="shared" si="38"/>
        <v>160707.60969999805</v>
      </c>
      <c r="S60" s="88">
        <f t="shared" si="8"/>
        <v>160707.60969999805</v>
      </c>
      <c r="T60" s="87">
        <f>IF(Dyn_Insured="","",IF(ISNUMBER(P60)=FALSE,"n/a",MIN(MAX(P60-'Layer Comparison'!Excess_Past,0),'Layer Comparison'!Limit_Past)))</f>
        <v>0</v>
      </c>
      <c r="U60" s="87">
        <f>IF(Dyn_Insured="","",IF(ISNUMBER(Q60)=FALSE,"n/a",MIN(MAX(Q60-'Layer Comparison'!Excess_Latest,0),'Layer Comparison'!Limit_Latest)))</f>
        <v>0</v>
      </c>
      <c r="V60" s="87">
        <f t="shared" si="39"/>
        <v>0</v>
      </c>
      <c r="W60" s="88">
        <f t="shared" si="10"/>
        <v>0</v>
      </c>
      <c r="X60" s="87">
        <v>18667014.634999998</v>
      </c>
      <c r="Y60" s="87">
        <v>17091174.772</v>
      </c>
      <c r="Z60" s="87">
        <f t="shared" si="40"/>
        <v>-1575839.862999998</v>
      </c>
      <c r="AA60" s="88">
        <f t="shared" si="12"/>
        <v>-1575839.862999998</v>
      </c>
      <c r="AB60" s="87">
        <f>IF(Dyn_Insured="","",IF(ISNUMBER(X60)=FALSE,"n/a",MIN(MAX(X60-'Layer Comparison'!Excess_Past,0),'Layer Comparison'!Limit_Past)))</f>
        <v>3667014.6349999979</v>
      </c>
      <c r="AC60" s="87">
        <f>IF(Dyn_Insured="","",IF(ISNUMBER(Y60)=FALSE,"n/a",MIN(MAX(Y60-'Layer Comparison'!Excess_Latest,0),'Layer Comparison'!Limit_Latest)))</f>
        <v>2091174.7719999999</v>
      </c>
      <c r="AD60" s="87">
        <f t="shared" si="41"/>
        <v>-1575839.862999998</v>
      </c>
      <c r="AE60" s="88">
        <f t="shared" si="14"/>
        <v>-1575839.862999998</v>
      </c>
      <c r="AF60" s="87">
        <v>28300510.276299998</v>
      </c>
      <c r="AG60" s="87">
        <v>25971623.217299998</v>
      </c>
      <c r="AH60" s="87">
        <f t="shared" si="42"/>
        <v>-2328887.0590000004</v>
      </c>
      <c r="AI60" s="88">
        <f t="shared" si="16"/>
        <v>-2328887.0590000004</v>
      </c>
      <c r="AJ60" s="87">
        <f>IF(Dyn_Insured="","",IF(ISNUMBER(AF60)=FALSE,"n/a",MIN(MAX(AF60-'Layer Comparison'!Excess_Past,0),'Layer Comparison'!Limit_Past)))</f>
        <v>13300510.276299998</v>
      </c>
      <c r="AK60" s="87">
        <f>IF(Dyn_Insured="","",IF(ISNUMBER(AG60)=FALSE,"n/a",MIN(MAX(AG60-'Layer Comparison'!Excess_Latest,0),'Layer Comparison'!Limit_Latest)))</f>
        <v>10971623.217299998</v>
      </c>
      <c r="AL60" s="87">
        <f t="shared" si="43"/>
        <v>-2328887.0590000004</v>
      </c>
      <c r="AM60" s="88">
        <f t="shared" si="18"/>
        <v>-2328887.0590000004</v>
      </c>
      <c r="AN60" s="87">
        <v>47881747.96230001</v>
      </c>
      <c r="AO60" s="87">
        <v>44721720.163599998</v>
      </c>
      <c r="AP60" s="87">
        <f t="shared" si="44"/>
        <v>-3160027.7987000123</v>
      </c>
      <c r="AQ60" s="88">
        <f t="shared" si="20"/>
        <v>-3160027.7987000123</v>
      </c>
      <c r="AR60" s="87">
        <f>IF(Dyn_Insured="","",IF(ISNUMBER(AN60)=FALSE,"n/a",MIN(MAX(AN60-'Layer Comparison'!Excess_Past,0),'Layer Comparison'!Limit_Past)))</f>
        <v>32881747.96230001</v>
      </c>
      <c r="AS60" s="87">
        <f>IF(Dyn_Insured="","",IF(ISNUMBER(AO60)=FALSE,"n/a",MIN(MAX(AO60-'Layer Comparison'!Excess_Latest,0),'Layer Comparison'!Limit_Latest)))</f>
        <v>29721720.163599998</v>
      </c>
      <c r="AT60" s="87">
        <f t="shared" si="45"/>
        <v>-3160027.7987000123</v>
      </c>
      <c r="AU60" s="88">
        <f t="shared" si="22"/>
        <v>-3160027.7987000123</v>
      </c>
      <c r="AV60" s="87">
        <v>68418170.631400004</v>
      </c>
      <c r="AW60" s="87">
        <v>63874936.960199982</v>
      </c>
      <c r="AX60" s="87">
        <f t="shared" si="46"/>
        <v>-4543233.6712000221</v>
      </c>
      <c r="AY60" s="88">
        <f t="shared" si="24"/>
        <v>-4543233.6712000221</v>
      </c>
      <c r="AZ60" s="87">
        <f>IF(Dyn_Insured="","",IF(ISNUMBER(AV60)=FALSE,"n/a",MIN(MAX(AV60-'Layer Comparison'!Excess_Past,0),'Layer Comparison'!Limit_Past)))</f>
        <v>53418170.631400004</v>
      </c>
      <c r="BA60" s="87">
        <f>IF(Dyn_Insured="","",IF(ISNUMBER(AW60)=FALSE,"n/a",MIN(MAX(AW60-'Layer Comparison'!Excess_Latest,0),'Layer Comparison'!Limit_Latest)))</f>
        <v>48874936.960199982</v>
      </c>
      <c r="BB60" s="87">
        <f t="shared" si="47"/>
        <v>-4543233.6712000221</v>
      </c>
      <c r="BC60" s="88">
        <f t="shared" si="26"/>
        <v>-4543233.6712000221</v>
      </c>
      <c r="BD60" s="87">
        <v>88969319.238099933</v>
      </c>
      <c r="BE60" s="87">
        <v>81281840.762199998</v>
      </c>
      <c r="BF60" s="87">
        <f t="shared" si="48"/>
        <v>-7687478.4758999348</v>
      </c>
      <c r="BG60" s="88">
        <f t="shared" si="28"/>
        <v>-7687478.4758999348</v>
      </c>
      <c r="BH60" s="87">
        <f>IF(Dyn_Insured="","",IF(ISNUMBER(BD60)=FALSE,"n/a",MIN(MAX(BD60-'Layer Comparison'!Excess_Past,0),'Layer Comparison'!Limit_Past)))</f>
        <v>73969319.238099933</v>
      </c>
      <c r="BI60" s="87">
        <f>IF(Dyn_Insured="","",IF(ISNUMBER(BE60)=FALSE,"n/a",MIN(MAX(BE60-'Layer Comparison'!Excess_Latest,0),'Layer Comparison'!Limit_Latest)))</f>
        <v>66281840.762199998</v>
      </c>
      <c r="BJ60" s="87">
        <f t="shared" si="49"/>
        <v>-7687478.4758999348</v>
      </c>
      <c r="BK60" s="88">
        <f t="shared" si="30"/>
        <v>-7687478.4758999348</v>
      </c>
      <c r="BL60" s="87">
        <v>91409523.114200056</v>
      </c>
      <c r="BM60" s="87">
        <v>83258082.887899995</v>
      </c>
      <c r="BN60" s="87">
        <f t="shared" si="50"/>
        <v>-8151440.2263000607</v>
      </c>
      <c r="BO60" s="88">
        <f t="shared" si="32"/>
        <v>-8151440.2263000607</v>
      </c>
      <c r="BP60" s="87">
        <f>IF(Dyn_Insured="","",IF(ISNUMBER(BL60)=FALSE,"n/a",MIN(MAX(BL60-'Layer Comparison'!Excess_Past,0),'Layer Comparison'!Limit_Past)))</f>
        <v>76409523.114200056</v>
      </c>
      <c r="BQ60" s="87">
        <f>IF(Dyn_Insured="","",IF(ISNUMBER(BM60)=FALSE,"n/a",MIN(MAX(BM60-'Layer Comparison'!Excess_Latest,0),'Layer Comparison'!Limit_Latest)))</f>
        <v>68258082.887899995</v>
      </c>
      <c r="BR60" s="87">
        <f t="shared" si="51"/>
        <v>-8151440.2263000607</v>
      </c>
      <c r="BS60" s="88">
        <f t="shared" si="34"/>
        <v>-8151440.2263000607</v>
      </c>
      <c r="BT60" s="46" t="s">
        <v>13</v>
      </c>
    </row>
    <row r="61" spans="1:72" x14ac:dyDescent="0.25">
      <c r="A61" s="89">
        <v>61</v>
      </c>
      <c r="B61" s="89">
        <f t="shared" si="0"/>
        <v>1</v>
      </c>
      <c r="C61" s="89">
        <f t="shared" si="1"/>
        <v>1</v>
      </c>
      <c r="D61" s="90">
        <f t="shared" si="52"/>
        <v>1</v>
      </c>
      <c r="E61" s="90">
        <f t="shared" si="52"/>
        <v>1</v>
      </c>
      <c r="F61" s="48" t="s">
        <v>102</v>
      </c>
      <c r="G61" s="38" t="s">
        <v>17</v>
      </c>
      <c r="H61" s="87">
        <v>3433669.9231000002</v>
      </c>
      <c r="I61" s="87">
        <v>2066517.4477999997</v>
      </c>
      <c r="J61" s="87">
        <f t="shared" si="36"/>
        <v>-1367152.4753000005</v>
      </c>
      <c r="K61" s="88">
        <f t="shared" si="4"/>
        <v>-1367152.4753000005</v>
      </c>
      <c r="L61" s="87">
        <f>IF(Dyn_Insured="","",IF(ISNUMBER(H61)=FALSE,"n/a",MIN(MAX(H61-'Layer Comparison'!Excess_Past,0),'Layer Comparison'!Limit_Past)))</f>
        <v>0</v>
      </c>
      <c r="M61" s="87">
        <f>IF(Dyn_Insured="","",IF(ISNUMBER(I61)=FALSE,"n/a",MIN(MAX(I61-'Layer Comparison'!Excess_Latest,0),'Layer Comparison'!Limit_Latest)))</f>
        <v>0</v>
      </c>
      <c r="N61" s="87">
        <f t="shared" si="37"/>
        <v>0</v>
      </c>
      <c r="O61" s="88">
        <f t="shared" si="6"/>
        <v>0</v>
      </c>
      <c r="P61" s="87">
        <v>14677809.0167</v>
      </c>
      <c r="Q61" s="87">
        <v>10786554.914400002</v>
      </c>
      <c r="R61" s="87">
        <f t="shared" si="38"/>
        <v>-3891254.1022999976</v>
      </c>
      <c r="S61" s="88">
        <f t="shared" si="8"/>
        <v>-3891254.1022999976</v>
      </c>
      <c r="T61" s="87">
        <f>IF(Dyn_Insured="","",IF(ISNUMBER(P61)=FALSE,"n/a",MIN(MAX(P61-'Layer Comparison'!Excess_Past,0),'Layer Comparison'!Limit_Past)))</f>
        <v>0</v>
      </c>
      <c r="U61" s="87">
        <f>IF(Dyn_Insured="","",IF(ISNUMBER(Q61)=FALSE,"n/a",MIN(MAX(Q61-'Layer Comparison'!Excess_Latest,0),'Layer Comparison'!Limit_Latest)))</f>
        <v>0</v>
      </c>
      <c r="V61" s="87">
        <f t="shared" si="39"/>
        <v>0</v>
      </c>
      <c r="W61" s="88">
        <f t="shared" si="10"/>
        <v>0</v>
      </c>
      <c r="X61" s="87">
        <v>26650274.757299993</v>
      </c>
      <c r="Y61" s="87">
        <v>19998360.380899999</v>
      </c>
      <c r="Z61" s="87">
        <f t="shared" si="40"/>
        <v>-6651914.3763999939</v>
      </c>
      <c r="AA61" s="88">
        <f t="shared" si="12"/>
        <v>-6651914.3763999939</v>
      </c>
      <c r="AB61" s="87">
        <f>IF(Dyn_Insured="","",IF(ISNUMBER(X61)=FALSE,"n/a",MIN(MAX(X61-'Layer Comparison'!Excess_Past,0),'Layer Comparison'!Limit_Past)))</f>
        <v>11650274.757299993</v>
      </c>
      <c r="AC61" s="87">
        <f>IF(Dyn_Insured="","",IF(ISNUMBER(Y61)=FALSE,"n/a",MIN(MAX(Y61-'Layer Comparison'!Excess_Latest,0),'Layer Comparison'!Limit_Latest)))</f>
        <v>4998360.3808999993</v>
      </c>
      <c r="AD61" s="87">
        <f t="shared" si="41"/>
        <v>-6651914.3763999939</v>
      </c>
      <c r="AE61" s="88">
        <f t="shared" si="14"/>
        <v>-6651914.3763999939</v>
      </c>
      <c r="AF61" s="87">
        <v>39441755.473499998</v>
      </c>
      <c r="AG61" s="87">
        <v>29629777.068099998</v>
      </c>
      <c r="AH61" s="87">
        <f t="shared" si="42"/>
        <v>-9811978.4054000005</v>
      </c>
      <c r="AI61" s="88">
        <f t="shared" si="16"/>
        <v>-9811978.4054000005</v>
      </c>
      <c r="AJ61" s="87">
        <f>IF(Dyn_Insured="","",IF(ISNUMBER(AF61)=FALSE,"n/a",MIN(MAX(AF61-'Layer Comparison'!Excess_Past,0),'Layer Comparison'!Limit_Past)))</f>
        <v>24441755.473499998</v>
      </c>
      <c r="AK61" s="87">
        <f>IF(Dyn_Insured="","",IF(ISNUMBER(AG61)=FALSE,"n/a",MIN(MAX(AG61-'Layer Comparison'!Excess_Latest,0),'Layer Comparison'!Limit_Latest)))</f>
        <v>14629777.068099998</v>
      </c>
      <c r="AL61" s="87">
        <f t="shared" si="43"/>
        <v>-9811978.4054000005</v>
      </c>
      <c r="AM61" s="88">
        <f t="shared" si="18"/>
        <v>-9811978.4054000005</v>
      </c>
      <c r="AN61" s="87">
        <v>60312609.874800004</v>
      </c>
      <c r="AO61" s="87">
        <v>45911717.011400007</v>
      </c>
      <c r="AP61" s="87">
        <f t="shared" si="44"/>
        <v>-14400892.863399997</v>
      </c>
      <c r="AQ61" s="88">
        <f t="shared" si="20"/>
        <v>-14400892.863399997</v>
      </c>
      <c r="AR61" s="87">
        <f>IF(Dyn_Insured="","",IF(ISNUMBER(AN61)=FALSE,"n/a",MIN(MAX(AN61-'Layer Comparison'!Excess_Past,0),'Layer Comparison'!Limit_Past)))</f>
        <v>45312609.874800004</v>
      </c>
      <c r="AS61" s="87">
        <f>IF(Dyn_Insured="","",IF(ISNUMBER(AO61)=FALSE,"n/a",MIN(MAX(AO61-'Layer Comparison'!Excess_Latest,0),'Layer Comparison'!Limit_Latest)))</f>
        <v>30911717.011400007</v>
      </c>
      <c r="AT61" s="87">
        <f t="shared" si="45"/>
        <v>-14400892.863399997</v>
      </c>
      <c r="AU61" s="88">
        <f t="shared" si="22"/>
        <v>-14400892.863399997</v>
      </c>
      <c r="AV61" s="87">
        <v>62362346.833299994</v>
      </c>
      <c r="AW61" s="87">
        <v>47554416.467100002</v>
      </c>
      <c r="AX61" s="87">
        <f t="shared" si="46"/>
        <v>-14807930.366199993</v>
      </c>
      <c r="AY61" s="88">
        <f t="shared" si="24"/>
        <v>-14807930.366199993</v>
      </c>
      <c r="AZ61" s="87">
        <f>IF(Dyn_Insured="","",IF(ISNUMBER(AV61)=FALSE,"n/a",MIN(MAX(AV61-'Layer Comparison'!Excess_Past,0),'Layer Comparison'!Limit_Past)))</f>
        <v>47362346.833299994</v>
      </c>
      <c r="BA61" s="87">
        <f>IF(Dyn_Insured="","",IF(ISNUMBER(AW61)=FALSE,"n/a",MIN(MAX(AW61-'Layer Comparison'!Excess_Latest,0),'Layer Comparison'!Limit_Latest)))</f>
        <v>32554416.467100002</v>
      </c>
      <c r="BB61" s="87">
        <f t="shared" si="47"/>
        <v>-14807930.366199993</v>
      </c>
      <c r="BC61" s="88">
        <f t="shared" si="26"/>
        <v>-14807930.366199993</v>
      </c>
      <c r="BD61" s="87">
        <v>62362346.833299994</v>
      </c>
      <c r="BE61" s="87">
        <v>47554416.467100009</v>
      </c>
      <c r="BF61" s="87">
        <f t="shared" si="48"/>
        <v>-14807930.366199985</v>
      </c>
      <c r="BG61" s="88">
        <f t="shared" si="28"/>
        <v>-14807930.366199985</v>
      </c>
      <c r="BH61" s="87">
        <f>IF(Dyn_Insured="","",IF(ISNUMBER(BD61)=FALSE,"n/a",MIN(MAX(BD61-'Layer Comparison'!Excess_Past,0),'Layer Comparison'!Limit_Past)))</f>
        <v>47362346.833299994</v>
      </c>
      <c r="BI61" s="87">
        <f>IF(Dyn_Insured="","",IF(ISNUMBER(BE61)=FALSE,"n/a",MIN(MAX(BE61-'Layer Comparison'!Excess_Latest,0),'Layer Comparison'!Limit_Latest)))</f>
        <v>32554416.467100009</v>
      </c>
      <c r="BJ61" s="87">
        <f t="shared" si="49"/>
        <v>-14807930.366199985</v>
      </c>
      <c r="BK61" s="88">
        <f t="shared" si="30"/>
        <v>-14807930.366199985</v>
      </c>
      <c r="BL61" s="87">
        <v>62362346.833299994</v>
      </c>
      <c r="BM61" s="87">
        <v>47554416.467100009</v>
      </c>
      <c r="BN61" s="87">
        <f t="shared" si="50"/>
        <v>-14807930.366199985</v>
      </c>
      <c r="BO61" s="88">
        <f t="shared" si="32"/>
        <v>-14807930.366199985</v>
      </c>
      <c r="BP61" s="87">
        <f>IF(Dyn_Insured="","",IF(ISNUMBER(BL61)=FALSE,"n/a",MIN(MAX(BL61-'Layer Comparison'!Excess_Past,0),'Layer Comparison'!Limit_Past)))</f>
        <v>47362346.833299994</v>
      </c>
      <c r="BQ61" s="87">
        <f>IF(Dyn_Insured="","",IF(ISNUMBER(BM61)=FALSE,"n/a",MIN(MAX(BM61-'Layer Comparison'!Excess_Latest,0),'Layer Comparison'!Limit_Latest)))</f>
        <v>32554416.467100009</v>
      </c>
      <c r="BR61" s="87">
        <f t="shared" si="51"/>
        <v>-14807930.366199985</v>
      </c>
      <c r="BS61" s="88">
        <f t="shared" si="34"/>
        <v>-14807930.366199985</v>
      </c>
      <c r="BT61" s="46" t="s">
        <v>13</v>
      </c>
    </row>
    <row r="62" spans="1:72" x14ac:dyDescent="0.25">
      <c r="A62" s="89">
        <v>62</v>
      </c>
      <c r="B62" s="89">
        <f t="shared" si="0"/>
        <v>1</v>
      </c>
      <c r="C62" s="89">
        <f t="shared" si="1"/>
        <v>1</v>
      </c>
      <c r="D62" s="90">
        <f t="shared" si="52"/>
        <v>1</v>
      </c>
      <c r="E62" s="90">
        <f t="shared" si="52"/>
        <v>1</v>
      </c>
      <c r="F62" s="48" t="s">
        <v>103</v>
      </c>
      <c r="G62" s="38" t="s">
        <v>17</v>
      </c>
      <c r="H62" s="87">
        <v>3719434.7719000001</v>
      </c>
      <c r="I62" s="87">
        <v>1702333.9707000004</v>
      </c>
      <c r="J62" s="87">
        <f t="shared" si="36"/>
        <v>-2017100.8011999996</v>
      </c>
      <c r="K62" s="88">
        <f t="shared" si="4"/>
        <v>-2017100.8011999996</v>
      </c>
      <c r="L62" s="87">
        <f>IF(Dyn_Insured="","",IF(ISNUMBER(H62)=FALSE,"n/a",MIN(MAX(H62-'Layer Comparison'!Excess_Past,0),'Layer Comparison'!Limit_Past)))</f>
        <v>0</v>
      </c>
      <c r="M62" s="87">
        <f>IF(Dyn_Insured="","",IF(ISNUMBER(I62)=FALSE,"n/a",MIN(MAX(I62-'Layer Comparison'!Excess_Latest,0),'Layer Comparison'!Limit_Latest)))</f>
        <v>0</v>
      </c>
      <c r="N62" s="87">
        <f t="shared" si="37"/>
        <v>0</v>
      </c>
      <c r="O62" s="88">
        <f t="shared" si="6"/>
        <v>0</v>
      </c>
      <c r="P62" s="87">
        <v>13838215.878999999</v>
      </c>
      <c r="Q62" s="87">
        <v>8652647.0678000003</v>
      </c>
      <c r="R62" s="87">
        <f t="shared" si="38"/>
        <v>-5185568.8111999985</v>
      </c>
      <c r="S62" s="88">
        <f t="shared" si="8"/>
        <v>-5185568.8111999985</v>
      </c>
      <c r="T62" s="87">
        <f>IF(Dyn_Insured="","",IF(ISNUMBER(P62)=FALSE,"n/a",MIN(MAX(P62-'Layer Comparison'!Excess_Past,0),'Layer Comparison'!Limit_Past)))</f>
        <v>0</v>
      </c>
      <c r="U62" s="87">
        <f>IF(Dyn_Insured="","",IF(ISNUMBER(Q62)=FALSE,"n/a",MIN(MAX(Q62-'Layer Comparison'!Excess_Latest,0),'Layer Comparison'!Limit_Latest)))</f>
        <v>0</v>
      </c>
      <c r="V62" s="87">
        <f t="shared" si="39"/>
        <v>0</v>
      </c>
      <c r="W62" s="88">
        <f t="shared" si="10"/>
        <v>0</v>
      </c>
      <c r="X62" s="87">
        <v>24758658.302699998</v>
      </c>
      <c r="Y62" s="87">
        <v>17040185.759200003</v>
      </c>
      <c r="Z62" s="87">
        <f t="shared" si="40"/>
        <v>-7718472.543499995</v>
      </c>
      <c r="AA62" s="88">
        <f t="shared" si="12"/>
        <v>-7718472.543499995</v>
      </c>
      <c r="AB62" s="87">
        <f>IF(Dyn_Insured="","",IF(ISNUMBER(X62)=FALSE,"n/a",MIN(MAX(X62-'Layer Comparison'!Excess_Past,0),'Layer Comparison'!Limit_Past)))</f>
        <v>9758658.302699998</v>
      </c>
      <c r="AC62" s="87">
        <f>IF(Dyn_Insured="","",IF(ISNUMBER(Y62)=FALSE,"n/a",MIN(MAX(Y62-'Layer Comparison'!Excess_Latest,0),'Layer Comparison'!Limit_Latest)))</f>
        <v>2040185.759200003</v>
      </c>
      <c r="AD62" s="87">
        <f t="shared" si="41"/>
        <v>-7718472.543499995</v>
      </c>
      <c r="AE62" s="88">
        <f t="shared" si="14"/>
        <v>-7718472.543499995</v>
      </c>
      <c r="AF62" s="87">
        <v>36841677.903399996</v>
      </c>
      <c r="AG62" s="87">
        <v>25900858.480600007</v>
      </c>
      <c r="AH62" s="87">
        <f t="shared" si="42"/>
        <v>-10940819.42279999</v>
      </c>
      <c r="AI62" s="88">
        <f t="shared" si="16"/>
        <v>-10940819.42279999</v>
      </c>
      <c r="AJ62" s="87">
        <f>IF(Dyn_Insured="","",IF(ISNUMBER(AF62)=FALSE,"n/a",MIN(MAX(AF62-'Layer Comparison'!Excess_Past,0),'Layer Comparison'!Limit_Past)))</f>
        <v>21841677.903399996</v>
      </c>
      <c r="AK62" s="87">
        <f>IF(Dyn_Insured="","",IF(ISNUMBER(AG62)=FALSE,"n/a",MIN(MAX(AG62-'Layer Comparison'!Excess_Latest,0),'Layer Comparison'!Limit_Latest)))</f>
        <v>10900858.480600007</v>
      </c>
      <c r="AL62" s="87">
        <f t="shared" si="43"/>
        <v>-10940819.42279999</v>
      </c>
      <c r="AM62" s="88">
        <f t="shared" si="18"/>
        <v>-10940819.42279999</v>
      </c>
      <c r="AN62" s="87">
        <v>60455096.893100001</v>
      </c>
      <c r="AO62" s="87">
        <v>42709854.549699992</v>
      </c>
      <c r="AP62" s="87">
        <f t="shared" si="44"/>
        <v>-17745242.343400009</v>
      </c>
      <c r="AQ62" s="88">
        <f t="shared" si="20"/>
        <v>-17745242.343400009</v>
      </c>
      <c r="AR62" s="87">
        <f>IF(Dyn_Insured="","",IF(ISNUMBER(AN62)=FALSE,"n/a",MIN(MAX(AN62-'Layer Comparison'!Excess_Past,0),'Layer Comparison'!Limit_Past)))</f>
        <v>45455096.893100001</v>
      </c>
      <c r="AS62" s="87">
        <f>IF(Dyn_Insured="","",IF(ISNUMBER(AO62)=FALSE,"n/a",MIN(MAX(AO62-'Layer Comparison'!Excess_Latest,0),'Layer Comparison'!Limit_Latest)))</f>
        <v>27709854.549699992</v>
      </c>
      <c r="AT62" s="87">
        <f t="shared" si="45"/>
        <v>-17745242.343400009</v>
      </c>
      <c r="AU62" s="88">
        <f t="shared" si="22"/>
        <v>-17745242.343400009</v>
      </c>
      <c r="AV62" s="87">
        <v>68162437.830300018</v>
      </c>
      <c r="AW62" s="87">
        <v>48435987.430100001</v>
      </c>
      <c r="AX62" s="87">
        <f t="shared" si="46"/>
        <v>-19726450.400200017</v>
      </c>
      <c r="AY62" s="88">
        <f t="shared" si="24"/>
        <v>-19726450.400200017</v>
      </c>
      <c r="AZ62" s="87">
        <f>IF(Dyn_Insured="","",IF(ISNUMBER(AV62)=FALSE,"n/a",MIN(MAX(AV62-'Layer Comparison'!Excess_Past,0),'Layer Comparison'!Limit_Past)))</f>
        <v>53162437.830300018</v>
      </c>
      <c r="BA62" s="87">
        <f>IF(Dyn_Insured="","",IF(ISNUMBER(AW62)=FALSE,"n/a",MIN(MAX(AW62-'Layer Comparison'!Excess_Latest,0),'Layer Comparison'!Limit_Latest)))</f>
        <v>33435987.430100001</v>
      </c>
      <c r="BB62" s="87">
        <f t="shared" si="47"/>
        <v>-19726450.400200017</v>
      </c>
      <c r="BC62" s="88">
        <f t="shared" si="26"/>
        <v>-19726450.400200017</v>
      </c>
      <c r="BD62" s="87">
        <v>69912656.715000004</v>
      </c>
      <c r="BE62" s="87">
        <v>49868037.380700007</v>
      </c>
      <c r="BF62" s="87">
        <f t="shared" si="48"/>
        <v>-20044619.334299996</v>
      </c>
      <c r="BG62" s="88">
        <f t="shared" si="28"/>
        <v>-20044619.334299996</v>
      </c>
      <c r="BH62" s="87">
        <f>IF(Dyn_Insured="","",IF(ISNUMBER(BD62)=FALSE,"n/a",MIN(MAX(BD62-'Layer Comparison'!Excess_Past,0),'Layer Comparison'!Limit_Past)))</f>
        <v>54912656.715000004</v>
      </c>
      <c r="BI62" s="87">
        <f>IF(Dyn_Insured="","",IF(ISNUMBER(BE62)=FALSE,"n/a",MIN(MAX(BE62-'Layer Comparison'!Excess_Latest,0),'Layer Comparison'!Limit_Latest)))</f>
        <v>34868037.380700007</v>
      </c>
      <c r="BJ62" s="87">
        <f t="shared" si="49"/>
        <v>-20044619.334299996</v>
      </c>
      <c r="BK62" s="88">
        <f t="shared" si="30"/>
        <v>-20044619.334299996</v>
      </c>
      <c r="BL62" s="87">
        <v>70251366.359299988</v>
      </c>
      <c r="BM62" s="87">
        <v>50159037.410400003</v>
      </c>
      <c r="BN62" s="87">
        <f t="shared" si="50"/>
        <v>-20092328.948899984</v>
      </c>
      <c r="BO62" s="88">
        <f t="shared" si="32"/>
        <v>-20092328.948899984</v>
      </c>
      <c r="BP62" s="87">
        <f>IF(Dyn_Insured="","",IF(ISNUMBER(BL62)=FALSE,"n/a",MIN(MAX(BL62-'Layer Comparison'!Excess_Past,0),'Layer Comparison'!Limit_Past)))</f>
        <v>55251366.359299988</v>
      </c>
      <c r="BQ62" s="87">
        <f>IF(Dyn_Insured="","",IF(ISNUMBER(BM62)=FALSE,"n/a",MIN(MAX(BM62-'Layer Comparison'!Excess_Latest,0),'Layer Comparison'!Limit_Latest)))</f>
        <v>35159037.410400003</v>
      </c>
      <c r="BR62" s="87">
        <f t="shared" si="51"/>
        <v>-20092328.948899984</v>
      </c>
      <c r="BS62" s="88">
        <f t="shared" si="34"/>
        <v>-20092328.948899984</v>
      </c>
      <c r="BT62" s="46" t="s">
        <v>13</v>
      </c>
    </row>
    <row r="63" spans="1:72" x14ac:dyDescent="0.25">
      <c r="A63" s="89">
        <v>63</v>
      </c>
      <c r="B63" s="89">
        <f t="shared" si="0"/>
        <v>1</v>
      </c>
      <c r="C63" s="89">
        <f t="shared" si="1"/>
        <v>1</v>
      </c>
      <c r="D63" s="90">
        <f t="shared" si="52"/>
        <v>1</v>
      </c>
      <c r="E63" s="90">
        <f t="shared" si="52"/>
        <v>1</v>
      </c>
      <c r="F63" s="48" t="s">
        <v>104</v>
      </c>
      <c r="G63" s="38" t="s">
        <v>17</v>
      </c>
      <c r="H63" s="87">
        <v>9458935.3363000005</v>
      </c>
      <c r="I63" s="87">
        <v>5841956.9546000008</v>
      </c>
      <c r="J63" s="87">
        <f t="shared" si="36"/>
        <v>-3616978.3816999998</v>
      </c>
      <c r="K63" s="88">
        <f t="shared" si="4"/>
        <v>-3616978.3816999998</v>
      </c>
      <c r="L63" s="87">
        <f>IF(Dyn_Insured="","",IF(ISNUMBER(H63)=FALSE,"n/a",MIN(MAX(H63-'Layer Comparison'!Excess_Past,0),'Layer Comparison'!Limit_Past)))</f>
        <v>0</v>
      </c>
      <c r="M63" s="87">
        <f>IF(Dyn_Insured="","",IF(ISNUMBER(I63)=FALSE,"n/a",MIN(MAX(I63-'Layer Comparison'!Excess_Latest,0),'Layer Comparison'!Limit_Latest)))</f>
        <v>0</v>
      </c>
      <c r="N63" s="87">
        <f t="shared" si="37"/>
        <v>0</v>
      </c>
      <c r="O63" s="88">
        <f t="shared" si="6"/>
        <v>0</v>
      </c>
      <c r="P63" s="87">
        <v>28028277.180399995</v>
      </c>
      <c r="Q63" s="87">
        <v>21408389.3957</v>
      </c>
      <c r="R63" s="87">
        <f t="shared" si="38"/>
        <v>-6619887.7846999951</v>
      </c>
      <c r="S63" s="88">
        <f t="shared" si="8"/>
        <v>-6619887.7846999951</v>
      </c>
      <c r="T63" s="87">
        <f>IF(Dyn_Insured="","",IF(ISNUMBER(P63)=FALSE,"n/a",MIN(MAX(P63-'Layer Comparison'!Excess_Past,0),'Layer Comparison'!Limit_Past)))</f>
        <v>13028277.180399995</v>
      </c>
      <c r="U63" s="87">
        <f>IF(Dyn_Insured="","",IF(ISNUMBER(Q63)=FALSE,"n/a",MIN(MAX(Q63-'Layer Comparison'!Excess_Latest,0),'Layer Comparison'!Limit_Latest)))</f>
        <v>6408389.3957000002</v>
      </c>
      <c r="V63" s="87">
        <f t="shared" si="39"/>
        <v>-6619887.7846999951</v>
      </c>
      <c r="W63" s="88">
        <f t="shared" si="10"/>
        <v>-6619887.7846999951</v>
      </c>
      <c r="X63" s="87">
        <v>45192314.177600004</v>
      </c>
      <c r="Y63" s="87">
        <v>35785065.639799997</v>
      </c>
      <c r="Z63" s="87">
        <f t="shared" si="40"/>
        <v>-9407248.5378000066</v>
      </c>
      <c r="AA63" s="88">
        <f t="shared" si="12"/>
        <v>-9407248.5378000066</v>
      </c>
      <c r="AB63" s="87">
        <f>IF(Dyn_Insured="","",IF(ISNUMBER(X63)=FALSE,"n/a",MIN(MAX(X63-'Layer Comparison'!Excess_Past,0),'Layer Comparison'!Limit_Past)))</f>
        <v>30192314.177600004</v>
      </c>
      <c r="AC63" s="87">
        <f>IF(Dyn_Insured="","",IF(ISNUMBER(Y63)=FALSE,"n/a",MIN(MAX(Y63-'Layer Comparison'!Excess_Latest,0),'Layer Comparison'!Limit_Latest)))</f>
        <v>20785065.639799997</v>
      </c>
      <c r="AD63" s="87">
        <f t="shared" si="41"/>
        <v>-9407248.5378000066</v>
      </c>
      <c r="AE63" s="88">
        <f t="shared" si="14"/>
        <v>-9407248.5378000066</v>
      </c>
      <c r="AF63" s="87">
        <v>50201640.682299994</v>
      </c>
      <c r="AG63" s="87">
        <v>40343829.069699995</v>
      </c>
      <c r="AH63" s="87">
        <f t="shared" si="42"/>
        <v>-9857811.6125999987</v>
      </c>
      <c r="AI63" s="88">
        <f t="shared" si="16"/>
        <v>-9857811.6125999987</v>
      </c>
      <c r="AJ63" s="87">
        <f>IF(Dyn_Insured="","",IF(ISNUMBER(AF63)=FALSE,"n/a",MIN(MAX(AF63-'Layer Comparison'!Excess_Past,0),'Layer Comparison'!Limit_Past)))</f>
        <v>35201640.682299994</v>
      </c>
      <c r="AK63" s="87">
        <f>IF(Dyn_Insured="","",IF(ISNUMBER(AG63)=FALSE,"n/a",MIN(MAX(AG63-'Layer Comparison'!Excess_Latest,0),'Layer Comparison'!Limit_Latest)))</f>
        <v>25343829.069699995</v>
      </c>
      <c r="AL63" s="87">
        <f t="shared" si="43"/>
        <v>-9857811.6125999987</v>
      </c>
      <c r="AM63" s="88">
        <f t="shared" si="18"/>
        <v>-9857811.6125999987</v>
      </c>
      <c r="AN63" s="87">
        <v>50201640.682299994</v>
      </c>
      <c r="AO63" s="87">
        <v>40343829.069699995</v>
      </c>
      <c r="AP63" s="87">
        <f t="shared" si="44"/>
        <v>-9857811.6125999987</v>
      </c>
      <c r="AQ63" s="88">
        <f t="shared" si="20"/>
        <v>-9857811.6125999987</v>
      </c>
      <c r="AR63" s="87">
        <f>IF(Dyn_Insured="","",IF(ISNUMBER(AN63)=FALSE,"n/a",MIN(MAX(AN63-'Layer Comparison'!Excess_Past,0),'Layer Comparison'!Limit_Past)))</f>
        <v>35201640.682299994</v>
      </c>
      <c r="AS63" s="87">
        <f>IF(Dyn_Insured="","",IF(ISNUMBER(AO63)=FALSE,"n/a",MIN(MAX(AO63-'Layer Comparison'!Excess_Latest,0),'Layer Comparison'!Limit_Latest)))</f>
        <v>25343829.069699995</v>
      </c>
      <c r="AT63" s="87">
        <f t="shared" si="45"/>
        <v>-9857811.6125999987</v>
      </c>
      <c r="AU63" s="88">
        <f t="shared" si="22"/>
        <v>-9857811.6125999987</v>
      </c>
      <c r="AV63" s="87">
        <v>50201640.682299994</v>
      </c>
      <c r="AW63" s="87">
        <v>40343829.069699995</v>
      </c>
      <c r="AX63" s="87">
        <f t="shared" si="46"/>
        <v>-9857811.6125999987</v>
      </c>
      <c r="AY63" s="88">
        <f t="shared" si="24"/>
        <v>-9857811.6125999987</v>
      </c>
      <c r="AZ63" s="87">
        <f>IF(Dyn_Insured="","",IF(ISNUMBER(AV63)=FALSE,"n/a",MIN(MAX(AV63-'Layer Comparison'!Excess_Past,0),'Layer Comparison'!Limit_Past)))</f>
        <v>35201640.682299994</v>
      </c>
      <c r="BA63" s="87">
        <f>IF(Dyn_Insured="","",IF(ISNUMBER(AW63)=FALSE,"n/a",MIN(MAX(AW63-'Layer Comparison'!Excess_Latest,0),'Layer Comparison'!Limit_Latest)))</f>
        <v>25343829.069699995</v>
      </c>
      <c r="BB63" s="87">
        <f t="shared" si="47"/>
        <v>-9857811.6125999987</v>
      </c>
      <c r="BC63" s="88">
        <f t="shared" si="26"/>
        <v>-9857811.6125999987</v>
      </c>
      <c r="BD63" s="87">
        <v>50201640.682299994</v>
      </c>
      <c r="BE63" s="87">
        <v>40343829.069699995</v>
      </c>
      <c r="BF63" s="87">
        <f t="shared" si="48"/>
        <v>-9857811.6125999987</v>
      </c>
      <c r="BG63" s="88">
        <f t="shared" si="28"/>
        <v>-9857811.6125999987</v>
      </c>
      <c r="BH63" s="87">
        <f>IF(Dyn_Insured="","",IF(ISNUMBER(BD63)=FALSE,"n/a",MIN(MAX(BD63-'Layer Comparison'!Excess_Past,0),'Layer Comparison'!Limit_Past)))</f>
        <v>35201640.682299994</v>
      </c>
      <c r="BI63" s="87">
        <f>IF(Dyn_Insured="","",IF(ISNUMBER(BE63)=FALSE,"n/a",MIN(MAX(BE63-'Layer Comparison'!Excess_Latest,0),'Layer Comparison'!Limit_Latest)))</f>
        <v>25343829.069699995</v>
      </c>
      <c r="BJ63" s="87">
        <f t="shared" si="49"/>
        <v>-9857811.6125999987</v>
      </c>
      <c r="BK63" s="88">
        <f t="shared" si="30"/>
        <v>-9857811.6125999987</v>
      </c>
      <c r="BL63" s="87">
        <v>50201640.682299994</v>
      </c>
      <c r="BM63" s="87">
        <v>40343829.069699988</v>
      </c>
      <c r="BN63" s="87">
        <f t="shared" si="50"/>
        <v>-9857811.6126000062</v>
      </c>
      <c r="BO63" s="88">
        <f t="shared" si="32"/>
        <v>-9857811.6126000062</v>
      </c>
      <c r="BP63" s="87">
        <f>IF(Dyn_Insured="","",IF(ISNUMBER(BL63)=FALSE,"n/a",MIN(MAX(BL63-'Layer Comparison'!Excess_Past,0),'Layer Comparison'!Limit_Past)))</f>
        <v>35201640.682299994</v>
      </c>
      <c r="BQ63" s="87">
        <f>IF(Dyn_Insured="","",IF(ISNUMBER(BM63)=FALSE,"n/a",MIN(MAX(BM63-'Layer Comparison'!Excess_Latest,0),'Layer Comparison'!Limit_Latest)))</f>
        <v>25343829.069699988</v>
      </c>
      <c r="BR63" s="87">
        <f t="shared" si="51"/>
        <v>-9857811.6126000062</v>
      </c>
      <c r="BS63" s="88">
        <f t="shared" si="34"/>
        <v>-9857811.6126000062</v>
      </c>
      <c r="BT63" s="46" t="s">
        <v>13</v>
      </c>
    </row>
    <row r="64" spans="1:72" x14ac:dyDescent="0.25">
      <c r="A64" s="89">
        <v>64</v>
      </c>
      <c r="B64" s="89">
        <f t="shared" si="0"/>
        <v>1</v>
      </c>
      <c r="C64" s="89">
        <f t="shared" si="1"/>
        <v>1</v>
      </c>
      <c r="D64" s="90">
        <f t="shared" si="52"/>
        <v>1</v>
      </c>
      <c r="E64" s="90">
        <f t="shared" si="52"/>
        <v>1</v>
      </c>
      <c r="F64" s="48" t="s">
        <v>105</v>
      </c>
      <c r="G64" s="38" t="s">
        <v>17</v>
      </c>
      <c r="H64" s="87">
        <v>3037638.5901999995</v>
      </c>
      <c r="I64" s="87">
        <v>1986676.4634000002</v>
      </c>
      <c r="J64" s="87">
        <f t="shared" si="36"/>
        <v>-1050962.1267999993</v>
      </c>
      <c r="K64" s="88">
        <f t="shared" si="4"/>
        <v>-1050962.1267999993</v>
      </c>
      <c r="L64" s="87">
        <f>IF(Dyn_Insured="","",IF(ISNUMBER(H64)=FALSE,"n/a",MIN(MAX(H64-'Layer Comparison'!Excess_Past,0),'Layer Comparison'!Limit_Past)))</f>
        <v>0</v>
      </c>
      <c r="M64" s="87">
        <f>IF(Dyn_Insured="","",IF(ISNUMBER(I64)=FALSE,"n/a",MIN(MAX(I64-'Layer Comparison'!Excess_Latest,0),'Layer Comparison'!Limit_Latest)))</f>
        <v>0</v>
      </c>
      <c r="N64" s="87">
        <f t="shared" si="37"/>
        <v>0</v>
      </c>
      <c r="O64" s="88">
        <f t="shared" si="6"/>
        <v>0</v>
      </c>
      <c r="P64" s="87">
        <v>13118250.996599998</v>
      </c>
      <c r="Q64" s="87">
        <v>11401850.406300001</v>
      </c>
      <c r="R64" s="87">
        <f t="shared" si="38"/>
        <v>-1716400.5902999975</v>
      </c>
      <c r="S64" s="88">
        <f t="shared" si="8"/>
        <v>-1716400.5902999975</v>
      </c>
      <c r="T64" s="87">
        <f>IF(Dyn_Insured="","",IF(ISNUMBER(P64)=FALSE,"n/a",MIN(MAX(P64-'Layer Comparison'!Excess_Past,0),'Layer Comparison'!Limit_Past)))</f>
        <v>0</v>
      </c>
      <c r="U64" s="87">
        <f>IF(Dyn_Insured="","",IF(ISNUMBER(Q64)=FALSE,"n/a",MIN(MAX(Q64-'Layer Comparison'!Excess_Latest,0),'Layer Comparison'!Limit_Latest)))</f>
        <v>0</v>
      </c>
      <c r="V64" s="87">
        <f t="shared" si="39"/>
        <v>0</v>
      </c>
      <c r="W64" s="88">
        <f t="shared" si="10"/>
        <v>0</v>
      </c>
      <c r="X64" s="87">
        <v>23356195.973699994</v>
      </c>
      <c r="Y64" s="87">
        <v>21995157.050000004</v>
      </c>
      <c r="Z64" s="87">
        <f t="shared" si="40"/>
        <v>-1361038.9236999899</v>
      </c>
      <c r="AA64" s="88">
        <f t="shared" si="12"/>
        <v>-1361038.9236999899</v>
      </c>
      <c r="AB64" s="87">
        <f>IF(Dyn_Insured="","",IF(ISNUMBER(X64)=FALSE,"n/a",MIN(MAX(X64-'Layer Comparison'!Excess_Past,0),'Layer Comparison'!Limit_Past)))</f>
        <v>8356195.9736999944</v>
      </c>
      <c r="AC64" s="87">
        <f>IF(Dyn_Insured="","",IF(ISNUMBER(Y64)=FALSE,"n/a",MIN(MAX(Y64-'Layer Comparison'!Excess_Latest,0),'Layer Comparison'!Limit_Latest)))</f>
        <v>6995157.0500000045</v>
      </c>
      <c r="AD64" s="87">
        <f t="shared" si="41"/>
        <v>-1361038.9236999899</v>
      </c>
      <c r="AE64" s="88">
        <f t="shared" si="14"/>
        <v>-1361038.9236999899</v>
      </c>
      <c r="AF64" s="87">
        <v>34588435.635000005</v>
      </c>
      <c r="AG64" s="87">
        <v>34109790.806800008</v>
      </c>
      <c r="AH64" s="87">
        <f t="shared" si="42"/>
        <v>-478644.82819999754</v>
      </c>
      <c r="AI64" s="88">
        <f t="shared" si="16"/>
        <v>-478644.82819999754</v>
      </c>
      <c r="AJ64" s="87">
        <f>IF(Dyn_Insured="","",IF(ISNUMBER(AF64)=FALSE,"n/a",MIN(MAX(AF64-'Layer Comparison'!Excess_Past,0),'Layer Comparison'!Limit_Past)))</f>
        <v>19588435.635000005</v>
      </c>
      <c r="AK64" s="87">
        <f>IF(Dyn_Insured="","",IF(ISNUMBER(AG64)=FALSE,"n/a",MIN(MAX(AG64-'Layer Comparison'!Excess_Latest,0),'Layer Comparison'!Limit_Latest)))</f>
        <v>19109790.806800008</v>
      </c>
      <c r="AL64" s="87">
        <f t="shared" si="43"/>
        <v>-478644.82819999754</v>
      </c>
      <c r="AM64" s="88">
        <f t="shared" si="18"/>
        <v>-478644.82819999754</v>
      </c>
      <c r="AN64" s="87">
        <v>58980247.049400002</v>
      </c>
      <c r="AO64" s="87">
        <v>59904999.627900019</v>
      </c>
      <c r="AP64" s="87">
        <f t="shared" si="44"/>
        <v>924752.57850001752</v>
      </c>
      <c r="AQ64" s="88">
        <f t="shared" si="20"/>
        <v>924752.57850001752</v>
      </c>
      <c r="AR64" s="87">
        <f>IF(Dyn_Insured="","",IF(ISNUMBER(AN64)=FALSE,"n/a",MIN(MAX(AN64-'Layer Comparison'!Excess_Past,0),'Layer Comparison'!Limit_Past)))</f>
        <v>43980247.049400002</v>
      </c>
      <c r="AS64" s="87">
        <f>IF(Dyn_Insured="","",IF(ISNUMBER(AO64)=FALSE,"n/a",MIN(MAX(AO64-'Layer Comparison'!Excess_Latest,0),'Layer Comparison'!Limit_Latest)))</f>
        <v>44904999.627900019</v>
      </c>
      <c r="AT64" s="87">
        <f t="shared" si="45"/>
        <v>924752.57850001752</v>
      </c>
      <c r="AU64" s="88">
        <f t="shared" si="22"/>
        <v>924752.57850001752</v>
      </c>
      <c r="AV64" s="87">
        <v>67319164.327999979</v>
      </c>
      <c r="AW64" s="87">
        <v>68535659.78959997</v>
      </c>
      <c r="AX64" s="87">
        <f t="shared" si="46"/>
        <v>1216495.4615999907</v>
      </c>
      <c r="AY64" s="88">
        <f t="shared" si="24"/>
        <v>1216495.4615999907</v>
      </c>
      <c r="AZ64" s="87">
        <f>IF(Dyn_Insured="","",IF(ISNUMBER(AV64)=FALSE,"n/a",MIN(MAX(AV64-'Layer Comparison'!Excess_Past,0),'Layer Comparison'!Limit_Past)))</f>
        <v>52319164.327999979</v>
      </c>
      <c r="BA64" s="87">
        <f>IF(Dyn_Insured="","",IF(ISNUMBER(AW64)=FALSE,"n/a",MIN(MAX(AW64-'Layer Comparison'!Excess_Latest,0),'Layer Comparison'!Limit_Latest)))</f>
        <v>53535659.78959997</v>
      </c>
      <c r="BB64" s="87">
        <f t="shared" si="47"/>
        <v>1216495.4615999907</v>
      </c>
      <c r="BC64" s="88">
        <f t="shared" si="26"/>
        <v>1216495.4615999907</v>
      </c>
      <c r="BD64" s="87">
        <v>69677947.7333</v>
      </c>
      <c r="BE64" s="87">
        <v>70991732.194799989</v>
      </c>
      <c r="BF64" s="87">
        <f t="shared" si="48"/>
        <v>1313784.461499989</v>
      </c>
      <c r="BG64" s="88">
        <f t="shared" si="28"/>
        <v>1313784.461499989</v>
      </c>
      <c r="BH64" s="87">
        <f>IF(Dyn_Insured="","",IF(ISNUMBER(BD64)=FALSE,"n/a",MIN(MAX(BD64-'Layer Comparison'!Excess_Past,0),'Layer Comparison'!Limit_Past)))</f>
        <v>54677947.7333</v>
      </c>
      <c r="BI64" s="87">
        <f>IF(Dyn_Insured="","",IF(ISNUMBER(BE64)=FALSE,"n/a",MIN(MAX(BE64-'Layer Comparison'!Excess_Latest,0),'Layer Comparison'!Limit_Latest)))</f>
        <v>55991732.194799989</v>
      </c>
      <c r="BJ64" s="87">
        <f t="shared" si="49"/>
        <v>1313784.461499989</v>
      </c>
      <c r="BK64" s="88">
        <f t="shared" si="30"/>
        <v>1313784.461499989</v>
      </c>
      <c r="BL64" s="87">
        <v>69677947.733299986</v>
      </c>
      <c r="BM64" s="87">
        <v>70991732.194799989</v>
      </c>
      <c r="BN64" s="87">
        <f t="shared" si="50"/>
        <v>1313784.4615000039</v>
      </c>
      <c r="BO64" s="88">
        <f t="shared" si="32"/>
        <v>1313784.4615000039</v>
      </c>
      <c r="BP64" s="87">
        <f>IF(Dyn_Insured="","",IF(ISNUMBER(BL64)=FALSE,"n/a",MIN(MAX(BL64-'Layer Comparison'!Excess_Past,0),'Layer Comparison'!Limit_Past)))</f>
        <v>54677947.733299986</v>
      </c>
      <c r="BQ64" s="87">
        <f>IF(Dyn_Insured="","",IF(ISNUMBER(BM64)=FALSE,"n/a",MIN(MAX(BM64-'Layer Comparison'!Excess_Latest,0),'Layer Comparison'!Limit_Latest)))</f>
        <v>55991732.194799989</v>
      </c>
      <c r="BR64" s="87">
        <f t="shared" si="51"/>
        <v>1313784.4615000039</v>
      </c>
      <c r="BS64" s="88">
        <f t="shared" si="34"/>
        <v>1313784.4615000039</v>
      </c>
      <c r="BT64" s="46" t="s">
        <v>13</v>
      </c>
    </row>
    <row r="65" spans="1:72" x14ac:dyDescent="0.25">
      <c r="A65" s="89">
        <v>65</v>
      </c>
      <c r="B65" s="89">
        <f t="shared" si="0"/>
        <v>1</v>
      </c>
      <c r="C65" s="89">
        <f t="shared" si="1"/>
        <v>1</v>
      </c>
      <c r="D65" s="90">
        <f t="shared" si="52"/>
        <v>1</v>
      </c>
      <c r="E65" s="90">
        <f t="shared" si="52"/>
        <v>1</v>
      </c>
      <c r="F65" s="48" t="s">
        <v>106</v>
      </c>
      <c r="G65" s="38" t="s">
        <v>17</v>
      </c>
      <c r="H65" s="87">
        <v>3482457.2503999998</v>
      </c>
      <c r="I65" s="87">
        <v>2009380.9526000002</v>
      </c>
      <c r="J65" s="87">
        <f t="shared" si="36"/>
        <v>-1473076.2977999996</v>
      </c>
      <c r="K65" s="88">
        <f t="shared" si="4"/>
        <v>-1473076.2977999996</v>
      </c>
      <c r="L65" s="87">
        <f>IF(Dyn_Insured="","",IF(ISNUMBER(H65)=FALSE,"n/a",MIN(MAX(H65-'Layer Comparison'!Excess_Past,0),'Layer Comparison'!Limit_Past)))</f>
        <v>0</v>
      </c>
      <c r="M65" s="87">
        <f>IF(Dyn_Insured="","",IF(ISNUMBER(I65)=FALSE,"n/a",MIN(MAX(I65-'Layer Comparison'!Excess_Latest,0),'Layer Comparison'!Limit_Latest)))</f>
        <v>0</v>
      </c>
      <c r="N65" s="87">
        <f t="shared" si="37"/>
        <v>0</v>
      </c>
      <c r="O65" s="88">
        <f t="shared" si="6"/>
        <v>0</v>
      </c>
      <c r="P65" s="87">
        <v>14483784.321699999</v>
      </c>
      <c r="Q65" s="87">
        <v>11196042.646400001</v>
      </c>
      <c r="R65" s="87">
        <f t="shared" si="38"/>
        <v>-3287741.6752999984</v>
      </c>
      <c r="S65" s="88">
        <f t="shared" si="8"/>
        <v>-3287741.6752999984</v>
      </c>
      <c r="T65" s="87">
        <f>IF(Dyn_Insured="","",IF(ISNUMBER(P65)=FALSE,"n/a",MIN(MAX(P65-'Layer Comparison'!Excess_Past,0),'Layer Comparison'!Limit_Past)))</f>
        <v>0</v>
      </c>
      <c r="U65" s="87">
        <f>IF(Dyn_Insured="","",IF(ISNUMBER(Q65)=FALSE,"n/a",MIN(MAX(Q65-'Layer Comparison'!Excess_Latest,0),'Layer Comparison'!Limit_Latest)))</f>
        <v>0</v>
      </c>
      <c r="V65" s="87">
        <f t="shared" si="39"/>
        <v>0</v>
      </c>
      <c r="W65" s="88">
        <f t="shared" si="10"/>
        <v>0</v>
      </c>
      <c r="X65" s="87">
        <v>25976150.496199995</v>
      </c>
      <c r="Y65" s="87">
        <v>21667313.066800002</v>
      </c>
      <c r="Z65" s="87">
        <f t="shared" si="40"/>
        <v>-4308837.4293999933</v>
      </c>
      <c r="AA65" s="88">
        <f t="shared" si="12"/>
        <v>-4308837.4293999933</v>
      </c>
      <c r="AB65" s="87">
        <f>IF(Dyn_Insured="","",IF(ISNUMBER(X65)=FALSE,"n/a",MIN(MAX(X65-'Layer Comparison'!Excess_Past,0),'Layer Comparison'!Limit_Past)))</f>
        <v>10976150.496199995</v>
      </c>
      <c r="AC65" s="87">
        <f>IF(Dyn_Insured="","",IF(ISNUMBER(Y65)=FALSE,"n/a",MIN(MAX(Y65-'Layer Comparison'!Excess_Latest,0),'Layer Comparison'!Limit_Latest)))</f>
        <v>6667313.066800002</v>
      </c>
      <c r="AD65" s="87">
        <f t="shared" si="41"/>
        <v>-4308837.4293999933</v>
      </c>
      <c r="AE65" s="88">
        <f t="shared" si="14"/>
        <v>-4308837.4293999933</v>
      </c>
      <c r="AF65" s="87">
        <v>37683435.217400007</v>
      </c>
      <c r="AG65" s="87">
        <v>32401510.288400002</v>
      </c>
      <c r="AH65" s="87">
        <f t="shared" si="42"/>
        <v>-5281924.9290000051</v>
      </c>
      <c r="AI65" s="88">
        <f t="shared" si="16"/>
        <v>-5281924.9290000051</v>
      </c>
      <c r="AJ65" s="87">
        <f>IF(Dyn_Insured="","",IF(ISNUMBER(AF65)=FALSE,"n/a",MIN(MAX(AF65-'Layer Comparison'!Excess_Past,0),'Layer Comparison'!Limit_Past)))</f>
        <v>22683435.217400007</v>
      </c>
      <c r="AK65" s="87">
        <f>IF(Dyn_Insured="","",IF(ISNUMBER(AG65)=FALSE,"n/a",MIN(MAX(AG65-'Layer Comparison'!Excess_Latest,0),'Layer Comparison'!Limit_Latest)))</f>
        <v>17401510.288400002</v>
      </c>
      <c r="AL65" s="87">
        <f t="shared" si="43"/>
        <v>-5281924.9290000051</v>
      </c>
      <c r="AM65" s="88">
        <f t="shared" si="18"/>
        <v>-5281924.9290000051</v>
      </c>
      <c r="AN65" s="87">
        <v>63410350.965900004</v>
      </c>
      <c r="AO65" s="87">
        <v>55476359.041999996</v>
      </c>
      <c r="AP65" s="87">
        <f t="shared" si="44"/>
        <v>-7933991.9239000082</v>
      </c>
      <c r="AQ65" s="88">
        <f t="shared" si="20"/>
        <v>-7933991.9239000082</v>
      </c>
      <c r="AR65" s="87">
        <f>IF(Dyn_Insured="","",IF(ISNUMBER(AN65)=FALSE,"n/a",MIN(MAX(AN65-'Layer Comparison'!Excess_Past,0),'Layer Comparison'!Limit_Past)))</f>
        <v>48410350.965900004</v>
      </c>
      <c r="AS65" s="87">
        <f>IF(Dyn_Insured="","",IF(ISNUMBER(AO65)=FALSE,"n/a",MIN(MAX(AO65-'Layer Comparison'!Excess_Latest,0),'Layer Comparison'!Limit_Latest)))</f>
        <v>40476359.041999996</v>
      </c>
      <c r="AT65" s="87">
        <f t="shared" si="45"/>
        <v>-7933991.9239000082</v>
      </c>
      <c r="AU65" s="88">
        <f t="shared" si="22"/>
        <v>-7933991.9239000082</v>
      </c>
      <c r="AV65" s="87">
        <v>89046902.778599977</v>
      </c>
      <c r="AW65" s="87">
        <v>78106360.648200005</v>
      </c>
      <c r="AX65" s="87">
        <f t="shared" si="46"/>
        <v>-10940542.130399972</v>
      </c>
      <c r="AY65" s="88">
        <f t="shared" si="24"/>
        <v>-10940542.130399972</v>
      </c>
      <c r="AZ65" s="87">
        <f>IF(Dyn_Insured="","",IF(ISNUMBER(AV65)=FALSE,"n/a",MIN(MAX(AV65-'Layer Comparison'!Excess_Past,0),'Layer Comparison'!Limit_Past)))</f>
        <v>74046902.778599977</v>
      </c>
      <c r="BA65" s="87">
        <f>IF(Dyn_Insured="","",IF(ISNUMBER(AW65)=FALSE,"n/a",MIN(MAX(AW65-'Layer Comparison'!Excess_Latest,0),'Layer Comparison'!Limit_Latest)))</f>
        <v>63106360.648200005</v>
      </c>
      <c r="BB65" s="87">
        <f t="shared" si="47"/>
        <v>-10940542.130399972</v>
      </c>
      <c r="BC65" s="88">
        <f t="shared" si="26"/>
        <v>-10940542.130399972</v>
      </c>
      <c r="BD65" s="87">
        <v>111271360.1983</v>
      </c>
      <c r="BE65" s="87">
        <v>97646453.752199978</v>
      </c>
      <c r="BF65" s="87">
        <f t="shared" si="48"/>
        <v>-13624906.446100026</v>
      </c>
      <c r="BG65" s="88">
        <f t="shared" si="28"/>
        <v>-13624906.446100026</v>
      </c>
      <c r="BH65" s="87">
        <f>IF(Dyn_Insured="","",IF(ISNUMBER(BD65)=FALSE,"n/a",MIN(MAX(BD65-'Layer Comparison'!Excess_Past,0),'Layer Comparison'!Limit_Past)))</f>
        <v>96271360.198300004</v>
      </c>
      <c r="BI65" s="87">
        <f>IF(Dyn_Insured="","",IF(ISNUMBER(BE65)=FALSE,"n/a",MIN(MAX(BE65-'Layer Comparison'!Excess_Latest,0),'Layer Comparison'!Limit_Latest)))</f>
        <v>82646453.752199978</v>
      </c>
      <c r="BJ65" s="87">
        <f t="shared" si="49"/>
        <v>-13624906.446100026</v>
      </c>
      <c r="BK65" s="88">
        <f t="shared" si="30"/>
        <v>-13624906.446100026</v>
      </c>
      <c r="BL65" s="87">
        <v>113398816.23720004</v>
      </c>
      <c r="BM65" s="87">
        <v>99467438.612999991</v>
      </c>
      <c r="BN65" s="87">
        <f t="shared" si="50"/>
        <v>-13931377.624200046</v>
      </c>
      <c r="BO65" s="88">
        <f t="shared" si="32"/>
        <v>-13931377.624200046</v>
      </c>
      <c r="BP65" s="87">
        <f>IF(Dyn_Insured="","",IF(ISNUMBER(BL65)=FALSE,"n/a",MIN(MAX(BL65-'Layer Comparison'!Excess_Past,0),'Layer Comparison'!Limit_Past)))</f>
        <v>98398816.237200037</v>
      </c>
      <c r="BQ65" s="87">
        <f>IF(Dyn_Insured="","",IF(ISNUMBER(BM65)=FALSE,"n/a",MIN(MAX(BM65-'Layer Comparison'!Excess_Latest,0),'Layer Comparison'!Limit_Latest)))</f>
        <v>84467438.612999991</v>
      </c>
      <c r="BR65" s="87">
        <f t="shared" si="51"/>
        <v>-13931377.624200046</v>
      </c>
      <c r="BS65" s="88">
        <f t="shared" si="34"/>
        <v>-13931377.624200046</v>
      </c>
      <c r="BT65" s="46" t="s">
        <v>13</v>
      </c>
    </row>
    <row r="66" spans="1:72" x14ac:dyDescent="0.25">
      <c r="A66" s="89">
        <v>66</v>
      </c>
      <c r="B66" s="89">
        <f t="shared" si="0"/>
        <v>1</v>
      </c>
      <c r="C66" s="89">
        <f t="shared" si="1"/>
        <v>1</v>
      </c>
      <c r="D66" s="90">
        <f t="shared" si="52"/>
        <v>1</v>
      </c>
      <c r="E66" s="90">
        <f t="shared" si="52"/>
        <v>1</v>
      </c>
      <c r="F66" s="48" t="s">
        <v>107</v>
      </c>
      <c r="G66" s="38" t="s">
        <v>17</v>
      </c>
      <c r="H66" s="87">
        <v>3111398.2982000001</v>
      </c>
      <c r="I66" s="87">
        <v>2542582.0781000005</v>
      </c>
      <c r="J66" s="87">
        <f t="shared" si="36"/>
        <v>-568816.22009999957</v>
      </c>
      <c r="K66" s="88">
        <f t="shared" si="4"/>
        <v>-568816.22009999957</v>
      </c>
      <c r="L66" s="87">
        <f>IF(Dyn_Insured="","",IF(ISNUMBER(H66)=FALSE,"n/a",MIN(MAX(H66-'Layer Comparison'!Excess_Past,0),'Layer Comparison'!Limit_Past)))</f>
        <v>0</v>
      </c>
      <c r="M66" s="87">
        <f>IF(Dyn_Insured="","",IF(ISNUMBER(I66)=FALSE,"n/a",MIN(MAX(I66-'Layer Comparison'!Excess_Latest,0),'Layer Comparison'!Limit_Latest)))</f>
        <v>0</v>
      </c>
      <c r="N66" s="87">
        <f t="shared" si="37"/>
        <v>0</v>
      </c>
      <c r="O66" s="88">
        <f t="shared" si="6"/>
        <v>0</v>
      </c>
      <c r="P66" s="87">
        <v>14724339.045399999</v>
      </c>
      <c r="Q66" s="87">
        <v>11088074.0044</v>
      </c>
      <c r="R66" s="87">
        <f t="shared" si="38"/>
        <v>-3636265.0409999993</v>
      </c>
      <c r="S66" s="88">
        <f t="shared" si="8"/>
        <v>-3636265.0409999993</v>
      </c>
      <c r="T66" s="87">
        <f>IF(Dyn_Insured="","",IF(ISNUMBER(P66)=FALSE,"n/a",MIN(MAX(P66-'Layer Comparison'!Excess_Past,0),'Layer Comparison'!Limit_Past)))</f>
        <v>0</v>
      </c>
      <c r="U66" s="87">
        <f>IF(Dyn_Insured="","",IF(ISNUMBER(Q66)=FALSE,"n/a",MIN(MAX(Q66-'Layer Comparison'!Excess_Latest,0),'Layer Comparison'!Limit_Latest)))</f>
        <v>0</v>
      </c>
      <c r="V66" s="87">
        <f t="shared" si="39"/>
        <v>0</v>
      </c>
      <c r="W66" s="88">
        <f t="shared" si="10"/>
        <v>0</v>
      </c>
      <c r="X66" s="87">
        <v>28450884.064400006</v>
      </c>
      <c r="Y66" s="87">
        <v>21888982.894500002</v>
      </c>
      <c r="Z66" s="87">
        <f t="shared" si="40"/>
        <v>-6561901.1699000038</v>
      </c>
      <c r="AA66" s="88">
        <f t="shared" si="12"/>
        <v>-6561901.1699000038</v>
      </c>
      <c r="AB66" s="87">
        <f>IF(Dyn_Insured="","",IF(ISNUMBER(X66)=FALSE,"n/a",MIN(MAX(X66-'Layer Comparison'!Excess_Past,0),'Layer Comparison'!Limit_Past)))</f>
        <v>13450884.064400006</v>
      </c>
      <c r="AC66" s="87">
        <f>IF(Dyn_Insured="","",IF(ISNUMBER(Y66)=FALSE,"n/a",MIN(MAX(Y66-'Layer Comparison'!Excess_Latest,0),'Layer Comparison'!Limit_Latest)))</f>
        <v>6888982.8945000023</v>
      </c>
      <c r="AD66" s="87">
        <f t="shared" si="41"/>
        <v>-6561901.1699000038</v>
      </c>
      <c r="AE66" s="88">
        <f t="shared" si="14"/>
        <v>-6561901.1699000038</v>
      </c>
      <c r="AF66" s="87">
        <v>42752111.901000001</v>
      </c>
      <c r="AG66" s="87">
        <v>32629733.353100002</v>
      </c>
      <c r="AH66" s="87">
        <f t="shared" si="42"/>
        <v>-10122378.547899999</v>
      </c>
      <c r="AI66" s="88">
        <f t="shared" si="16"/>
        <v>-10122378.547899999</v>
      </c>
      <c r="AJ66" s="87">
        <f>IF(Dyn_Insured="","",IF(ISNUMBER(AF66)=FALSE,"n/a",MIN(MAX(AF66-'Layer Comparison'!Excess_Past,0),'Layer Comparison'!Limit_Past)))</f>
        <v>27752111.901000001</v>
      </c>
      <c r="AK66" s="87">
        <f>IF(Dyn_Insured="","",IF(ISNUMBER(AG66)=FALSE,"n/a",MIN(MAX(AG66-'Layer Comparison'!Excess_Latest,0),'Layer Comparison'!Limit_Latest)))</f>
        <v>17629733.353100002</v>
      </c>
      <c r="AL66" s="87">
        <f t="shared" si="43"/>
        <v>-10122378.547899999</v>
      </c>
      <c r="AM66" s="88">
        <f t="shared" si="18"/>
        <v>-10122378.547899999</v>
      </c>
      <c r="AN66" s="87">
        <v>72379475.308900028</v>
      </c>
      <c r="AO66" s="87">
        <v>58105205.775500007</v>
      </c>
      <c r="AP66" s="87">
        <f t="shared" si="44"/>
        <v>-14274269.533400021</v>
      </c>
      <c r="AQ66" s="88">
        <f t="shared" si="20"/>
        <v>-14274269.533400021</v>
      </c>
      <c r="AR66" s="87">
        <f>IF(Dyn_Insured="","",IF(ISNUMBER(AN66)=FALSE,"n/a",MIN(MAX(AN66-'Layer Comparison'!Excess_Past,0),'Layer Comparison'!Limit_Past)))</f>
        <v>57379475.308900028</v>
      </c>
      <c r="AS66" s="87">
        <f>IF(Dyn_Insured="","",IF(ISNUMBER(AO66)=FALSE,"n/a",MIN(MAX(AO66-'Layer Comparison'!Excess_Latest,0),'Layer Comparison'!Limit_Latest)))</f>
        <v>43105205.775500007</v>
      </c>
      <c r="AT66" s="87">
        <f t="shared" si="45"/>
        <v>-14274269.533400021</v>
      </c>
      <c r="AU66" s="88">
        <f t="shared" si="22"/>
        <v>-14274269.533400021</v>
      </c>
      <c r="AV66" s="87">
        <v>102266404.02160002</v>
      </c>
      <c r="AW66" s="87">
        <v>84625805.323800027</v>
      </c>
      <c r="AX66" s="87">
        <f t="shared" si="46"/>
        <v>-17640598.697799996</v>
      </c>
      <c r="AY66" s="88">
        <f t="shared" si="24"/>
        <v>-17640598.697799996</v>
      </c>
      <c r="AZ66" s="87">
        <f>IF(Dyn_Insured="","",IF(ISNUMBER(AV66)=FALSE,"n/a",MIN(MAX(AV66-'Layer Comparison'!Excess_Past,0),'Layer Comparison'!Limit_Past)))</f>
        <v>87266404.021600023</v>
      </c>
      <c r="BA66" s="87">
        <f>IF(Dyn_Insured="","",IF(ISNUMBER(AW66)=FALSE,"n/a",MIN(MAX(AW66-'Layer Comparison'!Excess_Latest,0),'Layer Comparison'!Limit_Latest)))</f>
        <v>69625805.323800027</v>
      </c>
      <c r="BB66" s="87">
        <f t="shared" si="47"/>
        <v>-17640598.697799996</v>
      </c>
      <c r="BC66" s="88">
        <f t="shared" si="26"/>
        <v>-17640598.697799996</v>
      </c>
      <c r="BD66" s="87">
        <v>125644478.87509999</v>
      </c>
      <c r="BE66" s="87">
        <v>106185148.79730003</v>
      </c>
      <c r="BF66" s="87">
        <f t="shared" si="48"/>
        <v>-19459330.077799961</v>
      </c>
      <c r="BG66" s="88">
        <f t="shared" si="28"/>
        <v>-19459330.077799961</v>
      </c>
      <c r="BH66" s="87">
        <f>IF(Dyn_Insured="","",IF(ISNUMBER(BD66)=FALSE,"n/a",MIN(MAX(BD66-'Layer Comparison'!Excess_Past,0),'Layer Comparison'!Limit_Past)))</f>
        <v>110644478.87509999</v>
      </c>
      <c r="BI66" s="87">
        <f>IF(Dyn_Insured="","",IF(ISNUMBER(BE66)=FALSE,"n/a",MIN(MAX(BE66-'Layer Comparison'!Excess_Latest,0),'Layer Comparison'!Limit_Latest)))</f>
        <v>91185148.797300026</v>
      </c>
      <c r="BJ66" s="87">
        <f t="shared" si="49"/>
        <v>-19459330.077799961</v>
      </c>
      <c r="BK66" s="88">
        <f t="shared" si="30"/>
        <v>-19459330.077799961</v>
      </c>
      <c r="BL66" s="87">
        <v>128334786.45680007</v>
      </c>
      <c r="BM66" s="87">
        <v>108249581.36839998</v>
      </c>
      <c r="BN66" s="87">
        <f t="shared" si="50"/>
        <v>-20085205.088400096</v>
      </c>
      <c r="BO66" s="88">
        <f t="shared" si="32"/>
        <v>-20085205.088400096</v>
      </c>
      <c r="BP66" s="87">
        <f>IF(Dyn_Insured="","",IF(ISNUMBER(BL66)=FALSE,"n/a",MIN(MAX(BL66-'Layer Comparison'!Excess_Past,0),'Layer Comparison'!Limit_Past)))</f>
        <v>113334786.45680007</v>
      </c>
      <c r="BQ66" s="87">
        <f>IF(Dyn_Insured="","",IF(ISNUMBER(BM66)=FALSE,"n/a",MIN(MAX(BM66-'Layer Comparison'!Excess_Latest,0),'Layer Comparison'!Limit_Latest)))</f>
        <v>93249581.368399978</v>
      </c>
      <c r="BR66" s="87">
        <f t="shared" si="51"/>
        <v>-20085205.088400096</v>
      </c>
      <c r="BS66" s="88">
        <f t="shared" si="34"/>
        <v>-20085205.088400096</v>
      </c>
      <c r="BT66" s="46" t="s">
        <v>13</v>
      </c>
    </row>
    <row r="67" spans="1:72" x14ac:dyDescent="0.25">
      <c r="A67" s="89">
        <v>67</v>
      </c>
      <c r="B67" s="89">
        <f t="shared" si="0"/>
        <v>1</v>
      </c>
      <c r="C67" s="89">
        <f t="shared" si="1"/>
        <v>1</v>
      </c>
      <c r="D67" s="90">
        <f t="shared" si="52"/>
        <v>1</v>
      </c>
      <c r="E67" s="90">
        <f t="shared" si="52"/>
        <v>1</v>
      </c>
      <c r="F67" s="48" t="s">
        <v>108</v>
      </c>
      <c r="G67" s="38" t="s">
        <v>17</v>
      </c>
      <c r="H67" s="87">
        <v>3770411.7693000003</v>
      </c>
      <c r="I67" s="87">
        <v>3596469.8610999994</v>
      </c>
      <c r="J67" s="87">
        <f t="shared" si="36"/>
        <v>-173941.90820000088</v>
      </c>
      <c r="K67" s="88">
        <f t="shared" si="4"/>
        <v>-173941.90820000088</v>
      </c>
      <c r="L67" s="87">
        <f>IF(Dyn_Insured="","",IF(ISNUMBER(H67)=FALSE,"n/a",MIN(MAX(H67-'Layer Comparison'!Excess_Past,0),'Layer Comparison'!Limit_Past)))</f>
        <v>0</v>
      </c>
      <c r="M67" s="87">
        <f>IF(Dyn_Insured="","",IF(ISNUMBER(I67)=FALSE,"n/a",MIN(MAX(I67-'Layer Comparison'!Excess_Latest,0),'Layer Comparison'!Limit_Latest)))</f>
        <v>0</v>
      </c>
      <c r="N67" s="87">
        <f t="shared" si="37"/>
        <v>0</v>
      </c>
      <c r="O67" s="88">
        <f t="shared" si="6"/>
        <v>0</v>
      </c>
      <c r="P67" s="87">
        <v>14996203.293000001</v>
      </c>
      <c r="Q67" s="87">
        <v>15280090.736200001</v>
      </c>
      <c r="R67" s="87">
        <f t="shared" si="38"/>
        <v>283887.44319999963</v>
      </c>
      <c r="S67" s="88">
        <f t="shared" si="8"/>
        <v>283887.44319999963</v>
      </c>
      <c r="T67" s="87">
        <f>IF(Dyn_Insured="","",IF(ISNUMBER(P67)=FALSE,"n/a",MIN(MAX(P67-'Layer Comparison'!Excess_Past,0),'Layer Comparison'!Limit_Past)))</f>
        <v>0</v>
      </c>
      <c r="U67" s="87">
        <f>IF(Dyn_Insured="","",IF(ISNUMBER(Q67)=FALSE,"n/a",MIN(MAX(Q67-'Layer Comparison'!Excess_Latest,0),'Layer Comparison'!Limit_Latest)))</f>
        <v>280090.73620000109</v>
      </c>
      <c r="V67" s="87">
        <f t="shared" si="39"/>
        <v>280090.73620000109</v>
      </c>
      <c r="W67" s="88">
        <f t="shared" si="10"/>
        <v>280090.73620000109</v>
      </c>
      <c r="X67" s="87">
        <v>27290647.732200004</v>
      </c>
      <c r="Y67" s="87">
        <v>28707714.460100006</v>
      </c>
      <c r="Z67" s="87">
        <f t="shared" si="40"/>
        <v>1417066.7279000022</v>
      </c>
      <c r="AA67" s="88">
        <f t="shared" si="12"/>
        <v>1417066.7279000022</v>
      </c>
      <c r="AB67" s="87">
        <f>IF(Dyn_Insured="","",IF(ISNUMBER(X67)=FALSE,"n/a",MIN(MAX(X67-'Layer Comparison'!Excess_Past,0),'Layer Comparison'!Limit_Past)))</f>
        <v>12290647.732200004</v>
      </c>
      <c r="AC67" s="87">
        <f>IF(Dyn_Insured="","",IF(ISNUMBER(Y67)=FALSE,"n/a",MIN(MAX(Y67-'Layer Comparison'!Excess_Latest,0),'Layer Comparison'!Limit_Latest)))</f>
        <v>13707714.460100006</v>
      </c>
      <c r="AD67" s="87">
        <f t="shared" si="41"/>
        <v>1417066.7279000022</v>
      </c>
      <c r="AE67" s="88">
        <f t="shared" si="14"/>
        <v>1417066.7279000022</v>
      </c>
      <c r="AF67" s="87">
        <v>39683096.698200002</v>
      </c>
      <c r="AG67" s="87">
        <v>41969590.155300006</v>
      </c>
      <c r="AH67" s="87">
        <f t="shared" si="42"/>
        <v>2286493.457100004</v>
      </c>
      <c r="AI67" s="88">
        <f t="shared" si="16"/>
        <v>2286493.457100004</v>
      </c>
      <c r="AJ67" s="87">
        <f>IF(Dyn_Insured="","",IF(ISNUMBER(AF67)=FALSE,"n/a",MIN(MAX(AF67-'Layer Comparison'!Excess_Past,0),'Layer Comparison'!Limit_Past)))</f>
        <v>24683096.698200002</v>
      </c>
      <c r="AK67" s="87">
        <f>IF(Dyn_Insured="","",IF(ISNUMBER(AG67)=FALSE,"n/a",MIN(MAX(AG67-'Layer Comparison'!Excess_Latest,0),'Layer Comparison'!Limit_Latest)))</f>
        <v>26969590.155300006</v>
      </c>
      <c r="AL67" s="87">
        <f t="shared" si="43"/>
        <v>2286493.457100004</v>
      </c>
      <c r="AM67" s="88">
        <f t="shared" si="18"/>
        <v>2286493.457100004</v>
      </c>
      <c r="AN67" s="87">
        <v>66108351.499500006</v>
      </c>
      <c r="AO67" s="87">
        <v>69075181.00940001</v>
      </c>
      <c r="AP67" s="87">
        <f t="shared" si="44"/>
        <v>2966829.5099000037</v>
      </c>
      <c r="AQ67" s="88">
        <f t="shared" si="20"/>
        <v>2966829.5099000037</v>
      </c>
      <c r="AR67" s="87">
        <f>IF(Dyn_Insured="","",IF(ISNUMBER(AN67)=FALSE,"n/a",MIN(MAX(AN67-'Layer Comparison'!Excess_Past,0),'Layer Comparison'!Limit_Past)))</f>
        <v>51108351.499500006</v>
      </c>
      <c r="AS67" s="87">
        <f>IF(Dyn_Insured="","",IF(ISNUMBER(AO67)=FALSE,"n/a",MIN(MAX(AO67-'Layer Comparison'!Excess_Latest,0),'Layer Comparison'!Limit_Latest)))</f>
        <v>54075181.00940001</v>
      </c>
      <c r="AT67" s="87">
        <f t="shared" si="45"/>
        <v>2966829.5099000037</v>
      </c>
      <c r="AU67" s="88">
        <f t="shared" si="22"/>
        <v>2966829.5099000037</v>
      </c>
      <c r="AV67" s="87">
        <v>75659735.551200002</v>
      </c>
      <c r="AW67" s="87">
        <v>78233344.809099972</v>
      </c>
      <c r="AX67" s="87">
        <f t="shared" si="46"/>
        <v>2573609.2578999698</v>
      </c>
      <c r="AY67" s="88">
        <f t="shared" si="24"/>
        <v>2573609.2578999698</v>
      </c>
      <c r="AZ67" s="87">
        <f>IF(Dyn_Insured="","",IF(ISNUMBER(AV67)=FALSE,"n/a",MIN(MAX(AV67-'Layer Comparison'!Excess_Past,0),'Layer Comparison'!Limit_Past)))</f>
        <v>60659735.551200002</v>
      </c>
      <c r="BA67" s="87">
        <f>IF(Dyn_Insured="","",IF(ISNUMBER(AW67)=FALSE,"n/a",MIN(MAX(AW67-'Layer Comparison'!Excess_Latest,0),'Layer Comparison'!Limit_Latest)))</f>
        <v>63233344.809099972</v>
      </c>
      <c r="BB67" s="87">
        <f t="shared" si="47"/>
        <v>2573609.2578999698</v>
      </c>
      <c r="BC67" s="88">
        <f t="shared" si="26"/>
        <v>2573609.2578999698</v>
      </c>
      <c r="BD67" s="87">
        <v>76757608.831100002</v>
      </c>
      <c r="BE67" s="87">
        <v>79363773.853899986</v>
      </c>
      <c r="BF67" s="87">
        <f t="shared" si="48"/>
        <v>2606165.0227999836</v>
      </c>
      <c r="BG67" s="88">
        <f t="shared" si="28"/>
        <v>2606165.0227999836</v>
      </c>
      <c r="BH67" s="87">
        <f>IF(Dyn_Insured="","",IF(ISNUMBER(BD67)=FALSE,"n/a",MIN(MAX(BD67-'Layer Comparison'!Excess_Past,0),'Layer Comparison'!Limit_Past)))</f>
        <v>61757608.831100002</v>
      </c>
      <c r="BI67" s="87">
        <f>IF(Dyn_Insured="","",IF(ISNUMBER(BE67)=FALSE,"n/a",MIN(MAX(BE67-'Layer Comparison'!Excess_Latest,0),'Layer Comparison'!Limit_Latest)))</f>
        <v>64363773.853899986</v>
      </c>
      <c r="BJ67" s="87">
        <f t="shared" si="49"/>
        <v>2606165.0227999836</v>
      </c>
      <c r="BK67" s="88">
        <f t="shared" si="30"/>
        <v>2606165.0227999836</v>
      </c>
      <c r="BL67" s="87">
        <v>76757608.831099987</v>
      </c>
      <c r="BM67" s="87">
        <v>79363773.853899986</v>
      </c>
      <c r="BN67" s="87">
        <f t="shared" si="50"/>
        <v>2606165.0227999985</v>
      </c>
      <c r="BO67" s="88">
        <f t="shared" si="32"/>
        <v>2606165.0227999985</v>
      </c>
      <c r="BP67" s="87">
        <f>IF(Dyn_Insured="","",IF(ISNUMBER(BL67)=FALSE,"n/a",MIN(MAX(BL67-'Layer Comparison'!Excess_Past,0),'Layer Comparison'!Limit_Past)))</f>
        <v>61757608.831099987</v>
      </c>
      <c r="BQ67" s="87">
        <f>IF(Dyn_Insured="","",IF(ISNUMBER(BM67)=FALSE,"n/a",MIN(MAX(BM67-'Layer Comparison'!Excess_Latest,0),'Layer Comparison'!Limit_Latest)))</f>
        <v>64363773.853899986</v>
      </c>
      <c r="BR67" s="87">
        <f t="shared" si="51"/>
        <v>2606165.0227999985</v>
      </c>
      <c r="BS67" s="88">
        <f t="shared" si="34"/>
        <v>2606165.0227999985</v>
      </c>
      <c r="BT67" s="46" t="s">
        <v>13</v>
      </c>
    </row>
    <row r="68" spans="1:72" x14ac:dyDescent="0.25">
      <c r="A68" s="89">
        <v>68</v>
      </c>
      <c r="B68" s="89">
        <f t="shared" si="0"/>
        <v>1</v>
      </c>
      <c r="C68" s="89">
        <f t="shared" si="1"/>
        <v>1</v>
      </c>
      <c r="D68" s="90">
        <f t="shared" si="52"/>
        <v>1</v>
      </c>
      <c r="E68" s="90">
        <f t="shared" si="52"/>
        <v>1</v>
      </c>
      <c r="F68" s="48" t="s">
        <v>109</v>
      </c>
      <c r="G68" s="38" t="s">
        <v>17</v>
      </c>
      <c r="H68" s="87">
        <v>3019510.8359999997</v>
      </c>
      <c r="I68" s="87">
        <v>1201599.4128</v>
      </c>
      <c r="J68" s="87">
        <f t="shared" si="36"/>
        <v>-1817911.4231999996</v>
      </c>
      <c r="K68" s="88">
        <f t="shared" si="4"/>
        <v>-1817911.4231999996</v>
      </c>
      <c r="L68" s="87">
        <f>IF(Dyn_Insured="","",IF(ISNUMBER(H68)=FALSE,"n/a",MIN(MAX(H68-'Layer Comparison'!Excess_Past,0),'Layer Comparison'!Limit_Past)))</f>
        <v>0</v>
      </c>
      <c r="M68" s="87">
        <f>IF(Dyn_Insured="","",IF(ISNUMBER(I68)=FALSE,"n/a",MIN(MAX(I68-'Layer Comparison'!Excess_Latest,0),'Layer Comparison'!Limit_Latest)))</f>
        <v>0</v>
      </c>
      <c r="N68" s="87">
        <f t="shared" si="37"/>
        <v>0</v>
      </c>
      <c r="O68" s="88">
        <f t="shared" si="6"/>
        <v>0</v>
      </c>
      <c r="P68" s="87">
        <v>13363016.527499998</v>
      </c>
      <c r="Q68" s="87">
        <v>7727207.6034999993</v>
      </c>
      <c r="R68" s="87">
        <f t="shared" si="38"/>
        <v>-5635808.9239999987</v>
      </c>
      <c r="S68" s="88">
        <f t="shared" si="8"/>
        <v>-5635808.9239999987</v>
      </c>
      <c r="T68" s="87">
        <f>IF(Dyn_Insured="","",IF(ISNUMBER(P68)=FALSE,"n/a",MIN(MAX(P68-'Layer Comparison'!Excess_Past,0),'Layer Comparison'!Limit_Past)))</f>
        <v>0</v>
      </c>
      <c r="U68" s="87">
        <f>IF(Dyn_Insured="","",IF(ISNUMBER(Q68)=FALSE,"n/a",MIN(MAX(Q68-'Layer Comparison'!Excess_Latest,0),'Layer Comparison'!Limit_Latest)))</f>
        <v>0</v>
      </c>
      <c r="V68" s="87">
        <f t="shared" si="39"/>
        <v>0</v>
      </c>
      <c r="W68" s="88">
        <f t="shared" si="10"/>
        <v>0</v>
      </c>
      <c r="X68" s="87">
        <v>25328714.532300003</v>
      </c>
      <c r="Y68" s="87">
        <v>16680735.454000002</v>
      </c>
      <c r="Z68" s="87">
        <f t="shared" si="40"/>
        <v>-8647979.0783000011</v>
      </c>
      <c r="AA68" s="88">
        <f t="shared" si="12"/>
        <v>-8647979.0783000011</v>
      </c>
      <c r="AB68" s="87">
        <f>IF(Dyn_Insured="","",IF(ISNUMBER(X68)=FALSE,"n/a",MIN(MAX(X68-'Layer Comparison'!Excess_Past,0),'Layer Comparison'!Limit_Past)))</f>
        <v>10328714.532300003</v>
      </c>
      <c r="AC68" s="87">
        <f>IF(Dyn_Insured="","",IF(ISNUMBER(Y68)=FALSE,"n/a",MIN(MAX(Y68-'Layer Comparison'!Excess_Latest,0),'Layer Comparison'!Limit_Latest)))</f>
        <v>1680735.4540000018</v>
      </c>
      <c r="AD68" s="87">
        <f t="shared" si="41"/>
        <v>-8647979.0783000011</v>
      </c>
      <c r="AE68" s="88">
        <f t="shared" si="14"/>
        <v>-8647979.0783000011</v>
      </c>
      <c r="AF68" s="87">
        <v>37952150.314500004</v>
      </c>
      <c r="AG68" s="87">
        <v>26035241.483100004</v>
      </c>
      <c r="AH68" s="87">
        <f t="shared" si="42"/>
        <v>-11916908.8314</v>
      </c>
      <c r="AI68" s="88">
        <f t="shared" si="16"/>
        <v>-11916908.8314</v>
      </c>
      <c r="AJ68" s="87">
        <f>IF(Dyn_Insured="","",IF(ISNUMBER(AF68)=FALSE,"n/a",MIN(MAX(AF68-'Layer Comparison'!Excess_Past,0),'Layer Comparison'!Limit_Past)))</f>
        <v>22952150.314500004</v>
      </c>
      <c r="AK68" s="87">
        <f>IF(Dyn_Insured="","",IF(ISNUMBER(AG68)=FALSE,"n/a",MIN(MAX(AG68-'Layer Comparison'!Excess_Latest,0),'Layer Comparison'!Limit_Latest)))</f>
        <v>11035241.483100004</v>
      </c>
      <c r="AL68" s="87">
        <f t="shared" si="43"/>
        <v>-11916908.8314</v>
      </c>
      <c r="AM68" s="88">
        <f t="shared" si="18"/>
        <v>-11916908.8314</v>
      </c>
      <c r="AN68" s="87">
        <v>64449649.786300011</v>
      </c>
      <c r="AO68" s="87">
        <v>48593514.379600003</v>
      </c>
      <c r="AP68" s="87">
        <f t="shared" si="44"/>
        <v>-15856135.406700008</v>
      </c>
      <c r="AQ68" s="88">
        <f t="shared" si="20"/>
        <v>-15856135.406700008</v>
      </c>
      <c r="AR68" s="87">
        <f>IF(Dyn_Insured="","",IF(ISNUMBER(AN68)=FALSE,"n/a",MIN(MAX(AN68-'Layer Comparison'!Excess_Past,0),'Layer Comparison'!Limit_Past)))</f>
        <v>49449649.786300011</v>
      </c>
      <c r="AS68" s="87">
        <f>IF(Dyn_Insured="","",IF(ISNUMBER(AO68)=FALSE,"n/a",MIN(MAX(AO68-'Layer Comparison'!Excess_Latest,0),'Layer Comparison'!Limit_Latest)))</f>
        <v>33593514.379600003</v>
      </c>
      <c r="AT68" s="87">
        <f t="shared" si="45"/>
        <v>-15856135.406700008</v>
      </c>
      <c r="AU68" s="88">
        <f t="shared" si="22"/>
        <v>-15856135.406700008</v>
      </c>
      <c r="AV68" s="87">
        <v>74715821.210400015</v>
      </c>
      <c r="AW68" s="87">
        <v>57506806.592099987</v>
      </c>
      <c r="AX68" s="87">
        <f t="shared" si="46"/>
        <v>-17209014.618300028</v>
      </c>
      <c r="AY68" s="88">
        <f t="shared" si="24"/>
        <v>-17209014.618300028</v>
      </c>
      <c r="AZ68" s="87">
        <f>IF(Dyn_Insured="","",IF(ISNUMBER(AV68)=FALSE,"n/a",MIN(MAX(AV68-'Layer Comparison'!Excess_Past,0),'Layer Comparison'!Limit_Past)))</f>
        <v>59715821.210400015</v>
      </c>
      <c r="BA68" s="87">
        <f>IF(Dyn_Insured="","",IF(ISNUMBER(AW68)=FALSE,"n/a",MIN(MAX(AW68-'Layer Comparison'!Excess_Latest,0),'Layer Comparison'!Limit_Latest)))</f>
        <v>42506806.592099987</v>
      </c>
      <c r="BB68" s="87">
        <f t="shared" si="47"/>
        <v>-17209014.618300028</v>
      </c>
      <c r="BC68" s="88">
        <f t="shared" si="26"/>
        <v>-17209014.618300028</v>
      </c>
      <c r="BD68" s="87">
        <v>77016462.339900002</v>
      </c>
      <c r="BE68" s="87">
        <v>59442324.659399994</v>
      </c>
      <c r="BF68" s="87">
        <f t="shared" si="48"/>
        <v>-17574137.680500008</v>
      </c>
      <c r="BG68" s="88">
        <f t="shared" si="28"/>
        <v>-17574137.680500008</v>
      </c>
      <c r="BH68" s="87">
        <f>IF(Dyn_Insured="","",IF(ISNUMBER(BD68)=FALSE,"n/a",MIN(MAX(BD68-'Layer Comparison'!Excess_Past,0),'Layer Comparison'!Limit_Past)))</f>
        <v>62016462.339900002</v>
      </c>
      <c r="BI68" s="87">
        <f>IF(Dyn_Insured="","",IF(ISNUMBER(BE68)=FALSE,"n/a",MIN(MAX(BE68-'Layer Comparison'!Excess_Latest,0),'Layer Comparison'!Limit_Latest)))</f>
        <v>44442324.659399994</v>
      </c>
      <c r="BJ68" s="87">
        <f t="shared" si="49"/>
        <v>-17574137.680500008</v>
      </c>
      <c r="BK68" s="88">
        <f t="shared" si="30"/>
        <v>-17574137.680500008</v>
      </c>
      <c r="BL68" s="87">
        <v>77016462.339900002</v>
      </c>
      <c r="BM68" s="87">
        <v>59442324.659399994</v>
      </c>
      <c r="BN68" s="87">
        <f t="shared" si="50"/>
        <v>-17574137.680500008</v>
      </c>
      <c r="BO68" s="88">
        <f t="shared" si="32"/>
        <v>-17574137.680500008</v>
      </c>
      <c r="BP68" s="87">
        <f>IF(Dyn_Insured="","",IF(ISNUMBER(BL68)=FALSE,"n/a",MIN(MAX(BL68-'Layer Comparison'!Excess_Past,0),'Layer Comparison'!Limit_Past)))</f>
        <v>62016462.339900002</v>
      </c>
      <c r="BQ68" s="87">
        <f>IF(Dyn_Insured="","",IF(ISNUMBER(BM68)=FALSE,"n/a",MIN(MAX(BM68-'Layer Comparison'!Excess_Latest,0),'Layer Comparison'!Limit_Latest)))</f>
        <v>44442324.659399994</v>
      </c>
      <c r="BR68" s="87">
        <f t="shared" si="51"/>
        <v>-17574137.680500008</v>
      </c>
      <c r="BS68" s="88">
        <f t="shared" si="34"/>
        <v>-17574137.680500008</v>
      </c>
      <c r="BT68" s="46" t="s">
        <v>13</v>
      </c>
    </row>
    <row r="69" spans="1:72" x14ac:dyDescent="0.25">
      <c r="A69" s="89">
        <v>69</v>
      </c>
      <c r="B69" s="89">
        <f t="shared" si="0"/>
        <v>1</v>
      </c>
      <c r="C69" s="89">
        <f t="shared" si="1"/>
        <v>1</v>
      </c>
      <c r="D69" s="90">
        <f t="shared" si="52"/>
        <v>1</v>
      </c>
      <c r="E69" s="90">
        <f t="shared" si="52"/>
        <v>1</v>
      </c>
      <c r="F69" s="48" t="s">
        <v>110</v>
      </c>
      <c r="G69" s="38" t="s">
        <v>17</v>
      </c>
      <c r="H69" s="87">
        <v>2345172.1968</v>
      </c>
      <c r="I69" s="87">
        <v>972195.35140000004</v>
      </c>
      <c r="J69" s="87">
        <f t="shared" si="36"/>
        <v>-1372976.8454</v>
      </c>
      <c r="K69" s="88">
        <f t="shared" si="4"/>
        <v>-1372976.8454</v>
      </c>
      <c r="L69" s="87">
        <f>IF(Dyn_Insured="","",IF(ISNUMBER(H69)=FALSE,"n/a",MIN(MAX(H69-'Layer Comparison'!Excess_Past,0),'Layer Comparison'!Limit_Past)))</f>
        <v>0</v>
      </c>
      <c r="M69" s="87">
        <f>IF(Dyn_Insured="","",IF(ISNUMBER(I69)=FALSE,"n/a",MIN(MAX(I69-'Layer Comparison'!Excess_Latest,0),'Layer Comparison'!Limit_Latest)))</f>
        <v>0</v>
      </c>
      <c r="N69" s="87">
        <f t="shared" si="37"/>
        <v>0</v>
      </c>
      <c r="O69" s="88">
        <f t="shared" si="6"/>
        <v>0</v>
      </c>
      <c r="P69" s="87">
        <v>9869952.527999999</v>
      </c>
      <c r="Q69" s="87">
        <v>6155027.9984999998</v>
      </c>
      <c r="R69" s="87">
        <f t="shared" si="38"/>
        <v>-3714924.5294999992</v>
      </c>
      <c r="S69" s="88">
        <f t="shared" si="8"/>
        <v>-3714924.5294999992</v>
      </c>
      <c r="T69" s="87">
        <f>IF(Dyn_Insured="","",IF(ISNUMBER(P69)=FALSE,"n/a",MIN(MAX(P69-'Layer Comparison'!Excess_Past,0),'Layer Comparison'!Limit_Past)))</f>
        <v>0</v>
      </c>
      <c r="U69" s="87">
        <f>IF(Dyn_Insured="","",IF(ISNUMBER(Q69)=FALSE,"n/a",MIN(MAX(Q69-'Layer Comparison'!Excess_Latest,0),'Layer Comparison'!Limit_Latest)))</f>
        <v>0</v>
      </c>
      <c r="V69" s="87">
        <f t="shared" si="39"/>
        <v>0</v>
      </c>
      <c r="W69" s="88">
        <f t="shared" si="10"/>
        <v>0</v>
      </c>
      <c r="X69" s="87">
        <v>20079776.120700002</v>
      </c>
      <c r="Y69" s="87">
        <v>14328020.385200001</v>
      </c>
      <c r="Z69" s="87">
        <f t="shared" si="40"/>
        <v>-5751755.7355000004</v>
      </c>
      <c r="AA69" s="88">
        <f t="shared" si="12"/>
        <v>-5751755.7355000004</v>
      </c>
      <c r="AB69" s="87">
        <f>IF(Dyn_Insured="","",IF(ISNUMBER(X69)=FALSE,"n/a",MIN(MAX(X69-'Layer Comparison'!Excess_Past,0),'Layer Comparison'!Limit_Past)))</f>
        <v>5079776.1207000017</v>
      </c>
      <c r="AC69" s="87">
        <f>IF(Dyn_Insured="","",IF(ISNUMBER(Y69)=FALSE,"n/a",MIN(MAX(Y69-'Layer Comparison'!Excess_Latest,0),'Layer Comparison'!Limit_Latest)))</f>
        <v>0</v>
      </c>
      <c r="AD69" s="87">
        <f t="shared" si="41"/>
        <v>-5079776.1207000017</v>
      </c>
      <c r="AE69" s="88">
        <f t="shared" si="14"/>
        <v>-5079776.1207000017</v>
      </c>
      <c r="AF69" s="87">
        <v>30446550.502400003</v>
      </c>
      <c r="AG69" s="87">
        <v>22856338.298900001</v>
      </c>
      <c r="AH69" s="87">
        <f t="shared" si="42"/>
        <v>-7590212.2035000026</v>
      </c>
      <c r="AI69" s="88">
        <f t="shared" si="16"/>
        <v>-7590212.2035000026</v>
      </c>
      <c r="AJ69" s="87">
        <f>IF(Dyn_Insured="","",IF(ISNUMBER(AF69)=FALSE,"n/a",MIN(MAX(AF69-'Layer Comparison'!Excess_Past,0),'Layer Comparison'!Limit_Past)))</f>
        <v>15446550.502400003</v>
      </c>
      <c r="AK69" s="87">
        <f>IF(Dyn_Insured="","",IF(ISNUMBER(AG69)=FALSE,"n/a",MIN(MAX(AG69-'Layer Comparison'!Excess_Latest,0),'Layer Comparison'!Limit_Latest)))</f>
        <v>7856338.2989000008</v>
      </c>
      <c r="AL69" s="87">
        <f t="shared" si="43"/>
        <v>-7590212.2035000026</v>
      </c>
      <c r="AM69" s="88">
        <f t="shared" si="18"/>
        <v>-7590212.2035000026</v>
      </c>
      <c r="AN69" s="87">
        <v>52734195.958800003</v>
      </c>
      <c r="AO69" s="87">
        <v>41781910.742200002</v>
      </c>
      <c r="AP69" s="87">
        <f t="shared" si="44"/>
        <v>-10952285.216600001</v>
      </c>
      <c r="AQ69" s="88">
        <f t="shared" si="20"/>
        <v>-10952285.216600001</v>
      </c>
      <c r="AR69" s="87">
        <f>IF(Dyn_Insured="","",IF(ISNUMBER(AN69)=FALSE,"n/a",MIN(MAX(AN69-'Layer Comparison'!Excess_Past,0),'Layer Comparison'!Limit_Past)))</f>
        <v>37734195.958800003</v>
      </c>
      <c r="AS69" s="87">
        <f>IF(Dyn_Insured="","",IF(ISNUMBER(AO69)=FALSE,"n/a",MIN(MAX(AO69-'Layer Comparison'!Excess_Latest,0),'Layer Comparison'!Limit_Latest)))</f>
        <v>26781910.742200002</v>
      </c>
      <c r="AT69" s="87">
        <f t="shared" si="45"/>
        <v>-10952285.216600001</v>
      </c>
      <c r="AU69" s="88">
        <f t="shared" si="22"/>
        <v>-10952285.216600001</v>
      </c>
      <c r="AV69" s="87">
        <v>77173069.539299995</v>
      </c>
      <c r="AW69" s="87">
        <v>63426166.548599988</v>
      </c>
      <c r="AX69" s="87">
        <f t="shared" si="46"/>
        <v>-13746902.990700006</v>
      </c>
      <c r="AY69" s="88">
        <f t="shared" si="24"/>
        <v>-13746902.990700006</v>
      </c>
      <c r="AZ69" s="87">
        <f>IF(Dyn_Insured="","",IF(ISNUMBER(AV69)=FALSE,"n/a",MIN(MAX(AV69-'Layer Comparison'!Excess_Past,0),'Layer Comparison'!Limit_Past)))</f>
        <v>62173069.539299995</v>
      </c>
      <c r="BA69" s="87">
        <f>IF(Dyn_Insured="","",IF(ISNUMBER(AW69)=FALSE,"n/a",MIN(MAX(AW69-'Layer Comparison'!Excess_Latest,0),'Layer Comparison'!Limit_Latest)))</f>
        <v>48426166.548599988</v>
      </c>
      <c r="BB69" s="87">
        <f t="shared" si="47"/>
        <v>-13746902.990700006</v>
      </c>
      <c r="BC69" s="88">
        <f t="shared" si="26"/>
        <v>-13746902.990700006</v>
      </c>
      <c r="BD69" s="87">
        <v>90556545.614400014</v>
      </c>
      <c r="BE69" s="87">
        <v>74924565.51379998</v>
      </c>
      <c r="BF69" s="87">
        <f t="shared" si="48"/>
        <v>-15631980.100600034</v>
      </c>
      <c r="BG69" s="88">
        <f t="shared" si="28"/>
        <v>-15631980.100600034</v>
      </c>
      <c r="BH69" s="87">
        <f>IF(Dyn_Insured="","",IF(ISNUMBER(BD69)=FALSE,"n/a",MIN(MAX(BD69-'Layer Comparison'!Excess_Past,0),'Layer Comparison'!Limit_Past)))</f>
        <v>75556545.614400014</v>
      </c>
      <c r="BI69" s="87">
        <f>IF(Dyn_Insured="","",IF(ISNUMBER(BE69)=FALSE,"n/a",MIN(MAX(BE69-'Layer Comparison'!Excess_Latest,0),'Layer Comparison'!Limit_Latest)))</f>
        <v>59924565.51379998</v>
      </c>
      <c r="BJ69" s="87">
        <f t="shared" si="49"/>
        <v>-15631980.100600034</v>
      </c>
      <c r="BK69" s="88">
        <f t="shared" si="30"/>
        <v>-15631980.100600034</v>
      </c>
      <c r="BL69" s="87">
        <v>93270386.522699997</v>
      </c>
      <c r="BM69" s="87">
        <v>77270373.153400004</v>
      </c>
      <c r="BN69" s="87">
        <f t="shared" si="50"/>
        <v>-16000013.369299993</v>
      </c>
      <c r="BO69" s="88">
        <f t="shared" si="32"/>
        <v>-16000013.369299993</v>
      </c>
      <c r="BP69" s="87">
        <f>IF(Dyn_Insured="","",IF(ISNUMBER(BL69)=FALSE,"n/a",MIN(MAX(BL69-'Layer Comparison'!Excess_Past,0),'Layer Comparison'!Limit_Past)))</f>
        <v>78270386.522699997</v>
      </c>
      <c r="BQ69" s="87">
        <f>IF(Dyn_Insured="","",IF(ISNUMBER(BM69)=FALSE,"n/a",MIN(MAX(BM69-'Layer Comparison'!Excess_Latest,0),'Layer Comparison'!Limit_Latest)))</f>
        <v>62270373.153400004</v>
      </c>
      <c r="BR69" s="87">
        <f t="shared" si="51"/>
        <v>-16000013.369299993</v>
      </c>
      <c r="BS69" s="88">
        <f t="shared" si="34"/>
        <v>-16000013.369299993</v>
      </c>
      <c r="BT69" s="46" t="s">
        <v>13</v>
      </c>
    </row>
    <row r="70" spans="1:72" x14ac:dyDescent="0.25">
      <c r="A70" s="89">
        <v>70</v>
      </c>
      <c r="B70" s="89">
        <f t="shared" si="0"/>
        <v>1</v>
      </c>
      <c r="C70" s="89">
        <f t="shared" si="1"/>
        <v>1</v>
      </c>
      <c r="D70" s="90">
        <f t="shared" si="52"/>
        <v>1</v>
      </c>
      <c r="E70" s="90">
        <f t="shared" si="52"/>
        <v>1</v>
      </c>
      <c r="F70" s="48" t="s">
        <v>111</v>
      </c>
      <c r="G70" s="38" t="s">
        <v>17</v>
      </c>
      <c r="H70" s="87">
        <v>2874807.4539000001</v>
      </c>
      <c r="I70" s="87">
        <v>2062686.8539000002</v>
      </c>
      <c r="J70" s="87">
        <f t="shared" si="36"/>
        <v>-812120.59999999986</v>
      </c>
      <c r="K70" s="88">
        <f t="shared" si="4"/>
        <v>-812120.59999999986</v>
      </c>
      <c r="L70" s="87">
        <f>IF(Dyn_Insured="","",IF(ISNUMBER(H70)=FALSE,"n/a",MIN(MAX(H70-'Layer Comparison'!Excess_Past,0),'Layer Comparison'!Limit_Past)))</f>
        <v>0</v>
      </c>
      <c r="M70" s="87">
        <f>IF(Dyn_Insured="","",IF(ISNUMBER(I70)=FALSE,"n/a",MIN(MAX(I70-'Layer Comparison'!Excess_Latest,0),'Layer Comparison'!Limit_Latest)))</f>
        <v>0</v>
      </c>
      <c r="N70" s="87">
        <f t="shared" si="37"/>
        <v>0</v>
      </c>
      <c r="O70" s="88">
        <f t="shared" si="6"/>
        <v>0</v>
      </c>
      <c r="P70" s="87">
        <v>11392131.09</v>
      </c>
      <c r="Q70" s="87">
        <v>11937813.271800004</v>
      </c>
      <c r="R70" s="87">
        <f t="shared" si="38"/>
        <v>545682.18180000409</v>
      </c>
      <c r="S70" s="88">
        <f t="shared" si="8"/>
        <v>545682.18180000409</v>
      </c>
      <c r="T70" s="87">
        <f>IF(Dyn_Insured="","",IF(ISNUMBER(P70)=FALSE,"n/a",MIN(MAX(P70-'Layer Comparison'!Excess_Past,0),'Layer Comparison'!Limit_Past)))</f>
        <v>0</v>
      </c>
      <c r="U70" s="87">
        <f>IF(Dyn_Insured="","",IF(ISNUMBER(Q70)=FALSE,"n/a",MIN(MAX(Q70-'Layer Comparison'!Excess_Latest,0),'Layer Comparison'!Limit_Latest)))</f>
        <v>0</v>
      </c>
      <c r="V70" s="87">
        <f t="shared" si="39"/>
        <v>0</v>
      </c>
      <c r="W70" s="88">
        <f t="shared" si="10"/>
        <v>0</v>
      </c>
      <c r="X70" s="87">
        <v>22198523.9465</v>
      </c>
      <c r="Y70" s="87">
        <v>24904264.205099996</v>
      </c>
      <c r="Z70" s="87">
        <f t="shared" si="40"/>
        <v>2705740.2585999966</v>
      </c>
      <c r="AA70" s="88">
        <f t="shared" si="12"/>
        <v>2705740.2585999966</v>
      </c>
      <c r="AB70" s="87">
        <f>IF(Dyn_Insured="","",IF(ISNUMBER(X70)=FALSE,"n/a",MIN(MAX(X70-'Layer Comparison'!Excess_Past,0),'Layer Comparison'!Limit_Past)))</f>
        <v>7198523.9464999996</v>
      </c>
      <c r="AC70" s="87">
        <f>IF(Dyn_Insured="","",IF(ISNUMBER(Y70)=FALSE,"n/a",MIN(MAX(Y70-'Layer Comparison'!Excess_Latest,0),'Layer Comparison'!Limit_Latest)))</f>
        <v>9904264.2050999962</v>
      </c>
      <c r="AD70" s="87">
        <f t="shared" si="41"/>
        <v>2705740.2585999966</v>
      </c>
      <c r="AE70" s="88">
        <f t="shared" si="14"/>
        <v>2705740.2585999966</v>
      </c>
      <c r="AF70" s="87">
        <v>34135052.054500006</v>
      </c>
      <c r="AG70" s="87">
        <v>38711776.155000001</v>
      </c>
      <c r="AH70" s="87">
        <f t="shared" si="42"/>
        <v>4576724.1004999951</v>
      </c>
      <c r="AI70" s="88">
        <f t="shared" si="16"/>
        <v>4576724.1004999951</v>
      </c>
      <c r="AJ70" s="87">
        <f>IF(Dyn_Insured="","",IF(ISNUMBER(AF70)=FALSE,"n/a",MIN(MAX(AF70-'Layer Comparison'!Excess_Past,0),'Layer Comparison'!Limit_Past)))</f>
        <v>19135052.054500006</v>
      </c>
      <c r="AK70" s="87">
        <f>IF(Dyn_Insured="","",IF(ISNUMBER(AG70)=FALSE,"n/a",MIN(MAX(AG70-'Layer Comparison'!Excess_Latest,0),'Layer Comparison'!Limit_Latest)))</f>
        <v>23711776.155000001</v>
      </c>
      <c r="AL70" s="87">
        <f t="shared" si="43"/>
        <v>4576724.1004999951</v>
      </c>
      <c r="AM70" s="88">
        <f t="shared" si="18"/>
        <v>4576724.1004999951</v>
      </c>
      <c r="AN70" s="87">
        <v>59692649.766600005</v>
      </c>
      <c r="AO70" s="87">
        <v>66064119.29990001</v>
      </c>
      <c r="AP70" s="87">
        <f t="shared" si="44"/>
        <v>6371469.5333000049</v>
      </c>
      <c r="AQ70" s="88">
        <f t="shared" si="20"/>
        <v>6371469.5333000049</v>
      </c>
      <c r="AR70" s="87">
        <f>IF(Dyn_Insured="","",IF(ISNUMBER(AN70)=FALSE,"n/a",MIN(MAX(AN70-'Layer Comparison'!Excess_Past,0),'Layer Comparison'!Limit_Past)))</f>
        <v>44692649.766600005</v>
      </c>
      <c r="AS70" s="87">
        <f>IF(Dyn_Insured="","",IF(ISNUMBER(AO70)=FALSE,"n/a",MIN(MAX(AO70-'Layer Comparison'!Excess_Latest,0),'Layer Comparison'!Limit_Latest)))</f>
        <v>51064119.29990001</v>
      </c>
      <c r="AT70" s="87">
        <f t="shared" si="45"/>
        <v>6371469.5333000049</v>
      </c>
      <c r="AU70" s="88">
        <f t="shared" si="22"/>
        <v>6371469.5333000049</v>
      </c>
      <c r="AV70" s="87">
        <v>80802587.543500006</v>
      </c>
      <c r="AW70" s="87">
        <v>89007034.858199999</v>
      </c>
      <c r="AX70" s="87">
        <f t="shared" si="46"/>
        <v>8204447.3146999925</v>
      </c>
      <c r="AY70" s="88">
        <f t="shared" si="24"/>
        <v>8204447.3146999925</v>
      </c>
      <c r="AZ70" s="87">
        <f>IF(Dyn_Insured="","",IF(ISNUMBER(AV70)=FALSE,"n/a",MIN(MAX(AV70-'Layer Comparison'!Excess_Past,0),'Layer Comparison'!Limit_Past)))</f>
        <v>65802587.543500006</v>
      </c>
      <c r="BA70" s="87">
        <f>IF(Dyn_Insured="","",IF(ISNUMBER(AW70)=FALSE,"n/a",MIN(MAX(AW70-'Layer Comparison'!Excess_Latest,0),'Layer Comparison'!Limit_Latest)))</f>
        <v>74007034.858199999</v>
      </c>
      <c r="BB70" s="87">
        <f t="shared" si="47"/>
        <v>8204447.3146999925</v>
      </c>
      <c r="BC70" s="88">
        <f t="shared" si="26"/>
        <v>8204447.3146999925</v>
      </c>
      <c r="BD70" s="87">
        <v>99146775.047600001</v>
      </c>
      <c r="BE70" s="87">
        <v>108600579.487</v>
      </c>
      <c r="BF70" s="87">
        <f t="shared" si="48"/>
        <v>9453804.4394000024</v>
      </c>
      <c r="BG70" s="88">
        <f t="shared" si="28"/>
        <v>9453804.4394000024</v>
      </c>
      <c r="BH70" s="87">
        <f>IF(Dyn_Insured="","",IF(ISNUMBER(BD70)=FALSE,"n/a",MIN(MAX(BD70-'Layer Comparison'!Excess_Past,0),'Layer Comparison'!Limit_Past)))</f>
        <v>84146775.047600001</v>
      </c>
      <c r="BI70" s="87">
        <f>IF(Dyn_Insured="","",IF(ISNUMBER(BE70)=FALSE,"n/a",MIN(MAX(BE70-'Layer Comparison'!Excess_Latest,0),'Layer Comparison'!Limit_Latest)))</f>
        <v>93600579.487000003</v>
      </c>
      <c r="BJ70" s="87">
        <f t="shared" si="49"/>
        <v>9453804.4394000024</v>
      </c>
      <c r="BK70" s="88">
        <f t="shared" si="30"/>
        <v>9453804.4394000024</v>
      </c>
      <c r="BL70" s="87">
        <v>99180966.9815</v>
      </c>
      <c r="BM70" s="87">
        <v>108640402.02680002</v>
      </c>
      <c r="BN70" s="87">
        <f t="shared" si="50"/>
        <v>9459435.0453000218</v>
      </c>
      <c r="BO70" s="88">
        <f t="shared" si="32"/>
        <v>9459435.0453000218</v>
      </c>
      <c r="BP70" s="87">
        <f>IF(Dyn_Insured="","",IF(ISNUMBER(BL70)=FALSE,"n/a",MIN(MAX(BL70-'Layer Comparison'!Excess_Past,0),'Layer Comparison'!Limit_Past)))</f>
        <v>84180966.9815</v>
      </c>
      <c r="BQ70" s="87">
        <f>IF(Dyn_Insured="","",IF(ISNUMBER(BM70)=FALSE,"n/a",MIN(MAX(BM70-'Layer Comparison'!Excess_Latest,0),'Layer Comparison'!Limit_Latest)))</f>
        <v>93640402.026800022</v>
      </c>
      <c r="BR70" s="87">
        <f t="shared" si="51"/>
        <v>9459435.0453000218</v>
      </c>
      <c r="BS70" s="88">
        <f t="shared" si="34"/>
        <v>9459435.0453000218</v>
      </c>
      <c r="BT70" s="46" t="s">
        <v>13</v>
      </c>
    </row>
    <row r="71" spans="1:72" x14ac:dyDescent="0.25">
      <c r="A71" s="89">
        <v>71</v>
      </c>
      <c r="B71" s="89">
        <f t="shared" si="0"/>
        <v>1</v>
      </c>
      <c r="C71" s="89">
        <f t="shared" si="1"/>
        <v>1</v>
      </c>
      <c r="D71" s="90">
        <f t="shared" si="52"/>
        <v>1</v>
      </c>
      <c r="E71" s="90">
        <f t="shared" si="52"/>
        <v>1</v>
      </c>
      <c r="F71" s="48" t="s">
        <v>112</v>
      </c>
      <c r="G71" s="38" t="s">
        <v>17</v>
      </c>
      <c r="H71" s="87">
        <v>4075605.0142999999</v>
      </c>
      <c r="I71" s="87">
        <v>2213371.1514000003</v>
      </c>
      <c r="J71" s="87">
        <f t="shared" si="36"/>
        <v>-1862233.8628999996</v>
      </c>
      <c r="K71" s="88">
        <f t="shared" si="4"/>
        <v>-1862233.8628999996</v>
      </c>
      <c r="L71" s="87">
        <f>IF(Dyn_Insured="","",IF(ISNUMBER(H71)=FALSE,"n/a",MIN(MAX(H71-'Layer Comparison'!Excess_Past,0),'Layer Comparison'!Limit_Past)))</f>
        <v>0</v>
      </c>
      <c r="M71" s="87">
        <f>IF(Dyn_Insured="","",IF(ISNUMBER(I71)=FALSE,"n/a",MIN(MAX(I71-'Layer Comparison'!Excess_Latest,0),'Layer Comparison'!Limit_Latest)))</f>
        <v>0</v>
      </c>
      <c r="N71" s="87">
        <f t="shared" si="37"/>
        <v>0</v>
      </c>
      <c r="O71" s="88">
        <f t="shared" si="6"/>
        <v>0</v>
      </c>
      <c r="P71" s="87">
        <v>16286942.662499996</v>
      </c>
      <c r="Q71" s="87">
        <v>11572981.5732</v>
      </c>
      <c r="R71" s="87">
        <f t="shared" si="38"/>
        <v>-4713961.0892999955</v>
      </c>
      <c r="S71" s="88">
        <f t="shared" si="8"/>
        <v>-4713961.0892999955</v>
      </c>
      <c r="T71" s="87">
        <f>IF(Dyn_Insured="","",IF(ISNUMBER(P71)=FALSE,"n/a",MIN(MAX(P71-'Layer Comparison'!Excess_Past,0),'Layer Comparison'!Limit_Past)))</f>
        <v>1286942.6624999959</v>
      </c>
      <c r="U71" s="87">
        <f>IF(Dyn_Insured="","",IF(ISNUMBER(Q71)=FALSE,"n/a",MIN(MAX(Q71-'Layer Comparison'!Excess_Latest,0),'Layer Comparison'!Limit_Latest)))</f>
        <v>0</v>
      </c>
      <c r="V71" s="87">
        <f t="shared" si="39"/>
        <v>-1286942.6624999959</v>
      </c>
      <c r="W71" s="88">
        <f t="shared" si="10"/>
        <v>-1286942.6624999959</v>
      </c>
      <c r="X71" s="87">
        <v>29279854.049800001</v>
      </c>
      <c r="Y71" s="87">
        <v>21672979.026900001</v>
      </c>
      <c r="Z71" s="87">
        <f t="shared" si="40"/>
        <v>-7606875.0229000002</v>
      </c>
      <c r="AA71" s="88">
        <f t="shared" si="12"/>
        <v>-7606875.0229000002</v>
      </c>
      <c r="AB71" s="87">
        <f>IF(Dyn_Insured="","",IF(ISNUMBER(X71)=FALSE,"n/a",MIN(MAX(X71-'Layer Comparison'!Excess_Past,0),'Layer Comparison'!Limit_Past)))</f>
        <v>14279854.049800001</v>
      </c>
      <c r="AC71" s="87">
        <f>IF(Dyn_Insured="","",IF(ISNUMBER(Y71)=FALSE,"n/a",MIN(MAX(Y71-'Layer Comparison'!Excess_Latest,0),'Layer Comparison'!Limit_Latest)))</f>
        <v>6672979.0269000009</v>
      </c>
      <c r="AD71" s="87">
        <f t="shared" si="41"/>
        <v>-7606875.0229000002</v>
      </c>
      <c r="AE71" s="88">
        <f t="shared" si="14"/>
        <v>-7606875.0229000002</v>
      </c>
      <c r="AF71" s="87">
        <v>42894134.443100005</v>
      </c>
      <c r="AG71" s="87">
        <v>31954560.223899994</v>
      </c>
      <c r="AH71" s="87">
        <f t="shared" si="42"/>
        <v>-10939574.219200011</v>
      </c>
      <c r="AI71" s="88">
        <f t="shared" si="16"/>
        <v>-10939574.219200011</v>
      </c>
      <c r="AJ71" s="87">
        <f>IF(Dyn_Insured="","",IF(ISNUMBER(AF71)=FALSE,"n/a",MIN(MAX(AF71-'Layer Comparison'!Excess_Past,0),'Layer Comparison'!Limit_Past)))</f>
        <v>27894134.443100005</v>
      </c>
      <c r="AK71" s="87">
        <f>IF(Dyn_Insured="","",IF(ISNUMBER(AG71)=FALSE,"n/a",MIN(MAX(AG71-'Layer Comparison'!Excess_Latest,0),'Layer Comparison'!Limit_Latest)))</f>
        <v>16954560.223899994</v>
      </c>
      <c r="AL71" s="87">
        <f t="shared" si="43"/>
        <v>-10939574.219200011</v>
      </c>
      <c r="AM71" s="88">
        <f t="shared" si="18"/>
        <v>-10939574.219200011</v>
      </c>
      <c r="AN71" s="87">
        <v>52006128.102899991</v>
      </c>
      <c r="AO71" s="87">
        <v>39302850.499099992</v>
      </c>
      <c r="AP71" s="87">
        <f t="shared" si="44"/>
        <v>-12703277.603799999</v>
      </c>
      <c r="AQ71" s="88">
        <f t="shared" si="20"/>
        <v>-12703277.603799999</v>
      </c>
      <c r="AR71" s="87">
        <f>IF(Dyn_Insured="","",IF(ISNUMBER(AN71)=FALSE,"n/a",MIN(MAX(AN71-'Layer Comparison'!Excess_Past,0),'Layer Comparison'!Limit_Past)))</f>
        <v>37006128.102899991</v>
      </c>
      <c r="AS71" s="87">
        <f>IF(Dyn_Insured="","",IF(ISNUMBER(AO71)=FALSE,"n/a",MIN(MAX(AO71-'Layer Comparison'!Excess_Latest,0),'Layer Comparison'!Limit_Latest)))</f>
        <v>24302850.499099992</v>
      </c>
      <c r="AT71" s="87">
        <f t="shared" si="45"/>
        <v>-12703277.603799999</v>
      </c>
      <c r="AU71" s="88">
        <f t="shared" si="22"/>
        <v>-12703277.603799999</v>
      </c>
      <c r="AV71" s="87">
        <v>53848854.021100007</v>
      </c>
      <c r="AW71" s="87">
        <v>40733204.416499995</v>
      </c>
      <c r="AX71" s="87">
        <f t="shared" si="46"/>
        <v>-13115649.604600012</v>
      </c>
      <c r="AY71" s="88">
        <f t="shared" si="24"/>
        <v>-13115649.604600012</v>
      </c>
      <c r="AZ71" s="87">
        <f>IF(Dyn_Insured="","",IF(ISNUMBER(AV71)=FALSE,"n/a",MIN(MAX(AV71-'Layer Comparison'!Excess_Past,0),'Layer Comparison'!Limit_Past)))</f>
        <v>38848854.021100007</v>
      </c>
      <c r="BA71" s="87">
        <f>IF(Dyn_Insured="","",IF(ISNUMBER(AW71)=FALSE,"n/a",MIN(MAX(AW71-'Layer Comparison'!Excess_Latest,0),'Layer Comparison'!Limit_Latest)))</f>
        <v>25733204.416499995</v>
      </c>
      <c r="BB71" s="87">
        <f t="shared" si="47"/>
        <v>-13115649.604600012</v>
      </c>
      <c r="BC71" s="88">
        <f t="shared" si="26"/>
        <v>-13115649.604600012</v>
      </c>
      <c r="BD71" s="87">
        <v>54809663.125199996</v>
      </c>
      <c r="BE71" s="87">
        <v>41462967.389600001</v>
      </c>
      <c r="BF71" s="87">
        <f t="shared" si="48"/>
        <v>-13346695.735599995</v>
      </c>
      <c r="BG71" s="88">
        <f t="shared" si="28"/>
        <v>-13346695.735599995</v>
      </c>
      <c r="BH71" s="87">
        <f>IF(Dyn_Insured="","",IF(ISNUMBER(BD71)=FALSE,"n/a",MIN(MAX(BD71-'Layer Comparison'!Excess_Past,0),'Layer Comparison'!Limit_Past)))</f>
        <v>39809663.125199996</v>
      </c>
      <c r="BI71" s="87">
        <f>IF(Dyn_Insured="","",IF(ISNUMBER(BE71)=FALSE,"n/a",MIN(MAX(BE71-'Layer Comparison'!Excess_Latest,0),'Layer Comparison'!Limit_Latest)))</f>
        <v>26462967.389600001</v>
      </c>
      <c r="BJ71" s="87">
        <f t="shared" si="49"/>
        <v>-13346695.735599995</v>
      </c>
      <c r="BK71" s="88">
        <f t="shared" si="30"/>
        <v>-13346695.735599995</v>
      </c>
      <c r="BL71" s="87">
        <v>54827469.003799997</v>
      </c>
      <c r="BM71" s="87">
        <v>41484028.150499992</v>
      </c>
      <c r="BN71" s="87">
        <f t="shared" si="50"/>
        <v>-13343440.853300005</v>
      </c>
      <c r="BO71" s="88">
        <f t="shared" si="32"/>
        <v>-13343440.853300005</v>
      </c>
      <c r="BP71" s="87">
        <f>IF(Dyn_Insured="","",IF(ISNUMBER(BL71)=FALSE,"n/a",MIN(MAX(BL71-'Layer Comparison'!Excess_Past,0),'Layer Comparison'!Limit_Past)))</f>
        <v>39827469.003799997</v>
      </c>
      <c r="BQ71" s="87">
        <f>IF(Dyn_Insured="","",IF(ISNUMBER(BM71)=FALSE,"n/a",MIN(MAX(BM71-'Layer Comparison'!Excess_Latest,0),'Layer Comparison'!Limit_Latest)))</f>
        <v>26484028.150499992</v>
      </c>
      <c r="BR71" s="87">
        <f t="shared" si="51"/>
        <v>-13343440.853300005</v>
      </c>
      <c r="BS71" s="88">
        <f t="shared" si="34"/>
        <v>-13343440.853300005</v>
      </c>
      <c r="BT71" s="46" t="s">
        <v>13</v>
      </c>
    </row>
    <row r="72" spans="1:72" x14ac:dyDescent="0.25">
      <c r="A72" s="89">
        <v>72</v>
      </c>
      <c r="B72" s="89">
        <f t="shared" si="0"/>
        <v>1</v>
      </c>
      <c r="C72" s="89">
        <f t="shared" si="1"/>
        <v>1</v>
      </c>
      <c r="D72" s="90">
        <f t="shared" si="52"/>
        <v>1</v>
      </c>
      <c r="E72" s="90">
        <f t="shared" si="52"/>
        <v>1</v>
      </c>
      <c r="F72" s="48" t="s">
        <v>113</v>
      </c>
      <c r="G72" s="38" t="s">
        <v>17</v>
      </c>
      <c r="H72" s="87">
        <v>4234735.7146000005</v>
      </c>
      <c r="I72" s="87">
        <v>2579903.7015000004</v>
      </c>
      <c r="J72" s="87">
        <f t="shared" si="36"/>
        <v>-1654832.0131000001</v>
      </c>
      <c r="K72" s="88">
        <f t="shared" si="4"/>
        <v>-1654832.0131000001</v>
      </c>
      <c r="L72" s="87">
        <f>IF(Dyn_Insured="","",IF(ISNUMBER(H72)=FALSE,"n/a",MIN(MAX(H72-'Layer Comparison'!Excess_Past,0),'Layer Comparison'!Limit_Past)))</f>
        <v>0</v>
      </c>
      <c r="M72" s="87">
        <f>IF(Dyn_Insured="","",IF(ISNUMBER(I72)=FALSE,"n/a",MIN(MAX(I72-'Layer Comparison'!Excess_Latest,0),'Layer Comparison'!Limit_Latest)))</f>
        <v>0</v>
      </c>
      <c r="N72" s="87">
        <f t="shared" si="37"/>
        <v>0</v>
      </c>
      <c r="O72" s="88">
        <f t="shared" si="6"/>
        <v>0</v>
      </c>
      <c r="P72" s="87">
        <v>14707868.819599999</v>
      </c>
      <c r="Q72" s="87">
        <v>12480980.741900001</v>
      </c>
      <c r="R72" s="87">
        <f t="shared" si="38"/>
        <v>-2226888.0776999984</v>
      </c>
      <c r="S72" s="88">
        <f t="shared" si="8"/>
        <v>-2226888.0776999984</v>
      </c>
      <c r="T72" s="87">
        <f>IF(Dyn_Insured="","",IF(ISNUMBER(P72)=FALSE,"n/a",MIN(MAX(P72-'Layer Comparison'!Excess_Past,0),'Layer Comparison'!Limit_Past)))</f>
        <v>0</v>
      </c>
      <c r="U72" s="87">
        <f>IF(Dyn_Insured="","",IF(ISNUMBER(Q72)=FALSE,"n/a",MIN(MAX(Q72-'Layer Comparison'!Excess_Latest,0),'Layer Comparison'!Limit_Latest)))</f>
        <v>0</v>
      </c>
      <c r="V72" s="87">
        <f t="shared" si="39"/>
        <v>0</v>
      </c>
      <c r="W72" s="88">
        <f t="shared" si="10"/>
        <v>0</v>
      </c>
      <c r="X72" s="87">
        <v>25840135.285300005</v>
      </c>
      <c r="Y72" s="87">
        <v>23405283.042000003</v>
      </c>
      <c r="Z72" s="87">
        <f t="shared" si="40"/>
        <v>-2434852.2433000021</v>
      </c>
      <c r="AA72" s="88">
        <f t="shared" si="12"/>
        <v>-2434852.2433000021</v>
      </c>
      <c r="AB72" s="87">
        <f>IF(Dyn_Insured="","",IF(ISNUMBER(X72)=FALSE,"n/a",MIN(MAX(X72-'Layer Comparison'!Excess_Past,0),'Layer Comparison'!Limit_Past)))</f>
        <v>10840135.285300005</v>
      </c>
      <c r="AC72" s="87">
        <f>IF(Dyn_Insured="","",IF(ISNUMBER(Y72)=FALSE,"n/a",MIN(MAX(Y72-'Layer Comparison'!Excess_Latest,0),'Layer Comparison'!Limit_Latest)))</f>
        <v>8405283.0420000032</v>
      </c>
      <c r="AD72" s="87">
        <f t="shared" si="41"/>
        <v>-2434852.2433000021</v>
      </c>
      <c r="AE72" s="88">
        <f t="shared" si="14"/>
        <v>-2434852.2433000021</v>
      </c>
      <c r="AF72" s="87">
        <v>37088693.872000001</v>
      </c>
      <c r="AG72" s="87">
        <v>35341383.153699994</v>
      </c>
      <c r="AH72" s="87">
        <f t="shared" si="42"/>
        <v>-1747310.7183000073</v>
      </c>
      <c r="AI72" s="88">
        <f t="shared" si="16"/>
        <v>-1747310.7183000073</v>
      </c>
      <c r="AJ72" s="87">
        <f>IF(Dyn_Insured="","",IF(ISNUMBER(AF72)=FALSE,"n/a",MIN(MAX(AF72-'Layer Comparison'!Excess_Past,0),'Layer Comparison'!Limit_Past)))</f>
        <v>22088693.872000001</v>
      </c>
      <c r="AK72" s="87">
        <f>IF(Dyn_Insured="","",IF(ISNUMBER(AG72)=FALSE,"n/a",MIN(MAX(AG72-'Layer Comparison'!Excess_Latest,0),'Layer Comparison'!Limit_Latest)))</f>
        <v>20341383.153699994</v>
      </c>
      <c r="AL72" s="87">
        <f t="shared" si="43"/>
        <v>-1747310.7183000073</v>
      </c>
      <c r="AM72" s="88">
        <f t="shared" si="18"/>
        <v>-1747310.7183000073</v>
      </c>
      <c r="AN72" s="87">
        <v>60523828.73430001</v>
      </c>
      <c r="AO72" s="87">
        <v>61039550.82659997</v>
      </c>
      <c r="AP72" s="87">
        <f t="shared" si="44"/>
        <v>515722.09229996055</v>
      </c>
      <c r="AQ72" s="88">
        <f t="shared" si="20"/>
        <v>515722.09229996055</v>
      </c>
      <c r="AR72" s="87">
        <f>IF(Dyn_Insured="","",IF(ISNUMBER(AN72)=FALSE,"n/a",MIN(MAX(AN72-'Layer Comparison'!Excess_Past,0),'Layer Comparison'!Limit_Past)))</f>
        <v>45523828.73430001</v>
      </c>
      <c r="AS72" s="87">
        <f>IF(Dyn_Insured="","",IF(ISNUMBER(AO72)=FALSE,"n/a",MIN(MAX(AO72-'Layer Comparison'!Excess_Latest,0),'Layer Comparison'!Limit_Latest)))</f>
        <v>46039550.82659997</v>
      </c>
      <c r="AT72" s="87">
        <f t="shared" si="45"/>
        <v>515722.09229996055</v>
      </c>
      <c r="AU72" s="88">
        <f t="shared" si="22"/>
        <v>515722.09229996055</v>
      </c>
      <c r="AV72" s="87">
        <v>82638416.644699991</v>
      </c>
      <c r="AW72" s="87">
        <v>84563609.111099988</v>
      </c>
      <c r="AX72" s="87">
        <f t="shared" si="46"/>
        <v>1925192.4663999975</v>
      </c>
      <c r="AY72" s="88">
        <f t="shared" si="24"/>
        <v>1925192.4663999975</v>
      </c>
      <c r="AZ72" s="87">
        <f>IF(Dyn_Insured="","",IF(ISNUMBER(AV72)=FALSE,"n/a",MIN(MAX(AV72-'Layer Comparison'!Excess_Past,0),'Layer Comparison'!Limit_Past)))</f>
        <v>67638416.644699991</v>
      </c>
      <c r="BA72" s="87">
        <f>IF(Dyn_Insured="","",IF(ISNUMBER(AW72)=FALSE,"n/a",MIN(MAX(AW72-'Layer Comparison'!Excess_Latest,0),'Layer Comparison'!Limit_Latest)))</f>
        <v>69563609.111099988</v>
      </c>
      <c r="BB72" s="87">
        <f t="shared" si="47"/>
        <v>1925192.4663999975</v>
      </c>
      <c r="BC72" s="88">
        <f t="shared" si="26"/>
        <v>1925192.4663999975</v>
      </c>
      <c r="BD72" s="87">
        <v>92814288.66169998</v>
      </c>
      <c r="BE72" s="87">
        <v>93719382.904399991</v>
      </c>
      <c r="BF72" s="87">
        <f t="shared" si="48"/>
        <v>905094.24270001054</v>
      </c>
      <c r="BG72" s="88">
        <f t="shared" si="28"/>
        <v>905094.24270001054</v>
      </c>
      <c r="BH72" s="87">
        <f>IF(Dyn_Insured="","",IF(ISNUMBER(BD72)=FALSE,"n/a",MIN(MAX(BD72-'Layer Comparison'!Excess_Past,0),'Layer Comparison'!Limit_Past)))</f>
        <v>77814288.66169998</v>
      </c>
      <c r="BI72" s="87">
        <f>IF(Dyn_Insured="","",IF(ISNUMBER(BE72)=FALSE,"n/a",MIN(MAX(BE72-'Layer Comparison'!Excess_Latest,0),'Layer Comparison'!Limit_Latest)))</f>
        <v>78719382.904399991</v>
      </c>
      <c r="BJ72" s="87">
        <f t="shared" si="49"/>
        <v>905094.24270001054</v>
      </c>
      <c r="BK72" s="88">
        <f t="shared" si="30"/>
        <v>905094.24270001054</v>
      </c>
      <c r="BL72" s="87">
        <v>94619919.92869997</v>
      </c>
      <c r="BM72" s="87">
        <v>95681894.589599997</v>
      </c>
      <c r="BN72" s="87">
        <f t="shared" si="50"/>
        <v>1061974.6609000266</v>
      </c>
      <c r="BO72" s="88">
        <f t="shared" si="32"/>
        <v>1061974.6609000266</v>
      </c>
      <c r="BP72" s="87">
        <f>IF(Dyn_Insured="","",IF(ISNUMBER(BL72)=FALSE,"n/a",MIN(MAX(BL72-'Layer Comparison'!Excess_Past,0),'Layer Comparison'!Limit_Past)))</f>
        <v>79619919.92869997</v>
      </c>
      <c r="BQ72" s="87">
        <f>IF(Dyn_Insured="","",IF(ISNUMBER(BM72)=FALSE,"n/a",MIN(MAX(BM72-'Layer Comparison'!Excess_Latest,0),'Layer Comparison'!Limit_Latest)))</f>
        <v>80681894.589599997</v>
      </c>
      <c r="BR72" s="87">
        <f t="shared" si="51"/>
        <v>1061974.6609000266</v>
      </c>
      <c r="BS72" s="88">
        <f t="shared" si="34"/>
        <v>1061974.6609000266</v>
      </c>
      <c r="BT72" s="46" t="s">
        <v>13</v>
      </c>
    </row>
    <row r="73" spans="1:72" x14ac:dyDescent="0.25">
      <c r="A73" s="89">
        <v>73</v>
      </c>
      <c r="B73" s="89">
        <f t="shared" si="0"/>
        <v>1</v>
      </c>
      <c r="C73" s="89">
        <f t="shared" si="1"/>
        <v>1</v>
      </c>
      <c r="D73" s="90">
        <f t="shared" si="52"/>
        <v>1</v>
      </c>
      <c r="E73" s="90">
        <f t="shared" si="52"/>
        <v>1</v>
      </c>
      <c r="F73" s="48" t="s">
        <v>114</v>
      </c>
      <c r="G73" s="38" t="s">
        <v>17</v>
      </c>
      <c r="H73" s="87">
        <v>2270475.5811000001</v>
      </c>
      <c r="I73" s="87">
        <v>1290914.3239</v>
      </c>
      <c r="J73" s="87">
        <f t="shared" si="36"/>
        <v>-979561.25720000011</v>
      </c>
      <c r="K73" s="88">
        <f t="shared" si="4"/>
        <v>-979561.25720000011</v>
      </c>
      <c r="L73" s="87">
        <f>IF(Dyn_Insured="","",IF(ISNUMBER(H73)=FALSE,"n/a",MIN(MAX(H73-'Layer Comparison'!Excess_Past,0),'Layer Comparison'!Limit_Past)))</f>
        <v>0</v>
      </c>
      <c r="M73" s="87">
        <f>IF(Dyn_Insured="","",IF(ISNUMBER(I73)=FALSE,"n/a",MIN(MAX(I73-'Layer Comparison'!Excess_Latest,0),'Layer Comparison'!Limit_Latest)))</f>
        <v>0</v>
      </c>
      <c r="N73" s="87">
        <f t="shared" si="37"/>
        <v>0</v>
      </c>
      <c r="O73" s="88">
        <f t="shared" si="6"/>
        <v>0</v>
      </c>
      <c r="P73" s="87">
        <v>11328286.732800001</v>
      </c>
      <c r="Q73" s="87">
        <v>8737481.6740000006</v>
      </c>
      <c r="R73" s="87">
        <f t="shared" si="38"/>
        <v>-2590805.0588000007</v>
      </c>
      <c r="S73" s="88">
        <f t="shared" si="8"/>
        <v>-2590805.0588000007</v>
      </c>
      <c r="T73" s="87">
        <f>IF(Dyn_Insured="","",IF(ISNUMBER(P73)=FALSE,"n/a",MIN(MAX(P73-'Layer Comparison'!Excess_Past,0),'Layer Comparison'!Limit_Past)))</f>
        <v>0</v>
      </c>
      <c r="U73" s="87">
        <f>IF(Dyn_Insured="","",IF(ISNUMBER(Q73)=FALSE,"n/a",MIN(MAX(Q73-'Layer Comparison'!Excess_Latest,0),'Layer Comparison'!Limit_Latest)))</f>
        <v>0</v>
      </c>
      <c r="V73" s="87">
        <f t="shared" si="39"/>
        <v>0</v>
      </c>
      <c r="W73" s="88">
        <f t="shared" si="10"/>
        <v>0</v>
      </c>
      <c r="X73" s="87">
        <v>22141660.836300001</v>
      </c>
      <c r="Y73" s="87">
        <v>18560817.254600003</v>
      </c>
      <c r="Z73" s="87">
        <f t="shared" si="40"/>
        <v>-3580843.5816999972</v>
      </c>
      <c r="AA73" s="88">
        <f t="shared" si="12"/>
        <v>-3580843.5816999972</v>
      </c>
      <c r="AB73" s="87">
        <f>IF(Dyn_Insured="","",IF(ISNUMBER(X73)=FALSE,"n/a",MIN(MAX(X73-'Layer Comparison'!Excess_Past,0),'Layer Comparison'!Limit_Past)))</f>
        <v>7141660.8363000005</v>
      </c>
      <c r="AC73" s="87">
        <f>IF(Dyn_Insured="","",IF(ISNUMBER(Y73)=FALSE,"n/a",MIN(MAX(Y73-'Layer Comparison'!Excess_Latest,0),'Layer Comparison'!Limit_Latest)))</f>
        <v>3560817.2546000034</v>
      </c>
      <c r="AD73" s="87">
        <f t="shared" si="41"/>
        <v>-3580843.5816999972</v>
      </c>
      <c r="AE73" s="88">
        <f t="shared" si="14"/>
        <v>-3580843.5816999972</v>
      </c>
      <c r="AF73" s="87">
        <v>33819099.611299999</v>
      </c>
      <c r="AG73" s="87">
        <v>28773697.691800002</v>
      </c>
      <c r="AH73" s="87">
        <f t="shared" si="42"/>
        <v>-5045401.919499997</v>
      </c>
      <c r="AI73" s="88">
        <f t="shared" si="16"/>
        <v>-5045401.919499997</v>
      </c>
      <c r="AJ73" s="87">
        <f>IF(Dyn_Insured="","",IF(ISNUMBER(AF73)=FALSE,"n/a",MIN(MAX(AF73-'Layer Comparison'!Excess_Past,0),'Layer Comparison'!Limit_Past)))</f>
        <v>18819099.611299999</v>
      </c>
      <c r="AK73" s="87">
        <f>IF(Dyn_Insured="","",IF(ISNUMBER(AG73)=FALSE,"n/a",MIN(MAX(AG73-'Layer Comparison'!Excess_Latest,0),'Layer Comparison'!Limit_Latest)))</f>
        <v>13773697.691800002</v>
      </c>
      <c r="AL73" s="87">
        <f t="shared" si="43"/>
        <v>-5045401.919499997</v>
      </c>
      <c r="AM73" s="88">
        <f t="shared" si="18"/>
        <v>-5045401.919499997</v>
      </c>
      <c r="AN73" s="87">
        <v>58691367.498600006</v>
      </c>
      <c r="AO73" s="87">
        <v>52389097.018800005</v>
      </c>
      <c r="AP73" s="87">
        <f t="shared" si="44"/>
        <v>-6302270.4798000008</v>
      </c>
      <c r="AQ73" s="88">
        <f t="shared" si="20"/>
        <v>-6302270.4798000008</v>
      </c>
      <c r="AR73" s="87">
        <f>IF(Dyn_Insured="","",IF(ISNUMBER(AN73)=FALSE,"n/a",MIN(MAX(AN73-'Layer Comparison'!Excess_Past,0),'Layer Comparison'!Limit_Past)))</f>
        <v>43691367.498600006</v>
      </c>
      <c r="AS73" s="87">
        <f>IF(Dyn_Insured="","",IF(ISNUMBER(AO73)=FALSE,"n/a",MIN(MAX(AO73-'Layer Comparison'!Excess_Latest,0),'Layer Comparison'!Limit_Latest)))</f>
        <v>37389097.018800005</v>
      </c>
      <c r="AT73" s="87">
        <f t="shared" si="45"/>
        <v>-6302270.4798000008</v>
      </c>
      <c r="AU73" s="88">
        <f t="shared" si="22"/>
        <v>-6302270.4798000008</v>
      </c>
      <c r="AV73" s="87">
        <v>76290603.358200014</v>
      </c>
      <c r="AW73" s="87">
        <v>74098227.765300006</v>
      </c>
      <c r="AX73" s="87">
        <f t="shared" si="46"/>
        <v>-2192375.592900008</v>
      </c>
      <c r="AY73" s="88">
        <f t="shared" si="24"/>
        <v>-2192375.592900008</v>
      </c>
      <c r="AZ73" s="87">
        <f>IF(Dyn_Insured="","",IF(ISNUMBER(AV73)=FALSE,"n/a",MIN(MAX(AV73-'Layer Comparison'!Excess_Past,0),'Layer Comparison'!Limit_Past)))</f>
        <v>61290603.358200014</v>
      </c>
      <c r="BA73" s="87">
        <f>IF(Dyn_Insured="","",IF(ISNUMBER(AW73)=FALSE,"n/a",MIN(MAX(AW73-'Layer Comparison'!Excess_Latest,0),'Layer Comparison'!Limit_Latest)))</f>
        <v>59098227.765300006</v>
      </c>
      <c r="BB73" s="87">
        <f t="shared" si="47"/>
        <v>-2192375.592900008</v>
      </c>
      <c r="BC73" s="88">
        <f t="shared" si="26"/>
        <v>-2192375.592900008</v>
      </c>
      <c r="BD73" s="87">
        <v>78260526.938600004</v>
      </c>
      <c r="BE73" s="87">
        <v>76277859.758399993</v>
      </c>
      <c r="BF73" s="87">
        <f t="shared" si="48"/>
        <v>-1982667.1802000105</v>
      </c>
      <c r="BG73" s="88">
        <f t="shared" si="28"/>
        <v>-1982667.1802000105</v>
      </c>
      <c r="BH73" s="87">
        <f>IF(Dyn_Insured="","",IF(ISNUMBER(BD73)=FALSE,"n/a",MIN(MAX(BD73-'Layer Comparison'!Excess_Past,0),'Layer Comparison'!Limit_Past)))</f>
        <v>63260526.938600004</v>
      </c>
      <c r="BI73" s="87">
        <f>IF(Dyn_Insured="","",IF(ISNUMBER(BE73)=FALSE,"n/a",MIN(MAX(BE73-'Layer Comparison'!Excess_Latest,0),'Layer Comparison'!Limit_Latest)))</f>
        <v>61277859.758399993</v>
      </c>
      <c r="BJ73" s="87">
        <f t="shared" si="49"/>
        <v>-1982667.1802000105</v>
      </c>
      <c r="BK73" s="88">
        <f t="shared" si="30"/>
        <v>-1982667.1802000105</v>
      </c>
      <c r="BL73" s="87">
        <v>78925043.223400012</v>
      </c>
      <c r="BM73" s="87">
        <v>77272232.709900022</v>
      </c>
      <c r="BN73" s="87">
        <f t="shared" si="50"/>
        <v>-1652810.5134999901</v>
      </c>
      <c r="BO73" s="88">
        <f t="shared" si="32"/>
        <v>-1652810.5134999901</v>
      </c>
      <c r="BP73" s="87">
        <f>IF(Dyn_Insured="","",IF(ISNUMBER(BL73)=FALSE,"n/a",MIN(MAX(BL73-'Layer Comparison'!Excess_Past,0),'Layer Comparison'!Limit_Past)))</f>
        <v>63925043.223400012</v>
      </c>
      <c r="BQ73" s="87">
        <f>IF(Dyn_Insured="","",IF(ISNUMBER(BM73)=FALSE,"n/a",MIN(MAX(BM73-'Layer Comparison'!Excess_Latest,0),'Layer Comparison'!Limit_Latest)))</f>
        <v>62272232.709900022</v>
      </c>
      <c r="BR73" s="87">
        <f t="shared" si="51"/>
        <v>-1652810.5134999901</v>
      </c>
      <c r="BS73" s="88">
        <f t="shared" si="34"/>
        <v>-1652810.5134999901</v>
      </c>
      <c r="BT73" s="46" t="s">
        <v>13</v>
      </c>
    </row>
    <row r="74" spans="1:72" x14ac:dyDescent="0.25">
      <c r="A74" s="89">
        <v>74</v>
      </c>
      <c r="B74" s="89">
        <f t="shared" si="0"/>
        <v>1</v>
      </c>
      <c r="C74" s="89">
        <f t="shared" si="1"/>
        <v>1</v>
      </c>
      <c r="D74" s="90">
        <f t="shared" ref="D74:E93" si="53">IF(SUMIFS($F74:$BO74,$F$9:$BO$9,D$9,$F$10:$BO$10,D$10)&gt;0,1,0)</f>
        <v>1</v>
      </c>
      <c r="E74" s="90">
        <f t="shared" si="53"/>
        <v>1</v>
      </c>
      <c r="F74" s="48" t="s">
        <v>115</v>
      </c>
      <c r="G74" s="38" t="s">
        <v>17</v>
      </c>
      <c r="H74" s="87">
        <v>5007318.7006999999</v>
      </c>
      <c r="I74" s="87">
        <v>4642821.3102000002</v>
      </c>
      <c r="J74" s="87">
        <f t="shared" si="36"/>
        <v>-364497.39049999975</v>
      </c>
      <c r="K74" s="88">
        <f t="shared" si="4"/>
        <v>-364497.39049999975</v>
      </c>
      <c r="L74" s="87">
        <f>IF(Dyn_Insured="","",IF(ISNUMBER(H74)=FALSE,"n/a",MIN(MAX(H74-'Layer Comparison'!Excess_Past,0),'Layer Comparison'!Limit_Past)))</f>
        <v>0</v>
      </c>
      <c r="M74" s="87">
        <f>IF(Dyn_Insured="","",IF(ISNUMBER(I74)=FALSE,"n/a",MIN(MAX(I74-'Layer Comparison'!Excess_Latest,0),'Layer Comparison'!Limit_Latest)))</f>
        <v>0</v>
      </c>
      <c r="N74" s="87">
        <f t="shared" si="37"/>
        <v>0</v>
      </c>
      <c r="O74" s="88">
        <f t="shared" si="6"/>
        <v>0</v>
      </c>
      <c r="P74" s="87">
        <v>19305361.071900003</v>
      </c>
      <c r="Q74" s="87">
        <v>14894295.166200001</v>
      </c>
      <c r="R74" s="87">
        <f t="shared" si="38"/>
        <v>-4411065.9057000019</v>
      </c>
      <c r="S74" s="88">
        <f t="shared" si="8"/>
        <v>-4411065.9057000019</v>
      </c>
      <c r="T74" s="87">
        <f>IF(Dyn_Insured="","",IF(ISNUMBER(P74)=FALSE,"n/a",MIN(MAX(P74-'Layer Comparison'!Excess_Past,0),'Layer Comparison'!Limit_Past)))</f>
        <v>4305361.0719000027</v>
      </c>
      <c r="U74" s="87">
        <f>IF(Dyn_Insured="","",IF(ISNUMBER(Q74)=FALSE,"n/a",MIN(MAX(Q74-'Layer Comparison'!Excess_Latest,0),'Layer Comparison'!Limit_Latest)))</f>
        <v>0</v>
      </c>
      <c r="V74" s="87">
        <f t="shared" si="39"/>
        <v>-4305361.0719000027</v>
      </c>
      <c r="W74" s="88">
        <f t="shared" si="10"/>
        <v>-4305361.0719000027</v>
      </c>
      <c r="X74" s="87">
        <v>33595621.59390001</v>
      </c>
      <c r="Y74" s="87">
        <v>26331388.434500001</v>
      </c>
      <c r="Z74" s="87">
        <f t="shared" si="40"/>
        <v>-7264233.1594000086</v>
      </c>
      <c r="AA74" s="88">
        <f t="shared" si="12"/>
        <v>-7264233.1594000086</v>
      </c>
      <c r="AB74" s="87">
        <f>IF(Dyn_Insured="","",IF(ISNUMBER(X74)=FALSE,"n/a",MIN(MAX(X74-'Layer Comparison'!Excess_Past,0),'Layer Comparison'!Limit_Past)))</f>
        <v>18595621.59390001</v>
      </c>
      <c r="AC74" s="87">
        <f>IF(Dyn_Insured="","",IF(ISNUMBER(Y74)=FALSE,"n/a",MIN(MAX(Y74-'Layer Comparison'!Excess_Latest,0),'Layer Comparison'!Limit_Latest)))</f>
        <v>11331388.434500001</v>
      </c>
      <c r="AD74" s="87">
        <f t="shared" si="41"/>
        <v>-7264233.1594000086</v>
      </c>
      <c r="AE74" s="88">
        <f t="shared" si="14"/>
        <v>-7264233.1594000086</v>
      </c>
      <c r="AF74" s="87">
        <v>47753503.726599991</v>
      </c>
      <c r="AG74" s="87">
        <v>37985369.658500001</v>
      </c>
      <c r="AH74" s="87">
        <f t="shared" si="42"/>
        <v>-9768134.0680999905</v>
      </c>
      <c r="AI74" s="88">
        <f t="shared" si="16"/>
        <v>-9768134.0680999905</v>
      </c>
      <c r="AJ74" s="87">
        <f>IF(Dyn_Insured="","",IF(ISNUMBER(AF74)=FALSE,"n/a",MIN(MAX(AF74-'Layer Comparison'!Excess_Past,0),'Layer Comparison'!Limit_Past)))</f>
        <v>32753503.726599991</v>
      </c>
      <c r="AK74" s="87">
        <f>IF(Dyn_Insured="","",IF(ISNUMBER(AG74)=FALSE,"n/a",MIN(MAX(AG74-'Layer Comparison'!Excess_Latest,0),'Layer Comparison'!Limit_Latest)))</f>
        <v>22985369.658500001</v>
      </c>
      <c r="AL74" s="87">
        <f t="shared" si="43"/>
        <v>-9768134.0680999905</v>
      </c>
      <c r="AM74" s="88">
        <f t="shared" si="18"/>
        <v>-9768134.0680999905</v>
      </c>
      <c r="AN74" s="87">
        <v>77634536.858300015</v>
      </c>
      <c r="AO74" s="87">
        <v>57838117.311399989</v>
      </c>
      <c r="AP74" s="87">
        <f t="shared" si="44"/>
        <v>-19796419.546900027</v>
      </c>
      <c r="AQ74" s="88">
        <f t="shared" si="20"/>
        <v>-19796419.546900027</v>
      </c>
      <c r="AR74" s="87">
        <f>IF(Dyn_Insured="","",IF(ISNUMBER(AN74)=FALSE,"n/a",MIN(MAX(AN74-'Layer Comparison'!Excess_Past,0),'Layer Comparison'!Limit_Past)))</f>
        <v>62634536.858300015</v>
      </c>
      <c r="AS74" s="87">
        <f>IF(Dyn_Insured="","",IF(ISNUMBER(AO74)=FALSE,"n/a",MIN(MAX(AO74-'Layer Comparison'!Excess_Latest,0),'Layer Comparison'!Limit_Latest)))</f>
        <v>42838117.311399989</v>
      </c>
      <c r="AT74" s="87">
        <f t="shared" si="45"/>
        <v>-19796419.546900027</v>
      </c>
      <c r="AU74" s="88">
        <f t="shared" si="22"/>
        <v>-19796419.546900027</v>
      </c>
      <c r="AV74" s="87">
        <v>100009958.57360004</v>
      </c>
      <c r="AW74" s="87">
        <v>72091942.382399976</v>
      </c>
      <c r="AX74" s="87">
        <f t="shared" si="46"/>
        <v>-27918016.191200063</v>
      </c>
      <c r="AY74" s="88">
        <f t="shared" si="24"/>
        <v>-27918016.191200063</v>
      </c>
      <c r="AZ74" s="87">
        <f>IF(Dyn_Insured="","",IF(ISNUMBER(AV74)=FALSE,"n/a",MIN(MAX(AV74-'Layer Comparison'!Excess_Past,0),'Layer Comparison'!Limit_Past)))</f>
        <v>85009958.573600039</v>
      </c>
      <c r="BA74" s="87">
        <f>IF(Dyn_Insured="","",IF(ISNUMBER(AW74)=FALSE,"n/a",MIN(MAX(AW74-'Layer Comparison'!Excess_Latest,0),'Layer Comparison'!Limit_Latest)))</f>
        <v>57091942.382399976</v>
      </c>
      <c r="BB74" s="87">
        <f t="shared" si="47"/>
        <v>-27918016.191200063</v>
      </c>
      <c r="BC74" s="88">
        <f t="shared" si="26"/>
        <v>-27918016.191200063</v>
      </c>
      <c r="BD74" s="87">
        <v>101482708.10600005</v>
      </c>
      <c r="BE74" s="87">
        <v>73054280.443499982</v>
      </c>
      <c r="BF74" s="87">
        <f t="shared" si="48"/>
        <v>-28428427.662500069</v>
      </c>
      <c r="BG74" s="88">
        <f t="shared" si="28"/>
        <v>-28428427.662500069</v>
      </c>
      <c r="BH74" s="87">
        <f>IF(Dyn_Insured="","",IF(ISNUMBER(BD74)=FALSE,"n/a",MIN(MAX(BD74-'Layer Comparison'!Excess_Past,0),'Layer Comparison'!Limit_Past)))</f>
        <v>86482708.106000051</v>
      </c>
      <c r="BI74" s="87">
        <f>IF(Dyn_Insured="","",IF(ISNUMBER(BE74)=FALSE,"n/a",MIN(MAX(BE74-'Layer Comparison'!Excess_Latest,0),'Layer Comparison'!Limit_Latest)))</f>
        <v>58054280.443499982</v>
      </c>
      <c r="BJ74" s="87">
        <f t="shared" si="49"/>
        <v>-28428427.662500069</v>
      </c>
      <c r="BK74" s="88">
        <f t="shared" si="30"/>
        <v>-28428427.662500069</v>
      </c>
      <c r="BL74" s="87">
        <v>101482708.10600005</v>
      </c>
      <c r="BM74" s="87">
        <v>73054280.443499982</v>
      </c>
      <c r="BN74" s="87">
        <f t="shared" si="50"/>
        <v>-28428427.662500069</v>
      </c>
      <c r="BO74" s="88">
        <f t="shared" si="32"/>
        <v>-28428427.662500069</v>
      </c>
      <c r="BP74" s="87">
        <f>IF(Dyn_Insured="","",IF(ISNUMBER(BL74)=FALSE,"n/a",MIN(MAX(BL74-'Layer Comparison'!Excess_Past,0),'Layer Comparison'!Limit_Past)))</f>
        <v>86482708.106000051</v>
      </c>
      <c r="BQ74" s="87">
        <f>IF(Dyn_Insured="","",IF(ISNUMBER(BM74)=FALSE,"n/a",MIN(MAX(BM74-'Layer Comparison'!Excess_Latest,0),'Layer Comparison'!Limit_Latest)))</f>
        <v>58054280.443499982</v>
      </c>
      <c r="BR74" s="87">
        <f t="shared" si="51"/>
        <v>-28428427.662500069</v>
      </c>
      <c r="BS74" s="88">
        <f t="shared" si="34"/>
        <v>-28428427.662500069</v>
      </c>
      <c r="BT74" s="46" t="s">
        <v>13</v>
      </c>
    </row>
    <row r="75" spans="1:72" x14ac:dyDescent="0.25">
      <c r="A75" s="89">
        <v>75</v>
      </c>
      <c r="B75" s="89">
        <f t="shared" si="0"/>
        <v>1</v>
      </c>
      <c r="C75" s="89">
        <f t="shared" si="1"/>
        <v>1</v>
      </c>
      <c r="D75" s="90">
        <f t="shared" si="53"/>
        <v>1</v>
      </c>
      <c r="E75" s="90">
        <f t="shared" si="53"/>
        <v>1</v>
      </c>
      <c r="F75" s="48" t="s">
        <v>116</v>
      </c>
      <c r="G75" s="38" t="s">
        <v>17</v>
      </c>
      <c r="H75" s="87">
        <v>1343049.8891</v>
      </c>
      <c r="I75" s="87">
        <v>2479475.0267999996</v>
      </c>
      <c r="J75" s="87">
        <f t="shared" si="36"/>
        <v>1136425.1376999996</v>
      </c>
      <c r="K75" s="88">
        <f t="shared" si="4"/>
        <v>1136425.1376999996</v>
      </c>
      <c r="L75" s="87">
        <f>IF(Dyn_Insured="","",IF(ISNUMBER(H75)=FALSE,"n/a",MIN(MAX(H75-'Layer Comparison'!Excess_Past,0),'Layer Comparison'!Limit_Past)))</f>
        <v>0</v>
      </c>
      <c r="M75" s="87">
        <f>IF(Dyn_Insured="","",IF(ISNUMBER(I75)=FALSE,"n/a",MIN(MAX(I75-'Layer Comparison'!Excess_Latest,0),'Layer Comparison'!Limit_Latest)))</f>
        <v>0</v>
      </c>
      <c r="N75" s="87">
        <f t="shared" si="37"/>
        <v>0</v>
      </c>
      <c r="O75" s="88">
        <f t="shared" si="6"/>
        <v>0</v>
      </c>
      <c r="P75" s="87">
        <v>9235546.3724000007</v>
      </c>
      <c r="Q75" s="87">
        <v>12951482.3387</v>
      </c>
      <c r="R75" s="87">
        <f t="shared" si="38"/>
        <v>3715935.9662999995</v>
      </c>
      <c r="S75" s="88">
        <f t="shared" si="8"/>
        <v>3715935.9662999995</v>
      </c>
      <c r="T75" s="87">
        <f>IF(Dyn_Insured="","",IF(ISNUMBER(P75)=FALSE,"n/a",MIN(MAX(P75-'Layer Comparison'!Excess_Past,0),'Layer Comparison'!Limit_Past)))</f>
        <v>0</v>
      </c>
      <c r="U75" s="87">
        <f>IF(Dyn_Insured="","",IF(ISNUMBER(Q75)=FALSE,"n/a",MIN(MAX(Q75-'Layer Comparison'!Excess_Latest,0),'Layer Comparison'!Limit_Latest)))</f>
        <v>0</v>
      </c>
      <c r="V75" s="87">
        <f t="shared" si="39"/>
        <v>0</v>
      </c>
      <c r="W75" s="88">
        <f t="shared" si="10"/>
        <v>0</v>
      </c>
      <c r="X75" s="87">
        <v>16215655.341699999</v>
      </c>
      <c r="Y75" s="87">
        <v>23884035.527000003</v>
      </c>
      <c r="Z75" s="87">
        <f t="shared" si="40"/>
        <v>7668380.1853000037</v>
      </c>
      <c r="AA75" s="88">
        <f t="shared" si="12"/>
        <v>7668380.1853000037</v>
      </c>
      <c r="AB75" s="87">
        <f>IF(Dyn_Insured="","",IF(ISNUMBER(X75)=FALSE,"n/a",MIN(MAX(X75-'Layer Comparison'!Excess_Past,0),'Layer Comparison'!Limit_Past)))</f>
        <v>1215655.3416999988</v>
      </c>
      <c r="AC75" s="87">
        <f>IF(Dyn_Insured="","",IF(ISNUMBER(Y75)=FALSE,"n/a",MIN(MAX(Y75-'Layer Comparison'!Excess_Latest,0),'Layer Comparison'!Limit_Latest)))</f>
        <v>8884035.5270000026</v>
      </c>
      <c r="AD75" s="87">
        <f t="shared" si="41"/>
        <v>7668380.1853000037</v>
      </c>
      <c r="AE75" s="88">
        <f t="shared" si="14"/>
        <v>7668380.1853000037</v>
      </c>
      <c r="AF75" s="87">
        <v>24277917.562899999</v>
      </c>
      <c r="AG75" s="87">
        <v>34785816.444200002</v>
      </c>
      <c r="AH75" s="87">
        <f t="shared" si="42"/>
        <v>10507898.881300002</v>
      </c>
      <c r="AI75" s="88">
        <f t="shared" si="16"/>
        <v>10507898.881300002</v>
      </c>
      <c r="AJ75" s="87">
        <f>IF(Dyn_Insured="","",IF(ISNUMBER(AF75)=FALSE,"n/a",MIN(MAX(AF75-'Layer Comparison'!Excess_Past,0),'Layer Comparison'!Limit_Past)))</f>
        <v>9277917.5628999993</v>
      </c>
      <c r="AK75" s="87">
        <f>IF(Dyn_Insured="","",IF(ISNUMBER(AG75)=FALSE,"n/a",MIN(MAX(AG75-'Layer Comparison'!Excess_Latest,0),'Layer Comparison'!Limit_Latest)))</f>
        <v>19785816.444200002</v>
      </c>
      <c r="AL75" s="87">
        <f t="shared" si="43"/>
        <v>10507898.881300002</v>
      </c>
      <c r="AM75" s="88">
        <f t="shared" si="18"/>
        <v>10507898.881300002</v>
      </c>
      <c r="AN75" s="87">
        <v>40107337.860799998</v>
      </c>
      <c r="AO75" s="87">
        <v>58907076.034899995</v>
      </c>
      <c r="AP75" s="87">
        <f t="shared" si="44"/>
        <v>18799738.174099997</v>
      </c>
      <c r="AQ75" s="88">
        <f t="shared" si="20"/>
        <v>18799738.174099997</v>
      </c>
      <c r="AR75" s="87">
        <f>IF(Dyn_Insured="","",IF(ISNUMBER(AN75)=FALSE,"n/a",MIN(MAX(AN75-'Layer Comparison'!Excess_Past,0),'Layer Comparison'!Limit_Past)))</f>
        <v>25107337.860799998</v>
      </c>
      <c r="AS75" s="87">
        <f>IF(Dyn_Insured="","",IF(ISNUMBER(AO75)=FALSE,"n/a",MIN(MAX(AO75-'Layer Comparison'!Excess_Latest,0),'Layer Comparison'!Limit_Latest)))</f>
        <v>43907076.034899995</v>
      </c>
      <c r="AT75" s="87">
        <f t="shared" si="45"/>
        <v>18799738.174099997</v>
      </c>
      <c r="AU75" s="88">
        <f t="shared" si="22"/>
        <v>18799738.174099997</v>
      </c>
      <c r="AV75" s="87">
        <v>49315451.49970001</v>
      </c>
      <c r="AW75" s="87">
        <v>76703580.021000013</v>
      </c>
      <c r="AX75" s="87">
        <f t="shared" si="46"/>
        <v>27388128.521300003</v>
      </c>
      <c r="AY75" s="88">
        <f t="shared" si="24"/>
        <v>27388128.521300003</v>
      </c>
      <c r="AZ75" s="87">
        <f>IF(Dyn_Insured="","",IF(ISNUMBER(AV75)=FALSE,"n/a",MIN(MAX(AV75-'Layer Comparison'!Excess_Past,0),'Layer Comparison'!Limit_Past)))</f>
        <v>34315451.49970001</v>
      </c>
      <c r="BA75" s="87">
        <f>IF(Dyn_Insured="","",IF(ISNUMBER(AW75)=FALSE,"n/a",MIN(MAX(AW75-'Layer Comparison'!Excess_Latest,0),'Layer Comparison'!Limit_Latest)))</f>
        <v>61703580.021000013</v>
      </c>
      <c r="BB75" s="87">
        <f t="shared" si="47"/>
        <v>27388128.521300003</v>
      </c>
      <c r="BC75" s="88">
        <f t="shared" si="26"/>
        <v>27388128.521300003</v>
      </c>
      <c r="BD75" s="87">
        <v>49315451.499700002</v>
      </c>
      <c r="BE75" s="87">
        <v>76703580.021000013</v>
      </c>
      <c r="BF75" s="87">
        <f t="shared" si="48"/>
        <v>27388128.52130001</v>
      </c>
      <c r="BG75" s="88">
        <f t="shared" si="28"/>
        <v>27388128.52130001</v>
      </c>
      <c r="BH75" s="87">
        <f>IF(Dyn_Insured="","",IF(ISNUMBER(BD75)=FALSE,"n/a",MIN(MAX(BD75-'Layer Comparison'!Excess_Past,0),'Layer Comparison'!Limit_Past)))</f>
        <v>34315451.499700002</v>
      </c>
      <c r="BI75" s="87">
        <f>IF(Dyn_Insured="","",IF(ISNUMBER(BE75)=FALSE,"n/a",MIN(MAX(BE75-'Layer Comparison'!Excess_Latest,0),'Layer Comparison'!Limit_Latest)))</f>
        <v>61703580.021000013</v>
      </c>
      <c r="BJ75" s="87">
        <f t="shared" si="49"/>
        <v>27388128.52130001</v>
      </c>
      <c r="BK75" s="88">
        <f t="shared" si="30"/>
        <v>27388128.52130001</v>
      </c>
      <c r="BL75" s="87">
        <v>49315451.499700002</v>
      </c>
      <c r="BM75" s="87">
        <v>76703580.020999998</v>
      </c>
      <c r="BN75" s="87">
        <f t="shared" si="50"/>
        <v>27388128.521299995</v>
      </c>
      <c r="BO75" s="88">
        <f t="shared" si="32"/>
        <v>27388128.521299995</v>
      </c>
      <c r="BP75" s="87">
        <f>IF(Dyn_Insured="","",IF(ISNUMBER(BL75)=FALSE,"n/a",MIN(MAX(BL75-'Layer Comparison'!Excess_Past,0),'Layer Comparison'!Limit_Past)))</f>
        <v>34315451.499700002</v>
      </c>
      <c r="BQ75" s="87">
        <f>IF(Dyn_Insured="","",IF(ISNUMBER(BM75)=FALSE,"n/a",MIN(MAX(BM75-'Layer Comparison'!Excess_Latest,0),'Layer Comparison'!Limit_Latest)))</f>
        <v>61703580.020999998</v>
      </c>
      <c r="BR75" s="87">
        <f t="shared" si="51"/>
        <v>27388128.521299995</v>
      </c>
      <c r="BS75" s="88">
        <f t="shared" si="34"/>
        <v>27388128.521299995</v>
      </c>
      <c r="BT75" s="46" t="s">
        <v>13</v>
      </c>
    </row>
    <row r="76" spans="1:72" hidden="1" outlineLevel="1" x14ac:dyDescent="0.25">
      <c r="A76" s="89" t="s">
        <v>54</v>
      </c>
      <c r="B76" s="89">
        <f t="shared" si="0"/>
        <v>0</v>
      </c>
      <c r="C76" s="89">
        <f t="shared" si="1"/>
        <v>0</v>
      </c>
      <c r="D76" s="90">
        <f t="shared" si="53"/>
        <v>0</v>
      </c>
      <c r="E76" s="90">
        <f t="shared" si="53"/>
        <v>0</v>
      </c>
      <c r="F76" s="48" t="s">
        <v>50</v>
      </c>
      <c r="G76" s="38" t="s">
        <v>50</v>
      </c>
      <c r="H76" s="87" t="s">
        <v>50</v>
      </c>
      <c r="I76" s="87" t="s">
        <v>50</v>
      </c>
      <c r="J76" s="87" t="str">
        <f t="shared" si="36"/>
        <v/>
      </c>
      <c r="K76" s="88" t="str">
        <f t="shared" si="4"/>
        <v/>
      </c>
      <c r="L76" s="87" t="str">
        <f>IF(Dyn_Insured="","",IF(ISNUMBER(H76)=FALSE,"n/a",MIN(MAX(H76-'Layer Comparison'!Excess_Past,0),'Layer Comparison'!Limit_Past)))</f>
        <v/>
      </c>
      <c r="M76" s="87" t="str">
        <f>IF(Dyn_Insured="","",IF(ISNUMBER(I76)=FALSE,"n/a",MIN(MAX(I76-'Layer Comparison'!Excess_Latest,0),'Layer Comparison'!Limit_Latest)))</f>
        <v/>
      </c>
      <c r="N76" s="87" t="str">
        <f t="shared" si="37"/>
        <v/>
      </c>
      <c r="O76" s="88" t="str">
        <f t="shared" si="6"/>
        <v/>
      </c>
      <c r="P76" s="87" t="s">
        <v>50</v>
      </c>
      <c r="Q76" s="87" t="s">
        <v>50</v>
      </c>
      <c r="R76" s="87" t="str">
        <f t="shared" si="38"/>
        <v/>
      </c>
      <c r="S76" s="88" t="str">
        <f t="shared" si="8"/>
        <v/>
      </c>
      <c r="T76" s="87" t="str">
        <f>IF(Dyn_Insured="","",IF(ISNUMBER(P76)=FALSE,"n/a",MIN(MAX(P76-'Layer Comparison'!Excess_Past,0),'Layer Comparison'!Limit_Past)))</f>
        <v/>
      </c>
      <c r="U76" s="87" t="str">
        <f>IF(Dyn_Insured="","",IF(ISNUMBER(Q76)=FALSE,"n/a",MIN(MAX(Q76-'Layer Comparison'!Excess_Latest,0),'Layer Comparison'!Limit_Latest)))</f>
        <v/>
      </c>
      <c r="V76" s="87" t="str">
        <f t="shared" si="39"/>
        <v/>
      </c>
      <c r="W76" s="88" t="str">
        <f t="shared" si="10"/>
        <v/>
      </c>
      <c r="X76" s="87" t="s">
        <v>50</v>
      </c>
      <c r="Y76" s="87" t="s">
        <v>50</v>
      </c>
      <c r="Z76" s="87" t="str">
        <f t="shared" si="40"/>
        <v/>
      </c>
      <c r="AA76" s="88" t="str">
        <f t="shared" si="12"/>
        <v/>
      </c>
      <c r="AB76" s="87" t="str">
        <f>IF(Dyn_Insured="","",IF(ISNUMBER(X76)=FALSE,"n/a",MIN(MAX(X76-'Layer Comparison'!Excess_Past,0),'Layer Comparison'!Limit_Past)))</f>
        <v/>
      </c>
      <c r="AC76" s="87" t="str">
        <f>IF(Dyn_Insured="","",IF(ISNUMBER(Y76)=FALSE,"n/a",MIN(MAX(Y76-'Layer Comparison'!Excess_Latest,0),'Layer Comparison'!Limit_Latest)))</f>
        <v/>
      </c>
      <c r="AD76" s="87" t="str">
        <f t="shared" si="41"/>
        <v/>
      </c>
      <c r="AE76" s="88" t="str">
        <f t="shared" si="14"/>
        <v/>
      </c>
      <c r="AF76" s="87" t="s">
        <v>50</v>
      </c>
      <c r="AG76" s="87" t="s">
        <v>50</v>
      </c>
      <c r="AH76" s="87" t="str">
        <f t="shared" si="42"/>
        <v/>
      </c>
      <c r="AI76" s="88" t="str">
        <f t="shared" si="16"/>
        <v/>
      </c>
      <c r="AJ76" s="87" t="str">
        <f>IF(Dyn_Insured="","",IF(ISNUMBER(AF76)=FALSE,"n/a",MIN(MAX(AF76-'Layer Comparison'!Excess_Past,0),'Layer Comparison'!Limit_Past)))</f>
        <v/>
      </c>
      <c r="AK76" s="87" t="str">
        <f>IF(Dyn_Insured="","",IF(ISNUMBER(AG76)=FALSE,"n/a",MIN(MAX(AG76-'Layer Comparison'!Excess_Latest,0),'Layer Comparison'!Limit_Latest)))</f>
        <v/>
      </c>
      <c r="AL76" s="87" t="str">
        <f t="shared" si="43"/>
        <v/>
      </c>
      <c r="AM76" s="88" t="str">
        <f t="shared" si="18"/>
        <v/>
      </c>
      <c r="AN76" s="87" t="s">
        <v>50</v>
      </c>
      <c r="AO76" s="87" t="s">
        <v>50</v>
      </c>
      <c r="AP76" s="87" t="str">
        <f t="shared" si="44"/>
        <v/>
      </c>
      <c r="AQ76" s="88" t="str">
        <f t="shared" si="20"/>
        <v/>
      </c>
      <c r="AR76" s="87" t="str">
        <f>IF(Dyn_Insured="","",IF(ISNUMBER(AN76)=FALSE,"n/a",MIN(MAX(AN76-'Layer Comparison'!Excess_Past,0),'Layer Comparison'!Limit_Past)))</f>
        <v/>
      </c>
      <c r="AS76" s="87" t="str">
        <f>IF(Dyn_Insured="","",IF(ISNUMBER(AO76)=FALSE,"n/a",MIN(MAX(AO76-'Layer Comparison'!Excess_Latest,0),'Layer Comparison'!Limit_Latest)))</f>
        <v/>
      </c>
      <c r="AT76" s="87" t="str">
        <f t="shared" si="45"/>
        <v/>
      </c>
      <c r="AU76" s="88" t="str">
        <f t="shared" si="22"/>
        <v/>
      </c>
      <c r="AV76" s="87" t="s">
        <v>50</v>
      </c>
      <c r="AW76" s="87" t="s">
        <v>50</v>
      </c>
      <c r="AX76" s="87" t="str">
        <f t="shared" si="46"/>
        <v/>
      </c>
      <c r="AY76" s="88" t="str">
        <f t="shared" si="24"/>
        <v/>
      </c>
      <c r="AZ76" s="87" t="str">
        <f>IF(Dyn_Insured="","",IF(ISNUMBER(AV76)=FALSE,"n/a",MIN(MAX(AV76-'Layer Comparison'!Excess_Past,0),'Layer Comparison'!Limit_Past)))</f>
        <v/>
      </c>
      <c r="BA76" s="87" t="str">
        <f>IF(Dyn_Insured="","",IF(ISNUMBER(AW76)=FALSE,"n/a",MIN(MAX(AW76-'Layer Comparison'!Excess_Latest,0),'Layer Comparison'!Limit_Latest)))</f>
        <v/>
      </c>
      <c r="BB76" s="87" t="str">
        <f t="shared" si="47"/>
        <v/>
      </c>
      <c r="BC76" s="88" t="str">
        <f t="shared" si="26"/>
        <v/>
      </c>
      <c r="BD76" s="87" t="s">
        <v>50</v>
      </c>
      <c r="BE76" s="87" t="s">
        <v>50</v>
      </c>
      <c r="BF76" s="87" t="str">
        <f t="shared" si="48"/>
        <v/>
      </c>
      <c r="BG76" s="88" t="str">
        <f t="shared" si="28"/>
        <v/>
      </c>
      <c r="BH76" s="87" t="str">
        <f>IF(Dyn_Insured="","",IF(ISNUMBER(BD76)=FALSE,"n/a",MIN(MAX(BD76-'Layer Comparison'!Excess_Past,0),'Layer Comparison'!Limit_Past)))</f>
        <v/>
      </c>
      <c r="BI76" s="87" t="str">
        <f>IF(Dyn_Insured="","",IF(ISNUMBER(BE76)=FALSE,"n/a",MIN(MAX(BE76-'Layer Comparison'!Excess_Latest,0),'Layer Comparison'!Limit_Latest)))</f>
        <v/>
      </c>
      <c r="BJ76" s="87" t="str">
        <f t="shared" si="49"/>
        <v/>
      </c>
      <c r="BK76" s="88" t="str">
        <f t="shared" si="30"/>
        <v/>
      </c>
      <c r="BL76" s="87" t="s">
        <v>50</v>
      </c>
      <c r="BM76" s="87" t="s">
        <v>50</v>
      </c>
      <c r="BN76" s="87" t="str">
        <f t="shared" si="50"/>
        <v/>
      </c>
      <c r="BO76" s="88" t="str">
        <f t="shared" si="32"/>
        <v/>
      </c>
      <c r="BP76" s="87" t="str">
        <f>IF(Dyn_Insured="","",IF(ISNUMBER(BL76)=FALSE,"n/a",MIN(MAX(BL76-'Layer Comparison'!Excess_Past,0),'Layer Comparison'!Limit_Past)))</f>
        <v/>
      </c>
      <c r="BQ76" s="87" t="str">
        <f>IF(Dyn_Insured="","",IF(ISNUMBER(BM76)=FALSE,"n/a",MIN(MAX(BM76-'Layer Comparison'!Excess_Latest,0),'Layer Comparison'!Limit_Latest)))</f>
        <v/>
      </c>
      <c r="BR76" s="87" t="str">
        <f t="shared" si="51"/>
        <v/>
      </c>
      <c r="BS76" s="88" t="str">
        <f t="shared" si="34"/>
        <v/>
      </c>
      <c r="BT76" s="46" t="s">
        <v>13</v>
      </c>
    </row>
    <row r="77" spans="1:72" hidden="1" outlineLevel="1" x14ac:dyDescent="0.25">
      <c r="A77" s="89" t="s">
        <v>54</v>
      </c>
      <c r="B77" s="89">
        <f t="shared" si="0"/>
        <v>0</v>
      </c>
      <c r="C77" s="89">
        <f t="shared" si="1"/>
        <v>0</v>
      </c>
      <c r="D77" s="90">
        <f t="shared" si="53"/>
        <v>0</v>
      </c>
      <c r="E77" s="90">
        <f t="shared" si="53"/>
        <v>0</v>
      </c>
      <c r="F77" s="48" t="s">
        <v>50</v>
      </c>
      <c r="G77" s="38" t="s">
        <v>50</v>
      </c>
      <c r="H77" s="87" t="s">
        <v>50</v>
      </c>
      <c r="I77" s="87" t="s">
        <v>50</v>
      </c>
      <c r="J77" s="87" t="str">
        <f t="shared" si="36"/>
        <v/>
      </c>
      <c r="K77" s="88" t="str">
        <f t="shared" si="4"/>
        <v/>
      </c>
      <c r="L77" s="87" t="str">
        <f>IF(Dyn_Insured="","",IF(ISNUMBER(H77)=FALSE,"n/a",MIN(MAX(H77-'Layer Comparison'!Excess_Past,0),'Layer Comparison'!Limit_Past)))</f>
        <v/>
      </c>
      <c r="M77" s="87" t="str">
        <f>IF(Dyn_Insured="","",IF(ISNUMBER(I77)=FALSE,"n/a",MIN(MAX(I77-'Layer Comparison'!Excess_Latest,0),'Layer Comparison'!Limit_Latest)))</f>
        <v/>
      </c>
      <c r="N77" s="87" t="str">
        <f t="shared" si="37"/>
        <v/>
      </c>
      <c r="O77" s="88" t="str">
        <f t="shared" si="6"/>
        <v/>
      </c>
      <c r="P77" s="87" t="s">
        <v>50</v>
      </c>
      <c r="Q77" s="87" t="s">
        <v>50</v>
      </c>
      <c r="R77" s="87" t="str">
        <f t="shared" si="38"/>
        <v/>
      </c>
      <c r="S77" s="88" t="str">
        <f t="shared" si="8"/>
        <v/>
      </c>
      <c r="T77" s="87" t="str">
        <f>IF(Dyn_Insured="","",IF(ISNUMBER(P77)=FALSE,"n/a",MIN(MAX(P77-'Layer Comparison'!Excess_Past,0),'Layer Comparison'!Limit_Past)))</f>
        <v/>
      </c>
      <c r="U77" s="87" t="str">
        <f>IF(Dyn_Insured="","",IF(ISNUMBER(Q77)=FALSE,"n/a",MIN(MAX(Q77-'Layer Comparison'!Excess_Latest,0),'Layer Comparison'!Limit_Latest)))</f>
        <v/>
      </c>
      <c r="V77" s="87" t="str">
        <f t="shared" si="39"/>
        <v/>
      </c>
      <c r="W77" s="88" t="str">
        <f t="shared" si="10"/>
        <v/>
      </c>
      <c r="X77" s="87" t="s">
        <v>50</v>
      </c>
      <c r="Y77" s="87" t="s">
        <v>50</v>
      </c>
      <c r="Z77" s="87" t="str">
        <f t="shared" si="40"/>
        <v/>
      </c>
      <c r="AA77" s="88" t="str">
        <f t="shared" si="12"/>
        <v/>
      </c>
      <c r="AB77" s="87" t="str">
        <f>IF(Dyn_Insured="","",IF(ISNUMBER(X77)=FALSE,"n/a",MIN(MAX(X77-'Layer Comparison'!Excess_Past,0),'Layer Comparison'!Limit_Past)))</f>
        <v/>
      </c>
      <c r="AC77" s="87" t="str">
        <f>IF(Dyn_Insured="","",IF(ISNUMBER(Y77)=FALSE,"n/a",MIN(MAX(Y77-'Layer Comparison'!Excess_Latest,0),'Layer Comparison'!Limit_Latest)))</f>
        <v/>
      </c>
      <c r="AD77" s="87" t="str">
        <f t="shared" si="41"/>
        <v/>
      </c>
      <c r="AE77" s="88" t="str">
        <f t="shared" si="14"/>
        <v/>
      </c>
      <c r="AF77" s="87" t="s">
        <v>50</v>
      </c>
      <c r="AG77" s="87" t="s">
        <v>50</v>
      </c>
      <c r="AH77" s="87" t="str">
        <f t="shared" si="42"/>
        <v/>
      </c>
      <c r="AI77" s="88" t="str">
        <f t="shared" si="16"/>
        <v/>
      </c>
      <c r="AJ77" s="87" t="str">
        <f>IF(Dyn_Insured="","",IF(ISNUMBER(AF77)=FALSE,"n/a",MIN(MAX(AF77-'Layer Comparison'!Excess_Past,0),'Layer Comparison'!Limit_Past)))</f>
        <v/>
      </c>
      <c r="AK77" s="87" t="str">
        <f>IF(Dyn_Insured="","",IF(ISNUMBER(AG77)=FALSE,"n/a",MIN(MAX(AG77-'Layer Comparison'!Excess_Latest,0),'Layer Comparison'!Limit_Latest)))</f>
        <v/>
      </c>
      <c r="AL77" s="87" t="str">
        <f t="shared" si="43"/>
        <v/>
      </c>
      <c r="AM77" s="88" t="str">
        <f t="shared" si="18"/>
        <v/>
      </c>
      <c r="AN77" s="87" t="s">
        <v>50</v>
      </c>
      <c r="AO77" s="87" t="s">
        <v>50</v>
      </c>
      <c r="AP77" s="87" t="str">
        <f t="shared" si="44"/>
        <v/>
      </c>
      <c r="AQ77" s="88" t="str">
        <f t="shared" si="20"/>
        <v/>
      </c>
      <c r="AR77" s="87" t="str">
        <f>IF(Dyn_Insured="","",IF(ISNUMBER(AN77)=FALSE,"n/a",MIN(MAX(AN77-'Layer Comparison'!Excess_Past,0),'Layer Comparison'!Limit_Past)))</f>
        <v/>
      </c>
      <c r="AS77" s="87" t="str">
        <f>IF(Dyn_Insured="","",IF(ISNUMBER(AO77)=FALSE,"n/a",MIN(MAX(AO77-'Layer Comparison'!Excess_Latest,0),'Layer Comparison'!Limit_Latest)))</f>
        <v/>
      </c>
      <c r="AT77" s="87" t="str">
        <f t="shared" si="45"/>
        <v/>
      </c>
      <c r="AU77" s="88" t="str">
        <f t="shared" si="22"/>
        <v/>
      </c>
      <c r="AV77" s="87" t="s">
        <v>50</v>
      </c>
      <c r="AW77" s="87" t="s">
        <v>50</v>
      </c>
      <c r="AX77" s="87" t="str">
        <f t="shared" si="46"/>
        <v/>
      </c>
      <c r="AY77" s="88" t="str">
        <f t="shared" si="24"/>
        <v/>
      </c>
      <c r="AZ77" s="87" t="str">
        <f>IF(Dyn_Insured="","",IF(ISNUMBER(AV77)=FALSE,"n/a",MIN(MAX(AV77-'Layer Comparison'!Excess_Past,0),'Layer Comparison'!Limit_Past)))</f>
        <v/>
      </c>
      <c r="BA77" s="87" t="str">
        <f>IF(Dyn_Insured="","",IF(ISNUMBER(AW77)=FALSE,"n/a",MIN(MAX(AW77-'Layer Comparison'!Excess_Latest,0),'Layer Comparison'!Limit_Latest)))</f>
        <v/>
      </c>
      <c r="BB77" s="87" t="str">
        <f t="shared" si="47"/>
        <v/>
      </c>
      <c r="BC77" s="88" t="str">
        <f t="shared" si="26"/>
        <v/>
      </c>
      <c r="BD77" s="87" t="s">
        <v>50</v>
      </c>
      <c r="BE77" s="87" t="s">
        <v>50</v>
      </c>
      <c r="BF77" s="87" t="str">
        <f t="shared" si="48"/>
        <v/>
      </c>
      <c r="BG77" s="88" t="str">
        <f t="shared" si="28"/>
        <v/>
      </c>
      <c r="BH77" s="87" t="str">
        <f>IF(Dyn_Insured="","",IF(ISNUMBER(BD77)=FALSE,"n/a",MIN(MAX(BD77-'Layer Comparison'!Excess_Past,0),'Layer Comparison'!Limit_Past)))</f>
        <v/>
      </c>
      <c r="BI77" s="87" t="str">
        <f>IF(Dyn_Insured="","",IF(ISNUMBER(BE77)=FALSE,"n/a",MIN(MAX(BE77-'Layer Comparison'!Excess_Latest,0),'Layer Comparison'!Limit_Latest)))</f>
        <v/>
      </c>
      <c r="BJ77" s="87" t="str">
        <f t="shared" si="49"/>
        <v/>
      </c>
      <c r="BK77" s="88" t="str">
        <f t="shared" si="30"/>
        <v/>
      </c>
      <c r="BL77" s="87" t="s">
        <v>50</v>
      </c>
      <c r="BM77" s="87" t="s">
        <v>50</v>
      </c>
      <c r="BN77" s="87" t="str">
        <f t="shared" si="50"/>
        <v/>
      </c>
      <c r="BO77" s="88" t="str">
        <f t="shared" si="32"/>
        <v/>
      </c>
      <c r="BP77" s="87" t="str">
        <f>IF(Dyn_Insured="","",IF(ISNUMBER(BL77)=FALSE,"n/a",MIN(MAX(BL77-'Layer Comparison'!Excess_Past,0),'Layer Comparison'!Limit_Past)))</f>
        <v/>
      </c>
      <c r="BQ77" s="87" t="str">
        <f>IF(Dyn_Insured="","",IF(ISNUMBER(BM77)=FALSE,"n/a",MIN(MAX(BM77-'Layer Comparison'!Excess_Latest,0),'Layer Comparison'!Limit_Latest)))</f>
        <v/>
      </c>
      <c r="BR77" s="87" t="str">
        <f t="shared" si="51"/>
        <v/>
      </c>
      <c r="BS77" s="88" t="str">
        <f t="shared" si="34"/>
        <v/>
      </c>
      <c r="BT77" s="46" t="s">
        <v>13</v>
      </c>
    </row>
    <row r="78" spans="1:72" hidden="1" outlineLevel="1" x14ac:dyDescent="0.25">
      <c r="A78" s="89" t="s">
        <v>54</v>
      </c>
      <c r="B78" s="89">
        <f t="shared" ref="B78:B93" si="54">IF(OR($D78=1,$E78=1),1,0)</f>
        <v>0</v>
      </c>
      <c r="C78" s="89">
        <f t="shared" ref="C78:C93" si="55">IF(AND($D78=1,$E78=1),1,0)</f>
        <v>0</v>
      </c>
      <c r="D78" s="90">
        <f t="shared" si="53"/>
        <v>0</v>
      </c>
      <c r="E78" s="90">
        <f t="shared" si="53"/>
        <v>0</v>
      </c>
      <c r="F78" s="48" t="s">
        <v>50</v>
      </c>
      <c r="G78" s="38" t="s">
        <v>50</v>
      </c>
      <c r="H78" s="87" t="s">
        <v>50</v>
      </c>
      <c r="I78" s="87" t="s">
        <v>50</v>
      </c>
      <c r="J78" s="87" t="str">
        <f t="shared" ref="J78:J93" si="56">IF(Dyn_Insured="","",IF(ISNUMBER(I78)=FALSE,0,I78)-IF(ISNUMBER(H78)=FALSE,0,H78))</f>
        <v/>
      </c>
      <c r="K78" s="88" t="str">
        <f t="shared" ref="K78:K93" si="57">J78</f>
        <v/>
      </c>
      <c r="L78" s="87" t="str">
        <f>IF(Dyn_Insured="","",IF(ISNUMBER(H78)=FALSE,"n/a",MIN(MAX(H78-'Layer Comparison'!Excess_Past,0),'Layer Comparison'!Limit_Past)))</f>
        <v/>
      </c>
      <c r="M78" s="87" t="str">
        <f>IF(Dyn_Insured="","",IF(ISNUMBER(I78)=FALSE,"n/a",MIN(MAX(I78-'Layer Comparison'!Excess_Latest,0),'Layer Comparison'!Limit_Latest)))</f>
        <v/>
      </c>
      <c r="N78" s="87" t="str">
        <f t="shared" ref="N78:N93" si="58">IF(Dyn_Insured="","",IF(ISNUMBER(M78)=FALSE,0,M78)-IF(ISNUMBER(L78)=FALSE,0,L78))</f>
        <v/>
      </c>
      <c r="O78" s="88" t="str">
        <f t="shared" ref="O78:O93" si="59">N78</f>
        <v/>
      </c>
      <c r="P78" s="87" t="s">
        <v>50</v>
      </c>
      <c r="Q78" s="87" t="s">
        <v>50</v>
      </c>
      <c r="R78" s="87" t="str">
        <f t="shared" ref="R78:R93" si="60">IF(Dyn_Insured="","",IF(ISNUMBER(Q78)=FALSE,0,Q78)-IF(ISNUMBER(P78)=FALSE,0,P78))</f>
        <v/>
      </c>
      <c r="S78" s="88" t="str">
        <f t="shared" ref="S78:S93" si="61">R78</f>
        <v/>
      </c>
      <c r="T78" s="87" t="str">
        <f>IF(Dyn_Insured="","",IF(ISNUMBER(P78)=FALSE,"n/a",MIN(MAX(P78-'Layer Comparison'!Excess_Past,0),'Layer Comparison'!Limit_Past)))</f>
        <v/>
      </c>
      <c r="U78" s="87" t="str">
        <f>IF(Dyn_Insured="","",IF(ISNUMBER(Q78)=FALSE,"n/a",MIN(MAX(Q78-'Layer Comparison'!Excess_Latest,0),'Layer Comparison'!Limit_Latest)))</f>
        <v/>
      </c>
      <c r="V78" s="87" t="str">
        <f t="shared" ref="V78:V93" si="62">IF(Dyn_Insured="","",IF(ISNUMBER(U78)=FALSE,0,U78)-IF(ISNUMBER(T78)=FALSE,0,T78))</f>
        <v/>
      </c>
      <c r="W78" s="88" t="str">
        <f t="shared" ref="W78:W93" si="63">V78</f>
        <v/>
      </c>
      <c r="X78" s="87" t="s">
        <v>50</v>
      </c>
      <c r="Y78" s="87" t="s">
        <v>50</v>
      </c>
      <c r="Z78" s="87" t="str">
        <f t="shared" ref="Z78:Z93" si="64">IF(Dyn_Insured="","",IF(ISNUMBER(Y78)=FALSE,0,Y78)-IF(ISNUMBER(X78)=FALSE,0,X78))</f>
        <v/>
      </c>
      <c r="AA78" s="88" t="str">
        <f t="shared" ref="AA78:AA93" si="65">Z78</f>
        <v/>
      </c>
      <c r="AB78" s="87" t="str">
        <f>IF(Dyn_Insured="","",IF(ISNUMBER(X78)=FALSE,"n/a",MIN(MAX(X78-'Layer Comparison'!Excess_Past,0),'Layer Comparison'!Limit_Past)))</f>
        <v/>
      </c>
      <c r="AC78" s="87" t="str">
        <f>IF(Dyn_Insured="","",IF(ISNUMBER(Y78)=FALSE,"n/a",MIN(MAX(Y78-'Layer Comparison'!Excess_Latest,0),'Layer Comparison'!Limit_Latest)))</f>
        <v/>
      </c>
      <c r="AD78" s="87" t="str">
        <f t="shared" ref="AD78:AD93" si="66">IF(Dyn_Insured="","",IF(ISNUMBER(AC78)=FALSE,0,AC78)-IF(ISNUMBER(AB78)=FALSE,0,AB78))</f>
        <v/>
      </c>
      <c r="AE78" s="88" t="str">
        <f t="shared" ref="AE78:AE93" si="67">AD78</f>
        <v/>
      </c>
      <c r="AF78" s="87" t="s">
        <v>50</v>
      </c>
      <c r="AG78" s="87" t="s">
        <v>50</v>
      </c>
      <c r="AH78" s="87" t="str">
        <f t="shared" ref="AH78:AH93" si="68">IF(Dyn_Insured="","",IF(ISNUMBER(AG78)=FALSE,0,AG78)-IF(ISNUMBER(AF78)=FALSE,0,AF78))</f>
        <v/>
      </c>
      <c r="AI78" s="88" t="str">
        <f t="shared" ref="AI78:AI93" si="69">AH78</f>
        <v/>
      </c>
      <c r="AJ78" s="87" t="str">
        <f>IF(Dyn_Insured="","",IF(ISNUMBER(AF78)=FALSE,"n/a",MIN(MAX(AF78-'Layer Comparison'!Excess_Past,0),'Layer Comparison'!Limit_Past)))</f>
        <v/>
      </c>
      <c r="AK78" s="87" t="str">
        <f>IF(Dyn_Insured="","",IF(ISNUMBER(AG78)=FALSE,"n/a",MIN(MAX(AG78-'Layer Comparison'!Excess_Latest,0),'Layer Comparison'!Limit_Latest)))</f>
        <v/>
      </c>
      <c r="AL78" s="87" t="str">
        <f t="shared" ref="AL78:AL93" si="70">IF(Dyn_Insured="","",IF(ISNUMBER(AK78)=FALSE,0,AK78)-IF(ISNUMBER(AJ78)=FALSE,0,AJ78))</f>
        <v/>
      </c>
      <c r="AM78" s="88" t="str">
        <f t="shared" ref="AM78:AM93" si="71">AL78</f>
        <v/>
      </c>
      <c r="AN78" s="87" t="s">
        <v>50</v>
      </c>
      <c r="AO78" s="87" t="s">
        <v>50</v>
      </c>
      <c r="AP78" s="87" t="str">
        <f t="shared" ref="AP78:AP93" si="72">IF(Dyn_Insured="","",IF(ISNUMBER(AO78)=FALSE,0,AO78)-IF(ISNUMBER(AN78)=FALSE,0,AN78))</f>
        <v/>
      </c>
      <c r="AQ78" s="88" t="str">
        <f t="shared" ref="AQ78:AQ93" si="73">AP78</f>
        <v/>
      </c>
      <c r="AR78" s="87" t="str">
        <f>IF(Dyn_Insured="","",IF(ISNUMBER(AN78)=FALSE,"n/a",MIN(MAX(AN78-'Layer Comparison'!Excess_Past,0),'Layer Comparison'!Limit_Past)))</f>
        <v/>
      </c>
      <c r="AS78" s="87" t="str">
        <f>IF(Dyn_Insured="","",IF(ISNUMBER(AO78)=FALSE,"n/a",MIN(MAX(AO78-'Layer Comparison'!Excess_Latest,0),'Layer Comparison'!Limit_Latest)))</f>
        <v/>
      </c>
      <c r="AT78" s="87" t="str">
        <f t="shared" ref="AT78:AT93" si="74">IF(Dyn_Insured="","",IF(ISNUMBER(AS78)=FALSE,0,AS78)-IF(ISNUMBER(AR78)=FALSE,0,AR78))</f>
        <v/>
      </c>
      <c r="AU78" s="88" t="str">
        <f t="shared" ref="AU78:AU93" si="75">AT78</f>
        <v/>
      </c>
      <c r="AV78" s="87" t="s">
        <v>50</v>
      </c>
      <c r="AW78" s="87" t="s">
        <v>50</v>
      </c>
      <c r="AX78" s="87" t="str">
        <f t="shared" ref="AX78:AX93" si="76">IF(Dyn_Insured="","",IF(ISNUMBER(AW78)=FALSE,0,AW78)-IF(ISNUMBER(AV78)=FALSE,0,AV78))</f>
        <v/>
      </c>
      <c r="AY78" s="88" t="str">
        <f t="shared" ref="AY78:AY93" si="77">AX78</f>
        <v/>
      </c>
      <c r="AZ78" s="87" t="str">
        <f>IF(Dyn_Insured="","",IF(ISNUMBER(AV78)=FALSE,"n/a",MIN(MAX(AV78-'Layer Comparison'!Excess_Past,0),'Layer Comparison'!Limit_Past)))</f>
        <v/>
      </c>
      <c r="BA78" s="87" t="str">
        <f>IF(Dyn_Insured="","",IF(ISNUMBER(AW78)=FALSE,"n/a",MIN(MAX(AW78-'Layer Comparison'!Excess_Latest,0),'Layer Comparison'!Limit_Latest)))</f>
        <v/>
      </c>
      <c r="BB78" s="87" t="str">
        <f t="shared" ref="BB78:BB93" si="78">IF(Dyn_Insured="","",IF(ISNUMBER(BA78)=FALSE,0,BA78)-IF(ISNUMBER(AZ78)=FALSE,0,AZ78))</f>
        <v/>
      </c>
      <c r="BC78" s="88" t="str">
        <f t="shared" ref="BC78:BC93" si="79">BB78</f>
        <v/>
      </c>
      <c r="BD78" s="87" t="s">
        <v>50</v>
      </c>
      <c r="BE78" s="87" t="s">
        <v>50</v>
      </c>
      <c r="BF78" s="87" t="str">
        <f t="shared" ref="BF78:BF93" si="80">IF(Dyn_Insured="","",IF(ISNUMBER(BE78)=FALSE,0,BE78)-IF(ISNUMBER(BD78)=FALSE,0,BD78))</f>
        <v/>
      </c>
      <c r="BG78" s="88" t="str">
        <f t="shared" ref="BG78:BG93" si="81">BF78</f>
        <v/>
      </c>
      <c r="BH78" s="87" t="str">
        <f>IF(Dyn_Insured="","",IF(ISNUMBER(BD78)=FALSE,"n/a",MIN(MAX(BD78-'Layer Comparison'!Excess_Past,0),'Layer Comparison'!Limit_Past)))</f>
        <v/>
      </c>
      <c r="BI78" s="87" t="str">
        <f>IF(Dyn_Insured="","",IF(ISNUMBER(BE78)=FALSE,"n/a",MIN(MAX(BE78-'Layer Comparison'!Excess_Latest,0),'Layer Comparison'!Limit_Latest)))</f>
        <v/>
      </c>
      <c r="BJ78" s="87" t="str">
        <f t="shared" ref="BJ78:BJ93" si="82">IF(Dyn_Insured="","",IF(ISNUMBER(BI78)=FALSE,0,BI78)-IF(ISNUMBER(BH78)=FALSE,0,BH78))</f>
        <v/>
      </c>
      <c r="BK78" s="88" t="str">
        <f t="shared" ref="BK78:BK93" si="83">BJ78</f>
        <v/>
      </c>
      <c r="BL78" s="87" t="s">
        <v>50</v>
      </c>
      <c r="BM78" s="87" t="s">
        <v>50</v>
      </c>
      <c r="BN78" s="87" t="str">
        <f t="shared" ref="BN78:BN93" si="84">IF(Dyn_Insured="","",IF(ISNUMBER(BM78)=FALSE,0,BM78)-IF(ISNUMBER(BL78)=FALSE,0,BL78))</f>
        <v/>
      </c>
      <c r="BO78" s="88" t="str">
        <f t="shared" ref="BO78:BO93" si="85">BN78</f>
        <v/>
      </c>
      <c r="BP78" s="87" t="str">
        <f>IF(Dyn_Insured="","",IF(ISNUMBER(BL78)=FALSE,"n/a",MIN(MAX(BL78-'Layer Comparison'!Excess_Past,0),'Layer Comparison'!Limit_Past)))</f>
        <v/>
      </c>
      <c r="BQ78" s="87" t="str">
        <f>IF(Dyn_Insured="","",IF(ISNUMBER(BM78)=FALSE,"n/a",MIN(MAX(BM78-'Layer Comparison'!Excess_Latest,0),'Layer Comparison'!Limit_Latest)))</f>
        <v/>
      </c>
      <c r="BR78" s="87" t="str">
        <f t="shared" ref="BR78:BR93" si="86">IF(Dyn_Insured="","",IF(ISNUMBER(BQ78)=FALSE,0,BQ78)-IF(ISNUMBER(BP78)=FALSE,0,BP78))</f>
        <v/>
      </c>
      <c r="BS78" s="88" t="str">
        <f t="shared" ref="BS78:BS93" si="87">BR78</f>
        <v/>
      </c>
      <c r="BT78" s="46" t="s">
        <v>13</v>
      </c>
    </row>
    <row r="79" spans="1:72" hidden="1" outlineLevel="1" x14ac:dyDescent="0.25">
      <c r="A79" s="89" t="s">
        <v>54</v>
      </c>
      <c r="B79" s="89">
        <f t="shared" si="54"/>
        <v>0</v>
      </c>
      <c r="C79" s="89">
        <f t="shared" si="55"/>
        <v>0</v>
      </c>
      <c r="D79" s="90">
        <f t="shared" si="53"/>
        <v>0</v>
      </c>
      <c r="E79" s="90">
        <f t="shared" si="53"/>
        <v>0</v>
      </c>
      <c r="F79" s="48" t="s">
        <v>50</v>
      </c>
      <c r="G79" s="38" t="s">
        <v>50</v>
      </c>
      <c r="H79" s="87" t="s">
        <v>50</v>
      </c>
      <c r="I79" s="87" t="s">
        <v>50</v>
      </c>
      <c r="J79" s="87" t="str">
        <f t="shared" si="56"/>
        <v/>
      </c>
      <c r="K79" s="88" t="str">
        <f t="shared" si="57"/>
        <v/>
      </c>
      <c r="L79" s="87" t="str">
        <f>IF(Dyn_Insured="","",IF(ISNUMBER(H79)=FALSE,"n/a",MIN(MAX(H79-'Layer Comparison'!Excess_Past,0),'Layer Comparison'!Limit_Past)))</f>
        <v/>
      </c>
      <c r="M79" s="87" t="str">
        <f>IF(Dyn_Insured="","",IF(ISNUMBER(I79)=FALSE,"n/a",MIN(MAX(I79-'Layer Comparison'!Excess_Latest,0),'Layer Comparison'!Limit_Latest)))</f>
        <v/>
      </c>
      <c r="N79" s="87" t="str">
        <f t="shared" si="58"/>
        <v/>
      </c>
      <c r="O79" s="88" t="str">
        <f t="shared" si="59"/>
        <v/>
      </c>
      <c r="P79" s="87" t="s">
        <v>50</v>
      </c>
      <c r="Q79" s="87" t="s">
        <v>50</v>
      </c>
      <c r="R79" s="87" t="str">
        <f t="shared" si="60"/>
        <v/>
      </c>
      <c r="S79" s="88" t="str">
        <f t="shared" si="61"/>
        <v/>
      </c>
      <c r="T79" s="87" t="str">
        <f>IF(Dyn_Insured="","",IF(ISNUMBER(P79)=FALSE,"n/a",MIN(MAX(P79-'Layer Comparison'!Excess_Past,0),'Layer Comparison'!Limit_Past)))</f>
        <v/>
      </c>
      <c r="U79" s="87" t="str">
        <f>IF(Dyn_Insured="","",IF(ISNUMBER(Q79)=FALSE,"n/a",MIN(MAX(Q79-'Layer Comparison'!Excess_Latest,0),'Layer Comparison'!Limit_Latest)))</f>
        <v/>
      </c>
      <c r="V79" s="87" t="str">
        <f t="shared" si="62"/>
        <v/>
      </c>
      <c r="W79" s="88" t="str">
        <f t="shared" si="63"/>
        <v/>
      </c>
      <c r="X79" s="87" t="s">
        <v>50</v>
      </c>
      <c r="Y79" s="87" t="s">
        <v>50</v>
      </c>
      <c r="Z79" s="87" t="str">
        <f t="shared" si="64"/>
        <v/>
      </c>
      <c r="AA79" s="88" t="str">
        <f t="shared" si="65"/>
        <v/>
      </c>
      <c r="AB79" s="87" t="str">
        <f>IF(Dyn_Insured="","",IF(ISNUMBER(X79)=FALSE,"n/a",MIN(MAX(X79-'Layer Comparison'!Excess_Past,0),'Layer Comparison'!Limit_Past)))</f>
        <v/>
      </c>
      <c r="AC79" s="87" t="str">
        <f>IF(Dyn_Insured="","",IF(ISNUMBER(Y79)=FALSE,"n/a",MIN(MAX(Y79-'Layer Comparison'!Excess_Latest,0),'Layer Comparison'!Limit_Latest)))</f>
        <v/>
      </c>
      <c r="AD79" s="87" t="str">
        <f t="shared" si="66"/>
        <v/>
      </c>
      <c r="AE79" s="88" t="str">
        <f t="shared" si="67"/>
        <v/>
      </c>
      <c r="AF79" s="87" t="s">
        <v>50</v>
      </c>
      <c r="AG79" s="87" t="s">
        <v>50</v>
      </c>
      <c r="AH79" s="87" t="str">
        <f t="shared" si="68"/>
        <v/>
      </c>
      <c r="AI79" s="88" t="str">
        <f t="shared" si="69"/>
        <v/>
      </c>
      <c r="AJ79" s="87" t="str">
        <f>IF(Dyn_Insured="","",IF(ISNUMBER(AF79)=FALSE,"n/a",MIN(MAX(AF79-'Layer Comparison'!Excess_Past,0),'Layer Comparison'!Limit_Past)))</f>
        <v/>
      </c>
      <c r="AK79" s="87" t="str">
        <f>IF(Dyn_Insured="","",IF(ISNUMBER(AG79)=FALSE,"n/a",MIN(MAX(AG79-'Layer Comparison'!Excess_Latest,0),'Layer Comparison'!Limit_Latest)))</f>
        <v/>
      </c>
      <c r="AL79" s="87" t="str">
        <f t="shared" si="70"/>
        <v/>
      </c>
      <c r="AM79" s="88" t="str">
        <f t="shared" si="71"/>
        <v/>
      </c>
      <c r="AN79" s="87" t="s">
        <v>50</v>
      </c>
      <c r="AO79" s="87" t="s">
        <v>50</v>
      </c>
      <c r="AP79" s="87" t="str">
        <f t="shared" si="72"/>
        <v/>
      </c>
      <c r="AQ79" s="88" t="str">
        <f t="shared" si="73"/>
        <v/>
      </c>
      <c r="AR79" s="87" t="str">
        <f>IF(Dyn_Insured="","",IF(ISNUMBER(AN79)=FALSE,"n/a",MIN(MAX(AN79-'Layer Comparison'!Excess_Past,0),'Layer Comparison'!Limit_Past)))</f>
        <v/>
      </c>
      <c r="AS79" s="87" t="str">
        <f>IF(Dyn_Insured="","",IF(ISNUMBER(AO79)=FALSE,"n/a",MIN(MAX(AO79-'Layer Comparison'!Excess_Latest,0),'Layer Comparison'!Limit_Latest)))</f>
        <v/>
      </c>
      <c r="AT79" s="87" t="str">
        <f t="shared" si="74"/>
        <v/>
      </c>
      <c r="AU79" s="88" t="str">
        <f t="shared" si="75"/>
        <v/>
      </c>
      <c r="AV79" s="87" t="s">
        <v>50</v>
      </c>
      <c r="AW79" s="87" t="s">
        <v>50</v>
      </c>
      <c r="AX79" s="87" t="str">
        <f t="shared" si="76"/>
        <v/>
      </c>
      <c r="AY79" s="88" t="str">
        <f t="shared" si="77"/>
        <v/>
      </c>
      <c r="AZ79" s="87" t="str">
        <f>IF(Dyn_Insured="","",IF(ISNUMBER(AV79)=FALSE,"n/a",MIN(MAX(AV79-'Layer Comparison'!Excess_Past,0),'Layer Comparison'!Limit_Past)))</f>
        <v/>
      </c>
      <c r="BA79" s="87" t="str">
        <f>IF(Dyn_Insured="","",IF(ISNUMBER(AW79)=FALSE,"n/a",MIN(MAX(AW79-'Layer Comparison'!Excess_Latest,0),'Layer Comparison'!Limit_Latest)))</f>
        <v/>
      </c>
      <c r="BB79" s="87" t="str">
        <f t="shared" si="78"/>
        <v/>
      </c>
      <c r="BC79" s="88" t="str">
        <f t="shared" si="79"/>
        <v/>
      </c>
      <c r="BD79" s="87" t="s">
        <v>50</v>
      </c>
      <c r="BE79" s="87" t="s">
        <v>50</v>
      </c>
      <c r="BF79" s="87" t="str">
        <f t="shared" si="80"/>
        <v/>
      </c>
      <c r="BG79" s="88" t="str">
        <f t="shared" si="81"/>
        <v/>
      </c>
      <c r="BH79" s="87" t="str">
        <f>IF(Dyn_Insured="","",IF(ISNUMBER(BD79)=FALSE,"n/a",MIN(MAX(BD79-'Layer Comparison'!Excess_Past,0),'Layer Comparison'!Limit_Past)))</f>
        <v/>
      </c>
      <c r="BI79" s="87" t="str">
        <f>IF(Dyn_Insured="","",IF(ISNUMBER(BE79)=FALSE,"n/a",MIN(MAX(BE79-'Layer Comparison'!Excess_Latest,0),'Layer Comparison'!Limit_Latest)))</f>
        <v/>
      </c>
      <c r="BJ79" s="87" t="str">
        <f t="shared" si="82"/>
        <v/>
      </c>
      <c r="BK79" s="88" t="str">
        <f t="shared" si="83"/>
        <v/>
      </c>
      <c r="BL79" s="87" t="s">
        <v>50</v>
      </c>
      <c r="BM79" s="87" t="s">
        <v>50</v>
      </c>
      <c r="BN79" s="87" t="str">
        <f t="shared" si="84"/>
        <v/>
      </c>
      <c r="BO79" s="88" t="str">
        <f t="shared" si="85"/>
        <v/>
      </c>
      <c r="BP79" s="87" t="str">
        <f>IF(Dyn_Insured="","",IF(ISNUMBER(BL79)=FALSE,"n/a",MIN(MAX(BL79-'Layer Comparison'!Excess_Past,0),'Layer Comparison'!Limit_Past)))</f>
        <v/>
      </c>
      <c r="BQ79" s="87" t="str">
        <f>IF(Dyn_Insured="","",IF(ISNUMBER(BM79)=FALSE,"n/a",MIN(MAX(BM79-'Layer Comparison'!Excess_Latest,0),'Layer Comparison'!Limit_Latest)))</f>
        <v/>
      </c>
      <c r="BR79" s="87" t="str">
        <f t="shared" si="86"/>
        <v/>
      </c>
      <c r="BS79" s="88" t="str">
        <f t="shared" si="87"/>
        <v/>
      </c>
      <c r="BT79" s="46" t="s">
        <v>13</v>
      </c>
    </row>
    <row r="80" spans="1:72" hidden="1" outlineLevel="1" x14ac:dyDescent="0.25">
      <c r="A80" s="89" t="s">
        <v>54</v>
      </c>
      <c r="B80" s="89">
        <f t="shared" si="54"/>
        <v>0</v>
      </c>
      <c r="C80" s="89">
        <f t="shared" si="55"/>
        <v>0</v>
      </c>
      <c r="D80" s="90">
        <f t="shared" si="53"/>
        <v>0</v>
      </c>
      <c r="E80" s="90">
        <f t="shared" si="53"/>
        <v>0</v>
      </c>
      <c r="F80" s="48" t="s">
        <v>50</v>
      </c>
      <c r="G80" s="38" t="s">
        <v>50</v>
      </c>
      <c r="H80" s="87" t="s">
        <v>50</v>
      </c>
      <c r="I80" s="87" t="s">
        <v>50</v>
      </c>
      <c r="J80" s="87" t="str">
        <f t="shared" si="56"/>
        <v/>
      </c>
      <c r="K80" s="88" t="str">
        <f t="shared" si="57"/>
        <v/>
      </c>
      <c r="L80" s="87" t="str">
        <f>IF(Dyn_Insured="","",IF(ISNUMBER(H80)=FALSE,"n/a",MIN(MAX(H80-'Layer Comparison'!Excess_Past,0),'Layer Comparison'!Limit_Past)))</f>
        <v/>
      </c>
      <c r="M80" s="87" t="str">
        <f>IF(Dyn_Insured="","",IF(ISNUMBER(I80)=FALSE,"n/a",MIN(MAX(I80-'Layer Comparison'!Excess_Latest,0),'Layer Comparison'!Limit_Latest)))</f>
        <v/>
      </c>
      <c r="N80" s="87" t="str">
        <f t="shared" si="58"/>
        <v/>
      </c>
      <c r="O80" s="88" t="str">
        <f t="shared" si="59"/>
        <v/>
      </c>
      <c r="P80" s="87" t="s">
        <v>50</v>
      </c>
      <c r="Q80" s="87" t="s">
        <v>50</v>
      </c>
      <c r="R80" s="87" t="str">
        <f t="shared" si="60"/>
        <v/>
      </c>
      <c r="S80" s="88" t="str">
        <f t="shared" si="61"/>
        <v/>
      </c>
      <c r="T80" s="87" t="str">
        <f>IF(Dyn_Insured="","",IF(ISNUMBER(P80)=FALSE,"n/a",MIN(MAX(P80-'Layer Comparison'!Excess_Past,0),'Layer Comparison'!Limit_Past)))</f>
        <v/>
      </c>
      <c r="U80" s="87" t="str">
        <f>IF(Dyn_Insured="","",IF(ISNUMBER(Q80)=FALSE,"n/a",MIN(MAX(Q80-'Layer Comparison'!Excess_Latest,0),'Layer Comparison'!Limit_Latest)))</f>
        <v/>
      </c>
      <c r="V80" s="87" t="str">
        <f t="shared" si="62"/>
        <v/>
      </c>
      <c r="W80" s="88" t="str">
        <f t="shared" si="63"/>
        <v/>
      </c>
      <c r="X80" s="87" t="s">
        <v>50</v>
      </c>
      <c r="Y80" s="87" t="s">
        <v>50</v>
      </c>
      <c r="Z80" s="87" t="str">
        <f t="shared" si="64"/>
        <v/>
      </c>
      <c r="AA80" s="88" t="str">
        <f t="shared" si="65"/>
        <v/>
      </c>
      <c r="AB80" s="87" t="str">
        <f>IF(Dyn_Insured="","",IF(ISNUMBER(X80)=FALSE,"n/a",MIN(MAX(X80-'Layer Comparison'!Excess_Past,0),'Layer Comparison'!Limit_Past)))</f>
        <v/>
      </c>
      <c r="AC80" s="87" t="str">
        <f>IF(Dyn_Insured="","",IF(ISNUMBER(Y80)=FALSE,"n/a",MIN(MAX(Y80-'Layer Comparison'!Excess_Latest,0),'Layer Comparison'!Limit_Latest)))</f>
        <v/>
      </c>
      <c r="AD80" s="87" t="str">
        <f t="shared" si="66"/>
        <v/>
      </c>
      <c r="AE80" s="88" t="str">
        <f t="shared" si="67"/>
        <v/>
      </c>
      <c r="AF80" s="87" t="s">
        <v>50</v>
      </c>
      <c r="AG80" s="87" t="s">
        <v>50</v>
      </c>
      <c r="AH80" s="87" t="str">
        <f t="shared" si="68"/>
        <v/>
      </c>
      <c r="AI80" s="88" t="str">
        <f t="shared" si="69"/>
        <v/>
      </c>
      <c r="AJ80" s="87" t="str">
        <f>IF(Dyn_Insured="","",IF(ISNUMBER(AF80)=FALSE,"n/a",MIN(MAX(AF80-'Layer Comparison'!Excess_Past,0),'Layer Comparison'!Limit_Past)))</f>
        <v/>
      </c>
      <c r="AK80" s="87" t="str">
        <f>IF(Dyn_Insured="","",IF(ISNUMBER(AG80)=FALSE,"n/a",MIN(MAX(AG80-'Layer Comparison'!Excess_Latest,0),'Layer Comparison'!Limit_Latest)))</f>
        <v/>
      </c>
      <c r="AL80" s="87" t="str">
        <f t="shared" si="70"/>
        <v/>
      </c>
      <c r="AM80" s="88" t="str">
        <f t="shared" si="71"/>
        <v/>
      </c>
      <c r="AN80" s="87" t="s">
        <v>50</v>
      </c>
      <c r="AO80" s="87" t="s">
        <v>50</v>
      </c>
      <c r="AP80" s="87" t="str">
        <f t="shared" si="72"/>
        <v/>
      </c>
      <c r="AQ80" s="88" t="str">
        <f t="shared" si="73"/>
        <v/>
      </c>
      <c r="AR80" s="87" t="str">
        <f>IF(Dyn_Insured="","",IF(ISNUMBER(AN80)=FALSE,"n/a",MIN(MAX(AN80-'Layer Comparison'!Excess_Past,0),'Layer Comparison'!Limit_Past)))</f>
        <v/>
      </c>
      <c r="AS80" s="87" t="str">
        <f>IF(Dyn_Insured="","",IF(ISNUMBER(AO80)=FALSE,"n/a",MIN(MAX(AO80-'Layer Comparison'!Excess_Latest,0),'Layer Comparison'!Limit_Latest)))</f>
        <v/>
      </c>
      <c r="AT80" s="87" t="str">
        <f t="shared" si="74"/>
        <v/>
      </c>
      <c r="AU80" s="88" t="str">
        <f t="shared" si="75"/>
        <v/>
      </c>
      <c r="AV80" s="87" t="s">
        <v>50</v>
      </c>
      <c r="AW80" s="87" t="s">
        <v>50</v>
      </c>
      <c r="AX80" s="87" t="str">
        <f t="shared" si="76"/>
        <v/>
      </c>
      <c r="AY80" s="88" t="str">
        <f t="shared" si="77"/>
        <v/>
      </c>
      <c r="AZ80" s="87" t="str">
        <f>IF(Dyn_Insured="","",IF(ISNUMBER(AV80)=FALSE,"n/a",MIN(MAX(AV80-'Layer Comparison'!Excess_Past,0),'Layer Comparison'!Limit_Past)))</f>
        <v/>
      </c>
      <c r="BA80" s="87" t="str">
        <f>IF(Dyn_Insured="","",IF(ISNUMBER(AW80)=FALSE,"n/a",MIN(MAX(AW80-'Layer Comparison'!Excess_Latest,0),'Layer Comparison'!Limit_Latest)))</f>
        <v/>
      </c>
      <c r="BB80" s="87" t="str">
        <f t="shared" si="78"/>
        <v/>
      </c>
      <c r="BC80" s="88" t="str">
        <f t="shared" si="79"/>
        <v/>
      </c>
      <c r="BD80" s="87" t="s">
        <v>50</v>
      </c>
      <c r="BE80" s="87" t="s">
        <v>50</v>
      </c>
      <c r="BF80" s="87" t="str">
        <f t="shared" si="80"/>
        <v/>
      </c>
      <c r="BG80" s="88" t="str">
        <f t="shared" si="81"/>
        <v/>
      </c>
      <c r="BH80" s="87" t="str">
        <f>IF(Dyn_Insured="","",IF(ISNUMBER(BD80)=FALSE,"n/a",MIN(MAX(BD80-'Layer Comparison'!Excess_Past,0),'Layer Comparison'!Limit_Past)))</f>
        <v/>
      </c>
      <c r="BI80" s="87" t="str">
        <f>IF(Dyn_Insured="","",IF(ISNUMBER(BE80)=FALSE,"n/a",MIN(MAX(BE80-'Layer Comparison'!Excess_Latest,0),'Layer Comparison'!Limit_Latest)))</f>
        <v/>
      </c>
      <c r="BJ80" s="87" t="str">
        <f t="shared" si="82"/>
        <v/>
      </c>
      <c r="BK80" s="88" t="str">
        <f t="shared" si="83"/>
        <v/>
      </c>
      <c r="BL80" s="87" t="s">
        <v>50</v>
      </c>
      <c r="BM80" s="87" t="s">
        <v>50</v>
      </c>
      <c r="BN80" s="87" t="str">
        <f t="shared" si="84"/>
        <v/>
      </c>
      <c r="BO80" s="88" t="str">
        <f t="shared" si="85"/>
        <v/>
      </c>
      <c r="BP80" s="87" t="str">
        <f>IF(Dyn_Insured="","",IF(ISNUMBER(BL80)=FALSE,"n/a",MIN(MAX(BL80-'Layer Comparison'!Excess_Past,0),'Layer Comparison'!Limit_Past)))</f>
        <v/>
      </c>
      <c r="BQ80" s="87" t="str">
        <f>IF(Dyn_Insured="","",IF(ISNUMBER(BM80)=FALSE,"n/a",MIN(MAX(BM80-'Layer Comparison'!Excess_Latest,0),'Layer Comparison'!Limit_Latest)))</f>
        <v/>
      </c>
      <c r="BR80" s="87" t="str">
        <f t="shared" si="86"/>
        <v/>
      </c>
      <c r="BS80" s="88" t="str">
        <f t="shared" si="87"/>
        <v/>
      </c>
      <c r="BT80" s="46" t="s">
        <v>13</v>
      </c>
    </row>
    <row r="81" spans="1:72" hidden="1" outlineLevel="1" x14ac:dyDescent="0.25">
      <c r="A81" s="89" t="s">
        <v>54</v>
      </c>
      <c r="B81" s="89">
        <f t="shared" si="54"/>
        <v>0</v>
      </c>
      <c r="C81" s="89">
        <f t="shared" si="55"/>
        <v>0</v>
      </c>
      <c r="D81" s="90">
        <f t="shared" si="53"/>
        <v>0</v>
      </c>
      <c r="E81" s="90">
        <f t="shared" si="53"/>
        <v>0</v>
      </c>
      <c r="F81" s="48" t="s">
        <v>50</v>
      </c>
      <c r="G81" s="38" t="s">
        <v>50</v>
      </c>
      <c r="H81" s="87" t="s">
        <v>50</v>
      </c>
      <c r="I81" s="87" t="s">
        <v>50</v>
      </c>
      <c r="J81" s="87" t="str">
        <f t="shared" si="56"/>
        <v/>
      </c>
      <c r="K81" s="88" t="str">
        <f t="shared" si="57"/>
        <v/>
      </c>
      <c r="L81" s="87" t="str">
        <f>IF(Dyn_Insured="","",IF(ISNUMBER(H81)=FALSE,"n/a",MIN(MAX(H81-'Layer Comparison'!Excess_Past,0),'Layer Comparison'!Limit_Past)))</f>
        <v/>
      </c>
      <c r="M81" s="87" t="str">
        <f>IF(Dyn_Insured="","",IF(ISNUMBER(I81)=FALSE,"n/a",MIN(MAX(I81-'Layer Comparison'!Excess_Latest,0),'Layer Comparison'!Limit_Latest)))</f>
        <v/>
      </c>
      <c r="N81" s="87" t="str">
        <f t="shared" si="58"/>
        <v/>
      </c>
      <c r="O81" s="88" t="str">
        <f t="shared" si="59"/>
        <v/>
      </c>
      <c r="P81" s="87" t="s">
        <v>50</v>
      </c>
      <c r="Q81" s="87" t="s">
        <v>50</v>
      </c>
      <c r="R81" s="87" t="str">
        <f t="shared" si="60"/>
        <v/>
      </c>
      <c r="S81" s="88" t="str">
        <f t="shared" si="61"/>
        <v/>
      </c>
      <c r="T81" s="87" t="str">
        <f>IF(Dyn_Insured="","",IF(ISNUMBER(P81)=FALSE,"n/a",MIN(MAX(P81-'Layer Comparison'!Excess_Past,0),'Layer Comparison'!Limit_Past)))</f>
        <v/>
      </c>
      <c r="U81" s="87" t="str">
        <f>IF(Dyn_Insured="","",IF(ISNUMBER(Q81)=FALSE,"n/a",MIN(MAX(Q81-'Layer Comparison'!Excess_Latest,0),'Layer Comparison'!Limit_Latest)))</f>
        <v/>
      </c>
      <c r="V81" s="87" t="str">
        <f t="shared" si="62"/>
        <v/>
      </c>
      <c r="W81" s="88" t="str">
        <f t="shared" si="63"/>
        <v/>
      </c>
      <c r="X81" s="87" t="s">
        <v>50</v>
      </c>
      <c r="Y81" s="87" t="s">
        <v>50</v>
      </c>
      <c r="Z81" s="87" t="str">
        <f t="shared" si="64"/>
        <v/>
      </c>
      <c r="AA81" s="88" t="str">
        <f t="shared" si="65"/>
        <v/>
      </c>
      <c r="AB81" s="87" t="str">
        <f>IF(Dyn_Insured="","",IF(ISNUMBER(X81)=FALSE,"n/a",MIN(MAX(X81-'Layer Comparison'!Excess_Past,0),'Layer Comparison'!Limit_Past)))</f>
        <v/>
      </c>
      <c r="AC81" s="87" t="str">
        <f>IF(Dyn_Insured="","",IF(ISNUMBER(Y81)=FALSE,"n/a",MIN(MAX(Y81-'Layer Comparison'!Excess_Latest,0),'Layer Comparison'!Limit_Latest)))</f>
        <v/>
      </c>
      <c r="AD81" s="87" t="str">
        <f t="shared" si="66"/>
        <v/>
      </c>
      <c r="AE81" s="88" t="str">
        <f t="shared" si="67"/>
        <v/>
      </c>
      <c r="AF81" s="87" t="s">
        <v>50</v>
      </c>
      <c r="AG81" s="87" t="s">
        <v>50</v>
      </c>
      <c r="AH81" s="87" t="str">
        <f t="shared" si="68"/>
        <v/>
      </c>
      <c r="AI81" s="88" t="str">
        <f t="shared" si="69"/>
        <v/>
      </c>
      <c r="AJ81" s="87" t="str">
        <f>IF(Dyn_Insured="","",IF(ISNUMBER(AF81)=FALSE,"n/a",MIN(MAX(AF81-'Layer Comparison'!Excess_Past,0),'Layer Comparison'!Limit_Past)))</f>
        <v/>
      </c>
      <c r="AK81" s="87" t="str">
        <f>IF(Dyn_Insured="","",IF(ISNUMBER(AG81)=FALSE,"n/a",MIN(MAX(AG81-'Layer Comparison'!Excess_Latest,0),'Layer Comparison'!Limit_Latest)))</f>
        <v/>
      </c>
      <c r="AL81" s="87" t="str">
        <f t="shared" si="70"/>
        <v/>
      </c>
      <c r="AM81" s="88" t="str">
        <f t="shared" si="71"/>
        <v/>
      </c>
      <c r="AN81" s="87" t="s">
        <v>50</v>
      </c>
      <c r="AO81" s="87" t="s">
        <v>50</v>
      </c>
      <c r="AP81" s="87" t="str">
        <f t="shared" si="72"/>
        <v/>
      </c>
      <c r="AQ81" s="88" t="str">
        <f t="shared" si="73"/>
        <v/>
      </c>
      <c r="AR81" s="87" t="str">
        <f>IF(Dyn_Insured="","",IF(ISNUMBER(AN81)=FALSE,"n/a",MIN(MAX(AN81-'Layer Comparison'!Excess_Past,0),'Layer Comparison'!Limit_Past)))</f>
        <v/>
      </c>
      <c r="AS81" s="87" t="str">
        <f>IF(Dyn_Insured="","",IF(ISNUMBER(AO81)=FALSE,"n/a",MIN(MAX(AO81-'Layer Comparison'!Excess_Latest,0),'Layer Comparison'!Limit_Latest)))</f>
        <v/>
      </c>
      <c r="AT81" s="87" t="str">
        <f t="shared" si="74"/>
        <v/>
      </c>
      <c r="AU81" s="88" t="str">
        <f t="shared" si="75"/>
        <v/>
      </c>
      <c r="AV81" s="87" t="s">
        <v>50</v>
      </c>
      <c r="AW81" s="87" t="s">
        <v>50</v>
      </c>
      <c r="AX81" s="87" t="str">
        <f t="shared" si="76"/>
        <v/>
      </c>
      <c r="AY81" s="88" t="str">
        <f t="shared" si="77"/>
        <v/>
      </c>
      <c r="AZ81" s="87" t="str">
        <f>IF(Dyn_Insured="","",IF(ISNUMBER(AV81)=FALSE,"n/a",MIN(MAX(AV81-'Layer Comparison'!Excess_Past,0),'Layer Comparison'!Limit_Past)))</f>
        <v/>
      </c>
      <c r="BA81" s="87" t="str">
        <f>IF(Dyn_Insured="","",IF(ISNUMBER(AW81)=FALSE,"n/a",MIN(MAX(AW81-'Layer Comparison'!Excess_Latest,0),'Layer Comparison'!Limit_Latest)))</f>
        <v/>
      </c>
      <c r="BB81" s="87" t="str">
        <f t="shared" si="78"/>
        <v/>
      </c>
      <c r="BC81" s="88" t="str">
        <f t="shared" si="79"/>
        <v/>
      </c>
      <c r="BD81" s="87" t="s">
        <v>50</v>
      </c>
      <c r="BE81" s="87" t="s">
        <v>50</v>
      </c>
      <c r="BF81" s="87" t="str">
        <f t="shared" si="80"/>
        <v/>
      </c>
      <c r="BG81" s="88" t="str">
        <f t="shared" si="81"/>
        <v/>
      </c>
      <c r="BH81" s="87" t="str">
        <f>IF(Dyn_Insured="","",IF(ISNUMBER(BD81)=FALSE,"n/a",MIN(MAX(BD81-'Layer Comparison'!Excess_Past,0),'Layer Comparison'!Limit_Past)))</f>
        <v/>
      </c>
      <c r="BI81" s="87" t="str">
        <f>IF(Dyn_Insured="","",IF(ISNUMBER(BE81)=FALSE,"n/a",MIN(MAX(BE81-'Layer Comparison'!Excess_Latest,0),'Layer Comparison'!Limit_Latest)))</f>
        <v/>
      </c>
      <c r="BJ81" s="87" t="str">
        <f t="shared" si="82"/>
        <v/>
      </c>
      <c r="BK81" s="88" t="str">
        <f t="shared" si="83"/>
        <v/>
      </c>
      <c r="BL81" s="87" t="s">
        <v>50</v>
      </c>
      <c r="BM81" s="87" t="s">
        <v>50</v>
      </c>
      <c r="BN81" s="87" t="str">
        <f t="shared" si="84"/>
        <v/>
      </c>
      <c r="BO81" s="88" t="str">
        <f t="shared" si="85"/>
        <v/>
      </c>
      <c r="BP81" s="87" t="str">
        <f>IF(Dyn_Insured="","",IF(ISNUMBER(BL81)=FALSE,"n/a",MIN(MAX(BL81-'Layer Comparison'!Excess_Past,0),'Layer Comparison'!Limit_Past)))</f>
        <v/>
      </c>
      <c r="BQ81" s="87" t="str">
        <f>IF(Dyn_Insured="","",IF(ISNUMBER(BM81)=FALSE,"n/a",MIN(MAX(BM81-'Layer Comparison'!Excess_Latest,0),'Layer Comparison'!Limit_Latest)))</f>
        <v/>
      </c>
      <c r="BR81" s="87" t="str">
        <f t="shared" si="86"/>
        <v/>
      </c>
      <c r="BS81" s="88" t="str">
        <f t="shared" si="87"/>
        <v/>
      </c>
      <c r="BT81" s="46" t="s">
        <v>13</v>
      </c>
    </row>
    <row r="82" spans="1:72" hidden="1" outlineLevel="1" x14ac:dyDescent="0.25">
      <c r="A82" s="89" t="s">
        <v>54</v>
      </c>
      <c r="B82" s="89">
        <f t="shared" si="54"/>
        <v>0</v>
      </c>
      <c r="C82" s="89">
        <f t="shared" si="55"/>
        <v>0</v>
      </c>
      <c r="D82" s="90">
        <f t="shared" si="53"/>
        <v>0</v>
      </c>
      <c r="E82" s="90">
        <f t="shared" si="53"/>
        <v>0</v>
      </c>
      <c r="F82" s="48" t="s">
        <v>50</v>
      </c>
      <c r="G82" s="38" t="s">
        <v>50</v>
      </c>
      <c r="H82" s="87" t="s">
        <v>50</v>
      </c>
      <c r="I82" s="87" t="s">
        <v>50</v>
      </c>
      <c r="J82" s="87" t="str">
        <f t="shared" si="56"/>
        <v/>
      </c>
      <c r="K82" s="88" t="str">
        <f t="shared" si="57"/>
        <v/>
      </c>
      <c r="L82" s="87" t="str">
        <f>IF(Dyn_Insured="","",IF(ISNUMBER(H82)=FALSE,"n/a",MIN(MAX(H82-'Layer Comparison'!Excess_Past,0),'Layer Comparison'!Limit_Past)))</f>
        <v/>
      </c>
      <c r="M82" s="87" t="str">
        <f>IF(Dyn_Insured="","",IF(ISNUMBER(I82)=FALSE,"n/a",MIN(MAX(I82-'Layer Comparison'!Excess_Latest,0),'Layer Comparison'!Limit_Latest)))</f>
        <v/>
      </c>
      <c r="N82" s="87" t="str">
        <f t="shared" si="58"/>
        <v/>
      </c>
      <c r="O82" s="88" t="str">
        <f t="shared" si="59"/>
        <v/>
      </c>
      <c r="P82" s="87" t="s">
        <v>50</v>
      </c>
      <c r="Q82" s="87" t="s">
        <v>50</v>
      </c>
      <c r="R82" s="87" t="str">
        <f t="shared" si="60"/>
        <v/>
      </c>
      <c r="S82" s="88" t="str">
        <f t="shared" si="61"/>
        <v/>
      </c>
      <c r="T82" s="87" t="str">
        <f>IF(Dyn_Insured="","",IF(ISNUMBER(P82)=FALSE,"n/a",MIN(MAX(P82-'Layer Comparison'!Excess_Past,0),'Layer Comparison'!Limit_Past)))</f>
        <v/>
      </c>
      <c r="U82" s="87" t="str">
        <f>IF(Dyn_Insured="","",IF(ISNUMBER(Q82)=FALSE,"n/a",MIN(MAX(Q82-'Layer Comparison'!Excess_Latest,0),'Layer Comparison'!Limit_Latest)))</f>
        <v/>
      </c>
      <c r="V82" s="87" t="str">
        <f t="shared" si="62"/>
        <v/>
      </c>
      <c r="W82" s="88" t="str">
        <f t="shared" si="63"/>
        <v/>
      </c>
      <c r="X82" s="87" t="s">
        <v>50</v>
      </c>
      <c r="Y82" s="87" t="s">
        <v>50</v>
      </c>
      <c r="Z82" s="87" t="str">
        <f t="shared" si="64"/>
        <v/>
      </c>
      <c r="AA82" s="88" t="str">
        <f t="shared" si="65"/>
        <v/>
      </c>
      <c r="AB82" s="87" t="str">
        <f>IF(Dyn_Insured="","",IF(ISNUMBER(X82)=FALSE,"n/a",MIN(MAX(X82-'Layer Comparison'!Excess_Past,0),'Layer Comparison'!Limit_Past)))</f>
        <v/>
      </c>
      <c r="AC82" s="87" t="str">
        <f>IF(Dyn_Insured="","",IF(ISNUMBER(Y82)=FALSE,"n/a",MIN(MAX(Y82-'Layer Comparison'!Excess_Latest,0),'Layer Comparison'!Limit_Latest)))</f>
        <v/>
      </c>
      <c r="AD82" s="87" t="str">
        <f t="shared" si="66"/>
        <v/>
      </c>
      <c r="AE82" s="88" t="str">
        <f t="shared" si="67"/>
        <v/>
      </c>
      <c r="AF82" s="87" t="s">
        <v>50</v>
      </c>
      <c r="AG82" s="87" t="s">
        <v>50</v>
      </c>
      <c r="AH82" s="87" t="str">
        <f t="shared" si="68"/>
        <v/>
      </c>
      <c r="AI82" s="88" t="str">
        <f t="shared" si="69"/>
        <v/>
      </c>
      <c r="AJ82" s="87" t="str">
        <f>IF(Dyn_Insured="","",IF(ISNUMBER(AF82)=FALSE,"n/a",MIN(MAX(AF82-'Layer Comparison'!Excess_Past,0),'Layer Comparison'!Limit_Past)))</f>
        <v/>
      </c>
      <c r="AK82" s="87" t="str">
        <f>IF(Dyn_Insured="","",IF(ISNUMBER(AG82)=FALSE,"n/a",MIN(MAX(AG82-'Layer Comparison'!Excess_Latest,0),'Layer Comparison'!Limit_Latest)))</f>
        <v/>
      </c>
      <c r="AL82" s="87" t="str">
        <f t="shared" si="70"/>
        <v/>
      </c>
      <c r="AM82" s="88" t="str">
        <f t="shared" si="71"/>
        <v/>
      </c>
      <c r="AN82" s="87" t="s">
        <v>50</v>
      </c>
      <c r="AO82" s="87" t="s">
        <v>50</v>
      </c>
      <c r="AP82" s="87" t="str">
        <f t="shared" si="72"/>
        <v/>
      </c>
      <c r="AQ82" s="88" t="str">
        <f t="shared" si="73"/>
        <v/>
      </c>
      <c r="AR82" s="87" t="str">
        <f>IF(Dyn_Insured="","",IF(ISNUMBER(AN82)=FALSE,"n/a",MIN(MAX(AN82-'Layer Comparison'!Excess_Past,0),'Layer Comparison'!Limit_Past)))</f>
        <v/>
      </c>
      <c r="AS82" s="87" t="str">
        <f>IF(Dyn_Insured="","",IF(ISNUMBER(AO82)=FALSE,"n/a",MIN(MAX(AO82-'Layer Comparison'!Excess_Latest,0),'Layer Comparison'!Limit_Latest)))</f>
        <v/>
      </c>
      <c r="AT82" s="87" t="str">
        <f t="shared" si="74"/>
        <v/>
      </c>
      <c r="AU82" s="88" t="str">
        <f t="shared" si="75"/>
        <v/>
      </c>
      <c r="AV82" s="87" t="s">
        <v>50</v>
      </c>
      <c r="AW82" s="87" t="s">
        <v>50</v>
      </c>
      <c r="AX82" s="87" t="str">
        <f t="shared" si="76"/>
        <v/>
      </c>
      <c r="AY82" s="88" t="str">
        <f t="shared" si="77"/>
        <v/>
      </c>
      <c r="AZ82" s="87" t="str">
        <f>IF(Dyn_Insured="","",IF(ISNUMBER(AV82)=FALSE,"n/a",MIN(MAX(AV82-'Layer Comparison'!Excess_Past,0),'Layer Comparison'!Limit_Past)))</f>
        <v/>
      </c>
      <c r="BA82" s="87" t="str">
        <f>IF(Dyn_Insured="","",IF(ISNUMBER(AW82)=FALSE,"n/a",MIN(MAX(AW82-'Layer Comparison'!Excess_Latest,0),'Layer Comparison'!Limit_Latest)))</f>
        <v/>
      </c>
      <c r="BB82" s="87" t="str">
        <f t="shared" si="78"/>
        <v/>
      </c>
      <c r="BC82" s="88" t="str">
        <f t="shared" si="79"/>
        <v/>
      </c>
      <c r="BD82" s="87" t="s">
        <v>50</v>
      </c>
      <c r="BE82" s="87" t="s">
        <v>50</v>
      </c>
      <c r="BF82" s="87" t="str">
        <f t="shared" si="80"/>
        <v/>
      </c>
      <c r="BG82" s="88" t="str">
        <f t="shared" si="81"/>
        <v/>
      </c>
      <c r="BH82" s="87" t="str">
        <f>IF(Dyn_Insured="","",IF(ISNUMBER(BD82)=FALSE,"n/a",MIN(MAX(BD82-'Layer Comparison'!Excess_Past,0),'Layer Comparison'!Limit_Past)))</f>
        <v/>
      </c>
      <c r="BI82" s="87" t="str">
        <f>IF(Dyn_Insured="","",IF(ISNUMBER(BE82)=FALSE,"n/a",MIN(MAX(BE82-'Layer Comparison'!Excess_Latest,0),'Layer Comparison'!Limit_Latest)))</f>
        <v/>
      </c>
      <c r="BJ82" s="87" t="str">
        <f t="shared" si="82"/>
        <v/>
      </c>
      <c r="BK82" s="88" t="str">
        <f t="shared" si="83"/>
        <v/>
      </c>
      <c r="BL82" s="87" t="s">
        <v>50</v>
      </c>
      <c r="BM82" s="87" t="s">
        <v>50</v>
      </c>
      <c r="BN82" s="87" t="str">
        <f t="shared" si="84"/>
        <v/>
      </c>
      <c r="BO82" s="88" t="str">
        <f t="shared" si="85"/>
        <v/>
      </c>
      <c r="BP82" s="87" t="str">
        <f>IF(Dyn_Insured="","",IF(ISNUMBER(BL82)=FALSE,"n/a",MIN(MAX(BL82-'Layer Comparison'!Excess_Past,0),'Layer Comparison'!Limit_Past)))</f>
        <v/>
      </c>
      <c r="BQ82" s="87" t="str">
        <f>IF(Dyn_Insured="","",IF(ISNUMBER(BM82)=FALSE,"n/a",MIN(MAX(BM82-'Layer Comparison'!Excess_Latest,0),'Layer Comparison'!Limit_Latest)))</f>
        <v/>
      </c>
      <c r="BR82" s="87" t="str">
        <f t="shared" si="86"/>
        <v/>
      </c>
      <c r="BS82" s="88" t="str">
        <f t="shared" si="87"/>
        <v/>
      </c>
      <c r="BT82" s="46" t="s">
        <v>13</v>
      </c>
    </row>
    <row r="83" spans="1:72" hidden="1" outlineLevel="1" x14ac:dyDescent="0.25">
      <c r="A83" s="89" t="s">
        <v>54</v>
      </c>
      <c r="B83" s="89">
        <f t="shared" si="54"/>
        <v>0</v>
      </c>
      <c r="C83" s="89">
        <f t="shared" si="55"/>
        <v>0</v>
      </c>
      <c r="D83" s="90">
        <f t="shared" si="53"/>
        <v>0</v>
      </c>
      <c r="E83" s="90">
        <f t="shared" si="53"/>
        <v>0</v>
      </c>
      <c r="F83" s="48" t="s">
        <v>50</v>
      </c>
      <c r="G83" s="38" t="s">
        <v>50</v>
      </c>
      <c r="H83" s="87" t="s">
        <v>50</v>
      </c>
      <c r="I83" s="87" t="s">
        <v>50</v>
      </c>
      <c r="J83" s="87" t="str">
        <f t="shared" si="56"/>
        <v/>
      </c>
      <c r="K83" s="88" t="str">
        <f t="shared" si="57"/>
        <v/>
      </c>
      <c r="L83" s="87" t="str">
        <f>IF(Dyn_Insured="","",IF(ISNUMBER(H83)=FALSE,"n/a",MIN(MAX(H83-'Layer Comparison'!Excess_Past,0),'Layer Comparison'!Limit_Past)))</f>
        <v/>
      </c>
      <c r="M83" s="87" t="str">
        <f>IF(Dyn_Insured="","",IF(ISNUMBER(I83)=FALSE,"n/a",MIN(MAX(I83-'Layer Comparison'!Excess_Latest,0),'Layer Comparison'!Limit_Latest)))</f>
        <v/>
      </c>
      <c r="N83" s="87" t="str">
        <f t="shared" si="58"/>
        <v/>
      </c>
      <c r="O83" s="88" t="str">
        <f t="shared" si="59"/>
        <v/>
      </c>
      <c r="P83" s="87" t="s">
        <v>50</v>
      </c>
      <c r="Q83" s="87" t="s">
        <v>50</v>
      </c>
      <c r="R83" s="87" t="str">
        <f t="shared" si="60"/>
        <v/>
      </c>
      <c r="S83" s="88" t="str">
        <f t="shared" si="61"/>
        <v/>
      </c>
      <c r="T83" s="87" t="str">
        <f>IF(Dyn_Insured="","",IF(ISNUMBER(P83)=FALSE,"n/a",MIN(MAX(P83-'Layer Comparison'!Excess_Past,0),'Layer Comparison'!Limit_Past)))</f>
        <v/>
      </c>
      <c r="U83" s="87" t="str">
        <f>IF(Dyn_Insured="","",IF(ISNUMBER(Q83)=FALSE,"n/a",MIN(MAX(Q83-'Layer Comparison'!Excess_Latest,0),'Layer Comparison'!Limit_Latest)))</f>
        <v/>
      </c>
      <c r="V83" s="87" t="str">
        <f t="shared" si="62"/>
        <v/>
      </c>
      <c r="W83" s="88" t="str">
        <f t="shared" si="63"/>
        <v/>
      </c>
      <c r="X83" s="87" t="s">
        <v>50</v>
      </c>
      <c r="Y83" s="87" t="s">
        <v>50</v>
      </c>
      <c r="Z83" s="87" t="str">
        <f t="shared" si="64"/>
        <v/>
      </c>
      <c r="AA83" s="88" t="str">
        <f t="shared" si="65"/>
        <v/>
      </c>
      <c r="AB83" s="87" t="str">
        <f>IF(Dyn_Insured="","",IF(ISNUMBER(X83)=FALSE,"n/a",MIN(MAX(X83-'Layer Comparison'!Excess_Past,0),'Layer Comparison'!Limit_Past)))</f>
        <v/>
      </c>
      <c r="AC83" s="87" t="str">
        <f>IF(Dyn_Insured="","",IF(ISNUMBER(Y83)=FALSE,"n/a",MIN(MAX(Y83-'Layer Comparison'!Excess_Latest,0),'Layer Comparison'!Limit_Latest)))</f>
        <v/>
      </c>
      <c r="AD83" s="87" t="str">
        <f t="shared" si="66"/>
        <v/>
      </c>
      <c r="AE83" s="88" t="str">
        <f t="shared" si="67"/>
        <v/>
      </c>
      <c r="AF83" s="87" t="s">
        <v>50</v>
      </c>
      <c r="AG83" s="87" t="s">
        <v>50</v>
      </c>
      <c r="AH83" s="87" t="str">
        <f t="shared" si="68"/>
        <v/>
      </c>
      <c r="AI83" s="88" t="str">
        <f t="shared" si="69"/>
        <v/>
      </c>
      <c r="AJ83" s="87" t="str">
        <f>IF(Dyn_Insured="","",IF(ISNUMBER(AF83)=FALSE,"n/a",MIN(MAX(AF83-'Layer Comparison'!Excess_Past,0),'Layer Comparison'!Limit_Past)))</f>
        <v/>
      </c>
      <c r="AK83" s="87" t="str">
        <f>IF(Dyn_Insured="","",IF(ISNUMBER(AG83)=FALSE,"n/a",MIN(MAX(AG83-'Layer Comparison'!Excess_Latest,0),'Layer Comparison'!Limit_Latest)))</f>
        <v/>
      </c>
      <c r="AL83" s="87" t="str">
        <f t="shared" si="70"/>
        <v/>
      </c>
      <c r="AM83" s="88" t="str">
        <f t="shared" si="71"/>
        <v/>
      </c>
      <c r="AN83" s="87" t="s">
        <v>50</v>
      </c>
      <c r="AO83" s="87" t="s">
        <v>50</v>
      </c>
      <c r="AP83" s="87" t="str">
        <f t="shared" si="72"/>
        <v/>
      </c>
      <c r="AQ83" s="88" t="str">
        <f t="shared" si="73"/>
        <v/>
      </c>
      <c r="AR83" s="87" t="str">
        <f>IF(Dyn_Insured="","",IF(ISNUMBER(AN83)=FALSE,"n/a",MIN(MAX(AN83-'Layer Comparison'!Excess_Past,0),'Layer Comparison'!Limit_Past)))</f>
        <v/>
      </c>
      <c r="AS83" s="87" t="str">
        <f>IF(Dyn_Insured="","",IF(ISNUMBER(AO83)=FALSE,"n/a",MIN(MAX(AO83-'Layer Comparison'!Excess_Latest,0),'Layer Comparison'!Limit_Latest)))</f>
        <v/>
      </c>
      <c r="AT83" s="87" t="str">
        <f t="shared" si="74"/>
        <v/>
      </c>
      <c r="AU83" s="88" t="str">
        <f t="shared" si="75"/>
        <v/>
      </c>
      <c r="AV83" s="87" t="s">
        <v>50</v>
      </c>
      <c r="AW83" s="87" t="s">
        <v>50</v>
      </c>
      <c r="AX83" s="87" t="str">
        <f t="shared" si="76"/>
        <v/>
      </c>
      <c r="AY83" s="88" t="str">
        <f t="shared" si="77"/>
        <v/>
      </c>
      <c r="AZ83" s="87" t="str">
        <f>IF(Dyn_Insured="","",IF(ISNUMBER(AV83)=FALSE,"n/a",MIN(MAX(AV83-'Layer Comparison'!Excess_Past,0),'Layer Comparison'!Limit_Past)))</f>
        <v/>
      </c>
      <c r="BA83" s="87" t="str">
        <f>IF(Dyn_Insured="","",IF(ISNUMBER(AW83)=FALSE,"n/a",MIN(MAX(AW83-'Layer Comparison'!Excess_Latest,0),'Layer Comparison'!Limit_Latest)))</f>
        <v/>
      </c>
      <c r="BB83" s="87" t="str">
        <f t="shared" si="78"/>
        <v/>
      </c>
      <c r="BC83" s="88" t="str">
        <f t="shared" si="79"/>
        <v/>
      </c>
      <c r="BD83" s="87" t="s">
        <v>50</v>
      </c>
      <c r="BE83" s="87" t="s">
        <v>50</v>
      </c>
      <c r="BF83" s="87" t="str">
        <f t="shared" si="80"/>
        <v/>
      </c>
      <c r="BG83" s="88" t="str">
        <f t="shared" si="81"/>
        <v/>
      </c>
      <c r="BH83" s="87" t="str">
        <f>IF(Dyn_Insured="","",IF(ISNUMBER(BD83)=FALSE,"n/a",MIN(MAX(BD83-'Layer Comparison'!Excess_Past,0),'Layer Comparison'!Limit_Past)))</f>
        <v/>
      </c>
      <c r="BI83" s="87" t="str">
        <f>IF(Dyn_Insured="","",IF(ISNUMBER(BE83)=FALSE,"n/a",MIN(MAX(BE83-'Layer Comparison'!Excess_Latest,0),'Layer Comparison'!Limit_Latest)))</f>
        <v/>
      </c>
      <c r="BJ83" s="87" t="str">
        <f t="shared" si="82"/>
        <v/>
      </c>
      <c r="BK83" s="88" t="str">
        <f t="shared" si="83"/>
        <v/>
      </c>
      <c r="BL83" s="87" t="s">
        <v>50</v>
      </c>
      <c r="BM83" s="87" t="s">
        <v>50</v>
      </c>
      <c r="BN83" s="87" t="str">
        <f t="shared" si="84"/>
        <v/>
      </c>
      <c r="BO83" s="88" t="str">
        <f t="shared" si="85"/>
        <v/>
      </c>
      <c r="BP83" s="87" t="str">
        <f>IF(Dyn_Insured="","",IF(ISNUMBER(BL83)=FALSE,"n/a",MIN(MAX(BL83-'Layer Comparison'!Excess_Past,0),'Layer Comparison'!Limit_Past)))</f>
        <v/>
      </c>
      <c r="BQ83" s="87" t="str">
        <f>IF(Dyn_Insured="","",IF(ISNUMBER(BM83)=FALSE,"n/a",MIN(MAX(BM83-'Layer Comparison'!Excess_Latest,0),'Layer Comparison'!Limit_Latest)))</f>
        <v/>
      </c>
      <c r="BR83" s="87" t="str">
        <f t="shared" si="86"/>
        <v/>
      </c>
      <c r="BS83" s="88" t="str">
        <f t="shared" si="87"/>
        <v/>
      </c>
      <c r="BT83" s="46" t="s">
        <v>13</v>
      </c>
    </row>
    <row r="84" spans="1:72" hidden="1" outlineLevel="1" x14ac:dyDescent="0.25">
      <c r="A84" s="89" t="s">
        <v>54</v>
      </c>
      <c r="B84" s="89">
        <f t="shared" si="54"/>
        <v>0</v>
      </c>
      <c r="C84" s="89">
        <f t="shared" si="55"/>
        <v>0</v>
      </c>
      <c r="D84" s="90">
        <f t="shared" si="53"/>
        <v>0</v>
      </c>
      <c r="E84" s="90">
        <f t="shared" si="53"/>
        <v>0</v>
      </c>
      <c r="F84" s="48" t="s">
        <v>50</v>
      </c>
      <c r="G84" s="38" t="s">
        <v>50</v>
      </c>
      <c r="H84" s="87" t="s">
        <v>50</v>
      </c>
      <c r="I84" s="87" t="s">
        <v>50</v>
      </c>
      <c r="J84" s="87" t="str">
        <f t="shared" si="56"/>
        <v/>
      </c>
      <c r="K84" s="88" t="str">
        <f t="shared" si="57"/>
        <v/>
      </c>
      <c r="L84" s="87" t="str">
        <f>IF(Dyn_Insured="","",IF(ISNUMBER(H84)=FALSE,"n/a",MIN(MAX(H84-'Layer Comparison'!Excess_Past,0),'Layer Comparison'!Limit_Past)))</f>
        <v/>
      </c>
      <c r="M84" s="87" t="str">
        <f>IF(Dyn_Insured="","",IF(ISNUMBER(I84)=FALSE,"n/a",MIN(MAX(I84-'Layer Comparison'!Excess_Latest,0),'Layer Comparison'!Limit_Latest)))</f>
        <v/>
      </c>
      <c r="N84" s="87" t="str">
        <f t="shared" si="58"/>
        <v/>
      </c>
      <c r="O84" s="88" t="str">
        <f t="shared" si="59"/>
        <v/>
      </c>
      <c r="P84" s="87" t="s">
        <v>50</v>
      </c>
      <c r="Q84" s="87" t="s">
        <v>50</v>
      </c>
      <c r="R84" s="87" t="str">
        <f t="shared" si="60"/>
        <v/>
      </c>
      <c r="S84" s="88" t="str">
        <f t="shared" si="61"/>
        <v/>
      </c>
      <c r="T84" s="87" t="str">
        <f>IF(Dyn_Insured="","",IF(ISNUMBER(P84)=FALSE,"n/a",MIN(MAX(P84-'Layer Comparison'!Excess_Past,0),'Layer Comparison'!Limit_Past)))</f>
        <v/>
      </c>
      <c r="U84" s="87" t="str">
        <f>IF(Dyn_Insured="","",IF(ISNUMBER(Q84)=FALSE,"n/a",MIN(MAX(Q84-'Layer Comparison'!Excess_Latest,0),'Layer Comparison'!Limit_Latest)))</f>
        <v/>
      </c>
      <c r="V84" s="87" t="str">
        <f t="shared" si="62"/>
        <v/>
      </c>
      <c r="W84" s="88" t="str">
        <f t="shared" si="63"/>
        <v/>
      </c>
      <c r="X84" s="87" t="s">
        <v>50</v>
      </c>
      <c r="Y84" s="87" t="s">
        <v>50</v>
      </c>
      <c r="Z84" s="87" t="str">
        <f t="shared" si="64"/>
        <v/>
      </c>
      <c r="AA84" s="88" t="str">
        <f t="shared" si="65"/>
        <v/>
      </c>
      <c r="AB84" s="87" t="str">
        <f>IF(Dyn_Insured="","",IF(ISNUMBER(X84)=FALSE,"n/a",MIN(MAX(X84-'Layer Comparison'!Excess_Past,0),'Layer Comparison'!Limit_Past)))</f>
        <v/>
      </c>
      <c r="AC84" s="87" t="str">
        <f>IF(Dyn_Insured="","",IF(ISNUMBER(Y84)=FALSE,"n/a",MIN(MAX(Y84-'Layer Comparison'!Excess_Latest,0),'Layer Comparison'!Limit_Latest)))</f>
        <v/>
      </c>
      <c r="AD84" s="87" t="str">
        <f t="shared" si="66"/>
        <v/>
      </c>
      <c r="AE84" s="88" t="str">
        <f t="shared" si="67"/>
        <v/>
      </c>
      <c r="AF84" s="87" t="s">
        <v>50</v>
      </c>
      <c r="AG84" s="87" t="s">
        <v>50</v>
      </c>
      <c r="AH84" s="87" t="str">
        <f t="shared" si="68"/>
        <v/>
      </c>
      <c r="AI84" s="88" t="str">
        <f t="shared" si="69"/>
        <v/>
      </c>
      <c r="AJ84" s="87" t="str">
        <f>IF(Dyn_Insured="","",IF(ISNUMBER(AF84)=FALSE,"n/a",MIN(MAX(AF84-'Layer Comparison'!Excess_Past,0),'Layer Comparison'!Limit_Past)))</f>
        <v/>
      </c>
      <c r="AK84" s="87" t="str">
        <f>IF(Dyn_Insured="","",IF(ISNUMBER(AG84)=FALSE,"n/a",MIN(MAX(AG84-'Layer Comparison'!Excess_Latest,0),'Layer Comparison'!Limit_Latest)))</f>
        <v/>
      </c>
      <c r="AL84" s="87" t="str">
        <f t="shared" si="70"/>
        <v/>
      </c>
      <c r="AM84" s="88" t="str">
        <f t="shared" si="71"/>
        <v/>
      </c>
      <c r="AN84" s="87" t="s">
        <v>50</v>
      </c>
      <c r="AO84" s="87" t="s">
        <v>50</v>
      </c>
      <c r="AP84" s="87" t="str">
        <f t="shared" si="72"/>
        <v/>
      </c>
      <c r="AQ84" s="88" t="str">
        <f t="shared" si="73"/>
        <v/>
      </c>
      <c r="AR84" s="87" t="str">
        <f>IF(Dyn_Insured="","",IF(ISNUMBER(AN84)=FALSE,"n/a",MIN(MAX(AN84-'Layer Comparison'!Excess_Past,0),'Layer Comparison'!Limit_Past)))</f>
        <v/>
      </c>
      <c r="AS84" s="87" t="str">
        <f>IF(Dyn_Insured="","",IF(ISNUMBER(AO84)=FALSE,"n/a",MIN(MAX(AO84-'Layer Comparison'!Excess_Latest,0),'Layer Comparison'!Limit_Latest)))</f>
        <v/>
      </c>
      <c r="AT84" s="87" t="str">
        <f t="shared" si="74"/>
        <v/>
      </c>
      <c r="AU84" s="88" t="str">
        <f t="shared" si="75"/>
        <v/>
      </c>
      <c r="AV84" s="87" t="s">
        <v>50</v>
      </c>
      <c r="AW84" s="87" t="s">
        <v>50</v>
      </c>
      <c r="AX84" s="87" t="str">
        <f t="shared" si="76"/>
        <v/>
      </c>
      <c r="AY84" s="88" t="str">
        <f t="shared" si="77"/>
        <v/>
      </c>
      <c r="AZ84" s="87" t="str">
        <f>IF(Dyn_Insured="","",IF(ISNUMBER(AV84)=FALSE,"n/a",MIN(MAX(AV84-'Layer Comparison'!Excess_Past,0),'Layer Comparison'!Limit_Past)))</f>
        <v/>
      </c>
      <c r="BA84" s="87" t="str">
        <f>IF(Dyn_Insured="","",IF(ISNUMBER(AW84)=FALSE,"n/a",MIN(MAX(AW84-'Layer Comparison'!Excess_Latest,0),'Layer Comparison'!Limit_Latest)))</f>
        <v/>
      </c>
      <c r="BB84" s="87" t="str">
        <f t="shared" si="78"/>
        <v/>
      </c>
      <c r="BC84" s="88" t="str">
        <f t="shared" si="79"/>
        <v/>
      </c>
      <c r="BD84" s="87" t="s">
        <v>50</v>
      </c>
      <c r="BE84" s="87" t="s">
        <v>50</v>
      </c>
      <c r="BF84" s="87" t="str">
        <f t="shared" si="80"/>
        <v/>
      </c>
      <c r="BG84" s="88" t="str">
        <f t="shared" si="81"/>
        <v/>
      </c>
      <c r="BH84" s="87" t="str">
        <f>IF(Dyn_Insured="","",IF(ISNUMBER(BD84)=FALSE,"n/a",MIN(MAX(BD84-'Layer Comparison'!Excess_Past,0),'Layer Comparison'!Limit_Past)))</f>
        <v/>
      </c>
      <c r="BI84" s="87" t="str">
        <f>IF(Dyn_Insured="","",IF(ISNUMBER(BE84)=FALSE,"n/a",MIN(MAX(BE84-'Layer Comparison'!Excess_Latest,0),'Layer Comparison'!Limit_Latest)))</f>
        <v/>
      </c>
      <c r="BJ84" s="87" t="str">
        <f t="shared" si="82"/>
        <v/>
      </c>
      <c r="BK84" s="88" t="str">
        <f t="shared" si="83"/>
        <v/>
      </c>
      <c r="BL84" s="87" t="s">
        <v>50</v>
      </c>
      <c r="BM84" s="87" t="s">
        <v>50</v>
      </c>
      <c r="BN84" s="87" t="str">
        <f t="shared" si="84"/>
        <v/>
      </c>
      <c r="BO84" s="88" t="str">
        <f t="shared" si="85"/>
        <v/>
      </c>
      <c r="BP84" s="87" t="str">
        <f>IF(Dyn_Insured="","",IF(ISNUMBER(BL84)=FALSE,"n/a",MIN(MAX(BL84-'Layer Comparison'!Excess_Past,0),'Layer Comparison'!Limit_Past)))</f>
        <v/>
      </c>
      <c r="BQ84" s="87" t="str">
        <f>IF(Dyn_Insured="","",IF(ISNUMBER(BM84)=FALSE,"n/a",MIN(MAX(BM84-'Layer Comparison'!Excess_Latest,0),'Layer Comparison'!Limit_Latest)))</f>
        <v/>
      </c>
      <c r="BR84" s="87" t="str">
        <f t="shared" si="86"/>
        <v/>
      </c>
      <c r="BS84" s="88" t="str">
        <f t="shared" si="87"/>
        <v/>
      </c>
      <c r="BT84" s="46" t="s">
        <v>13</v>
      </c>
    </row>
    <row r="85" spans="1:72" hidden="1" outlineLevel="1" x14ac:dyDescent="0.25">
      <c r="A85" s="89" t="s">
        <v>54</v>
      </c>
      <c r="B85" s="89">
        <f t="shared" si="54"/>
        <v>0</v>
      </c>
      <c r="C85" s="89">
        <f t="shared" si="55"/>
        <v>0</v>
      </c>
      <c r="D85" s="90">
        <f t="shared" si="53"/>
        <v>0</v>
      </c>
      <c r="E85" s="90">
        <f t="shared" si="53"/>
        <v>0</v>
      </c>
      <c r="F85" s="48" t="s">
        <v>50</v>
      </c>
      <c r="G85" s="38" t="s">
        <v>50</v>
      </c>
      <c r="H85" s="87" t="s">
        <v>50</v>
      </c>
      <c r="I85" s="87" t="s">
        <v>50</v>
      </c>
      <c r="J85" s="87" t="str">
        <f t="shared" si="56"/>
        <v/>
      </c>
      <c r="K85" s="88" t="str">
        <f t="shared" si="57"/>
        <v/>
      </c>
      <c r="L85" s="87" t="str">
        <f>IF(Dyn_Insured="","",IF(ISNUMBER(H85)=FALSE,"n/a",MIN(MAX(H85-'Layer Comparison'!Excess_Past,0),'Layer Comparison'!Limit_Past)))</f>
        <v/>
      </c>
      <c r="M85" s="87" t="str">
        <f>IF(Dyn_Insured="","",IF(ISNUMBER(I85)=FALSE,"n/a",MIN(MAX(I85-'Layer Comparison'!Excess_Latest,0),'Layer Comparison'!Limit_Latest)))</f>
        <v/>
      </c>
      <c r="N85" s="87" t="str">
        <f t="shared" si="58"/>
        <v/>
      </c>
      <c r="O85" s="88" t="str">
        <f t="shared" si="59"/>
        <v/>
      </c>
      <c r="P85" s="87" t="s">
        <v>50</v>
      </c>
      <c r="Q85" s="87" t="s">
        <v>50</v>
      </c>
      <c r="R85" s="87" t="str">
        <f t="shared" si="60"/>
        <v/>
      </c>
      <c r="S85" s="88" t="str">
        <f t="shared" si="61"/>
        <v/>
      </c>
      <c r="T85" s="87" t="str">
        <f>IF(Dyn_Insured="","",IF(ISNUMBER(P85)=FALSE,"n/a",MIN(MAX(P85-'Layer Comparison'!Excess_Past,0),'Layer Comparison'!Limit_Past)))</f>
        <v/>
      </c>
      <c r="U85" s="87" t="str">
        <f>IF(Dyn_Insured="","",IF(ISNUMBER(Q85)=FALSE,"n/a",MIN(MAX(Q85-'Layer Comparison'!Excess_Latest,0),'Layer Comparison'!Limit_Latest)))</f>
        <v/>
      </c>
      <c r="V85" s="87" t="str">
        <f t="shared" si="62"/>
        <v/>
      </c>
      <c r="W85" s="88" t="str">
        <f t="shared" si="63"/>
        <v/>
      </c>
      <c r="X85" s="87" t="s">
        <v>50</v>
      </c>
      <c r="Y85" s="87" t="s">
        <v>50</v>
      </c>
      <c r="Z85" s="87" t="str">
        <f t="shared" si="64"/>
        <v/>
      </c>
      <c r="AA85" s="88" t="str">
        <f t="shared" si="65"/>
        <v/>
      </c>
      <c r="AB85" s="87" t="str">
        <f>IF(Dyn_Insured="","",IF(ISNUMBER(X85)=FALSE,"n/a",MIN(MAX(X85-'Layer Comparison'!Excess_Past,0),'Layer Comparison'!Limit_Past)))</f>
        <v/>
      </c>
      <c r="AC85" s="87" t="str">
        <f>IF(Dyn_Insured="","",IF(ISNUMBER(Y85)=FALSE,"n/a",MIN(MAX(Y85-'Layer Comparison'!Excess_Latest,0),'Layer Comparison'!Limit_Latest)))</f>
        <v/>
      </c>
      <c r="AD85" s="87" t="str">
        <f t="shared" si="66"/>
        <v/>
      </c>
      <c r="AE85" s="88" t="str">
        <f t="shared" si="67"/>
        <v/>
      </c>
      <c r="AF85" s="87" t="s">
        <v>50</v>
      </c>
      <c r="AG85" s="87" t="s">
        <v>50</v>
      </c>
      <c r="AH85" s="87" t="str">
        <f t="shared" si="68"/>
        <v/>
      </c>
      <c r="AI85" s="88" t="str">
        <f t="shared" si="69"/>
        <v/>
      </c>
      <c r="AJ85" s="87" t="str">
        <f>IF(Dyn_Insured="","",IF(ISNUMBER(AF85)=FALSE,"n/a",MIN(MAX(AF85-'Layer Comparison'!Excess_Past,0),'Layer Comparison'!Limit_Past)))</f>
        <v/>
      </c>
      <c r="AK85" s="87" t="str">
        <f>IF(Dyn_Insured="","",IF(ISNUMBER(AG85)=FALSE,"n/a",MIN(MAX(AG85-'Layer Comparison'!Excess_Latest,0),'Layer Comparison'!Limit_Latest)))</f>
        <v/>
      </c>
      <c r="AL85" s="87" t="str">
        <f t="shared" si="70"/>
        <v/>
      </c>
      <c r="AM85" s="88" t="str">
        <f t="shared" si="71"/>
        <v/>
      </c>
      <c r="AN85" s="87" t="s">
        <v>50</v>
      </c>
      <c r="AO85" s="87" t="s">
        <v>50</v>
      </c>
      <c r="AP85" s="87" t="str">
        <f t="shared" si="72"/>
        <v/>
      </c>
      <c r="AQ85" s="88" t="str">
        <f t="shared" si="73"/>
        <v/>
      </c>
      <c r="AR85" s="87" t="str">
        <f>IF(Dyn_Insured="","",IF(ISNUMBER(AN85)=FALSE,"n/a",MIN(MAX(AN85-'Layer Comparison'!Excess_Past,0),'Layer Comparison'!Limit_Past)))</f>
        <v/>
      </c>
      <c r="AS85" s="87" t="str">
        <f>IF(Dyn_Insured="","",IF(ISNUMBER(AO85)=FALSE,"n/a",MIN(MAX(AO85-'Layer Comparison'!Excess_Latest,0),'Layer Comparison'!Limit_Latest)))</f>
        <v/>
      </c>
      <c r="AT85" s="87" t="str">
        <f t="shared" si="74"/>
        <v/>
      </c>
      <c r="AU85" s="88" t="str">
        <f t="shared" si="75"/>
        <v/>
      </c>
      <c r="AV85" s="87" t="s">
        <v>50</v>
      </c>
      <c r="AW85" s="87" t="s">
        <v>50</v>
      </c>
      <c r="AX85" s="87" t="str">
        <f t="shared" si="76"/>
        <v/>
      </c>
      <c r="AY85" s="88" t="str">
        <f t="shared" si="77"/>
        <v/>
      </c>
      <c r="AZ85" s="87" t="str">
        <f>IF(Dyn_Insured="","",IF(ISNUMBER(AV85)=FALSE,"n/a",MIN(MAX(AV85-'Layer Comparison'!Excess_Past,0),'Layer Comparison'!Limit_Past)))</f>
        <v/>
      </c>
      <c r="BA85" s="87" t="str">
        <f>IF(Dyn_Insured="","",IF(ISNUMBER(AW85)=FALSE,"n/a",MIN(MAX(AW85-'Layer Comparison'!Excess_Latest,0),'Layer Comparison'!Limit_Latest)))</f>
        <v/>
      </c>
      <c r="BB85" s="87" t="str">
        <f t="shared" si="78"/>
        <v/>
      </c>
      <c r="BC85" s="88" t="str">
        <f t="shared" si="79"/>
        <v/>
      </c>
      <c r="BD85" s="87" t="s">
        <v>50</v>
      </c>
      <c r="BE85" s="87" t="s">
        <v>50</v>
      </c>
      <c r="BF85" s="87" t="str">
        <f t="shared" si="80"/>
        <v/>
      </c>
      <c r="BG85" s="88" t="str">
        <f t="shared" si="81"/>
        <v/>
      </c>
      <c r="BH85" s="87" t="str">
        <f>IF(Dyn_Insured="","",IF(ISNUMBER(BD85)=FALSE,"n/a",MIN(MAX(BD85-'Layer Comparison'!Excess_Past,0),'Layer Comparison'!Limit_Past)))</f>
        <v/>
      </c>
      <c r="BI85" s="87" t="str">
        <f>IF(Dyn_Insured="","",IF(ISNUMBER(BE85)=FALSE,"n/a",MIN(MAX(BE85-'Layer Comparison'!Excess_Latest,0),'Layer Comparison'!Limit_Latest)))</f>
        <v/>
      </c>
      <c r="BJ85" s="87" t="str">
        <f t="shared" si="82"/>
        <v/>
      </c>
      <c r="BK85" s="88" t="str">
        <f t="shared" si="83"/>
        <v/>
      </c>
      <c r="BL85" s="87" t="s">
        <v>50</v>
      </c>
      <c r="BM85" s="87" t="s">
        <v>50</v>
      </c>
      <c r="BN85" s="87" t="str">
        <f t="shared" si="84"/>
        <v/>
      </c>
      <c r="BO85" s="88" t="str">
        <f t="shared" si="85"/>
        <v/>
      </c>
      <c r="BP85" s="87" t="str">
        <f>IF(Dyn_Insured="","",IF(ISNUMBER(BL85)=FALSE,"n/a",MIN(MAX(BL85-'Layer Comparison'!Excess_Past,0),'Layer Comparison'!Limit_Past)))</f>
        <v/>
      </c>
      <c r="BQ85" s="87" t="str">
        <f>IF(Dyn_Insured="","",IF(ISNUMBER(BM85)=FALSE,"n/a",MIN(MAX(BM85-'Layer Comparison'!Excess_Latest,0),'Layer Comparison'!Limit_Latest)))</f>
        <v/>
      </c>
      <c r="BR85" s="87" t="str">
        <f t="shared" si="86"/>
        <v/>
      </c>
      <c r="BS85" s="88" t="str">
        <f t="shared" si="87"/>
        <v/>
      </c>
      <c r="BT85" s="46" t="s">
        <v>13</v>
      </c>
    </row>
    <row r="86" spans="1:72" hidden="1" outlineLevel="1" x14ac:dyDescent="0.25">
      <c r="A86" s="89" t="s">
        <v>54</v>
      </c>
      <c r="B86" s="89">
        <f t="shared" si="54"/>
        <v>0</v>
      </c>
      <c r="C86" s="89">
        <f t="shared" si="55"/>
        <v>0</v>
      </c>
      <c r="D86" s="90">
        <f t="shared" si="53"/>
        <v>0</v>
      </c>
      <c r="E86" s="90">
        <f t="shared" si="53"/>
        <v>0</v>
      </c>
      <c r="F86" s="48" t="s">
        <v>50</v>
      </c>
      <c r="G86" s="38" t="s">
        <v>50</v>
      </c>
      <c r="H86" s="87" t="s">
        <v>50</v>
      </c>
      <c r="I86" s="87" t="s">
        <v>50</v>
      </c>
      <c r="J86" s="87" t="str">
        <f t="shared" si="56"/>
        <v/>
      </c>
      <c r="K86" s="88" t="str">
        <f t="shared" si="57"/>
        <v/>
      </c>
      <c r="L86" s="87" t="str">
        <f>IF(Dyn_Insured="","",IF(ISNUMBER(H86)=FALSE,"n/a",MIN(MAX(H86-'Layer Comparison'!Excess_Past,0),'Layer Comparison'!Limit_Past)))</f>
        <v/>
      </c>
      <c r="M86" s="87" t="str">
        <f>IF(Dyn_Insured="","",IF(ISNUMBER(I86)=FALSE,"n/a",MIN(MAX(I86-'Layer Comparison'!Excess_Latest,0),'Layer Comparison'!Limit_Latest)))</f>
        <v/>
      </c>
      <c r="N86" s="87" t="str">
        <f t="shared" si="58"/>
        <v/>
      </c>
      <c r="O86" s="88" t="str">
        <f t="shared" si="59"/>
        <v/>
      </c>
      <c r="P86" s="87" t="s">
        <v>50</v>
      </c>
      <c r="Q86" s="87" t="s">
        <v>50</v>
      </c>
      <c r="R86" s="87" t="str">
        <f t="shared" si="60"/>
        <v/>
      </c>
      <c r="S86" s="88" t="str">
        <f t="shared" si="61"/>
        <v/>
      </c>
      <c r="T86" s="87" t="str">
        <f>IF(Dyn_Insured="","",IF(ISNUMBER(P86)=FALSE,"n/a",MIN(MAX(P86-'Layer Comparison'!Excess_Past,0),'Layer Comparison'!Limit_Past)))</f>
        <v/>
      </c>
      <c r="U86" s="87" t="str">
        <f>IF(Dyn_Insured="","",IF(ISNUMBER(Q86)=FALSE,"n/a",MIN(MAX(Q86-'Layer Comparison'!Excess_Latest,0),'Layer Comparison'!Limit_Latest)))</f>
        <v/>
      </c>
      <c r="V86" s="87" t="str">
        <f t="shared" si="62"/>
        <v/>
      </c>
      <c r="W86" s="88" t="str">
        <f t="shared" si="63"/>
        <v/>
      </c>
      <c r="X86" s="87" t="s">
        <v>50</v>
      </c>
      <c r="Y86" s="87" t="s">
        <v>50</v>
      </c>
      <c r="Z86" s="87" t="str">
        <f t="shared" si="64"/>
        <v/>
      </c>
      <c r="AA86" s="88" t="str">
        <f t="shared" si="65"/>
        <v/>
      </c>
      <c r="AB86" s="87" t="str">
        <f>IF(Dyn_Insured="","",IF(ISNUMBER(X86)=FALSE,"n/a",MIN(MAX(X86-'Layer Comparison'!Excess_Past,0),'Layer Comparison'!Limit_Past)))</f>
        <v/>
      </c>
      <c r="AC86" s="87" t="str">
        <f>IF(Dyn_Insured="","",IF(ISNUMBER(Y86)=FALSE,"n/a",MIN(MAX(Y86-'Layer Comparison'!Excess_Latest,0),'Layer Comparison'!Limit_Latest)))</f>
        <v/>
      </c>
      <c r="AD86" s="87" t="str">
        <f t="shared" si="66"/>
        <v/>
      </c>
      <c r="AE86" s="88" t="str">
        <f t="shared" si="67"/>
        <v/>
      </c>
      <c r="AF86" s="87" t="s">
        <v>50</v>
      </c>
      <c r="AG86" s="87" t="s">
        <v>50</v>
      </c>
      <c r="AH86" s="87" t="str">
        <f t="shared" si="68"/>
        <v/>
      </c>
      <c r="AI86" s="88" t="str">
        <f t="shared" si="69"/>
        <v/>
      </c>
      <c r="AJ86" s="87" t="str">
        <f>IF(Dyn_Insured="","",IF(ISNUMBER(AF86)=FALSE,"n/a",MIN(MAX(AF86-'Layer Comparison'!Excess_Past,0),'Layer Comparison'!Limit_Past)))</f>
        <v/>
      </c>
      <c r="AK86" s="87" t="str">
        <f>IF(Dyn_Insured="","",IF(ISNUMBER(AG86)=FALSE,"n/a",MIN(MAX(AG86-'Layer Comparison'!Excess_Latest,0),'Layer Comparison'!Limit_Latest)))</f>
        <v/>
      </c>
      <c r="AL86" s="87" t="str">
        <f t="shared" si="70"/>
        <v/>
      </c>
      <c r="AM86" s="88" t="str">
        <f t="shared" si="71"/>
        <v/>
      </c>
      <c r="AN86" s="87" t="s">
        <v>50</v>
      </c>
      <c r="AO86" s="87" t="s">
        <v>50</v>
      </c>
      <c r="AP86" s="87" t="str">
        <f t="shared" si="72"/>
        <v/>
      </c>
      <c r="AQ86" s="88" t="str">
        <f t="shared" si="73"/>
        <v/>
      </c>
      <c r="AR86" s="87" t="str">
        <f>IF(Dyn_Insured="","",IF(ISNUMBER(AN86)=FALSE,"n/a",MIN(MAX(AN86-'Layer Comparison'!Excess_Past,0),'Layer Comparison'!Limit_Past)))</f>
        <v/>
      </c>
      <c r="AS86" s="87" t="str">
        <f>IF(Dyn_Insured="","",IF(ISNUMBER(AO86)=FALSE,"n/a",MIN(MAX(AO86-'Layer Comparison'!Excess_Latest,0),'Layer Comparison'!Limit_Latest)))</f>
        <v/>
      </c>
      <c r="AT86" s="87" t="str">
        <f t="shared" si="74"/>
        <v/>
      </c>
      <c r="AU86" s="88" t="str">
        <f t="shared" si="75"/>
        <v/>
      </c>
      <c r="AV86" s="87" t="s">
        <v>50</v>
      </c>
      <c r="AW86" s="87" t="s">
        <v>50</v>
      </c>
      <c r="AX86" s="87" t="str">
        <f t="shared" si="76"/>
        <v/>
      </c>
      <c r="AY86" s="88" t="str">
        <f t="shared" si="77"/>
        <v/>
      </c>
      <c r="AZ86" s="87" t="str">
        <f>IF(Dyn_Insured="","",IF(ISNUMBER(AV86)=FALSE,"n/a",MIN(MAX(AV86-'Layer Comparison'!Excess_Past,0),'Layer Comparison'!Limit_Past)))</f>
        <v/>
      </c>
      <c r="BA86" s="87" t="str">
        <f>IF(Dyn_Insured="","",IF(ISNUMBER(AW86)=FALSE,"n/a",MIN(MAX(AW86-'Layer Comparison'!Excess_Latest,0),'Layer Comparison'!Limit_Latest)))</f>
        <v/>
      </c>
      <c r="BB86" s="87" t="str">
        <f t="shared" si="78"/>
        <v/>
      </c>
      <c r="BC86" s="88" t="str">
        <f t="shared" si="79"/>
        <v/>
      </c>
      <c r="BD86" s="87" t="s">
        <v>50</v>
      </c>
      <c r="BE86" s="87" t="s">
        <v>50</v>
      </c>
      <c r="BF86" s="87" t="str">
        <f t="shared" si="80"/>
        <v/>
      </c>
      <c r="BG86" s="88" t="str">
        <f t="shared" si="81"/>
        <v/>
      </c>
      <c r="BH86" s="87" t="str">
        <f>IF(Dyn_Insured="","",IF(ISNUMBER(BD86)=FALSE,"n/a",MIN(MAX(BD86-'Layer Comparison'!Excess_Past,0),'Layer Comparison'!Limit_Past)))</f>
        <v/>
      </c>
      <c r="BI86" s="87" t="str">
        <f>IF(Dyn_Insured="","",IF(ISNUMBER(BE86)=FALSE,"n/a",MIN(MAX(BE86-'Layer Comparison'!Excess_Latest,0),'Layer Comparison'!Limit_Latest)))</f>
        <v/>
      </c>
      <c r="BJ86" s="87" t="str">
        <f t="shared" si="82"/>
        <v/>
      </c>
      <c r="BK86" s="88" t="str">
        <f t="shared" si="83"/>
        <v/>
      </c>
      <c r="BL86" s="87" t="s">
        <v>50</v>
      </c>
      <c r="BM86" s="87" t="s">
        <v>50</v>
      </c>
      <c r="BN86" s="87" t="str">
        <f t="shared" si="84"/>
        <v/>
      </c>
      <c r="BO86" s="88" t="str">
        <f t="shared" si="85"/>
        <v/>
      </c>
      <c r="BP86" s="87" t="str">
        <f>IF(Dyn_Insured="","",IF(ISNUMBER(BL86)=FALSE,"n/a",MIN(MAX(BL86-'Layer Comparison'!Excess_Past,0),'Layer Comparison'!Limit_Past)))</f>
        <v/>
      </c>
      <c r="BQ86" s="87" t="str">
        <f>IF(Dyn_Insured="","",IF(ISNUMBER(BM86)=FALSE,"n/a",MIN(MAX(BM86-'Layer Comparison'!Excess_Latest,0),'Layer Comparison'!Limit_Latest)))</f>
        <v/>
      </c>
      <c r="BR86" s="87" t="str">
        <f t="shared" si="86"/>
        <v/>
      </c>
      <c r="BS86" s="88" t="str">
        <f t="shared" si="87"/>
        <v/>
      </c>
      <c r="BT86" s="46" t="s">
        <v>13</v>
      </c>
    </row>
    <row r="87" spans="1:72" hidden="1" outlineLevel="1" x14ac:dyDescent="0.25">
      <c r="A87" s="89" t="s">
        <v>54</v>
      </c>
      <c r="B87" s="89">
        <f t="shared" si="54"/>
        <v>0</v>
      </c>
      <c r="C87" s="89">
        <f t="shared" si="55"/>
        <v>0</v>
      </c>
      <c r="D87" s="90">
        <f t="shared" si="53"/>
        <v>0</v>
      </c>
      <c r="E87" s="90">
        <f t="shared" si="53"/>
        <v>0</v>
      </c>
      <c r="F87" s="48" t="s">
        <v>50</v>
      </c>
      <c r="G87" s="38" t="s">
        <v>50</v>
      </c>
      <c r="H87" s="87" t="s">
        <v>50</v>
      </c>
      <c r="I87" s="87" t="s">
        <v>50</v>
      </c>
      <c r="J87" s="87" t="str">
        <f t="shared" si="56"/>
        <v/>
      </c>
      <c r="K87" s="88" t="str">
        <f t="shared" si="57"/>
        <v/>
      </c>
      <c r="L87" s="87" t="str">
        <f>IF(Dyn_Insured="","",IF(ISNUMBER(H87)=FALSE,"n/a",MIN(MAX(H87-'Layer Comparison'!Excess_Past,0),'Layer Comparison'!Limit_Past)))</f>
        <v/>
      </c>
      <c r="M87" s="87" t="str">
        <f>IF(Dyn_Insured="","",IF(ISNUMBER(I87)=FALSE,"n/a",MIN(MAX(I87-'Layer Comparison'!Excess_Latest,0),'Layer Comparison'!Limit_Latest)))</f>
        <v/>
      </c>
      <c r="N87" s="87" t="str">
        <f t="shared" si="58"/>
        <v/>
      </c>
      <c r="O87" s="88" t="str">
        <f t="shared" si="59"/>
        <v/>
      </c>
      <c r="P87" s="87" t="s">
        <v>50</v>
      </c>
      <c r="Q87" s="87" t="s">
        <v>50</v>
      </c>
      <c r="R87" s="87" t="str">
        <f t="shared" si="60"/>
        <v/>
      </c>
      <c r="S87" s="88" t="str">
        <f t="shared" si="61"/>
        <v/>
      </c>
      <c r="T87" s="87" t="str">
        <f>IF(Dyn_Insured="","",IF(ISNUMBER(P87)=FALSE,"n/a",MIN(MAX(P87-'Layer Comparison'!Excess_Past,0),'Layer Comparison'!Limit_Past)))</f>
        <v/>
      </c>
      <c r="U87" s="87" t="str">
        <f>IF(Dyn_Insured="","",IF(ISNUMBER(Q87)=FALSE,"n/a",MIN(MAX(Q87-'Layer Comparison'!Excess_Latest,0),'Layer Comparison'!Limit_Latest)))</f>
        <v/>
      </c>
      <c r="V87" s="87" t="str">
        <f t="shared" si="62"/>
        <v/>
      </c>
      <c r="W87" s="88" t="str">
        <f t="shared" si="63"/>
        <v/>
      </c>
      <c r="X87" s="87" t="s">
        <v>50</v>
      </c>
      <c r="Y87" s="87" t="s">
        <v>50</v>
      </c>
      <c r="Z87" s="87" t="str">
        <f t="shared" si="64"/>
        <v/>
      </c>
      <c r="AA87" s="88" t="str">
        <f t="shared" si="65"/>
        <v/>
      </c>
      <c r="AB87" s="87" t="str">
        <f>IF(Dyn_Insured="","",IF(ISNUMBER(X87)=FALSE,"n/a",MIN(MAX(X87-'Layer Comparison'!Excess_Past,0),'Layer Comparison'!Limit_Past)))</f>
        <v/>
      </c>
      <c r="AC87" s="87" t="str">
        <f>IF(Dyn_Insured="","",IF(ISNUMBER(Y87)=FALSE,"n/a",MIN(MAX(Y87-'Layer Comparison'!Excess_Latest,0),'Layer Comparison'!Limit_Latest)))</f>
        <v/>
      </c>
      <c r="AD87" s="87" t="str">
        <f t="shared" si="66"/>
        <v/>
      </c>
      <c r="AE87" s="88" t="str">
        <f t="shared" si="67"/>
        <v/>
      </c>
      <c r="AF87" s="87" t="s">
        <v>50</v>
      </c>
      <c r="AG87" s="87" t="s">
        <v>50</v>
      </c>
      <c r="AH87" s="87" t="str">
        <f t="shared" si="68"/>
        <v/>
      </c>
      <c r="AI87" s="88" t="str">
        <f t="shared" si="69"/>
        <v/>
      </c>
      <c r="AJ87" s="87" t="str">
        <f>IF(Dyn_Insured="","",IF(ISNUMBER(AF87)=FALSE,"n/a",MIN(MAX(AF87-'Layer Comparison'!Excess_Past,0),'Layer Comparison'!Limit_Past)))</f>
        <v/>
      </c>
      <c r="AK87" s="87" t="str">
        <f>IF(Dyn_Insured="","",IF(ISNUMBER(AG87)=FALSE,"n/a",MIN(MAX(AG87-'Layer Comparison'!Excess_Latest,0),'Layer Comparison'!Limit_Latest)))</f>
        <v/>
      </c>
      <c r="AL87" s="87" t="str">
        <f t="shared" si="70"/>
        <v/>
      </c>
      <c r="AM87" s="88" t="str">
        <f t="shared" si="71"/>
        <v/>
      </c>
      <c r="AN87" s="87" t="s">
        <v>50</v>
      </c>
      <c r="AO87" s="87" t="s">
        <v>50</v>
      </c>
      <c r="AP87" s="87" t="str">
        <f t="shared" si="72"/>
        <v/>
      </c>
      <c r="AQ87" s="88" t="str">
        <f t="shared" si="73"/>
        <v/>
      </c>
      <c r="AR87" s="87" t="str">
        <f>IF(Dyn_Insured="","",IF(ISNUMBER(AN87)=FALSE,"n/a",MIN(MAX(AN87-'Layer Comparison'!Excess_Past,0),'Layer Comparison'!Limit_Past)))</f>
        <v/>
      </c>
      <c r="AS87" s="87" t="str">
        <f>IF(Dyn_Insured="","",IF(ISNUMBER(AO87)=FALSE,"n/a",MIN(MAX(AO87-'Layer Comparison'!Excess_Latest,0),'Layer Comparison'!Limit_Latest)))</f>
        <v/>
      </c>
      <c r="AT87" s="87" t="str">
        <f t="shared" si="74"/>
        <v/>
      </c>
      <c r="AU87" s="88" t="str">
        <f t="shared" si="75"/>
        <v/>
      </c>
      <c r="AV87" s="87" t="s">
        <v>50</v>
      </c>
      <c r="AW87" s="87" t="s">
        <v>50</v>
      </c>
      <c r="AX87" s="87" t="str">
        <f t="shared" si="76"/>
        <v/>
      </c>
      <c r="AY87" s="88" t="str">
        <f t="shared" si="77"/>
        <v/>
      </c>
      <c r="AZ87" s="87" t="str">
        <f>IF(Dyn_Insured="","",IF(ISNUMBER(AV87)=FALSE,"n/a",MIN(MAX(AV87-'Layer Comparison'!Excess_Past,0),'Layer Comparison'!Limit_Past)))</f>
        <v/>
      </c>
      <c r="BA87" s="87" t="str">
        <f>IF(Dyn_Insured="","",IF(ISNUMBER(AW87)=FALSE,"n/a",MIN(MAX(AW87-'Layer Comparison'!Excess_Latest,0),'Layer Comparison'!Limit_Latest)))</f>
        <v/>
      </c>
      <c r="BB87" s="87" t="str">
        <f t="shared" si="78"/>
        <v/>
      </c>
      <c r="BC87" s="88" t="str">
        <f t="shared" si="79"/>
        <v/>
      </c>
      <c r="BD87" s="87" t="s">
        <v>50</v>
      </c>
      <c r="BE87" s="87" t="s">
        <v>50</v>
      </c>
      <c r="BF87" s="87" t="str">
        <f t="shared" si="80"/>
        <v/>
      </c>
      <c r="BG87" s="88" t="str">
        <f t="shared" si="81"/>
        <v/>
      </c>
      <c r="BH87" s="87" t="str">
        <f>IF(Dyn_Insured="","",IF(ISNUMBER(BD87)=FALSE,"n/a",MIN(MAX(BD87-'Layer Comparison'!Excess_Past,0),'Layer Comparison'!Limit_Past)))</f>
        <v/>
      </c>
      <c r="BI87" s="87" t="str">
        <f>IF(Dyn_Insured="","",IF(ISNUMBER(BE87)=FALSE,"n/a",MIN(MAX(BE87-'Layer Comparison'!Excess_Latest,0),'Layer Comparison'!Limit_Latest)))</f>
        <v/>
      </c>
      <c r="BJ87" s="87" t="str">
        <f t="shared" si="82"/>
        <v/>
      </c>
      <c r="BK87" s="88" t="str">
        <f t="shared" si="83"/>
        <v/>
      </c>
      <c r="BL87" s="87" t="s">
        <v>50</v>
      </c>
      <c r="BM87" s="87" t="s">
        <v>50</v>
      </c>
      <c r="BN87" s="87" t="str">
        <f t="shared" si="84"/>
        <v/>
      </c>
      <c r="BO87" s="88" t="str">
        <f t="shared" si="85"/>
        <v/>
      </c>
      <c r="BP87" s="87" t="str">
        <f>IF(Dyn_Insured="","",IF(ISNUMBER(BL87)=FALSE,"n/a",MIN(MAX(BL87-'Layer Comparison'!Excess_Past,0),'Layer Comparison'!Limit_Past)))</f>
        <v/>
      </c>
      <c r="BQ87" s="87" t="str">
        <f>IF(Dyn_Insured="","",IF(ISNUMBER(BM87)=FALSE,"n/a",MIN(MAX(BM87-'Layer Comparison'!Excess_Latest,0),'Layer Comparison'!Limit_Latest)))</f>
        <v/>
      </c>
      <c r="BR87" s="87" t="str">
        <f t="shared" si="86"/>
        <v/>
      </c>
      <c r="BS87" s="88" t="str">
        <f t="shared" si="87"/>
        <v/>
      </c>
      <c r="BT87" s="46" t="s">
        <v>13</v>
      </c>
    </row>
    <row r="88" spans="1:72" hidden="1" outlineLevel="1" x14ac:dyDescent="0.25">
      <c r="A88" s="89" t="s">
        <v>54</v>
      </c>
      <c r="B88" s="89">
        <f t="shared" si="54"/>
        <v>0</v>
      </c>
      <c r="C88" s="89">
        <f t="shared" si="55"/>
        <v>0</v>
      </c>
      <c r="D88" s="90">
        <f t="shared" si="53"/>
        <v>0</v>
      </c>
      <c r="E88" s="90">
        <f t="shared" si="53"/>
        <v>0</v>
      </c>
      <c r="F88" s="48" t="s">
        <v>50</v>
      </c>
      <c r="G88" s="38" t="s">
        <v>50</v>
      </c>
      <c r="H88" s="87" t="s">
        <v>50</v>
      </c>
      <c r="I88" s="87" t="s">
        <v>50</v>
      </c>
      <c r="J88" s="87" t="str">
        <f t="shared" si="56"/>
        <v/>
      </c>
      <c r="K88" s="88" t="str">
        <f t="shared" si="57"/>
        <v/>
      </c>
      <c r="L88" s="87" t="str">
        <f>IF(Dyn_Insured="","",IF(ISNUMBER(H88)=FALSE,"n/a",MIN(MAX(H88-'Layer Comparison'!Excess_Past,0),'Layer Comparison'!Limit_Past)))</f>
        <v/>
      </c>
      <c r="M88" s="87" t="str">
        <f>IF(Dyn_Insured="","",IF(ISNUMBER(I88)=FALSE,"n/a",MIN(MAX(I88-'Layer Comparison'!Excess_Latest,0),'Layer Comparison'!Limit_Latest)))</f>
        <v/>
      </c>
      <c r="N88" s="87" t="str">
        <f t="shared" si="58"/>
        <v/>
      </c>
      <c r="O88" s="88" t="str">
        <f t="shared" si="59"/>
        <v/>
      </c>
      <c r="P88" s="87" t="s">
        <v>50</v>
      </c>
      <c r="Q88" s="87" t="s">
        <v>50</v>
      </c>
      <c r="R88" s="87" t="str">
        <f t="shared" si="60"/>
        <v/>
      </c>
      <c r="S88" s="88" t="str">
        <f t="shared" si="61"/>
        <v/>
      </c>
      <c r="T88" s="87" t="str">
        <f>IF(Dyn_Insured="","",IF(ISNUMBER(P88)=FALSE,"n/a",MIN(MAX(P88-'Layer Comparison'!Excess_Past,0),'Layer Comparison'!Limit_Past)))</f>
        <v/>
      </c>
      <c r="U88" s="87" t="str">
        <f>IF(Dyn_Insured="","",IF(ISNUMBER(Q88)=FALSE,"n/a",MIN(MAX(Q88-'Layer Comparison'!Excess_Latest,0),'Layer Comparison'!Limit_Latest)))</f>
        <v/>
      </c>
      <c r="V88" s="87" t="str">
        <f t="shared" si="62"/>
        <v/>
      </c>
      <c r="W88" s="88" t="str">
        <f t="shared" si="63"/>
        <v/>
      </c>
      <c r="X88" s="87" t="s">
        <v>50</v>
      </c>
      <c r="Y88" s="87" t="s">
        <v>50</v>
      </c>
      <c r="Z88" s="87" t="str">
        <f t="shared" si="64"/>
        <v/>
      </c>
      <c r="AA88" s="88" t="str">
        <f t="shared" si="65"/>
        <v/>
      </c>
      <c r="AB88" s="87" t="str">
        <f>IF(Dyn_Insured="","",IF(ISNUMBER(X88)=FALSE,"n/a",MIN(MAX(X88-'Layer Comparison'!Excess_Past,0),'Layer Comparison'!Limit_Past)))</f>
        <v/>
      </c>
      <c r="AC88" s="87" t="str">
        <f>IF(Dyn_Insured="","",IF(ISNUMBER(Y88)=FALSE,"n/a",MIN(MAX(Y88-'Layer Comparison'!Excess_Latest,0),'Layer Comparison'!Limit_Latest)))</f>
        <v/>
      </c>
      <c r="AD88" s="87" t="str">
        <f t="shared" si="66"/>
        <v/>
      </c>
      <c r="AE88" s="88" t="str">
        <f t="shared" si="67"/>
        <v/>
      </c>
      <c r="AF88" s="87" t="s">
        <v>50</v>
      </c>
      <c r="AG88" s="87" t="s">
        <v>50</v>
      </c>
      <c r="AH88" s="87" t="str">
        <f t="shared" si="68"/>
        <v/>
      </c>
      <c r="AI88" s="88" t="str">
        <f t="shared" si="69"/>
        <v/>
      </c>
      <c r="AJ88" s="87" t="str">
        <f>IF(Dyn_Insured="","",IF(ISNUMBER(AF88)=FALSE,"n/a",MIN(MAX(AF88-'Layer Comparison'!Excess_Past,0),'Layer Comparison'!Limit_Past)))</f>
        <v/>
      </c>
      <c r="AK88" s="87" t="str">
        <f>IF(Dyn_Insured="","",IF(ISNUMBER(AG88)=FALSE,"n/a",MIN(MAX(AG88-'Layer Comparison'!Excess_Latest,0),'Layer Comparison'!Limit_Latest)))</f>
        <v/>
      </c>
      <c r="AL88" s="87" t="str">
        <f t="shared" si="70"/>
        <v/>
      </c>
      <c r="AM88" s="88" t="str">
        <f t="shared" si="71"/>
        <v/>
      </c>
      <c r="AN88" s="87" t="s">
        <v>50</v>
      </c>
      <c r="AO88" s="87" t="s">
        <v>50</v>
      </c>
      <c r="AP88" s="87" t="str">
        <f t="shared" si="72"/>
        <v/>
      </c>
      <c r="AQ88" s="88" t="str">
        <f t="shared" si="73"/>
        <v/>
      </c>
      <c r="AR88" s="87" t="str">
        <f>IF(Dyn_Insured="","",IF(ISNUMBER(AN88)=FALSE,"n/a",MIN(MAX(AN88-'Layer Comparison'!Excess_Past,0),'Layer Comparison'!Limit_Past)))</f>
        <v/>
      </c>
      <c r="AS88" s="87" t="str">
        <f>IF(Dyn_Insured="","",IF(ISNUMBER(AO88)=FALSE,"n/a",MIN(MAX(AO88-'Layer Comparison'!Excess_Latest,0),'Layer Comparison'!Limit_Latest)))</f>
        <v/>
      </c>
      <c r="AT88" s="87" t="str">
        <f t="shared" si="74"/>
        <v/>
      </c>
      <c r="AU88" s="88" t="str">
        <f t="shared" si="75"/>
        <v/>
      </c>
      <c r="AV88" s="87" t="s">
        <v>50</v>
      </c>
      <c r="AW88" s="87" t="s">
        <v>50</v>
      </c>
      <c r="AX88" s="87" t="str">
        <f t="shared" si="76"/>
        <v/>
      </c>
      <c r="AY88" s="88" t="str">
        <f t="shared" si="77"/>
        <v/>
      </c>
      <c r="AZ88" s="87" t="str">
        <f>IF(Dyn_Insured="","",IF(ISNUMBER(AV88)=FALSE,"n/a",MIN(MAX(AV88-'Layer Comparison'!Excess_Past,0),'Layer Comparison'!Limit_Past)))</f>
        <v/>
      </c>
      <c r="BA88" s="87" t="str">
        <f>IF(Dyn_Insured="","",IF(ISNUMBER(AW88)=FALSE,"n/a",MIN(MAX(AW88-'Layer Comparison'!Excess_Latest,0),'Layer Comparison'!Limit_Latest)))</f>
        <v/>
      </c>
      <c r="BB88" s="87" t="str">
        <f t="shared" si="78"/>
        <v/>
      </c>
      <c r="BC88" s="88" t="str">
        <f t="shared" si="79"/>
        <v/>
      </c>
      <c r="BD88" s="87" t="s">
        <v>50</v>
      </c>
      <c r="BE88" s="87" t="s">
        <v>50</v>
      </c>
      <c r="BF88" s="87" t="str">
        <f t="shared" si="80"/>
        <v/>
      </c>
      <c r="BG88" s="88" t="str">
        <f t="shared" si="81"/>
        <v/>
      </c>
      <c r="BH88" s="87" t="str">
        <f>IF(Dyn_Insured="","",IF(ISNUMBER(BD88)=FALSE,"n/a",MIN(MAX(BD88-'Layer Comparison'!Excess_Past,0),'Layer Comparison'!Limit_Past)))</f>
        <v/>
      </c>
      <c r="BI88" s="87" t="str">
        <f>IF(Dyn_Insured="","",IF(ISNUMBER(BE88)=FALSE,"n/a",MIN(MAX(BE88-'Layer Comparison'!Excess_Latest,0),'Layer Comparison'!Limit_Latest)))</f>
        <v/>
      </c>
      <c r="BJ88" s="87" t="str">
        <f t="shared" si="82"/>
        <v/>
      </c>
      <c r="BK88" s="88" t="str">
        <f t="shared" si="83"/>
        <v/>
      </c>
      <c r="BL88" s="87" t="s">
        <v>50</v>
      </c>
      <c r="BM88" s="87" t="s">
        <v>50</v>
      </c>
      <c r="BN88" s="87" t="str">
        <f t="shared" si="84"/>
        <v/>
      </c>
      <c r="BO88" s="88" t="str">
        <f t="shared" si="85"/>
        <v/>
      </c>
      <c r="BP88" s="87" t="str">
        <f>IF(Dyn_Insured="","",IF(ISNUMBER(BL88)=FALSE,"n/a",MIN(MAX(BL88-'Layer Comparison'!Excess_Past,0),'Layer Comparison'!Limit_Past)))</f>
        <v/>
      </c>
      <c r="BQ88" s="87" t="str">
        <f>IF(Dyn_Insured="","",IF(ISNUMBER(BM88)=FALSE,"n/a",MIN(MAX(BM88-'Layer Comparison'!Excess_Latest,0),'Layer Comparison'!Limit_Latest)))</f>
        <v/>
      </c>
      <c r="BR88" s="87" t="str">
        <f t="shared" si="86"/>
        <v/>
      </c>
      <c r="BS88" s="88" t="str">
        <f t="shared" si="87"/>
        <v/>
      </c>
      <c r="BT88" s="46" t="s">
        <v>13</v>
      </c>
    </row>
    <row r="89" spans="1:72" hidden="1" outlineLevel="1" x14ac:dyDescent="0.25">
      <c r="A89" s="89" t="s">
        <v>54</v>
      </c>
      <c r="B89" s="89">
        <f t="shared" si="54"/>
        <v>0</v>
      </c>
      <c r="C89" s="89">
        <f t="shared" si="55"/>
        <v>0</v>
      </c>
      <c r="D89" s="90">
        <f t="shared" si="53"/>
        <v>0</v>
      </c>
      <c r="E89" s="90">
        <f t="shared" si="53"/>
        <v>0</v>
      </c>
      <c r="F89" s="48" t="s">
        <v>50</v>
      </c>
      <c r="G89" s="38" t="s">
        <v>50</v>
      </c>
      <c r="H89" s="87" t="s">
        <v>50</v>
      </c>
      <c r="I89" s="87" t="s">
        <v>50</v>
      </c>
      <c r="J89" s="87" t="str">
        <f t="shared" si="56"/>
        <v/>
      </c>
      <c r="K89" s="88" t="str">
        <f t="shared" si="57"/>
        <v/>
      </c>
      <c r="L89" s="87" t="str">
        <f>IF(Dyn_Insured="","",IF(ISNUMBER(H89)=FALSE,"n/a",MIN(MAX(H89-'Layer Comparison'!Excess_Past,0),'Layer Comparison'!Limit_Past)))</f>
        <v/>
      </c>
      <c r="M89" s="87" t="str">
        <f>IF(Dyn_Insured="","",IF(ISNUMBER(I89)=FALSE,"n/a",MIN(MAX(I89-'Layer Comparison'!Excess_Latest,0),'Layer Comparison'!Limit_Latest)))</f>
        <v/>
      </c>
      <c r="N89" s="87" t="str">
        <f t="shared" si="58"/>
        <v/>
      </c>
      <c r="O89" s="88" t="str">
        <f t="shared" si="59"/>
        <v/>
      </c>
      <c r="P89" s="87" t="s">
        <v>50</v>
      </c>
      <c r="Q89" s="87" t="s">
        <v>50</v>
      </c>
      <c r="R89" s="87" t="str">
        <f t="shared" si="60"/>
        <v/>
      </c>
      <c r="S89" s="88" t="str">
        <f t="shared" si="61"/>
        <v/>
      </c>
      <c r="T89" s="87" t="str">
        <f>IF(Dyn_Insured="","",IF(ISNUMBER(P89)=FALSE,"n/a",MIN(MAX(P89-'Layer Comparison'!Excess_Past,0),'Layer Comparison'!Limit_Past)))</f>
        <v/>
      </c>
      <c r="U89" s="87" t="str">
        <f>IF(Dyn_Insured="","",IF(ISNUMBER(Q89)=FALSE,"n/a",MIN(MAX(Q89-'Layer Comparison'!Excess_Latest,0),'Layer Comparison'!Limit_Latest)))</f>
        <v/>
      </c>
      <c r="V89" s="87" t="str">
        <f t="shared" si="62"/>
        <v/>
      </c>
      <c r="W89" s="88" t="str">
        <f t="shared" si="63"/>
        <v/>
      </c>
      <c r="X89" s="87" t="s">
        <v>50</v>
      </c>
      <c r="Y89" s="87" t="s">
        <v>50</v>
      </c>
      <c r="Z89" s="87" t="str">
        <f t="shared" si="64"/>
        <v/>
      </c>
      <c r="AA89" s="88" t="str">
        <f t="shared" si="65"/>
        <v/>
      </c>
      <c r="AB89" s="87" t="str">
        <f>IF(Dyn_Insured="","",IF(ISNUMBER(X89)=FALSE,"n/a",MIN(MAX(X89-'Layer Comparison'!Excess_Past,0),'Layer Comparison'!Limit_Past)))</f>
        <v/>
      </c>
      <c r="AC89" s="87" t="str">
        <f>IF(Dyn_Insured="","",IF(ISNUMBER(Y89)=FALSE,"n/a",MIN(MAX(Y89-'Layer Comparison'!Excess_Latest,0),'Layer Comparison'!Limit_Latest)))</f>
        <v/>
      </c>
      <c r="AD89" s="87" t="str">
        <f t="shared" si="66"/>
        <v/>
      </c>
      <c r="AE89" s="88" t="str">
        <f t="shared" si="67"/>
        <v/>
      </c>
      <c r="AF89" s="87" t="s">
        <v>50</v>
      </c>
      <c r="AG89" s="87" t="s">
        <v>50</v>
      </c>
      <c r="AH89" s="87" t="str">
        <f t="shared" si="68"/>
        <v/>
      </c>
      <c r="AI89" s="88" t="str">
        <f t="shared" si="69"/>
        <v/>
      </c>
      <c r="AJ89" s="87" t="str">
        <f>IF(Dyn_Insured="","",IF(ISNUMBER(AF89)=FALSE,"n/a",MIN(MAX(AF89-'Layer Comparison'!Excess_Past,0),'Layer Comparison'!Limit_Past)))</f>
        <v/>
      </c>
      <c r="AK89" s="87" t="str">
        <f>IF(Dyn_Insured="","",IF(ISNUMBER(AG89)=FALSE,"n/a",MIN(MAX(AG89-'Layer Comparison'!Excess_Latest,0),'Layer Comparison'!Limit_Latest)))</f>
        <v/>
      </c>
      <c r="AL89" s="87" t="str">
        <f t="shared" si="70"/>
        <v/>
      </c>
      <c r="AM89" s="88" t="str">
        <f t="shared" si="71"/>
        <v/>
      </c>
      <c r="AN89" s="87" t="s">
        <v>50</v>
      </c>
      <c r="AO89" s="87" t="s">
        <v>50</v>
      </c>
      <c r="AP89" s="87" t="str">
        <f t="shared" si="72"/>
        <v/>
      </c>
      <c r="AQ89" s="88" t="str">
        <f t="shared" si="73"/>
        <v/>
      </c>
      <c r="AR89" s="87" t="str">
        <f>IF(Dyn_Insured="","",IF(ISNUMBER(AN89)=FALSE,"n/a",MIN(MAX(AN89-'Layer Comparison'!Excess_Past,0),'Layer Comparison'!Limit_Past)))</f>
        <v/>
      </c>
      <c r="AS89" s="87" t="str">
        <f>IF(Dyn_Insured="","",IF(ISNUMBER(AO89)=FALSE,"n/a",MIN(MAX(AO89-'Layer Comparison'!Excess_Latest,0),'Layer Comparison'!Limit_Latest)))</f>
        <v/>
      </c>
      <c r="AT89" s="87" t="str">
        <f t="shared" si="74"/>
        <v/>
      </c>
      <c r="AU89" s="88" t="str">
        <f t="shared" si="75"/>
        <v/>
      </c>
      <c r="AV89" s="87" t="s">
        <v>50</v>
      </c>
      <c r="AW89" s="87" t="s">
        <v>50</v>
      </c>
      <c r="AX89" s="87" t="str">
        <f t="shared" si="76"/>
        <v/>
      </c>
      <c r="AY89" s="88" t="str">
        <f t="shared" si="77"/>
        <v/>
      </c>
      <c r="AZ89" s="87" t="str">
        <f>IF(Dyn_Insured="","",IF(ISNUMBER(AV89)=FALSE,"n/a",MIN(MAX(AV89-'Layer Comparison'!Excess_Past,0),'Layer Comparison'!Limit_Past)))</f>
        <v/>
      </c>
      <c r="BA89" s="87" t="str">
        <f>IF(Dyn_Insured="","",IF(ISNUMBER(AW89)=FALSE,"n/a",MIN(MAX(AW89-'Layer Comparison'!Excess_Latest,0),'Layer Comparison'!Limit_Latest)))</f>
        <v/>
      </c>
      <c r="BB89" s="87" t="str">
        <f t="shared" si="78"/>
        <v/>
      </c>
      <c r="BC89" s="88" t="str">
        <f t="shared" si="79"/>
        <v/>
      </c>
      <c r="BD89" s="87" t="s">
        <v>50</v>
      </c>
      <c r="BE89" s="87" t="s">
        <v>50</v>
      </c>
      <c r="BF89" s="87" t="str">
        <f t="shared" si="80"/>
        <v/>
      </c>
      <c r="BG89" s="88" t="str">
        <f t="shared" si="81"/>
        <v/>
      </c>
      <c r="BH89" s="87" t="str">
        <f>IF(Dyn_Insured="","",IF(ISNUMBER(BD89)=FALSE,"n/a",MIN(MAX(BD89-'Layer Comparison'!Excess_Past,0),'Layer Comparison'!Limit_Past)))</f>
        <v/>
      </c>
      <c r="BI89" s="87" t="str">
        <f>IF(Dyn_Insured="","",IF(ISNUMBER(BE89)=FALSE,"n/a",MIN(MAX(BE89-'Layer Comparison'!Excess_Latest,0),'Layer Comparison'!Limit_Latest)))</f>
        <v/>
      </c>
      <c r="BJ89" s="87" t="str">
        <f t="shared" si="82"/>
        <v/>
      </c>
      <c r="BK89" s="88" t="str">
        <f t="shared" si="83"/>
        <v/>
      </c>
      <c r="BL89" s="87" t="s">
        <v>50</v>
      </c>
      <c r="BM89" s="87" t="s">
        <v>50</v>
      </c>
      <c r="BN89" s="87" t="str">
        <f t="shared" si="84"/>
        <v/>
      </c>
      <c r="BO89" s="88" t="str">
        <f t="shared" si="85"/>
        <v/>
      </c>
      <c r="BP89" s="87" t="str">
        <f>IF(Dyn_Insured="","",IF(ISNUMBER(BL89)=FALSE,"n/a",MIN(MAX(BL89-'Layer Comparison'!Excess_Past,0),'Layer Comparison'!Limit_Past)))</f>
        <v/>
      </c>
      <c r="BQ89" s="87" t="str">
        <f>IF(Dyn_Insured="","",IF(ISNUMBER(BM89)=FALSE,"n/a",MIN(MAX(BM89-'Layer Comparison'!Excess_Latest,0),'Layer Comparison'!Limit_Latest)))</f>
        <v/>
      </c>
      <c r="BR89" s="87" t="str">
        <f t="shared" si="86"/>
        <v/>
      </c>
      <c r="BS89" s="88" t="str">
        <f t="shared" si="87"/>
        <v/>
      </c>
      <c r="BT89" s="46" t="s">
        <v>13</v>
      </c>
    </row>
    <row r="90" spans="1:72" hidden="1" outlineLevel="1" x14ac:dyDescent="0.25">
      <c r="A90" s="89" t="s">
        <v>54</v>
      </c>
      <c r="B90" s="89">
        <f t="shared" si="54"/>
        <v>0</v>
      </c>
      <c r="C90" s="89">
        <f t="shared" si="55"/>
        <v>0</v>
      </c>
      <c r="D90" s="90">
        <f t="shared" si="53"/>
        <v>0</v>
      </c>
      <c r="E90" s="90">
        <f t="shared" si="53"/>
        <v>0</v>
      </c>
      <c r="F90" s="48" t="s">
        <v>50</v>
      </c>
      <c r="G90" s="38" t="s">
        <v>50</v>
      </c>
      <c r="H90" s="87" t="s">
        <v>50</v>
      </c>
      <c r="I90" s="87" t="s">
        <v>50</v>
      </c>
      <c r="J90" s="87" t="str">
        <f t="shared" si="56"/>
        <v/>
      </c>
      <c r="K90" s="88" t="str">
        <f t="shared" si="57"/>
        <v/>
      </c>
      <c r="L90" s="87" t="str">
        <f>IF(Dyn_Insured="","",IF(ISNUMBER(H90)=FALSE,"n/a",MIN(MAX(H90-'Layer Comparison'!Excess_Past,0),'Layer Comparison'!Limit_Past)))</f>
        <v/>
      </c>
      <c r="M90" s="87" t="str">
        <f>IF(Dyn_Insured="","",IF(ISNUMBER(I90)=FALSE,"n/a",MIN(MAX(I90-'Layer Comparison'!Excess_Latest,0),'Layer Comparison'!Limit_Latest)))</f>
        <v/>
      </c>
      <c r="N90" s="87" t="str">
        <f t="shared" si="58"/>
        <v/>
      </c>
      <c r="O90" s="88" t="str">
        <f t="shared" si="59"/>
        <v/>
      </c>
      <c r="P90" s="87" t="s">
        <v>50</v>
      </c>
      <c r="Q90" s="87" t="s">
        <v>50</v>
      </c>
      <c r="R90" s="87" t="str">
        <f t="shared" si="60"/>
        <v/>
      </c>
      <c r="S90" s="88" t="str">
        <f t="shared" si="61"/>
        <v/>
      </c>
      <c r="T90" s="87" t="str">
        <f>IF(Dyn_Insured="","",IF(ISNUMBER(P90)=FALSE,"n/a",MIN(MAX(P90-'Layer Comparison'!Excess_Past,0),'Layer Comparison'!Limit_Past)))</f>
        <v/>
      </c>
      <c r="U90" s="87" t="str">
        <f>IF(Dyn_Insured="","",IF(ISNUMBER(Q90)=FALSE,"n/a",MIN(MAX(Q90-'Layer Comparison'!Excess_Latest,0),'Layer Comparison'!Limit_Latest)))</f>
        <v/>
      </c>
      <c r="V90" s="87" t="str">
        <f t="shared" si="62"/>
        <v/>
      </c>
      <c r="W90" s="88" t="str">
        <f t="shared" si="63"/>
        <v/>
      </c>
      <c r="X90" s="87" t="s">
        <v>50</v>
      </c>
      <c r="Y90" s="87" t="s">
        <v>50</v>
      </c>
      <c r="Z90" s="87" t="str">
        <f t="shared" si="64"/>
        <v/>
      </c>
      <c r="AA90" s="88" t="str">
        <f t="shared" si="65"/>
        <v/>
      </c>
      <c r="AB90" s="87" t="str">
        <f>IF(Dyn_Insured="","",IF(ISNUMBER(X90)=FALSE,"n/a",MIN(MAX(X90-'Layer Comparison'!Excess_Past,0),'Layer Comparison'!Limit_Past)))</f>
        <v/>
      </c>
      <c r="AC90" s="87" t="str">
        <f>IF(Dyn_Insured="","",IF(ISNUMBER(Y90)=FALSE,"n/a",MIN(MAX(Y90-'Layer Comparison'!Excess_Latest,0),'Layer Comparison'!Limit_Latest)))</f>
        <v/>
      </c>
      <c r="AD90" s="87" t="str">
        <f t="shared" si="66"/>
        <v/>
      </c>
      <c r="AE90" s="88" t="str">
        <f t="shared" si="67"/>
        <v/>
      </c>
      <c r="AF90" s="87" t="s">
        <v>50</v>
      </c>
      <c r="AG90" s="87" t="s">
        <v>50</v>
      </c>
      <c r="AH90" s="87" t="str">
        <f t="shared" si="68"/>
        <v/>
      </c>
      <c r="AI90" s="88" t="str">
        <f t="shared" si="69"/>
        <v/>
      </c>
      <c r="AJ90" s="87" t="str">
        <f>IF(Dyn_Insured="","",IF(ISNUMBER(AF90)=FALSE,"n/a",MIN(MAX(AF90-'Layer Comparison'!Excess_Past,0),'Layer Comparison'!Limit_Past)))</f>
        <v/>
      </c>
      <c r="AK90" s="87" t="str">
        <f>IF(Dyn_Insured="","",IF(ISNUMBER(AG90)=FALSE,"n/a",MIN(MAX(AG90-'Layer Comparison'!Excess_Latest,0),'Layer Comparison'!Limit_Latest)))</f>
        <v/>
      </c>
      <c r="AL90" s="87" t="str">
        <f t="shared" si="70"/>
        <v/>
      </c>
      <c r="AM90" s="88" t="str">
        <f t="shared" si="71"/>
        <v/>
      </c>
      <c r="AN90" s="87" t="s">
        <v>50</v>
      </c>
      <c r="AO90" s="87" t="s">
        <v>50</v>
      </c>
      <c r="AP90" s="87" t="str">
        <f t="shared" si="72"/>
        <v/>
      </c>
      <c r="AQ90" s="88" t="str">
        <f t="shared" si="73"/>
        <v/>
      </c>
      <c r="AR90" s="87" t="str">
        <f>IF(Dyn_Insured="","",IF(ISNUMBER(AN90)=FALSE,"n/a",MIN(MAX(AN90-'Layer Comparison'!Excess_Past,0),'Layer Comparison'!Limit_Past)))</f>
        <v/>
      </c>
      <c r="AS90" s="87" t="str">
        <f>IF(Dyn_Insured="","",IF(ISNUMBER(AO90)=FALSE,"n/a",MIN(MAX(AO90-'Layer Comparison'!Excess_Latest,0),'Layer Comparison'!Limit_Latest)))</f>
        <v/>
      </c>
      <c r="AT90" s="87" t="str">
        <f t="shared" si="74"/>
        <v/>
      </c>
      <c r="AU90" s="88" t="str">
        <f t="shared" si="75"/>
        <v/>
      </c>
      <c r="AV90" s="87" t="s">
        <v>50</v>
      </c>
      <c r="AW90" s="87" t="s">
        <v>50</v>
      </c>
      <c r="AX90" s="87" t="str">
        <f t="shared" si="76"/>
        <v/>
      </c>
      <c r="AY90" s="88" t="str">
        <f t="shared" si="77"/>
        <v/>
      </c>
      <c r="AZ90" s="87" t="str">
        <f>IF(Dyn_Insured="","",IF(ISNUMBER(AV90)=FALSE,"n/a",MIN(MAX(AV90-'Layer Comparison'!Excess_Past,0),'Layer Comparison'!Limit_Past)))</f>
        <v/>
      </c>
      <c r="BA90" s="87" t="str">
        <f>IF(Dyn_Insured="","",IF(ISNUMBER(AW90)=FALSE,"n/a",MIN(MAX(AW90-'Layer Comparison'!Excess_Latest,0),'Layer Comparison'!Limit_Latest)))</f>
        <v/>
      </c>
      <c r="BB90" s="87" t="str">
        <f t="shared" si="78"/>
        <v/>
      </c>
      <c r="BC90" s="88" t="str">
        <f t="shared" si="79"/>
        <v/>
      </c>
      <c r="BD90" s="87" t="s">
        <v>50</v>
      </c>
      <c r="BE90" s="87" t="s">
        <v>50</v>
      </c>
      <c r="BF90" s="87" t="str">
        <f t="shared" si="80"/>
        <v/>
      </c>
      <c r="BG90" s="88" t="str">
        <f t="shared" si="81"/>
        <v/>
      </c>
      <c r="BH90" s="87" t="str">
        <f>IF(Dyn_Insured="","",IF(ISNUMBER(BD90)=FALSE,"n/a",MIN(MAX(BD90-'Layer Comparison'!Excess_Past,0),'Layer Comparison'!Limit_Past)))</f>
        <v/>
      </c>
      <c r="BI90" s="87" t="str">
        <f>IF(Dyn_Insured="","",IF(ISNUMBER(BE90)=FALSE,"n/a",MIN(MAX(BE90-'Layer Comparison'!Excess_Latest,0),'Layer Comparison'!Limit_Latest)))</f>
        <v/>
      </c>
      <c r="BJ90" s="87" t="str">
        <f t="shared" si="82"/>
        <v/>
      </c>
      <c r="BK90" s="88" t="str">
        <f t="shared" si="83"/>
        <v/>
      </c>
      <c r="BL90" s="87" t="s">
        <v>50</v>
      </c>
      <c r="BM90" s="87" t="s">
        <v>50</v>
      </c>
      <c r="BN90" s="87" t="str">
        <f t="shared" si="84"/>
        <v/>
      </c>
      <c r="BO90" s="88" t="str">
        <f t="shared" si="85"/>
        <v/>
      </c>
      <c r="BP90" s="87" t="str">
        <f>IF(Dyn_Insured="","",IF(ISNUMBER(BL90)=FALSE,"n/a",MIN(MAX(BL90-'Layer Comparison'!Excess_Past,0),'Layer Comparison'!Limit_Past)))</f>
        <v/>
      </c>
      <c r="BQ90" s="87" t="str">
        <f>IF(Dyn_Insured="","",IF(ISNUMBER(BM90)=FALSE,"n/a",MIN(MAX(BM90-'Layer Comparison'!Excess_Latest,0),'Layer Comparison'!Limit_Latest)))</f>
        <v/>
      </c>
      <c r="BR90" s="87" t="str">
        <f t="shared" si="86"/>
        <v/>
      </c>
      <c r="BS90" s="88" t="str">
        <f t="shared" si="87"/>
        <v/>
      </c>
      <c r="BT90" s="46" t="s">
        <v>13</v>
      </c>
    </row>
    <row r="91" spans="1:72" hidden="1" outlineLevel="1" x14ac:dyDescent="0.25">
      <c r="A91" s="89" t="s">
        <v>54</v>
      </c>
      <c r="B91" s="89">
        <f t="shared" si="54"/>
        <v>0</v>
      </c>
      <c r="C91" s="89">
        <f t="shared" si="55"/>
        <v>0</v>
      </c>
      <c r="D91" s="90">
        <f t="shared" si="53"/>
        <v>0</v>
      </c>
      <c r="E91" s="90">
        <f t="shared" si="53"/>
        <v>0</v>
      </c>
      <c r="F91" s="48" t="s">
        <v>50</v>
      </c>
      <c r="G91" s="38" t="s">
        <v>50</v>
      </c>
      <c r="H91" s="87" t="s">
        <v>50</v>
      </c>
      <c r="I91" s="87" t="s">
        <v>50</v>
      </c>
      <c r="J91" s="87" t="str">
        <f t="shared" si="56"/>
        <v/>
      </c>
      <c r="K91" s="88" t="str">
        <f t="shared" si="57"/>
        <v/>
      </c>
      <c r="L91" s="87" t="str">
        <f>IF(Dyn_Insured="","",IF(ISNUMBER(H91)=FALSE,"n/a",MIN(MAX(H91-'Layer Comparison'!Excess_Past,0),'Layer Comparison'!Limit_Past)))</f>
        <v/>
      </c>
      <c r="M91" s="87" t="str">
        <f>IF(Dyn_Insured="","",IF(ISNUMBER(I91)=FALSE,"n/a",MIN(MAX(I91-'Layer Comparison'!Excess_Latest,0),'Layer Comparison'!Limit_Latest)))</f>
        <v/>
      </c>
      <c r="N91" s="87" t="str">
        <f t="shared" si="58"/>
        <v/>
      </c>
      <c r="O91" s="88" t="str">
        <f t="shared" si="59"/>
        <v/>
      </c>
      <c r="P91" s="87" t="s">
        <v>50</v>
      </c>
      <c r="Q91" s="87" t="s">
        <v>50</v>
      </c>
      <c r="R91" s="87" t="str">
        <f t="shared" si="60"/>
        <v/>
      </c>
      <c r="S91" s="88" t="str">
        <f t="shared" si="61"/>
        <v/>
      </c>
      <c r="T91" s="87" t="str">
        <f>IF(Dyn_Insured="","",IF(ISNUMBER(P91)=FALSE,"n/a",MIN(MAX(P91-'Layer Comparison'!Excess_Past,0),'Layer Comparison'!Limit_Past)))</f>
        <v/>
      </c>
      <c r="U91" s="87" t="str">
        <f>IF(Dyn_Insured="","",IF(ISNUMBER(Q91)=FALSE,"n/a",MIN(MAX(Q91-'Layer Comparison'!Excess_Latest,0),'Layer Comparison'!Limit_Latest)))</f>
        <v/>
      </c>
      <c r="V91" s="87" t="str">
        <f t="shared" si="62"/>
        <v/>
      </c>
      <c r="W91" s="88" t="str">
        <f t="shared" si="63"/>
        <v/>
      </c>
      <c r="X91" s="87" t="s">
        <v>50</v>
      </c>
      <c r="Y91" s="87" t="s">
        <v>50</v>
      </c>
      <c r="Z91" s="87" t="str">
        <f t="shared" si="64"/>
        <v/>
      </c>
      <c r="AA91" s="88" t="str">
        <f t="shared" si="65"/>
        <v/>
      </c>
      <c r="AB91" s="87" t="str">
        <f>IF(Dyn_Insured="","",IF(ISNUMBER(X91)=FALSE,"n/a",MIN(MAX(X91-'Layer Comparison'!Excess_Past,0),'Layer Comparison'!Limit_Past)))</f>
        <v/>
      </c>
      <c r="AC91" s="87" t="str">
        <f>IF(Dyn_Insured="","",IF(ISNUMBER(Y91)=FALSE,"n/a",MIN(MAX(Y91-'Layer Comparison'!Excess_Latest,0),'Layer Comparison'!Limit_Latest)))</f>
        <v/>
      </c>
      <c r="AD91" s="87" t="str">
        <f t="shared" si="66"/>
        <v/>
      </c>
      <c r="AE91" s="88" t="str">
        <f t="shared" si="67"/>
        <v/>
      </c>
      <c r="AF91" s="87" t="s">
        <v>50</v>
      </c>
      <c r="AG91" s="87" t="s">
        <v>50</v>
      </c>
      <c r="AH91" s="87" t="str">
        <f t="shared" si="68"/>
        <v/>
      </c>
      <c r="AI91" s="88" t="str">
        <f t="shared" si="69"/>
        <v/>
      </c>
      <c r="AJ91" s="87" t="str">
        <f>IF(Dyn_Insured="","",IF(ISNUMBER(AF91)=FALSE,"n/a",MIN(MAX(AF91-'Layer Comparison'!Excess_Past,0),'Layer Comparison'!Limit_Past)))</f>
        <v/>
      </c>
      <c r="AK91" s="87" t="str">
        <f>IF(Dyn_Insured="","",IF(ISNUMBER(AG91)=FALSE,"n/a",MIN(MAX(AG91-'Layer Comparison'!Excess_Latest,0),'Layer Comparison'!Limit_Latest)))</f>
        <v/>
      </c>
      <c r="AL91" s="87" t="str">
        <f t="shared" si="70"/>
        <v/>
      </c>
      <c r="AM91" s="88" t="str">
        <f t="shared" si="71"/>
        <v/>
      </c>
      <c r="AN91" s="87" t="s">
        <v>50</v>
      </c>
      <c r="AO91" s="87" t="s">
        <v>50</v>
      </c>
      <c r="AP91" s="87" t="str">
        <f t="shared" si="72"/>
        <v/>
      </c>
      <c r="AQ91" s="88" t="str">
        <f t="shared" si="73"/>
        <v/>
      </c>
      <c r="AR91" s="87" t="str">
        <f>IF(Dyn_Insured="","",IF(ISNUMBER(AN91)=FALSE,"n/a",MIN(MAX(AN91-'Layer Comparison'!Excess_Past,0),'Layer Comparison'!Limit_Past)))</f>
        <v/>
      </c>
      <c r="AS91" s="87" t="str">
        <f>IF(Dyn_Insured="","",IF(ISNUMBER(AO91)=FALSE,"n/a",MIN(MAX(AO91-'Layer Comparison'!Excess_Latest,0),'Layer Comparison'!Limit_Latest)))</f>
        <v/>
      </c>
      <c r="AT91" s="87" t="str">
        <f t="shared" si="74"/>
        <v/>
      </c>
      <c r="AU91" s="88" t="str">
        <f t="shared" si="75"/>
        <v/>
      </c>
      <c r="AV91" s="87" t="s">
        <v>50</v>
      </c>
      <c r="AW91" s="87" t="s">
        <v>50</v>
      </c>
      <c r="AX91" s="87" t="str">
        <f t="shared" si="76"/>
        <v/>
      </c>
      <c r="AY91" s="88" t="str">
        <f t="shared" si="77"/>
        <v/>
      </c>
      <c r="AZ91" s="87" t="str">
        <f>IF(Dyn_Insured="","",IF(ISNUMBER(AV91)=FALSE,"n/a",MIN(MAX(AV91-'Layer Comparison'!Excess_Past,0),'Layer Comparison'!Limit_Past)))</f>
        <v/>
      </c>
      <c r="BA91" s="87" t="str">
        <f>IF(Dyn_Insured="","",IF(ISNUMBER(AW91)=FALSE,"n/a",MIN(MAX(AW91-'Layer Comparison'!Excess_Latest,0),'Layer Comparison'!Limit_Latest)))</f>
        <v/>
      </c>
      <c r="BB91" s="87" t="str">
        <f t="shared" si="78"/>
        <v/>
      </c>
      <c r="BC91" s="88" t="str">
        <f t="shared" si="79"/>
        <v/>
      </c>
      <c r="BD91" s="87" t="s">
        <v>50</v>
      </c>
      <c r="BE91" s="87" t="s">
        <v>50</v>
      </c>
      <c r="BF91" s="87" t="str">
        <f t="shared" si="80"/>
        <v/>
      </c>
      <c r="BG91" s="88" t="str">
        <f t="shared" si="81"/>
        <v/>
      </c>
      <c r="BH91" s="87" t="str">
        <f>IF(Dyn_Insured="","",IF(ISNUMBER(BD91)=FALSE,"n/a",MIN(MAX(BD91-'Layer Comparison'!Excess_Past,0),'Layer Comparison'!Limit_Past)))</f>
        <v/>
      </c>
      <c r="BI91" s="87" t="str">
        <f>IF(Dyn_Insured="","",IF(ISNUMBER(BE91)=FALSE,"n/a",MIN(MAX(BE91-'Layer Comparison'!Excess_Latest,0),'Layer Comparison'!Limit_Latest)))</f>
        <v/>
      </c>
      <c r="BJ91" s="87" t="str">
        <f t="shared" si="82"/>
        <v/>
      </c>
      <c r="BK91" s="88" t="str">
        <f t="shared" si="83"/>
        <v/>
      </c>
      <c r="BL91" s="87" t="s">
        <v>50</v>
      </c>
      <c r="BM91" s="87" t="s">
        <v>50</v>
      </c>
      <c r="BN91" s="87" t="str">
        <f t="shared" si="84"/>
        <v/>
      </c>
      <c r="BO91" s="88" t="str">
        <f t="shared" si="85"/>
        <v/>
      </c>
      <c r="BP91" s="87" t="str">
        <f>IF(Dyn_Insured="","",IF(ISNUMBER(BL91)=FALSE,"n/a",MIN(MAX(BL91-'Layer Comparison'!Excess_Past,0),'Layer Comparison'!Limit_Past)))</f>
        <v/>
      </c>
      <c r="BQ91" s="87" t="str">
        <f>IF(Dyn_Insured="","",IF(ISNUMBER(BM91)=FALSE,"n/a",MIN(MAX(BM91-'Layer Comparison'!Excess_Latest,0),'Layer Comparison'!Limit_Latest)))</f>
        <v/>
      </c>
      <c r="BR91" s="87" t="str">
        <f t="shared" si="86"/>
        <v/>
      </c>
      <c r="BS91" s="88" t="str">
        <f t="shared" si="87"/>
        <v/>
      </c>
      <c r="BT91" s="46" t="s">
        <v>13</v>
      </c>
    </row>
    <row r="92" spans="1:72" hidden="1" outlineLevel="1" x14ac:dyDescent="0.25">
      <c r="A92" s="89" t="s">
        <v>54</v>
      </c>
      <c r="B92" s="89">
        <f t="shared" si="54"/>
        <v>0</v>
      </c>
      <c r="C92" s="89">
        <f t="shared" si="55"/>
        <v>0</v>
      </c>
      <c r="D92" s="90">
        <f t="shared" si="53"/>
        <v>0</v>
      </c>
      <c r="E92" s="90">
        <f t="shared" si="53"/>
        <v>0</v>
      </c>
      <c r="F92" s="48" t="s">
        <v>50</v>
      </c>
      <c r="G92" s="38" t="s">
        <v>50</v>
      </c>
      <c r="H92" s="87" t="s">
        <v>50</v>
      </c>
      <c r="I92" s="87" t="s">
        <v>50</v>
      </c>
      <c r="J92" s="87" t="str">
        <f t="shared" si="56"/>
        <v/>
      </c>
      <c r="K92" s="88" t="str">
        <f t="shared" si="57"/>
        <v/>
      </c>
      <c r="L92" s="87" t="str">
        <f>IF(Dyn_Insured="","",IF(ISNUMBER(H92)=FALSE,"n/a",MIN(MAX(H92-'Layer Comparison'!Excess_Past,0),'Layer Comparison'!Limit_Past)))</f>
        <v/>
      </c>
      <c r="M92" s="87" t="str">
        <f>IF(Dyn_Insured="","",IF(ISNUMBER(I92)=FALSE,"n/a",MIN(MAX(I92-'Layer Comparison'!Excess_Latest,0),'Layer Comparison'!Limit_Latest)))</f>
        <v/>
      </c>
      <c r="N92" s="87" t="str">
        <f t="shared" si="58"/>
        <v/>
      </c>
      <c r="O92" s="88" t="str">
        <f t="shared" si="59"/>
        <v/>
      </c>
      <c r="P92" s="87" t="s">
        <v>50</v>
      </c>
      <c r="Q92" s="87" t="s">
        <v>50</v>
      </c>
      <c r="R92" s="87" t="str">
        <f t="shared" si="60"/>
        <v/>
      </c>
      <c r="S92" s="88" t="str">
        <f t="shared" si="61"/>
        <v/>
      </c>
      <c r="T92" s="87" t="str">
        <f>IF(Dyn_Insured="","",IF(ISNUMBER(P92)=FALSE,"n/a",MIN(MAX(P92-'Layer Comparison'!Excess_Past,0),'Layer Comparison'!Limit_Past)))</f>
        <v/>
      </c>
      <c r="U92" s="87" t="str">
        <f>IF(Dyn_Insured="","",IF(ISNUMBER(Q92)=FALSE,"n/a",MIN(MAX(Q92-'Layer Comparison'!Excess_Latest,0),'Layer Comparison'!Limit_Latest)))</f>
        <v/>
      </c>
      <c r="V92" s="87" t="str">
        <f t="shared" si="62"/>
        <v/>
      </c>
      <c r="W92" s="88" t="str">
        <f t="shared" si="63"/>
        <v/>
      </c>
      <c r="X92" s="87" t="s">
        <v>50</v>
      </c>
      <c r="Y92" s="87" t="s">
        <v>50</v>
      </c>
      <c r="Z92" s="87" t="str">
        <f t="shared" si="64"/>
        <v/>
      </c>
      <c r="AA92" s="88" t="str">
        <f t="shared" si="65"/>
        <v/>
      </c>
      <c r="AB92" s="87" t="str">
        <f>IF(Dyn_Insured="","",IF(ISNUMBER(X92)=FALSE,"n/a",MIN(MAX(X92-'Layer Comparison'!Excess_Past,0),'Layer Comparison'!Limit_Past)))</f>
        <v/>
      </c>
      <c r="AC92" s="87" t="str">
        <f>IF(Dyn_Insured="","",IF(ISNUMBER(Y92)=FALSE,"n/a",MIN(MAX(Y92-'Layer Comparison'!Excess_Latest,0),'Layer Comparison'!Limit_Latest)))</f>
        <v/>
      </c>
      <c r="AD92" s="87" t="str">
        <f t="shared" si="66"/>
        <v/>
      </c>
      <c r="AE92" s="88" t="str">
        <f t="shared" si="67"/>
        <v/>
      </c>
      <c r="AF92" s="87" t="s">
        <v>50</v>
      </c>
      <c r="AG92" s="87" t="s">
        <v>50</v>
      </c>
      <c r="AH92" s="87" t="str">
        <f t="shared" si="68"/>
        <v/>
      </c>
      <c r="AI92" s="88" t="str">
        <f t="shared" si="69"/>
        <v/>
      </c>
      <c r="AJ92" s="87" t="str">
        <f>IF(Dyn_Insured="","",IF(ISNUMBER(AF92)=FALSE,"n/a",MIN(MAX(AF92-'Layer Comparison'!Excess_Past,0),'Layer Comparison'!Limit_Past)))</f>
        <v/>
      </c>
      <c r="AK92" s="87" t="str">
        <f>IF(Dyn_Insured="","",IF(ISNUMBER(AG92)=FALSE,"n/a",MIN(MAX(AG92-'Layer Comparison'!Excess_Latest,0),'Layer Comparison'!Limit_Latest)))</f>
        <v/>
      </c>
      <c r="AL92" s="87" t="str">
        <f t="shared" si="70"/>
        <v/>
      </c>
      <c r="AM92" s="88" t="str">
        <f t="shared" si="71"/>
        <v/>
      </c>
      <c r="AN92" s="87" t="s">
        <v>50</v>
      </c>
      <c r="AO92" s="87" t="s">
        <v>50</v>
      </c>
      <c r="AP92" s="87" t="str">
        <f t="shared" si="72"/>
        <v/>
      </c>
      <c r="AQ92" s="88" t="str">
        <f t="shared" si="73"/>
        <v/>
      </c>
      <c r="AR92" s="87" t="str">
        <f>IF(Dyn_Insured="","",IF(ISNUMBER(AN92)=FALSE,"n/a",MIN(MAX(AN92-'Layer Comparison'!Excess_Past,0),'Layer Comparison'!Limit_Past)))</f>
        <v/>
      </c>
      <c r="AS92" s="87" t="str">
        <f>IF(Dyn_Insured="","",IF(ISNUMBER(AO92)=FALSE,"n/a",MIN(MAX(AO92-'Layer Comparison'!Excess_Latest,0),'Layer Comparison'!Limit_Latest)))</f>
        <v/>
      </c>
      <c r="AT92" s="87" t="str">
        <f t="shared" si="74"/>
        <v/>
      </c>
      <c r="AU92" s="88" t="str">
        <f t="shared" si="75"/>
        <v/>
      </c>
      <c r="AV92" s="87" t="s">
        <v>50</v>
      </c>
      <c r="AW92" s="87" t="s">
        <v>50</v>
      </c>
      <c r="AX92" s="87" t="str">
        <f t="shared" si="76"/>
        <v/>
      </c>
      <c r="AY92" s="88" t="str">
        <f t="shared" si="77"/>
        <v/>
      </c>
      <c r="AZ92" s="87" t="str">
        <f>IF(Dyn_Insured="","",IF(ISNUMBER(AV92)=FALSE,"n/a",MIN(MAX(AV92-'Layer Comparison'!Excess_Past,0),'Layer Comparison'!Limit_Past)))</f>
        <v/>
      </c>
      <c r="BA92" s="87" t="str">
        <f>IF(Dyn_Insured="","",IF(ISNUMBER(AW92)=FALSE,"n/a",MIN(MAX(AW92-'Layer Comparison'!Excess_Latest,0),'Layer Comparison'!Limit_Latest)))</f>
        <v/>
      </c>
      <c r="BB92" s="87" t="str">
        <f t="shared" si="78"/>
        <v/>
      </c>
      <c r="BC92" s="88" t="str">
        <f t="shared" si="79"/>
        <v/>
      </c>
      <c r="BD92" s="87" t="s">
        <v>50</v>
      </c>
      <c r="BE92" s="87" t="s">
        <v>50</v>
      </c>
      <c r="BF92" s="87" t="str">
        <f t="shared" si="80"/>
        <v/>
      </c>
      <c r="BG92" s="88" t="str">
        <f t="shared" si="81"/>
        <v/>
      </c>
      <c r="BH92" s="87" t="str">
        <f>IF(Dyn_Insured="","",IF(ISNUMBER(BD92)=FALSE,"n/a",MIN(MAX(BD92-'Layer Comparison'!Excess_Past,0),'Layer Comparison'!Limit_Past)))</f>
        <v/>
      </c>
      <c r="BI92" s="87" t="str">
        <f>IF(Dyn_Insured="","",IF(ISNUMBER(BE92)=FALSE,"n/a",MIN(MAX(BE92-'Layer Comparison'!Excess_Latest,0),'Layer Comparison'!Limit_Latest)))</f>
        <v/>
      </c>
      <c r="BJ92" s="87" t="str">
        <f t="shared" si="82"/>
        <v/>
      </c>
      <c r="BK92" s="88" t="str">
        <f t="shared" si="83"/>
        <v/>
      </c>
      <c r="BL92" s="87" t="s">
        <v>50</v>
      </c>
      <c r="BM92" s="87" t="s">
        <v>50</v>
      </c>
      <c r="BN92" s="87" t="str">
        <f t="shared" si="84"/>
        <v/>
      </c>
      <c r="BO92" s="88" t="str">
        <f t="shared" si="85"/>
        <v/>
      </c>
      <c r="BP92" s="87" t="str">
        <f>IF(Dyn_Insured="","",IF(ISNUMBER(BL92)=FALSE,"n/a",MIN(MAX(BL92-'Layer Comparison'!Excess_Past,0),'Layer Comparison'!Limit_Past)))</f>
        <v/>
      </c>
      <c r="BQ92" s="87" t="str">
        <f>IF(Dyn_Insured="","",IF(ISNUMBER(BM92)=FALSE,"n/a",MIN(MAX(BM92-'Layer Comparison'!Excess_Latest,0),'Layer Comparison'!Limit_Latest)))</f>
        <v/>
      </c>
      <c r="BR92" s="87" t="str">
        <f t="shared" si="86"/>
        <v/>
      </c>
      <c r="BS92" s="88" t="str">
        <f t="shared" si="87"/>
        <v/>
      </c>
      <c r="BT92" s="46" t="s">
        <v>13</v>
      </c>
    </row>
    <row r="93" spans="1:72" hidden="1" outlineLevel="1" x14ac:dyDescent="0.25">
      <c r="A93" s="89" t="s">
        <v>54</v>
      </c>
      <c r="B93" s="89">
        <f t="shared" si="54"/>
        <v>0</v>
      </c>
      <c r="C93" s="89">
        <f t="shared" si="55"/>
        <v>0</v>
      </c>
      <c r="D93" s="90">
        <f t="shared" si="53"/>
        <v>0</v>
      </c>
      <c r="E93" s="90">
        <f t="shared" si="53"/>
        <v>0</v>
      </c>
      <c r="F93" s="48" t="s">
        <v>50</v>
      </c>
      <c r="G93" s="38" t="s">
        <v>50</v>
      </c>
      <c r="H93" s="87" t="s">
        <v>50</v>
      </c>
      <c r="I93" s="87" t="s">
        <v>50</v>
      </c>
      <c r="J93" s="87" t="str">
        <f t="shared" si="56"/>
        <v/>
      </c>
      <c r="K93" s="88" t="str">
        <f t="shared" si="57"/>
        <v/>
      </c>
      <c r="L93" s="87" t="str">
        <f>IF(Dyn_Insured="","",IF(ISNUMBER(H93)=FALSE,"n/a",MIN(MAX(H93-'Layer Comparison'!Excess_Past,0),'Layer Comparison'!Limit_Past)))</f>
        <v/>
      </c>
      <c r="M93" s="87" t="str">
        <f>IF(Dyn_Insured="","",IF(ISNUMBER(I93)=FALSE,"n/a",MIN(MAX(I93-'Layer Comparison'!Excess_Latest,0),'Layer Comparison'!Limit_Latest)))</f>
        <v/>
      </c>
      <c r="N93" s="87" t="str">
        <f t="shared" si="58"/>
        <v/>
      </c>
      <c r="O93" s="88" t="str">
        <f t="shared" si="59"/>
        <v/>
      </c>
      <c r="P93" s="87" t="s">
        <v>50</v>
      </c>
      <c r="Q93" s="87" t="s">
        <v>50</v>
      </c>
      <c r="R93" s="87" t="str">
        <f t="shared" si="60"/>
        <v/>
      </c>
      <c r="S93" s="88" t="str">
        <f t="shared" si="61"/>
        <v/>
      </c>
      <c r="T93" s="87" t="str">
        <f>IF(Dyn_Insured="","",IF(ISNUMBER(P93)=FALSE,"n/a",MIN(MAX(P93-'Layer Comparison'!Excess_Past,0),'Layer Comparison'!Limit_Past)))</f>
        <v/>
      </c>
      <c r="U93" s="87" t="str">
        <f>IF(Dyn_Insured="","",IF(ISNUMBER(Q93)=FALSE,"n/a",MIN(MAX(Q93-'Layer Comparison'!Excess_Latest,0),'Layer Comparison'!Limit_Latest)))</f>
        <v/>
      </c>
      <c r="V93" s="87" t="str">
        <f t="shared" si="62"/>
        <v/>
      </c>
      <c r="W93" s="88" t="str">
        <f t="shared" si="63"/>
        <v/>
      </c>
      <c r="X93" s="87" t="s">
        <v>50</v>
      </c>
      <c r="Y93" s="87" t="s">
        <v>50</v>
      </c>
      <c r="Z93" s="87" t="str">
        <f t="shared" si="64"/>
        <v/>
      </c>
      <c r="AA93" s="88" t="str">
        <f t="shared" si="65"/>
        <v/>
      </c>
      <c r="AB93" s="87" t="str">
        <f>IF(Dyn_Insured="","",IF(ISNUMBER(X93)=FALSE,"n/a",MIN(MAX(X93-'Layer Comparison'!Excess_Past,0),'Layer Comparison'!Limit_Past)))</f>
        <v/>
      </c>
      <c r="AC93" s="87" t="str">
        <f>IF(Dyn_Insured="","",IF(ISNUMBER(Y93)=FALSE,"n/a",MIN(MAX(Y93-'Layer Comparison'!Excess_Latest,0),'Layer Comparison'!Limit_Latest)))</f>
        <v/>
      </c>
      <c r="AD93" s="87" t="str">
        <f t="shared" si="66"/>
        <v/>
      </c>
      <c r="AE93" s="88" t="str">
        <f t="shared" si="67"/>
        <v/>
      </c>
      <c r="AF93" s="87" t="s">
        <v>50</v>
      </c>
      <c r="AG93" s="87" t="s">
        <v>50</v>
      </c>
      <c r="AH93" s="87" t="str">
        <f t="shared" si="68"/>
        <v/>
      </c>
      <c r="AI93" s="88" t="str">
        <f t="shared" si="69"/>
        <v/>
      </c>
      <c r="AJ93" s="87" t="str">
        <f>IF(Dyn_Insured="","",IF(ISNUMBER(AF93)=FALSE,"n/a",MIN(MAX(AF93-'Layer Comparison'!Excess_Past,0),'Layer Comparison'!Limit_Past)))</f>
        <v/>
      </c>
      <c r="AK93" s="87" t="str">
        <f>IF(Dyn_Insured="","",IF(ISNUMBER(AG93)=FALSE,"n/a",MIN(MAX(AG93-'Layer Comparison'!Excess_Latest,0),'Layer Comparison'!Limit_Latest)))</f>
        <v/>
      </c>
      <c r="AL93" s="87" t="str">
        <f t="shared" si="70"/>
        <v/>
      </c>
      <c r="AM93" s="88" t="str">
        <f t="shared" si="71"/>
        <v/>
      </c>
      <c r="AN93" s="87" t="s">
        <v>50</v>
      </c>
      <c r="AO93" s="87" t="s">
        <v>50</v>
      </c>
      <c r="AP93" s="87" t="str">
        <f t="shared" si="72"/>
        <v/>
      </c>
      <c r="AQ93" s="88" t="str">
        <f t="shared" si="73"/>
        <v/>
      </c>
      <c r="AR93" s="87" t="str">
        <f>IF(Dyn_Insured="","",IF(ISNUMBER(AN93)=FALSE,"n/a",MIN(MAX(AN93-'Layer Comparison'!Excess_Past,0),'Layer Comparison'!Limit_Past)))</f>
        <v/>
      </c>
      <c r="AS93" s="87" t="str">
        <f>IF(Dyn_Insured="","",IF(ISNUMBER(AO93)=FALSE,"n/a",MIN(MAX(AO93-'Layer Comparison'!Excess_Latest,0),'Layer Comparison'!Limit_Latest)))</f>
        <v/>
      </c>
      <c r="AT93" s="87" t="str">
        <f t="shared" si="74"/>
        <v/>
      </c>
      <c r="AU93" s="88" t="str">
        <f t="shared" si="75"/>
        <v/>
      </c>
      <c r="AV93" s="87" t="s">
        <v>50</v>
      </c>
      <c r="AW93" s="87" t="s">
        <v>50</v>
      </c>
      <c r="AX93" s="87" t="str">
        <f t="shared" si="76"/>
        <v/>
      </c>
      <c r="AY93" s="88" t="str">
        <f t="shared" si="77"/>
        <v/>
      </c>
      <c r="AZ93" s="87" t="str">
        <f>IF(Dyn_Insured="","",IF(ISNUMBER(AV93)=FALSE,"n/a",MIN(MAX(AV93-'Layer Comparison'!Excess_Past,0),'Layer Comparison'!Limit_Past)))</f>
        <v/>
      </c>
      <c r="BA93" s="87" t="str">
        <f>IF(Dyn_Insured="","",IF(ISNUMBER(AW93)=FALSE,"n/a",MIN(MAX(AW93-'Layer Comparison'!Excess_Latest,0),'Layer Comparison'!Limit_Latest)))</f>
        <v/>
      </c>
      <c r="BB93" s="87" t="str">
        <f t="shared" si="78"/>
        <v/>
      </c>
      <c r="BC93" s="88" t="str">
        <f t="shared" si="79"/>
        <v/>
      </c>
      <c r="BD93" s="87" t="s">
        <v>50</v>
      </c>
      <c r="BE93" s="87" t="s">
        <v>50</v>
      </c>
      <c r="BF93" s="87" t="str">
        <f t="shared" si="80"/>
        <v/>
      </c>
      <c r="BG93" s="88" t="str">
        <f t="shared" si="81"/>
        <v/>
      </c>
      <c r="BH93" s="87" t="str">
        <f>IF(Dyn_Insured="","",IF(ISNUMBER(BD93)=FALSE,"n/a",MIN(MAX(BD93-'Layer Comparison'!Excess_Past,0),'Layer Comparison'!Limit_Past)))</f>
        <v/>
      </c>
      <c r="BI93" s="87" t="str">
        <f>IF(Dyn_Insured="","",IF(ISNUMBER(BE93)=FALSE,"n/a",MIN(MAX(BE93-'Layer Comparison'!Excess_Latest,0),'Layer Comparison'!Limit_Latest)))</f>
        <v/>
      </c>
      <c r="BJ93" s="87" t="str">
        <f t="shared" si="82"/>
        <v/>
      </c>
      <c r="BK93" s="88" t="str">
        <f t="shared" si="83"/>
        <v/>
      </c>
      <c r="BL93" s="87" t="s">
        <v>50</v>
      </c>
      <c r="BM93" s="87" t="s">
        <v>50</v>
      </c>
      <c r="BN93" s="87" t="str">
        <f t="shared" si="84"/>
        <v/>
      </c>
      <c r="BO93" s="88" t="str">
        <f t="shared" si="85"/>
        <v/>
      </c>
      <c r="BP93" s="87" t="str">
        <f>IF(Dyn_Insured="","",IF(ISNUMBER(BL93)=FALSE,"n/a",MIN(MAX(BL93-'Layer Comparison'!Excess_Past,0),'Layer Comparison'!Limit_Past)))</f>
        <v/>
      </c>
      <c r="BQ93" s="87" t="str">
        <f>IF(Dyn_Insured="","",IF(ISNUMBER(BM93)=FALSE,"n/a",MIN(MAX(BM93-'Layer Comparison'!Excess_Latest,0),'Layer Comparison'!Limit_Latest)))</f>
        <v/>
      </c>
      <c r="BR93" s="87" t="str">
        <f t="shared" si="86"/>
        <v/>
      </c>
      <c r="BS93" s="88" t="str">
        <f t="shared" si="87"/>
        <v/>
      </c>
      <c r="BT93" s="46" t="s">
        <v>13</v>
      </c>
    </row>
    <row r="94" spans="1:72" ht="13.8" collapsed="1" thickBot="1" x14ac:dyDescent="0.3">
      <c r="A94" s="91" t="s">
        <v>14</v>
      </c>
      <c r="B94" s="91"/>
      <c r="C94" s="91"/>
      <c r="D94" s="92"/>
      <c r="E94" s="92"/>
      <c r="F94" s="93"/>
      <c r="G94" s="94"/>
      <c r="H94" s="95"/>
      <c r="I94" s="95"/>
      <c r="J94" s="95"/>
      <c r="K94" s="96"/>
      <c r="L94" s="95"/>
      <c r="M94" s="95"/>
      <c r="N94" s="95"/>
      <c r="O94" s="96"/>
      <c r="P94" s="95"/>
      <c r="Q94" s="95"/>
      <c r="R94" s="95"/>
      <c r="S94" s="96"/>
      <c r="T94" s="95"/>
      <c r="U94" s="95"/>
      <c r="V94" s="95"/>
      <c r="W94" s="96"/>
      <c r="X94" s="95"/>
      <c r="Y94" s="95"/>
      <c r="Z94" s="95"/>
      <c r="AA94" s="96"/>
      <c r="AB94" s="95"/>
      <c r="AC94" s="95"/>
      <c r="AD94" s="95"/>
      <c r="AE94" s="96"/>
      <c r="AF94" s="95"/>
      <c r="AG94" s="95"/>
      <c r="AH94" s="95"/>
      <c r="AI94" s="96"/>
      <c r="AJ94" s="95"/>
      <c r="AK94" s="95"/>
      <c r="AL94" s="95"/>
      <c r="AM94" s="96"/>
      <c r="AN94" s="95"/>
      <c r="AO94" s="95"/>
      <c r="AP94" s="95"/>
      <c r="AQ94" s="96"/>
      <c r="AR94" s="95"/>
      <c r="AS94" s="95"/>
      <c r="AT94" s="95"/>
      <c r="AU94" s="96"/>
      <c r="AV94" s="95"/>
      <c r="AW94" s="95"/>
      <c r="AX94" s="95"/>
      <c r="AY94" s="96"/>
      <c r="AZ94" s="95"/>
      <c r="BA94" s="95"/>
      <c r="BB94" s="95"/>
      <c r="BC94" s="96"/>
      <c r="BD94" s="95"/>
      <c r="BE94" s="95"/>
      <c r="BF94" s="95"/>
      <c r="BG94" s="96"/>
      <c r="BH94" s="95"/>
      <c r="BI94" s="95"/>
      <c r="BJ94" s="95"/>
      <c r="BK94" s="96"/>
      <c r="BL94" s="95"/>
      <c r="BM94" s="95"/>
      <c r="BN94" s="95"/>
      <c r="BO94" s="96"/>
      <c r="BP94" s="95"/>
      <c r="BQ94" s="95"/>
      <c r="BR94" s="95"/>
      <c r="BS94" s="96"/>
      <c r="BT94" s="97"/>
    </row>
    <row r="95" spans="1:72" x14ac:dyDescent="0.25">
      <c r="A95" s="98" t="s">
        <v>15</v>
      </c>
      <c r="B95" s="98"/>
      <c r="C95" s="98"/>
      <c r="D95" s="99"/>
      <c r="E95" s="99"/>
      <c r="F95" s="99" t="s">
        <v>16</v>
      </c>
      <c r="G95" s="100" t="s">
        <v>17</v>
      </c>
      <c r="H95" s="99">
        <f ca="1">SUBTOTAL(9,H$14:OFFSET(H95,-1,0))</f>
        <v>220979473.54789999</v>
      </c>
      <c r="I95" s="99">
        <f ca="1">SUBTOTAL(9,I$14:OFFSET(I95,-1,0))</f>
        <v>142680068.22660002</v>
      </c>
      <c r="J95" s="99">
        <f t="shared" ref="J95:J100" ca="1" si="88">SUM(I95,-H95)</f>
        <v>-78299405.32129997</v>
      </c>
      <c r="K95" s="101">
        <f t="shared" ref="K95:K101" ca="1" si="89">SUM(J95)</f>
        <v>-78299405.32129997</v>
      </c>
      <c r="L95" s="99">
        <f ca="1">SUBTOTAL(9,L$14:OFFSET(L95,-1,0))</f>
        <v>0</v>
      </c>
      <c r="M95" s="99">
        <f ca="1">SUBTOTAL(9,M$14:OFFSET(M95,-1,0))</f>
        <v>0</v>
      </c>
      <c r="N95" s="99">
        <f t="shared" ref="N95:N100" ca="1" si="90">SUM(M95,-L95)</f>
        <v>0</v>
      </c>
      <c r="O95" s="101">
        <f t="shared" ref="O95:O100" ca="1" si="91">SUM(N95)</f>
        <v>0</v>
      </c>
      <c r="P95" s="99">
        <f ca="1">SUBTOTAL(9,P$14:OFFSET(P95,-1,0))</f>
        <v>852212136.95500028</v>
      </c>
      <c r="Q95" s="99">
        <f ca="1">SUBTOTAL(9,Q$14:OFFSET(Q95,-1,0))</f>
        <v>653948129.96600008</v>
      </c>
      <c r="R95" s="99">
        <f t="shared" ref="R95:R100" ca="1" si="92">SUM(Q95,-P95)</f>
        <v>-198264006.9890002</v>
      </c>
      <c r="S95" s="101">
        <f t="shared" ref="S95:S101" ca="1" si="93">SUM(R95)</f>
        <v>-198264006.9890002</v>
      </c>
      <c r="T95" s="99">
        <f ca="1">SUBTOTAL(9,T$14:OFFSET(T95,-1,0))</f>
        <v>58292056.314499982</v>
      </c>
      <c r="U95" s="99">
        <f ca="1">SUBTOTAL(9,U$14:OFFSET(U95,-1,0))</f>
        <v>20438076.306700017</v>
      </c>
      <c r="V95" s="99">
        <f t="shared" ref="V95:V100" ca="1" si="94">SUM(U95,-T95)</f>
        <v>-37853980.007799968</v>
      </c>
      <c r="W95" s="101">
        <f t="shared" ref="W95:W100" ca="1" si="95">SUM(V95)</f>
        <v>-37853980.007799968</v>
      </c>
      <c r="X95" s="99">
        <f ca="1">SUBTOTAL(9,X$14:OFFSET(X95,-1,0))</f>
        <v>1554079541.424299</v>
      </c>
      <c r="Y95" s="99">
        <f ca="1">SUBTOTAL(9,Y$14:OFFSET(Y95,-1,0))</f>
        <v>1262301698.5726001</v>
      </c>
      <c r="Z95" s="99">
        <f t="shared" ref="Z95:Z100" ca="1" si="96">SUM(Y95,-X95)</f>
        <v>-291777842.85169888</v>
      </c>
      <c r="AA95" s="101">
        <f t="shared" ref="AA95:AA101" ca="1" si="97">SUM(Z95)</f>
        <v>-291777842.85169888</v>
      </c>
      <c r="AB95" s="99">
        <f ca="1">SUBTOTAL(9,AB$14:OFFSET(AB95,-1,0))</f>
        <v>630797916.19369984</v>
      </c>
      <c r="AC95" s="99">
        <f ca="1">SUBTOTAL(9,AC$14:OFFSET(AC95,-1,0))</f>
        <v>358414537.00139999</v>
      </c>
      <c r="AD95" s="99">
        <f t="shared" ref="AD95:AD100" ca="1" si="98">SUM(AC95,-AB95)</f>
        <v>-272383379.19229984</v>
      </c>
      <c r="AE95" s="101">
        <f t="shared" ref="AE95:AE100" ca="1" si="99">SUM(AD95)</f>
        <v>-272383379.19229984</v>
      </c>
      <c r="AF95" s="99">
        <f ca="1">SUBTOTAL(9,AF$14:OFFSET(AF95,-1,0))</f>
        <v>2246318049.9154005</v>
      </c>
      <c r="AG95" s="99">
        <f ca="1">SUBTOTAL(9,AG$14:OFFSET(AG95,-1,0))</f>
        <v>1871185829.9728997</v>
      </c>
      <c r="AH95" s="99">
        <f t="shared" ref="AH95:AH100" ca="1" si="100">SUM(AG95,-AF95)</f>
        <v>-375132219.94250083</v>
      </c>
      <c r="AI95" s="101">
        <f t="shared" ref="AI95:AI101" ca="1" si="101">SUM(AH95)</f>
        <v>-375132219.94250083</v>
      </c>
      <c r="AJ95" s="99">
        <f ca="1">SUBTOTAL(9,AJ$14:OFFSET(AJ95,-1,0))</f>
        <v>1316318049.9153998</v>
      </c>
      <c r="AK95" s="99">
        <f ca="1">SUBTOTAL(9,AK$14:OFFSET(AK95,-1,0))</f>
        <v>960683930.32310009</v>
      </c>
      <c r="AL95" s="99">
        <f t="shared" ref="AL95:AL100" ca="1" si="102">SUM(AK95,-AJ95)</f>
        <v>-355634119.5922997</v>
      </c>
      <c r="AM95" s="101">
        <f t="shared" ref="AM95:AM100" ca="1" si="103">SUM(AL95)</f>
        <v>-355634119.5922997</v>
      </c>
      <c r="AN95" s="99">
        <f ca="1">SUBTOTAL(9,AN$14:OFFSET(AN95,-1,0))</f>
        <v>3507034331.0141006</v>
      </c>
      <c r="AO95" s="99">
        <f ca="1">SUBTOTAL(9,AO$14:OFFSET(AO95,-1,0))</f>
        <v>3019763890.1243992</v>
      </c>
      <c r="AP95" s="99">
        <f t="shared" ref="AP95:AP100" ca="1" si="104">SUM(AO95,-AN95)</f>
        <v>-487270440.88970137</v>
      </c>
      <c r="AQ95" s="101">
        <f t="shared" ref="AQ95:AQ101" ca="1" si="105">SUM(AP95)</f>
        <v>-487270440.88970137</v>
      </c>
      <c r="AR95" s="99">
        <f ca="1">SUBTOTAL(9,AR$14:OFFSET(AR95,-1,0))</f>
        <v>2577034331.0141006</v>
      </c>
      <c r="AS95" s="99">
        <f ca="1">SUBTOTAL(9,AS$14:OFFSET(AS95,-1,0))</f>
        <v>2101122015.8763001</v>
      </c>
      <c r="AT95" s="99">
        <f t="shared" ref="AT95:AT100" ca="1" si="106">SUM(AS95,-AR95)</f>
        <v>-475912315.13780046</v>
      </c>
      <c r="AU95" s="101">
        <f t="shared" ref="AU95:AU100" ca="1" si="107">SUM(AT95)</f>
        <v>-475912315.13780046</v>
      </c>
      <c r="AV95" s="99">
        <f ca="1">SUBTOTAL(9,AV$14:OFFSET(AV95,-1,0))</f>
        <v>4389672880.138299</v>
      </c>
      <c r="AW95" s="99">
        <f ca="1">SUBTOTAL(9,AW$14:OFFSET(AW95,-1,0))</f>
        <v>3840180074.8326015</v>
      </c>
      <c r="AX95" s="99">
        <f t="shared" ref="AX95:AX100" ca="1" si="108">SUM(AW95,-AV95)</f>
        <v>-549492805.30569744</v>
      </c>
      <c r="AY95" s="101">
        <f t="shared" ref="AY95:AY101" ca="1" si="109">SUM(AX95)</f>
        <v>-549492805.30569744</v>
      </c>
      <c r="AZ95" s="99">
        <f ca="1">SUBTOTAL(9,AZ$14:OFFSET(AZ95,-1,0))</f>
        <v>3459672880.1382995</v>
      </c>
      <c r="BA95" s="99">
        <f ca="1">SUBTOTAL(9,BA$14:OFFSET(BA95,-1,0))</f>
        <v>2920642262.3338008</v>
      </c>
      <c r="BB95" s="99">
        <f t="shared" ref="BB95:BB100" ca="1" si="110">SUM(BA95,-AZ95)</f>
        <v>-539030617.80449867</v>
      </c>
      <c r="BC95" s="101">
        <f t="shared" ref="BC95:BC100" ca="1" si="111">SUM(BB95)</f>
        <v>-539030617.80449867</v>
      </c>
      <c r="BD95" s="99">
        <f ca="1">SUBTOTAL(9,BD$14:OFFSET(BD95,-1,0))</f>
        <v>4891059848.7005997</v>
      </c>
      <c r="BE95" s="99">
        <f ca="1">SUBTOTAL(9,BE$14:OFFSET(BE95,-1,0))</f>
        <v>4306580995.9436989</v>
      </c>
      <c r="BF95" s="99">
        <f t="shared" ref="BF95:BF100" ca="1" si="112">SUM(BE95,-BD95)</f>
        <v>-584478852.75690079</v>
      </c>
      <c r="BG95" s="101">
        <f t="shared" ref="BG95:BG101" ca="1" si="113">SUM(BF95)</f>
        <v>-584478852.75690079</v>
      </c>
      <c r="BH95" s="99">
        <f ca="1">SUBTOTAL(9,BH$14:OFFSET(BH95,-1,0))</f>
        <v>3961059848.7005992</v>
      </c>
      <c r="BI95" s="99">
        <f ca="1">SUBTOTAL(9,BI$14:OFFSET(BI95,-1,0))</f>
        <v>3387043183.4449</v>
      </c>
      <c r="BJ95" s="99">
        <f t="shared" ref="BJ95:BJ100" ca="1" si="114">SUM(BI95,-BH95)</f>
        <v>-574016665.25569916</v>
      </c>
      <c r="BK95" s="101">
        <f t="shared" ref="BK95:BK100" ca="1" si="115">SUM(BJ95)</f>
        <v>-574016665.25569916</v>
      </c>
      <c r="BL95" s="99">
        <f ca="1">SUBTOTAL(9,BL$14:OFFSET(BL95,-1,0))</f>
        <v>4951058927.490799</v>
      </c>
      <c r="BM95" s="99">
        <f ca="1">SUBTOTAL(9,BM$14:OFFSET(BM95,-1,0))</f>
        <v>4362502205.3941002</v>
      </c>
      <c r="BN95" s="99">
        <f t="shared" ref="BN95:BN100" ca="1" si="116">SUM(BM95,-BL95)</f>
        <v>-588556722.09669876</v>
      </c>
      <c r="BO95" s="101">
        <f t="shared" ref="BO95:BO101" ca="1" si="117">SUM(BN95)</f>
        <v>-588556722.09669876</v>
      </c>
      <c r="BP95" s="99">
        <f ca="1">SUBTOTAL(9,BP$14:OFFSET(BP95,-1,0))</f>
        <v>4021058927.4907994</v>
      </c>
      <c r="BQ95" s="99">
        <f ca="1">SUBTOTAL(9,BQ$14:OFFSET(BQ95,-1,0))</f>
        <v>3442964392.8952999</v>
      </c>
      <c r="BR95" s="99">
        <f t="shared" ref="BR95:BR100" ca="1" si="118">SUM(BQ95,-BP95)</f>
        <v>-578094534.59549952</v>
      </c>
      <c r="BS95" s="101">
        <f t="shared" ref="BS95:BS100" ca="1" si="119">SUM(BR95)</f>
        <v>-578094534.59549952</v>
      </c>
    </row>
    <row r="96" spans="1:72" x14ac:dyDescent="0.25">
      <c r="A96" s="98" t="s">
        <v>15</v>
      </c>
      <c r="B96" s="98"/>
      <c r="C96" s="98"/>
      <c r="D96" s="102"/>
      <c r="E96" s="102"/>
      <c r="F96" s="102" t="s">
        <v>18</v>
      </c>
      <c r="G96" s="103" t="s">
        <v>17</v>
      </c>
      <c r="H96" s="102">
        <f ca="1">SUBTOTAL(4,H$14:OFFSET(H95,-1,0))</f>
        <v>9458935.3363000005</v>
      </c>
      <c r="I96" s="102">
        <f ca="1">SUBTOTAL(4,I$14:OFFSET(I95,-1,0))</f>
        <v>9264252.9970000014</v>
      </c>
      <c r="J96" s="102">
        <f t="shared" ca="1" si="88"/>
        <v>-194682.33929999918</v>
      </c>
      <c r="K96" s="104">
        <f t="shared" ca="1" si="89"/>
        <v>-194682.33929999918</v>
      </c>
      <c r="L96" s="102">
        <f ca="1">SUBTOTAL(4,L$14:OFFSET(L95,-1,0))</f>
        <v>0</v>
      </c>
      <c r="M96" s="102">
        <f ca="1">SUBTOTAL(4,M$14:OFFSET(M95,-1,0))</f>
        <v>0</v>
      </c>
      <c r="N96" s="102">
        <f t="shared" ca="1" si="90"/>
        <v>0</v>
      </c>
      <c r="O96" s="104">
        <f t="shared" ca="1" si="91"/>
        <v>0</v>
      </c>
      <c r="P96" s="102">
        <f ca="1">SUBTOTAL(4,P$14:OFFSET(P95,-1,0))</f>
        <v>28028277.180399995</v>
      </c>
      <c r="Q96" s="102">
        <f ca="1">SUBTOTAL(4,Q$14:OFFSET(Q95,-1,0))</f>
        <v>24080829.658100009</v>
      </c>
      <c r="R96" s="102">
        <f t="shared" ca="1" si="92"/>
        <v>-3947447.5222999863</v>
      </c>
      <c r="S96" s="104">
        <f t="shared" ca="1" si="93"/>
        <v>-3947447.5222999863</v>
      </c>
      <c r="T96" s="102">
        <f ca="1">SUBTOTAL(4,T$14:OFFSET(T95,-1,0))</f>
        <v>13028277.180399995</v>
      </c>
      <c r="U96" s="102">
        <f ca="1">SUBTOTAL(4,U$14:OFFSET(U95,-1,0))</f>
        <v>9080829.658100009</v>
      </c>
      <c r="V96" s="102">
        <f t="shared" ca="1" si="94"/>
        <v>-3947447.5222999863</v>
      </c>
      <c r="W96" s="104">
        <f t="shared" ca="1" si="95"/>
        <v>-3947447.5222999863</v>
      </c>
      <c r="X96" s="102">
        <f ca="1">SUBTOTAL(4,X$14:OFFSET(X95,-1,0))</f>
        <v>45192314.177600004</v>
      </c>
      <c r="Y96" s="102">
        <f ca="1">SUBTOTAL(4,Y$14:OFFSET(Y95,-1,0))</f>
        <v>38372251.535900004</v>
      </c>
      <c r="Z96" s="102">
        <f t="shared" ca="1" si="96"/>
        <v>-6820062.6416999996</v>
      </c>
      <c r="AA96" s="104">
        <f t="shared" ca="1" si="97"/>
        <v>-6820062.6416999996</v>
      </c>
      <c r="AB96" s="102">
        <f ca="1">SUBTOTAL(4,AB$14:OFFSET(AB95,-1,0))</f>
        <v>30192314.177600004</v>
      </c>
      <c r="AC96" s="102">
        <f ca="1">SUBTOTAL(4,AC$14:OFFSET(AC95,-1,0))</f>
        <v>23372251.535900004</v>
      </c>
      <c r="AD96" s="102">
        <f t="shared" ca="1" si="98"/>
        <v>-6820062.6416999996</v>
      </c>
      <c r="AE96" s="104">
        <f t="shared" ca="1" si="99"/>
        <v>-6820062.6416999996</v>
      </c>
      <c r="AF96" s="102">
        <f ca="1">SUBTOTAL(4,AF$14:OFFSET(AF95,-1,0))</f>
        <v>50651280.644799985</v>
      </c>
      <c r="AG96" s="102">
        <f ca="1">SUBTOTAL(4,AG$14:OFFSET(AG95,-1,0))</f>
        <v>44791127.226099983</v>
      </c>
      <c r="AH96" s="102">
        <f t="shared" ca="1" si="100"/>
        <v>-5860153.4187000021</v>
      </c>
      <c r="AI96" s="104">
        <f t="shared" ca="1" si="101"/>
        <v>-5860153.4187000021</v>
      </c>
      <c r="AJ96" s="102">
        <f ca="1">SUBTOTAL(4,AJ$14:OFFSET(AJ95,-1,0))</f>
        <v>35651280.644799985</v>
      </c>
      <c r="AK96" s="102">
        <f ca="1">SUBTOTAL(4,AK$14:OFFSET(AK95,-1,0))</f>
        <v>29791127.226099983</v>
      </c>
      <c r="AL96" s="102">
        <f t="shared" ca="1" si="102"/>
        <v>-5860153.4187000021</v>
      </c>
      <c r="AM96" s="104">
        <f t="shared" ca="1" si="103"/>
        <v>-5860153.4187000021</v>
      </c>
      <c r="AN96" s="102">
        <f ca="1">SUBTOTAL(4,AN$14:OFFSET(AN95,-1,0))</f>
        <v>77634536.858300015</v>
      </c>
      <c r="AO96" s="102">
        <f ca="1">SUBTOTAL(4,AO$14:OFFSET(AO95,-1,0))</f>
        <v>72366558.811199993</v>
      </c>
      <c r="AP96" s="102">
        <f t="shared" ca="1" si="104"/>
        <v>-5267978.0471000224</v>
      </c>
      <c r="AQ96" s="104">
        <f t="shared" ca="1" si="105"/>
        <v>-5267978.0471000224</v>
      </c>
      <c r="AR96" s="102">
        <f ca="1">SUBTOTAL(4,AR$14:OFFSET(AR95,-1,0))</f>
        <v>62634536.858300015</v>
      </c>
      <c r="AS96" s="102">
        <f ca="1">SUBTOTAL(4,AS$14:OFFSET(AS95,-1,0))</f>
        <v>57366558.811199993</v>
      </c>
      <c r="AT96" s="102">
        <f t="shared" ca="1" si="106"/>
        <v>-5267978.0471000224</v>
      </c>
      <c r="AU96" s="104">
        <f t="shared" ca="1" si="107"/>
        <v>-5267978.0471000224</v>
      </c>
      <c r="AV96" s="102">
        <f ca="1">SUBTOTAL(4,AV$14:OFFSET(AV95,-1,0))</f>
        <v>102266404.02160002</v>
      </c>
      <c r="AW96" s="102">
        <f ca="1">SUBTOTAL(4,AW$14:OFFSET(AW95,-1,0))</f>
        <v>89007034.858199999</v>
      </c>
      <c r="AX96" s="102">
        <f t="shared" ca="1" si="108"/>
        <v>-13259369.163400024</v>
      </c>
      <c r="AY96" s="104">
        <f t="shared" ca="1" si="109"/>
        <v>-13259369.163400024</v>
      </c>
      <c r="AZ96" s="102">
        <f ca="1">SUBTOTAL(4,AZ$14:OFFSET(AZ95,-1,0))</f>
        <v>87266404.021600023</v>
      </c>
      <c r="BA96" s="102">
        <f ca="1">SUBTOTAL(4,BA$14:OFFSET(BA95,-1,0))</f>
        <v>74007034.858199999</v>
      </c>
      <c r="BB96" s="102">
        <f t="shared" ca="1" si="110"/>
        <v>-13259369.163400024</v>
      </c>
      <c r="BC96" s="104">
        <f t="shared" ca="1" si="111"/>
        <v>-13259369.163400024</v>
      </c>
      <c r="BD96" s="102">
        <f ca="1">SUBTOTAL(4,BD$14:OFFSET(BD95,-1,0))</f>
        <v>125644478.87509999</v>
      </c>
      <c r="BE96" s="102">
        <f ca="1">SUBTOTAL(4,BE$14:OFFSET(BE95,-1,0))</f>
        <v>111004435.13650003</v>
      </c>
      <c r="BF96" s="102">
        <f t="shared" ca="1" si="112"/>
        <v>-14640043.738599956</v>
      </c>
      <c r="BG96" s="104">
        <f t="shared" ca="1" si="113"/>
        <v>-14640043.738599956</v>
      </c>
      <c r="BH96" s="102">
        <f ca="1">SUBTOTAL(4,BH$14:OFFSET(BH95,-1,0))</f>
        <v>110644478.87509999</v>
      </c>
      <c r="BI96" s="102">
        <f ca="1">SUBTOTAL(4,BI$14:OFFSET(BI95,-1,0))</f>
        <v>96004435.136500031</v>
      </c>
      <c r="BJ96" s="102">
        <f t="shared" ca="1" si="114"/>
        <v>-14640043.738599956</v>
      </c>
      <c r="BK96" s="104">
        <f t="shared" ca="1" si="115"/>
        <v>-14640043.738599956</v>
      </c>
      <c r="BL96" s="102">
        <f ca="1">SUBTOTAL(4,BL$14:OFFSET(BL95,-1,0))</f>
        <v>128334786.45680007</v>
      </c>
      <c r="BM96" s="102">
        <f ca="1">SUBTOTAL(4,BM$14:OFFSET(BM95,-1,0))</f>
        <v>113401447.22860001</v>
      </c>
      <c r="BN96" s="102">
        <f t="shared" ca="1" si="116"/>
        <v>-14933339.228200063</v>
      </c>
      <c r="BO96" s="104">
        <f t="shared" ca="1" si="117"/>
        <v>-14933339.228200063</v>
      </c>
      <c r="BP96" s="102">
        <f ca="1">SUBTOTAL(4,BP$14:OFFSET(BP95,-1,0))</f>
        <v>113334786.45680007</v>
      </c>
      <c r="BQ96" s="102">
        <f ca="1">SUBTOTAL(4,BQ$14:OFFSET(BQ95,-1,0))</f>
        <v>98401447.22860001</v>
      </c>
      <c r="BR96" s="102">
        <f t="shared" ca="1" si="118"/>
        <v>-14933339.228200063</v>
      </c>
      <c r="BS96" s="104">
        <f t="shared" ca="1" si="119"/>
        <v>-14933339.228200063</v>
      </c>
    </row>
    <row r="97" spans="1:72" hidden="1" outlineLevel="1" x14ac:dyDescent="0.25">
      <c r="A97" s="105" t="s">
        <v>19</v>
      </c>
      <c r="B97" s="105"/>
      <c r="C97" s="105"/>
      <c r="D97" s="102"/>
      <c r="E97" s="102"/>
      <c r="F97" s="102" t="s">
        <v>20</v>
      </c>
      <c r="G97" s="103" t="s">
        <v>17</v>
      </c>
      <c r="H97" s="102">
        <f ca="1">SUBTOTAL(5,H$14:OFFSET(H95,-1,0))</f>
        <v>1211026.5019</v>
      </c>
      <c r="I97" s="102">
        <f ca="1">SUBTOTAL(5,I$14:OFFSET(I95,-1,0))</f>
        <v>5000</v>
      </c>
      <c r="J97" s="102">
        <f t="shared" ca="1" si="88"/>
        <v>-1206026.5019</v>
      </c>
      <c r="K97" s="104">
        <f t="shared" ca="1" si="89"/>
        <v>-1206026.5019</v>
      </c>
      <c r="L97" s="102">
        <f ca="1">SUBTOTAL(5,L$14:OFFSET(L95,-1,0))</f>
        <v>0</v>
      </c>
      <c r="M97" s="102">
        <f ca="1">SUBTOTAL(5,M$14:OFFSET(M95,-1,0))</f>
        <v>0</v>
      </c>
      <c r="N97" s="102">
        <f t="shared" ca="1" si="90"/>
        <v>0</v>
      </c>
      <c r="O97" s="104">
        <f t="shared" ca="1" si="91"/>
        <v>0</v>
      </c>
      <c r="P97" s="102">
        <f ca="1">SUBTOTAL(5,P$14:OFFSET(P95,-1,0))</f>
        <v>5801443.6552000009</v>
      </c>
      <c r="Q97" s="102">
        <f ca="1">SUBTOTAL(5,Q$14:OFFSET(Q95,-1,0))</f>
        <v>642500</v>
      </c>
      <c r="R97" s="102">
        <f t="shared" ca="1" si="92"/>
        <v>-5158943.6552000009</v>
      </c>
      <c r="S97" s="104">
        <f t="shared" ca="1" si="93"/>
        <v>-5158943.6552000009</v>
      </c>
      <c r="T97" s="102">
        <f ca="1">SUBTOTAL(5,T$14:OFFSET(T95,-1,0))</f>
        <v>0</v>
      </c>
      <c r="U97" s="102">
        <f ca="1">SUBTOTAL(5,U$14:OFFSET(U95,-1,0))</f>
        <v>0</v>
      </c>
      <c r="V97" s="102">
        <f t="shared" ca="1" si="94"/>
        <v>0</v>
      </c>
      <c r="W97" s="104">
        <f t="shared" ca="1" si="95"/>
        <v>0</v>
      </c>
      <c r="X97" s="102">
        <f ca="1">SUBTOTAL(5,X$14:OFFSET(X95,-1,0))</f>
        <v>12233738.4813</v>
      </c>
      <c r="Y97" s="102">
        <f ca="1">SUBTOTAL(5,Y$14:OFFSET(Y95,-1,0))</f>
        <v>2048750</v>
      </c>
      <c r="Z97" s="102">
        <f t="shared" ca="1" si="96"/>
        <v>-10184988.4813</v>
      </c>
      <c r="AA97" s="104">
        <f t="shared" ca="1" si="97"/>
        <v>-10184988.4813</v>
      </c>
      <c r="AB97" s="102">
        <f ca="1">SUBTOTAL(5,AB$14:OFFSET(AB95,-1,0))</f>
        <v>0</v>
      </c>
      <c r="AC97" s="102">
        <f ca="1">SUBTOTAL(5,AC$14:OFFSET(AC95,-1,0))</f>
        <v>0</v>
      </c>
      <c r="AD97" s="102">
        <f t="shared" ca="1" si="98"/>
        <v>0</v>
      </c>
      <c r="AE97" s="104">
        <f t="shared" ca="1" si="99"/>
        <v>0</v>
      </c>
      <c r="AF97" s="102">
        <f ca="1">SUBTOTAL(5,AF$14:OFFSET(AF95,-1,0))</f>
        <v>18863976.9056</v>
      </c>
      <c r="AG97" s="102">
        <f ca="1">SUBTOTAL(5,AG$14:OFFSET(AG95,-1,0))</f>
        <v>3455000</v>
      </c>
      <c r="AH97" s="102">
        <f t="shared" ca="1" si="100"/>
        <v>-15408976.9056</v>
      </c>
      <c r="AI97" s="104">
        <f t="shared" ca="1" si="101"/>
        <v>-15408976.9056</v>
      </c>
      <c r="AJ97" s="102">
        <f ca="1">SUBTOTAL(5,AJ$14:OFFSET(AJ95,-1,0))</f>
        <v>3863976.9056000002</v>
      </c>
      <c r="AK97" s="102">
        <f ca="1">SUBTOTAL(5,AK$14:OFFSET(AK95,-1,0))</f>
        <v>0</v>
      </c>
      <c r="AL97" s="102">
        <f t="shared" ca="1" si="102"/>
        <v>-3863976.9056000002</v>
      </c>
      <c r="AM97" s="104">
        <f t="shared" ca="1" si="103"/>
        <v>-3863976.9056000002</v>
      </c>
      <c r="AN97" s="102">
        <f ca="1">SUBTOTAL(5,AN$14:OFFSET(AN95,-1,0))</f>
        <v>28060381.5352</v>
      </c>
      <c r="AO97" s="102">
        <f ca="1">SUBTOTAL(5,AO$14:OFFSET(AO95,-1,0))</f>
        <v>4537812.4988000002</v>
      </c>
      <c r="AP97" s="102">
        <f t="shared" ca="1" si="104"/>
        <v>-23522569.036399998</v>
      </c>
      <c r="AQ97" s="104">
        <f t="shared" ca="1" si="105"/>
        <v>-23522569.036399998</v>
      </c>
      <c r="AR97" s="102">
        <f ca="1">SUBTOTAL(5,AR$14:OFFSET(AR95,-1,0))</f>
        <v>13060381.5352</v>
      </c>
      <c r="AS97" s="102">
        <f ca="1">SUBTOTAL(5,AS$14:OFFSET(AS95,-1,0))</f>
        <v>0</v>
      </c>
      <c r="AT97" s="102">
        <f t="shared" ca="1" si="106"/>
        <v>-13060381.5352</v>
      </c>
      <c r="AU97" s="104">
        <f t="shared" ca="1" si="107"/>
        <v>-13060381.5352</v>
      </c>
      <c r="AV97" s="102">
        <f ca="1">SUBTOTAL(5,AV$14:OFFSET(AV95,-1,0))</f>
        <v>31991095.562999994</v>
      </c>
      <c r="AW97" s="102">
        <f ca="1">SUBTOTAL(5,AW$14:OFFSET(AW95,-1,0))</f>
        <v>4537812.4988000002</v>
      </c>
      <c r="AX97" s="102">
        <f t="shared" ca="1" si="108"/>
        <v>-27453283.064199992</v>
      </c>
      <c r="AY97" s="104">
        <f t="shared" ca="1" si="109"/>
        <v>-27453283.064199992</v>
      </c>
      <c r="AZ97" s="102">
        <f ca="1">SUBTOTAL(5,AZ$14:OFFSET(AZ95,-1,0))</f>
        <v>16991095.562999994</v>
      </c>
      <c r="BA97" s="102">
        <f ca="1">SUBTOTAL(5,BA$14:OFFSET(BA95,-1,0))</f>
        <v>0</v>
      </c>
      <c r="BB97" s="102">
        <f t="shared" ca="1" si="110"/>
        <v>-16991095.562999994</v>
      </c>
      <c r="BC97" s="104">
        <f t="shared" ca="1" si="111"/>
        <v>-16991095.562999994</v>
      </c>
      <c r="BD97" s="102">
        <f ca="1">SUBTOTAL(5,BD$14:OFFSET(BD95,-1,0))</f>
        <v>33251491.483600002</v>
      </c>
      <c r="BE97" s="102">
        <f ca="1">SUBTOTAL(5,BE$14:OFFSET(BE95,-1,0))</f>
        <v>4537812.4988000002</v>
      </c>
      <c r="BF97" s="102">
        <f t="shared" ca="1" si="112"/>
        <v>-28713678.984800003</v>
      </c>
      <c r="BG97" s="104">
        <f t="shared" ca="1" si="113"/>
        <v>-28713678.984800003</v>
      </c>
      <c r="BH97" s="102">
        <f ca="1">SUBTOTAL(5,BH$14:OFFSET(BH95,-1,0))</f>
        <v>18251491.483600002</v>
      </c>
      <c r="BI97" s="102">
        <f ca="1">SUBTOTAL(5,BI$14:OFFSET(BI95,-1,0))</f>
        <v>0</v>
      </c>
      <c r="BJ97" s="102">
        <f t="shared" ca="1" si="114"/>
        <v>-18251491.483600002</v>
      </c>
      <c r="BK97" s="104">
        <f t="shared" ca="1" si="115"/>
        <v>-18251491.483600002</v>
      </c>
      <c r="BL97" s="102">
        <f ca="1">SUBTOTAL(5,BL$14:OFFSET(BL95,-1,0))</f>
        <v>33265390.145100001</v>
      </c>
      <c r="BM97" s="102">
        <f ca="1">SUBTOTAL(5,BM$14:OFFSET(BM95,-1,0))</f>
        <v>4537812.4988000002</v>
      </c>
      <c r="BN97" s="102">
        <f t="shared" ca="1" si="116"/>
        <v>-28727577.646300003</v>
      </c>
      <c r="BO97" s="104">
        <f t="shared" ca="1" si="117"/>
        <v>-28727577.646300003</v>
      </c>
      <c r="BP97" s="102">
        <f ca="1">SUBTOTAL(5,BP$14:OFFSET(BP95,-1,0))</f>
        <v>18265390.145100001</v>
      </c>
      <c r="BQ97" s="102">
        <f ca="1">SUBTOTAL(5,BQ$14:OFFSET(BQ95,-1,0))</f>
        <v>0</v>
      </c>
      <c r="BR97" s="102">
        <f t="shared" ca="1" si="118"/>
        <v>-18265390.145100001</v>
      </c>
      <c r="BS97" s="104">
        <f t="shared" ca="1" si="119"/>
        <v>-18265390.145100001</v>
      </c>
    </row>
    <row r="98" spans="1:72" collapsed="1" x14ac:dyDescent="0.25">
      <c r="A98" s="105" t="s">
        <v>19</v>
      </c>
      <c r="B98" s="105"/>
      <c r="C98" s="105"/>
      <c r="D98" s="102"/>
      <c r="E98" s="106" t="s">
        <v>21</v>
      </c>
      <c r="F98" s="102" t="s">
        <v>22</v>
      </c>
      <c r="G98" s="103" t="s">
        <v>17</v>
      </c>
      <c r="H98" s="102">
        <f t="array" aca="1" ref="H98" ca="1">MIN(IF(H$14:OFFSET(H95,-1,0)&gt;0,IF(SUBTOTAL(109,OFFSET(H$14:OFFSET(H95,-1,0),ROW(H$14:OFFSET(H95,-1,0))-MIN(ROW(H$14:OFFSET(H95,-1,0))),0,1))&gt;0,H$14:OFFSET(H95,-1,0))))</f>
        <v>1211026.5019</v>
      </c>
      <c r="I98" s="102">
        <f t="array" aca="1" ref="I98" ca="1">MIN(IF(I$14:OFFSET(I95,-1,0)&gt;0,IF(SUBTOTAL(109,OFFSET(I$14:OFFSET(I95,-1,0),ROW(I$14:OFFSET(I95,-1,0))-MIN(ROW(I$14:OFFSET(I95,-1,0))),0,1))&gt;0,I$14:OFFSET(I95,-1,0))))</f>
        <v>5000</v>
      </c>
      <c r="J98" s="102">
        <f t="shared" ca="1" si="88"/>
        <v>-1206026.5019</v>
      </c>
      <c r="K98" s="104">
        <f t="shared" ca="1" si="89"/>
        <v>-1206026.5019</v>
      </c>
      <c r="L98" s="102">
        <f t="array" aca="1" ref="L98" ca="1">MIN(IF(L$14:OFFSET(L95,-1,0)&gt;0,IF(SUBTOTAL(109,OFFSET(L$14:OFFSET(L95,-1,0),ROW(L$14:OFFSET(L95,-1,0))-MIN(ROW(L$14:OFFSET(L95,-1,0))),0,1))&gt;0,L$14:OFFSET(L95,-1,0))))</f>
        <v>0</v>
      </c>
      <c r="M98" s="102">
        <f t="array" aca="1" ref="M98" ca="1">MIN(IF(M$14:OFFSET(M95,-1,0)&gt;0,IF(SUBTOTAL(109,OFFSET(M$14:OFFSET(M95,-1,0),ROW(M$14:OFFSET(M95,-1,0))-MIN(ROW(M$14:OFFSET(M95,-1,0))),0,1))&gt;0,M$14:OFFSET(M95,-1,0))))</f>
        <v>0</v>
      </c>
      <c r="N98" s="102">
        <f t="shared" ca="1" si="90"/>
        <v>0</v>
      </c>
      <c r="O98" s="104">
        <f t="shared" ca="1" si="91"/>
        <v>0</v>
      </c>
      <c r="P98" s="102">
        <f t="array" aca="1" ref="P98" ca="1">MIN(IF(P$14:OFFSET(P95,-1,0)&gt;0,IF(SUBTOTAL(109,OFFSET(P$14:OFFSET(P95,-1,0),ROW(P$14:OFFSET(P95,-1,0))-MIN(ROW(P$14:OFFSET(P95,-1,0))),0,1))&gt;0,P$14:OFFSET(P95,-1,0))))</f>
        <v>5801443.6552000009</v>
      </c>
      <c r="Q98" s="102">
        <f t="array" aca="1" ref="Q98" ca="1">MIN(IF(Q$14:OFFSET(Q95,-1,0)&gt;0,IF(SUBTOTAL(109,OFFSET(Q$14:OFFSET(Q95,-1,0),ROW(Q$14:OFFSET(Q95,-1,0))-MIN(ROW(Q$14:OFFSET(Q95,-1,0))),0,1))&gt;0,Q$14:OFFSET(Q95,-1,0))))</f>
        <v>642500</v>
      </c>
      <c r="R98" s="102">
        <f t="shared" ca="1" si="92"/>
        <v>-5158943.6552000009</v>
      </c>
      <c r="S98" s="104">
        <f t="shared" ca="1" si="93"/>
        <v>-5158943.6552000009</v>
      </c>
      <c r="T98" s="102">
        <f t="array" aca="1" ref="T98" ca="1">MIN(IF(T$14:OFFSET(T95,-1,0)&gt;0,IF(SUBTOTAL(109,OFFSET(T$14:OFFSET(T95,-1,0),ROW(T$14:OFFSET(T95,-1,0))-MIN(ROW(T$14:OFFSET(T95,-1,0))),0,1))&gt;0,T$14:OFFSET(T95,-1,0))))</f>
        <v>395791.94360000081</v>
      </c>
      <c r="U98" s="102">
        <f t="array" aca="1" ref="U98" ca="1">MIN(IF(U$14:OFFSET(U95,-1,0)&gt;0,IF(SUBTOTAL(109,OFFSET(U$14:OFFSET(U95,-1,0),ROW(U$14:OFFSET(U95,-1,0))-MIN(ROW(U$14:OFFSET(U95,-1,0))),0,1))&gt;0,U$14:OFFSET(U95,-1,0))))</f>
        <v>280090.73620000109</v>
      </c>
      <c r="V98" s="102">
        <f t="shared" ca="1" si="94"/>
        <v>-115701.20739999972</v>
      </c>
      <c r="W98" s="104">
        <f t="shared" ca="1" si="95"/>
        <v>-115701.20739999972</v>
      </c>
      <c r="X98" s="102">
        <f t="array" aca="1" ref="X98" ca="1">MIN(IF(X$14:OFFSET(X95,-1,0)&gt;0,IF(SUBTOTAL(109,OFFSET(X$14:OFFSET(X95,-1,0),ROW(X$14:OFFSET(X95,-1,0))-MIN(ROW(X$14:OFFSET(X95,-1,0))),0,1))&gt;0,X$14:OFFSET(X95,-1,0))))</f>
        <v>12233738.4813</v>
      </c>
      <c r="Y98" s="102">
        <f t="array" aca="1" ref="Y98" ca="1">MIN(IF(Y$14:OFFSET(Y95,-1,0)&gt;0,IF(SUBTOTAL(109,OFFSET(Y$14:OFFSET(Y95,-1,0),ROW(Y$14:OFFSET(Y95,-1,0))-MIN(ROW(Y$14:OFFSET(Y95,-1,0))),0,1))&gt;0,Y$14:OFFSET(Y95,-1,0))))</f>
        <v>2048750</v>
      </c>
      <c r="Z98" s="102">
        <f t="shared" ca="1" si="96"/>
        <v>-10184988.4813</v>
      </c>
      <c r="AA98" s="104">
        <f t="shared" ca="1" si="97"/>
        <v>-10184988.4813</v>
      </c>
      <c r="AB98" s="102">
        <f t="array" aca="1" ref="AB98" ca="1">MIN(IF(AB$14:OFFSET(AB95,-1,0)&gt;0,IF(SUBTOTAL(109,OFFSET(AB$14:OFFSET(AB95,-1,0),ROW(AB$14:OFFSET(AB95,-1,0))-MIN(ROW(AB$14:OFFSET(AB95,-1,0))),0,1))&gt;0,AB$14:OFFSET(AB95,-1,0))))</f>
        <v>1215655.3416999988</v>
      </c>
      <c r="AC98" s="102">
        <f t="array" aca="1" ref="AC98" ca="1">MIN(IF(AC$14:OFFSET(AC95,-1,0)&gt;0,IF(SUBTOTAL(109,OFFSET(AC$14:OFFSET(AC95,-1,0),ROW(AC$14:OFFSET(AC95,-1,0))-MIN(ROW(AC$14:OFFSET(AC95,-1,0))),0,1))&gt;0,AC$14:OFFSET(AC95,-1,0))))</f>
        <v>183688.43999999948</v>
      </c>
      <c r="AD98" s="102">
        <f t="shared" ca="1" si="98"/>
        <v>-1031966.9016999993</v>
      </c>
      <c r="AE98" s="104">
        <f t="shared" ca="1" si="99"/>
        <v>-1031966.9016999993</v>
      </c>
      <c r="AF98" s="102">
        <f t="array" aca="1" ref="AF98" ca="1">MIN(IF(AF$14:OFFSET(AF95,-1,0)&gt;0,IF(SUBTOTAL(109,OFFSET(AF$14:OFFSET(AF95,-1,0),ROW(AF$14:OFFSET(AF95,-1,0))-MIN(ROW(AF$14:OFFSET(AF95,-1,0))),0,1))&gt;0,AF$14:OFFSET(AF95,-1,0))))</f>
        <v>18863976.9056</v>
      </c>
      <c r="AG98" s="102">
        <f t="array" aca="1" ref="AG98" ca="1">MIN(IF(AG$14:OFFSET(AG95,-1,0)&gt;0,IF(SUBTOTAL(109,OFFSET(AG$14:OFFSET(AG95,-1,0),ROW(AG$14:OFFSET(AG95,-1,0))-MIN(ROW(AG$14:OFFSET(AG95,-1,0))),0,1))&gt;0,AG$14:OFFSET(AG95,-1,0))))</f>
        <v>3455000</v>
      </c>
      <c r="AH98" s="102">
        <f t="shared" ca="1" si="100"/>
        <v>-15408976.9056</v>
      </c>
      <c r="AI98" s="104">
        <f t="shared" ca="1" si="101"/>
        <v>-15408976.9056</v>
      </c>
      <c r="AJ98" s="102">
        <f t="array" aca="1" ref="AJ98" ca="1">MIN(IF(AJ$14:OFFSET(AJ95,-1,0)&gt;0,IF(SUBTOTAL(109,OFFSET(AJ$14:OFFSET(AJ95,-1,0),ROW(AJ$14:OFFSET(AJ95,-1,0))-MIN(ROW(AJ$14:OFFSET(AJ95,-1,0))),0,1))&gt;0,AJ$14:OFFSET(AJ95,-1,0))))</f>
        <v>3863976.9056000002</v>
      </c>
      <c r="AK98" s="102">
        <f t="array" aca="1" ref="AK98" ca="1">MIN(IF(AK$14:OFFSET(AK95,-1,0)&gt;0,IF(SUBTOTAL(109,OFFSET(AK$14:OFFSET(AK95,-1,0),ROW(AK$14:OFFSET(AK95,-1,0))-MIN(ROW(AK$14:OFFSET(AK95,-1,0))),0,1))&gt;0,AK$14:OFFSET(AK95,-1,0))))</f>
        <v>6887705.8557000011</v>
      </c>
      <c r="AL98" s="102">
        <f t="shared" ca="1" si="102"/>
        <v>3023728.9501000009</v>
      </c>
      <c r="AM98" s="104">
        <f t="shared" ca="1" si="103"/>
        <v>3023728.9501000009</v>
      </c>
      <c r="AN98" s="102">
        <f t="array" aca="1" ref="AN98" ca="1">MIN(IF(AN$14:OFFSET(AN95,-1,0)&gt;0,IF(SUBTOTAL(109,OFFSET(AN$14:OFFSET(AN95,-1,0),ROW(AN$14:OFFSET(AN95,-1,0))-MIN(ROW(AN$14:OFFSET(AN95,-1,0))),0,1))&gt;0,AN$14:OFFSET(AN95,-1,0))))</f>
        <v>28060381.5352</v>
      </c>
      <c r="AO98" s="102">
        <f t="array" aca="1" ref="AO98" ca="1">MIN(IF(AO$14:OFFSET(AO95,-1,0)&gt;0,IF(SUBTOTAL(109,OFFSET(AO$14:OFFSET(AO95,-1,0),ROW(AO$14:OFFSET(AO95,-1,0))-MIN(ROW(AO$14:OFFSET(AO95,-1,0))),0,1))&gt;0,AO$14:OFFSET(AO95,-1,0))))</f>
        <v>4537812.4988000002</v>
      </c>
      <c r="AP98" s="102">
        <f t="shared" ca="1" si="104"/>
        <v>-23522569.036399998</v>
      </c>
      <c r="AQ98" s="104">
        <f t="shared" ca="1" si="105"/>
        <v>-23522569.036399998</v>
      </c>
      <c r="AR98" s="102">
        <f t="array" aca="1" ref="AR98" ca="1">MIN(IF(AR$14:OFFSET(AR95,-1,0)&gt;0,IF(SUBTOTAL(109,OFFSET(AR$14:OFFSET(AR95,-1,0),ROW(AR$14:OFFSET(AR95,-1,0))-MIN(ROW(AR$14:OFFSET(AR95,-1,0))),0,1))&gt;0,AR$14:OFFSET(AR95,-1,0))))</f>
        <v>13060381.5352</v>
      </c>
      <c r="AS98" s="102">
        <f t="array" aca="1" ref="AS98" ca="1">MIN(IF(AS$14:OFFSET(AS95,-1,0)&gt;0,IF(SUBTOTAL(109,OFFSET(AS$14:OFFSET(AS95,-1,0),ROW(AS$14:OFFSET(AS95,-1,0))-MIN(ROW(AS$14:OFFSET(AS95,-1,0))),0,1))&gt;0,AS$14:OFFSET(AS95,-1,0))))</f>
        <v>16049726.582100004</v>
      </c>
      <c r="AT98" s="102">
        <f t="shared" ca="1" si="106"/>
        <v>2989345.0469000041</v>
      </c>
      <c r="AU98" s="104">
        <f t="shared" ca="1" si="107"/>
        <v>2989345.0469000041</v>
      </c>
      <c r="AV98" s="102">
        <f t="array" aca="1" ref="AV98" ca="1">MIN(IF(AV$14:OFFSET(AV95,-1,0)&gt;0,IF(SUBTOTAL(109,OFFSET(AV$14:OFFSET(AV95,-1,0),ROW(AV$14:OFFSET(AV95,-1,0))-MIN(ROW(AV$14:OFFSET(AV95,-1,0))),0,1))&gt;0,AV$14:OFFSET(AV95,-1,0))))</f>
        <v>31991095.562999994</v>
      </c>
      <c r="AW98" s="102">
        <f t="array" aca="1" ref="AW98" ca="1">MIN(IF(AW$14:OFFSET(AW95,-1,0)&gt;0,IF(SUBTOTAL(109,OFFSET(AW$14:OFFSET(AW95,-1,0),ROW(AW$14:OFFSET(AW95,-1,0))-MIN(ROW(AW$14:OFFSET(AW95,-1,0))),0,1))&gt;0,AW$14:OFFSET(AW95,-1,0))))</f>
        <v>4537812.4988000002</v>
      </c>
      <c r="AX98" s="102">
        <f t="shared" ca="1" si="108"/>
        <v>-27453283.064199992</v>
      </c>
      <c r="AY98" s="104">
        <f t="shared" ca="1" si="109"/>
        <v>-27453283.064199992</v>
      </c>
      <c r="AZ98" s="102">
        <f t="array" aca="1" ref="AZ98" ca="1">MIN(IF(AZ$14:OFFSET(AZ95,-1,0)&gt;0,IF(SUBTOTAL(109,OFFSET(AZ$14:OFFSET(AZ95,-1,0),ROW(AZ$14:OFFSET(AZ95,-1,0))-MIN(ROW(AZ$14:OFFSET(AZ95,-1,0))),0,1))&gt;0,AZ$14:OFFSET(AZ95,-1,0))))</f>
        <v>16991095.562999994</v>
      </c>
      <c r="BA98" s="102">
        <f t="array" aca="1" ref="BA98" ca="1">MIN(IF(BA$14:OFFSET(BA95,-1,0)&gt;0,IF(SUBTOTAL(109,OFFSET(BA$14:OFFSET(BA95,-1,0),ROW(BA$14:OFFSET(BA95,-1,0))-MIN(ROW(BA$14:OFFSET(BA95,-1,0))),0,1))&gt;0,BA$14:OFFSET(BA95,-1,0))))</f>
        <v>7599750.7970000021</v>
      </c>
      <c r="BB98" s="102">
        <f t="shared" ca="1" si="110"/>
        <v>-9391344.7659999914</v>
      </c>
      <c r="BC98" s="104">
        <f t="shared" ca="1" si="111"/>
        <v>-9391344.7659999914</v>
      </c>
      <c r="BD98" s="102">
        <f t="array" aca="1" ref="BD98" ca="1">MIN(IF(BD$14:OFFSET(BD95,-1,0)&gt;0,IF(SUBTOTAL(109,OFFSET(BD$14:OFFSET(BD95,-1,0),ROW(BD$14:OFFSET(BD95,-1,0))-MIN(ROW(BD$14:OFFSET(BD95,-1,0))),0,1))&gt;0,BD$14:OFFSET(BD95,-1,0))))</f>
        <v>33251491.483600002</v>
      </c>
      <c r="BE98" s="102">
        <f t="array" aca="1" ref="BE98" ca="1">MIN(IF(BE$14:OFFSET(BE95,-1,0)&gt;0,IF(SUBTOTAL(109,OFFSET(BE$14:OFFSET(BE95,-1,0),ROW(BE$14:OFFSET(BE95,-1,0))-MIN(ROW(BE$14:OFFSET(BE95,-1,0))),0,1))&gt;0,BE$14:OFFSET(BE95,-1,0))))</f>
        <v>4537812.4988000002</v>
      </c>
      <c r="BF98" s="102">
        <f t="shared" ca="1" si="112"/>
        <v>-28713678.984800003</v>
      </c>
      <c r="BG98" s="104">
        <f t="shared" ca="1" si="113"/>
        <v>-28713678.984800003</v>
      </c>
      <c r="BH98" s="102">
        <f t="array" aca="1" ref="BH98" ca="1">MIN(IF(BH$14:OFFSET(BH95,-1,0)&gt;0,IF(SUBTOTAL(109,OFFSET(BH$14:OFFSET(BH95,-1,0),ROW(BH$14:OFFSET(BH95,-1,0))-MIN(ROW(BH$14:OFFSET(BH95,-1,0))),0,1))&gt;0,BH$14:OFFSET(BH95,-1,0))))</f>
        <v>18251491.483600002</v>
      </c>
      <c r="BI98" s="102">
        <f t="array" aca="1" ref="BI98" ca="1">MIN(IF(BI$14:OFFSET(BI95,-1,0)&gt;0,IF(SUBTOTAL(109,OFFSET(BI$14:OFFSET(BI95,-1,0),ROW(BI$14:OFFSET(BI95,-1,0))-MIN(ROW(BI$14:OFFSET(BI95,-1,0))),0,1))&gt;0,BI$14:OFFSET(BI95,-1,0))))</f>
        <v>16049726.5821</v>
      </c>
      <c r="BJ98" s="102">
        <f t="shared" ca="1" si="114"/>
        <v>-2201764.9015000015</v>
      </c>
      <c r="BK98" s="104">
        <f t="shared" ca="1" si="115"/>
        <v>-2201764.9015000015</v>
      </c>
      <c r="BL98" s="102">
        <f t="array" aca="1" ref="BL98" ca="1">MIN(IF(BL$14:OFFSET(BL95,-1,0)&gt;0,IF(SUBTOTAL(109,OFFSET(BL$14:OFFSET(BL95,-1,0),ROW(BL$14:OFFSET(BL95,-1,0))-MIN(ROW(BL$14:OFFSET(BL95,-1,0))),0,1))&gt;0,BL$14:OFFSET(BL95,-1,0))))</f>
        <v>33265390.145100001</v>
      </c>
      <c r="BM98" s="102">
        <f t="array" aca="1" ref="BM98" ca="1">MIN(IF(BM$14:OFFSET(BM95,-1,0)&gt;0,IF(SUBTOTAL(109,OFFSET(BM$14:OFFSET(BM95,-1,0),ROW(BM$14:OFFSET(BM95,-1,0))-MIN(ROW(BM$14:OFFSET(BM95,-1,0))),0,1))&gt;0,BM$14:OFFSET(BM95,-1,0))))</f>
        <v>4537812.4988000002</v>
      </c>
      <c r="BN98" s="102">
        <f t="shared" ca="1" si="116"/>
        <v>-28727577.646300003</v>
      </c>
      <c r="BO98" s="104">
        <f t="shared" ca="1" si="117"/>
        <v>-28727577.646300003</v>
      </c>
      <c r="BP98" s="102">
        <f t="array" aca="1" ref="BP98" ca="1">MIN(IF(BP$14:OFFSET(BP95,-1,0)&gt;0,IF(SUBTOTAL(109,OFFSET(BP$14:OFFSET(BP95,-1,0),ROW(BP$14:OFFSET(BP95,-1,0))-MIN(ROW(BP$14:OFFSET(BP95,-1,0))),0,1))&gt;0,BP$14:OFFSET(BP95,-1,0))))</f>
        <v>18265390.145100001</v>
      </c>
      <c r="BQ98" s="102">
        <f t="array" aca="1" ref="BQ98" ca="1">MIN(IF(BQ$14:OFFSET(BQ95,-1,0)&gt;0,IF(SUBTOTAL(109,OFFSET(BQ$14:OFFSET(BQ95,-1,0),ROW(BQ$14:OFFSET(BQ95,-1,0))-MIN(ROW(BQ$14:OFFSET(BQ95,-1,0))),0,1))&gt;0,BQ$14:OFFSET(BQ95,-1,0))))</f>
        <v>16049726.582099997</v>
      </c>
      <c r="BR98" s="102">
        <f t="shared" ca="1" si="118"/>
        <v>-2215663.5630000047</v>
      </c>
      <c r="BS98" s="104">
        <f t="shared" ca="1" si="119"/>
        <v>-2215663.5630000047</v>
      </c>
    </row>
    <row r="99" spans="1:72" x14ac:dyDescent="0.25">
      <c r="A99" s="98" t="s">
        <v>15</v>
      </c>
      <c r="B99" s="107"/>
      <c r="C99" s="107"/>
      <c r="D99" s="102"/>
      <c r="E99" s="106" t="s">
        <v>21</v>
      </c>
      <c r="F99" s="102" t="s">
        <v>23</v>
      </c>
      <c r="G99" s="103" t="s">
        <v>17</v>
      </c>
      <c r="H99" s="108">
        <f t="array" aca="1" ref="H99" ca="1">COUNT(IF(H$14:OFFSET(H95,-1,0)&gt;0,IF(SUBTOTAL(109,OFFSET(H$14:OFFSET(H95,-1,0),ROW(H$14:OFFSET(H95,-1,0))-MIN(ROW(H$14:OFFSET(H95,-1,0))),0,1))&gt;0,H$14:OFFSET(H95,-1,0))))</f>
        <v>62</v>
      </c>
      <c r="I99" s="108">
        <f t="array" aca="1" ref="I99" ca="1">COUNT(IF(I$14:OFFSET(I95,-1,0)&gt;0,IF(SUBTOTAL(109,OFFSET(I$14:OFFSET(I95,-1,0),ROW(I$14:OFFSET(I95,-1,0))-MIN(ROW(I$14:OFFSET(I95,-1,0))),0,1))&gt;0,I$14:OFFSET(I95,-1,0))))</f>
        <v>62</v>
      </c>
      <c r="J99" s="102">
        <f t="shared" ca="1" si="88"/>
        <v>0</v>
      </c>
      <c r="K99" s="104">
        <f t="shared" ca="1" si="89"/>
        <v>0</v>
      </c>
      <c r="L99" s="108">
        <f t="array" aca="1" ref="L99" ca="1">COUNT(IF(L$14:OFFSET(L95,-1,0)&gt;0,IF(SUBTOTAL(109,OFFSET(L$14:OFFSET(L95,-1,0),ROW(L$14:OFFSET(L95,-1,0))-MIN(ROW(L$14:OFFSET(L95,-1,0))),0,1))&gt;0,L$14:OFFSET(L95,-1,0))))</f>
        <v>0</v>
      </c>
      <c r="M99" s="108">
        <f t="array" aca="1" ref="M99" ca="1">COUNT(IF(M$14:OFFSET(M95,-1,0)&gt;0,IF(SUBTOTAL(109,OFFSET(M$14:OFFSET(M95,-1,0),ROW(M$14:OFFSET(M95,-1,0))-MIN(ROW(M$14:OFFSET(M95,-1,0))),0,1))&gt;0,M$14:OFFSET(M95,-1,0))))</f>
        <v>0</v>
      </c>
      <c r="N99" s="102">
        <f t="shared" ca="1" si="90"/>
        <v>0</v>
      </c>
      <c r="O99" s="104">
        <f t="shared" ca="1" si="91"/>
        <v>0</v>
      </c>
      <c r="P99" s="108">
        <f t="array" aca="1" ref="P99" ca="1">COUNT(IF(P$14:OFFSET(P95,-1,0)&gt;0,IF(SUBTOTAL(109,OFFSET(P$14:OFFSET(P95,-1,0),ROW(P$14:OFFSET(P95,-1,0))-MIN(ROW(P$14:OFFSET(P95,-1,0))),0,1))&gt;0,P$14:OFFSET(P95,-1,0))))</f>
        <v>62</v>
      </c>
      <c r="Q99" s="108">
        <f t="array" aca="1" ref="Q99" ca="1">COUNT(IF(Q$14:OFFSET(Q95,-1,0)&gt;0,IF(SUBTOTAL(109,OFFSET(Q$14:OFFSET(Q95,-1,0),ROW(Q$14:OFFSET(Q95,-1,0))-MIN(ROW(Q$14:OFFSET(Q95,-1,0))),0,1))&gt;0,Q$14:OFFSET(Q95,-1,0))))</f>
        <v>62</v>
      </c>
      <c r="R99" s="102">
        <f t="shared" ca="1" si="92"/>
        <v>0</v>
      </c>
      <c r="S99" s="104">
        <f t="shared" ca="1" si="93"/>
        <v>0</v>
      </c>
      <c r="T99" s="108">
        <f t="array" aca="1" ref="T99" ca="1">COUNT(IF(T$14:OFFSET(T95,-1,0)&gt;0,IF(SUBTOTAL(109,OFFSET(T$14:OFFSET(T95,-1,0),ROW(T$14:OFFSET(T95,-1,0))-MIN(ROW(T$14:OFFSET(T95,-1,0))),0,1))&gt;0,T$14:OFFSET(T95,-1,0))))</f>
        <v>19</v>
      </c>
      <c r="U99" s="108">
        <f t="array" aca="1" ref="U99" ca="1">COUNT(IF(U$14:OFFSET(U95,-1,0)&gt;0,IF(SUBTOTAL(109,OFFSET(U$14:OFFSET(U95,-1,0),ROW(U$14:OFFSET(U95,-1,0))-MIN(ROW(U$14:OFFSET(U95,-1,0))),0,1))&gt;0,U$14:OFFSET(U95,-1,0))))</f>
        <v>5</v>
      </c>
      <c r="V99" s="102">
        <f t="shared" ca="1" si="94"/>
        <v>-14</v>
      </c>
      <c r="W99" s="104">
        <f t="shared" ca="1" si="95"/>
        <v>-14</v>
      </c>
      <c r="X99" s="108">
        <f t="array" aca="1" ref="X99" ca="1">COUNT(IF(X$14:OFFSET(X95,-1,0)&gt;0,IF(SUBTOTAL(109,OFFSET(X$14:OFFSET(X95,-1,0),ROW(X$14:OFFSET(X95,-1,0))-MIN(ROW(X$14:OFFSET(X95,-1,0))),0,1))&gt;0,X$14:OFFSET(X95,-1,0))))</f>
        <v>62</v>
      </c>
      <c r="Y99" s="108">
        <f t="array" aca="1" ref="Y99" ca="1">COUNT(IF(Y$14:OFFSET(Y95,-1,0)&gt;0,IF(SUBTOTAL(109,OFFSET(Y$14:OFFSET(Y95,-1,0),ROW(Y$14:OFFSET(Y95,-1,0))-MIN(ROW(Y$14:OFFSET(Y95,-1,0))),0,1))&gt;0,Y$14:OFFSET(Y95,-1,0))))</f>
        <v>62</v>
      </c>
      <c r="Z99" s="102">
        <f t="shared" ca="1" si="96"/>
        <v>0</v>
      </c>
      <c r="AA99" s="104">
        <f t="shared" ca="1" si="97"/>
        <v>0</v>
      </c>
      <c r="AB99" s="108">
        <f t="array" aca="1" ref="AB99" ca="1">COUNT(IF(AB$14:OFFSET(AB95,-1,0)&gt;0,IF(SUBTOTAL(109,OFFSET(AB$14:OFFSET(AB95,-1,0),ROW(AB$14:OFFSET(AB95,-1,0))-MIN(ROW(AB$14:OFFSET(AB95,-1,0))),0,1))&gt;0,AB$14:OFFSET(AB95,-1,0))))</f>
        <v>58</v>
      </c>
      <c r="AC99" s="108">
        <f t="array" aca="1" ref="AC99" ca="1">COUNT(IF(AC$14:OFFSET(AC95,-1,0)&gt;0,IF(SUBTOTAL(109,OFFSET(AC$14:OFFSET(AC95,-1,0),ROW(AC$14:OFFSET(AC95,-1,0))-MIN(ROW(AC$14:OFFSET(AC95,-1,0))),0,1))&gt;0,AC$14:OFFSET(AC95,-1,0))))</f>
        <v>56</v>
      </c>
      <c r="AD99" s="102">
        <f t="shared" ca="1" si="98"/>
        <v>-2</v>
      </c>
      <c r="AE99" s="104">
        <f t="shared" ca="1" si="99"/>
        <v>-2</v>
      </c>
      <c r="AF99" s="108">
        <f t="array" aca="1" ref="AF99" ca="1">COUNT(IF(AF$14:OFFSET(AF95,-1,0)&gt;0,IF(SUBTOTAL(109,OFFSET(AF$14:OFFSET(AF95,-1,0),ROW(AF$14:OFFSET(AF95,-1,0))-MIN(ROW(AF$14:OFFSET(AF95,-1,0))),0,1))&gt;0,AF$14:OFFSET(AF95,-1,0))))</f>
        <v>62</v>
      </c>
      <c r="AG99" s="108">
        <f t="array" aca="1" ref="AG99" ca="1">COUNT(IF(AG$14:OFFSET(AG95,-1,0)&gt;0,IF(SUBTOTAL(109,OFFSET(AG$14:OFFSET(AG95,-1,0),ROW(AG$14:OFFSET(AG95,-1,0))-MIN(ROW(AG$14:OFFSET(AG95,-1,0))),0,1))&gt;0,AG$14:OFFSET(AG95,-1,0))))</f>
        <v>62</v>
      </c>
      <c r="AH99" s="102">
        <f t="shared" ca="1" si="100"/>
        <v>0</v>
      </c>
      <c r="AI99" s="104">
        <f t="shared" ca="1" si="101"/>
        <v>0</v>
      </c>
      <c r="AJ99" s="108">
        <f t="array" aca="1" ref="AJ99" ca="1">COUNT(IF(AJ$14:OFFSET(AJ95,-1,0)&gt;0,IF(SUBTOTAL(109,OFFSET(AJ$14:OFFSET(AJ95,-1,0),ROW(AJ$14:OFFSET(AJ95,-1,0))-MIN(ROW(AJ$14:OFFSET(AJ95,-1,0))),0,1))&gt;0,AJ$14:OFFSET(AJ95,-1,0))))</f>
        <v>62</v>
      </c>
      <c r="AK99" s="108">
        <f t="array" aca="1" ref="AK99" ca="1">COUNT(IF(AK$14:OFFSET(AK95,-1,0)&gt;0,IF(SUBTOTAL(109,OFFSET(AK$14:OFFSET(AK95,-1,0),ROW(AK$14:OFFSET(AK95,-1,0))-MIN(ROW(AK$14:OFFSET(AK95,-1,0))),0,1))&gt;0,AK$14:OFFSET(AK95,-1,0))))</f>
        <v>60</v>
      </c>
      <c r="AL99" s="102">
        <f t="shared" ca="1" si="102"/>
        <v>-2</v>
      </c>
      <c r="AM99" s="104">
        <f t="shared" ca="1" si="103"/>
        <v>-2</v>
      </c>
      <c r="AN99" s="108">
        <f t="array" aca="1" ref="AN99" ca="1">COUNT(IF(AN$14:OFFSET(AN95,-1,0)&gt;0,IF(SUBTOTAL(109,OFFSET(AN$14:OFFSET(AN95,-1,0),ROW(AN$14:OFFSET(AN95,-1,0))-MIN(ROW(AN$14:OFFSET(AN95,-1,0))),0,1))&gt;0,AN$14:OFFSET(AN95,-1,0))))</f>
        <v>62</v>
      </c>
      <c r="AO99" s="108">
        <f t="array" aca="1" ref="AO99" ca="1">COUNT(IF(AO$14:OFFSET(AO95,-1,0)&gt;0,IF(SUBTOTAL(109,OFFSET(AO$14:OFFSET(AO95,-1,0),ROW(AO$14:OFFSET(AO95,-1,0))-MIN(ROW(AO$14:OFFSET(AO95,-1,0))),0,1))&gt;0,AO$14:OFFSET(AO95,-1,0))))</f>
        <v>62</v>
      </c>
      <c r="AP99" s="102">
        <f t="shared" ca="1" si="104"/>
        <v>0</v>
      </c>
      <c r="AQ99" s="104">
        <f t="shared" ca="1" si="105"/>
        <v>0</v>
      </c>
      <c r="AR99" s="108">
        <f t="array" aca="1" ref="AR99" ca="1">COUNT(IF(AR$14:OFFSET(AR95,-1,0)&gt;0,IF(SUBTOTAL(109,OFFSET(AR$14:OFFSET(AR95,-1,0),ROW(AR$14:OFFSET(AR95,-1,0))-MIN(ROW(AR$14:OFFSET(AR95,-1,0))),0,1))&gt;0,AR$14:OFFSET(AR95,-1,0))))</f>
        <v>62</v>
      </c>
      <c r="AS99" s="108">
        <f t="array" aca="1" ref="AS99" ca="1">COUNT(IF(AS$14:OFFSET(AS95,-1,0)&gt;0,IF(SUBTOTAL(109,OFFSET(AS$14:OFFSET(AS95,-1,0),ROW(AS$14:OFFSET(AS95,-1,0))-MIN(ROW(AS$14:OFFSET(AS95,-1,0))),0,1))&gt;0,AS$14:OFFSET(AS95,-1,0))))</f>
        <v>60</v>
      </c>
      <c r="AT99" s="102">
        <f t="shared" ca="1" si="106"/>
        <v>-2</v>
      </c>
      <c r="AU99" s="104">
        <f t="shared" ca="1" si="107"/>
        <v>-2</v>
      </c>
      <c r="AV99" s="108">
        <f t="array" aca="1" ref="AV99" ca="1">COUNT(IF(AV$14:OFFSET(AV95,-1,0)&gt;0,IF(SUBTOTAL(109,OFFSET(AV$14:OFFSET(AV95,-1,0),ROW(AV$14:OFFSET(AV95,-1,0))-MIN(ROW(AV$14:OFFSET(AV95,-1,0))),0,1))&gt;0,AV$14:OFFSET(AV95,-1,0))))</f>
        <v>62</v>
      </c>
      <c r="AW99" s="108">
        <f t="array" aca="1" ref="AW99" ca="1">COUNT(IF(AW$14:OFFSET(AW95,-1,0)&gt;0,IF(SUBTOTAL(109,OFFSET(AW$14:OFFSET(AW95,-1,0),ROW(AW$14:OFFSET(AW95,-1,0))-MIN(ROW(AW$14:OFFSET(AW95,-1,0))),0,1))&gt;0,AW$14:OFFSET(AW95,-1,0))))</f>
        <v>62</v>
      </c>
      <c r="AX99" s="102">
        <f t="shared" ca="1" si="108"/>
        <v>0</v>
      </c>
      <c r="AY99" s="104">
        <f t="shared" ca="1" si="109"/>
        <v>0</v>
      </c>
      <c r="AZ99" s="108">
        <f t="array" aca="1" ref="AZ99" ca="1">COUNT(IF(AZ$14:OFFSET(AZ95,-1,0)&gt;0,IF(SUBTOTAL(109,OFFSET(AZ$14:OFFSET(AZ95,-1,0),ROW(AZ$14:OFFSET(AZ95,-1,0))-MIN(ROW(AZ$14:OFFSET(AZ95,-1,0))),0,1))&gt;0,AZ$14:OFFSET(AZ95,-1,0))))</f>
        <v>62</v>
      </c>
      <c r="BA99" s="108">
        <f t="array" aca="1" ref="BA99" ca="1">COUNT(IF(BA$14:OFFSET(BA95,-1,0)&gt;0,IF(SUBTOTAL(109,OFFSET(BA$14:OFFSET(BA95,-1,0),ROW(BA$14:OFFSET(BA95,-1,0))-MIN(ROW(BA$14:OFFSET(BA95,-1,0))),0,1))&gt;0,BA$14:OFFSET(BA95,-1,0))))</f>
        <v>61</v>
      </c>
      <c r="BB99" s="102">
        <f t="shared" ca="1" si="110"/>
        <v>-1</v>
      </c>
      <c r="BC99" s="104">
        <f t="shared" ca="1" si="111"/>
        <v>-1</v>
      </c>
      <c r="BD99" s="108">
        <f t="array" aca="1" ref="BD99" ca="1">COUNT(IF(BD$14:OFFSET(BD95,-1,0)&gt;0,IF(SUBTOTAL(109,OFFSET(BD$14:OFFSET(BD95,-1,0),ROW(BD$14:OFFSET(BD95,-1,0))-MIN(ROW(BD$14:OFFSET(BD95,-1,0))),0,1))&gt;0,BD$14:OFFSET(BD95,-1,0))))</f>
        <v>62</v>
      </c>
      <c r="BE99" s="108">
        <f t="array" aca="1" ref="BE99" ca="1">COUNT(IF(BE$14:OFFSET(BE95,-1,0)&gt;0,IF(SUBTOTAL(109,OFFSET(BE$14:OFFSET(BE95,-1,0),ROW(BE$14:OFFSET(BE95,-1,0))-MIN(ROW(BE$14:OFFSET(BE95,-1,0))),0,1))&gt;0,BE$14:OFFSET(BE95,-1,0))))</f>
        <v>62</v>
      </c>
      <c r="BF99" s="102">
        <f t="shared" ca="1" si="112"/>
        <v>0</v>
      </c>
      <c r="BG99" s="104">
        <f t="shared" ca="1" si="113"/>
        <v>0</v>
      </c>
      <c r="BH99" s="108">
        <f t="array" aca="1" ref="BH99" ca="1">COUNT(IF(BH$14:OFFSET(BH95,-1,0)&gt;0,IF(SUBTOTAL(109,OFFSET(BH$14:OFFSET(BH95,-1,0),ROW(BH$14:OFFSET(BH95,-1,0))-MIN(ROW(BH$14:OFFSET(BH95,-1,0))),0,1))&gt;0,BH$14:OFFSET(BH95,-1,0))))</f>
        <v>62</v>
      </c>
      <c r="BI99" s="108">
        <f t="array" aca="1" ref="BI99" ca="1">COUNT(IF(BI$14:OFFSET(BI95,-1,0)&gt;0,IF(SUBTOTAL(109,OFFSET(BI$14:OFFSET(BI95,-1,0),ROW(BI$14:OFFSET(BI95,-1,0))-MIN(ROW(BI$14:OFFSET(BI95,-1,0))),0,1))&gt;0,BI$14:OFFSET(BI95,-1,0))))</f>
        <v>61</v>
      </c>
      <c r="BJ99" s="102">
        <f t="shared" ca="1" si="114"/>
        <v>-1</v>
      </c>
      <c r="BK99" s="104">
        <f t="shared" ca="1" si="115"/>
        <v>-1</v>
      </c>
      <c r="BL99" s="108">
        <f t="array" aca="1" ref="BL99" ca="1">COUNT(IF(BL$14:OFFSET(BL95,-1,0)&gt;0,IF(SUBTOTAL(109,OFFSET(BL$14:OFFSET(BL95,-1,0),ROW(BL$14:OFFSET(BL95,-1,0))-MIN(ROW(BL$14:OFFSET(BL95,-1,0))),0,1))&gt;0,BL$14:OFFSET(BL95,-1,0))))</f>
        <v>62</v>
      </c>
      <c r="BM99" s="108">
        <f t="array" aca="1" ref="BM99" ca="1">COUNT(IF(BM$14:OFFSET(BM95,-1,0)&gt;0,IF(SUBTOTAL(109,OFFSET(BM$14:OFFSET(BM95,-1,0),ROW(BM$14:OFFSET(BM95,-1,0))-MIN(ROW(BM$14:OFFSET(BM95,-1,0))),0,1))&gt;0,BM$14:OFFSET(BM95,-1,0))))</f>
        <v>62</v>
      </c>
      <c r="BN99" s="102">
        <f t="shared" ca="1" si="116"/>
        <v>0</v>
      </c>
      <c r="BO99" s="104">
        <f t="shared" ca="1" si="117"/>
        <v>0</v>
      </c>
      <c r="BP99" s="108">
        <f t="array" aca="1" ref="BP99" ca="1">COUNT(IF(BP$14:OFFSET(BP95,-1,0)&gt;0,IF(SUBTOTAL(109,OFFSET(BP$14:OFFSET(BP95,-1,0),ROW(BP$14:OFFSET(BP95,-1,0))-MIN(ROW(BP$14:OFFSET(BP95,-1,0))),0,1))&gt;0,BP$14:OFFSET(BP95,-1,0))))</f>
        <v>62</v>
      </c>
      <c r="BQ99" s="108">
        <f t="array" aca="1" ref="BQ99" ca="1">COUNT(IF(BQ$14:OFFSET(BQ95,-1,0)&gt;0,IF(SUBTOTAL(109,OFFSET(BQ$14:OFFSET(BQ95,-1,0),ROW(BQ$14:OFFSET(BQ95,-1,0))-MIN(ROW(BQ$14:OFFSET(BQ95,-1,0))),0,1))&gt;0,BQ$14:OFFSET(BQ95,-1,0))))</f>
        <v>61</v>
      </c>
      <c r="BR99" s="102">
        <f t="shared" ca="1" si="118"/>
        <v>-1</v>
      </c>
      <c r="BS99" s="104">
        <f t="shared" ca="1" si="119"/>
        <v>-1</v>
      </c>
    </row>
    <row r="100" spans="1:72" x14ac:dyDescent="0.25">
      <c r="A100" s="98" t="s">
        <v>15</v>
      </c>
      <c r="B100" s="98"/>
      <c r="C100" s="98"/>
      <c r="D100" s="109"/>
      <c r="E100" s="109"/>
      <c r="F100" s="109" t="s">
        <v>24</v>
      </c>
      <c r="G100" s="110" t="s">
        <v>17</v>
      </c>
      <c r="H100" s="109">
        <f ca="1">IF(H99=0,0,H95/H99)</f>
        <v>3564185.0572241936</v>
      </c>
      <c r="I100" s="109">
        <f ca="1">IF(I99=0,0,I95/I99)</f>
        <v>2301291.4230096778</v>
      </c>
      <c r="J100" s="109">
        <f t="shared" ca="1" si="88"/>
        <v>-1262893.6342145158</v>
      </c>
      <c r="K100" s="111">
        <f t="shared" ca="1" si="89"/>
        <v>-1262893.6342145158</v>
      </c>
      <c r="L100" s="109">
        <f ca="1">IF(L99=0,0,L95/L99)</f>
        <v>0</v>
      </c>
      <c r="M100" s="109">
        <f ca="1">IF(M99=0,0,M95/M99)</f>
        <v>0</v>
      </c>
      <c r="N100" s="109">
        <f t="shared" ca="1" si="90"/>
        <v>0</v>
      </c>
      <c r="O100" s="111">
        <f t="shared" ca="1" si="91"/>
        <v>0</v>
      </c>
      <c r="P100" s="109">
        <f t="shared" ref="P100:Q100" ca="1" si="120">IF(P99=0,0,P95/P99)</f>
        <v>13745357.047661295</v>
      </c>
      <c r="Q100" s="109">
        <f t="shared" ca="1" si="120"/>
        <v>10547550.483322581</v>
      </c>
      <c r="R100" s="109">
        <f t="shared" ca="1" si="92"/>
        <v>-3197806.5643387139</v>
      </c>
      <c r="S100" s="111">
        <f t="shared" ca="1" si="93"/>
        <v>-3197806.5643387139</v>
      </c>
      <c r="T100" s="109">
        <f t="shared" ref="T100:U100" ca="1" si="121">IF(T99=0,0,T95/T99)</f>
        <v>3068002.9639210515</v>
      </c>
      <c r="U100" s="109">
        <f t="shared" ca="1" si="121"/>
        <v>4087615.2613400035</v>
      </c>
      <c r="V100" s="109">
        <f t="shared" ca="1" si="94"/>
        <v>1019612.297418952</v>
      </c>
      <c r="W100" s="111">
        <f t="shared" ca="1" si="95"/>
        <v>1019612.297418952</v>
      </c>
      <c r="X100" s="109">
        <f t="shared" ref="X100:Y100" ca="1" si="122">IF(X99=0,0,X95/X99)</f>
        <v>25065799.055230629</v>
      </c>
      <c r="Y100" s="109">
        <f t="shared" ca="1" si="122"/>
        <v>20359704.815687098</v>
      </c>
      <c r="Z100" s="109">
        <f t="shared" ca="1" si="96"/>
        <v>-4706094.2395435311</v>
      </c>
      <c r="AA100" s="111">
        <f t="shared" ca="1" si="97"/>
        <v>-4706094.2395435311</v>
      </c>
      <c r="AB100" s="109">
        <f t="shared" ref="AB100:AC100" ca="1" si="123">IF(AB99=0,0,AB95/AB99)</f>
        <v>10875826.141270686</v>
      </c>
      <c r="AC100" s="109">
        <f t="shared" ca="1" si="123"/>
        <v>6400259.589310714</v>
      </c>
      <c r="AD100" s="109">
        <f t="shared" ca="1" si="98"/>
        <v>-4475566.5519599719</v>
      </c>
      <c r="AE100" s="111">
        <f t="shared" ca="1" si="99"/>
        <v>-4475566.5519599719</v>
      </c>
      <c r="AF100" s="109">
        <f t="shared" ref="AF100:AG100" ca="1" si="124">IF(AF99=0,0,AF95/AF99)</f>
        <v>36230936.288958073</v>
      </c>
      <c r="AG100" s="109">
        <f t="shared" ca="1" si="124"/>
        <v>30180416.612466123</v>
      </c>
      <c r="AH100" s="109">
        <f t="shared" ca="1" si="100"/>
        <v>-6050519.6764919497</v>
      </c>
      <c r="AI100" s="111">
        <f t="shared" ca="1" si="101"/>
        <v>-6050519.6764919497</v>
      </c>
      <c r="AJ100" s="109">
        <f t="shared" ref="AJ100:AK100" ca="1" si="125">IF(AJ99=0,0,AJ95/AJ99)</f>
        <v>21230936.288958061</v>
      </c>
      <c r="AK100" s="109">
        <f t="shared" ca="1" si="125"/>
        <v>16011398.838718334</v>
      </c>
      <c r="AL100" s="109">
        <f t="shared" ca="1" si="102"/>
        <v>-5219537.4502397273</v>
      </c>
      <c r="AM100" s="111">
        <f t="shared" ca="1" si="103"/>
        <v>-5219537.4502397273</v>
      </c>
      <c r="AN100" s="109">
        <f t="shared" ref="AN100:AO100" ca="1" si="126">IF(AN99=0,0,AN95/AN99)</f>
        <v>56565069.855066136</v>
      </c>
      <c r="AO100" s="109">
        <f t="shared" ca="1" si="126"/>
        <v>48705869.195554823</v>
      </c>
      <c r="AP100" s="109">
        <f t="shared" ca="1" si="104"/>
        <v>-7859200.6595113128</v>
      </c>
      <c r="AQ100" s="111">
        <f t="shared" ca="1" si="105"/>
        <v>-7859200.6595113128</v>
      </c>
      <c r="AR100" s="109">
        <f t="shared" ref="AR100:AS100" ca="1" si="127">IF(AR99=0,0,AR95/AR99)</f>
        <v>41565069.855066136</v>
      </c>
      <c r="AS100" s="109">
        <f t="shared" ca="1" si="127"/>
        <v>35018700.264605001</v>
      </c>
      <c r="AT100" s="109">
        <f t="shared" ca="1" si="106"/>
        <v>-6546369.5904611349</v>
      </c>
      <c r="AU100" s="111">
        <f t="shared" ca="1" si="107"/>
        <v>-6546369.5904611349</v>
      </c>
      <c r="AV100" s="109">
        <f t="shared" ref="AV100:AW100" ca="1" si="128">IF(AV99=0,0,AV95/AV99)</f>
        <v>70801175.486101598</v>
      </c>
      <c r="AW100" s="109">
        <f t="shared" ca="1" si="128"/>
        <v>61938388.30375164</v>
      </c>
      <c r="AX100" s="109">
        <f t="shared" ca="1" si="108"/>
        <v>-8862787.1823499575</v>
      </c>
      <c r="AY100" s="111">
        <f t="shared" ca="1" si="109"/>
        <v>-8862787.1823499575</v>
      </c>
      <c r="AZ100" s="109">
        <f t="shared" ref="AZ100:BA100" ca="1" si="129">IF(AZ99=0,0,AZ95/AZ99)</f>
        <v>55801175.486101605</v>
      </c>
      <c r="BA100" s="109">
        <f t="shared" ca="1" si="129"/>
        <v>47879381.34973444</v>
      </c>
      <c r="BB100" s="109">
        <f t="shared" ca="1" si="110"/>
        <v>-7921794.1363671646</v>
      </c>
      <c r="BC100" s="111">
        <f t="shared" ca="1" si="111"/>
        <v>-7921794.1363671646</v>
      </c>
      <c r="BD100" s="109">
        <f t="shared" ref="BD100:BE100" ca="1" si="130">IF(BD99=0,0,BD95/BD99)</f>
        <v>78888062.075816125</v>
      </c>
      <c r="BE100" s="109">
        <f t="shared" ca="1" si="130"/>
        <v>69460983.805543527</v>
      </c>
      <c r="BF100" s="109">
        <f t="shared" ca="1" si="112"/>
        <v>-9427078.2702725977</v>
      </c>
      <c r="BG100" s="111">
        <f t="shared" ca="1" si="113"/>
        <v>-9427078.2702725977</v>
      </c>
      <c r="BH100" s="109">
        <f t="shared" ref="BH100:BI100" ca="1" si="131">IF(BH99=0,0,BH95/BH99)</f>
        <v>63888062.075816117</v>
      </c>
      <c r="BI100" s="109">
        <f t="shared" ca="1" si="131"/>
        <v>55525298.089260653</v>
      </c>
      <c r="BJ100" s="109">
        <f t="shared" ca="1" si="114"/>
        <v>-8362763.9865554646</v>
      </c>
      <c r="BK100" s="111">
        <f t="shared" ca="1" si="115"/>
        <v>-8362763.9865554646</v>
      </c>
      <c r="BL100" s="109">
        <f t="shared" ref="BL100:BM100" ca="1" si="132">IF(BL99=0,0,BL95/BL99)</f>
        <v>79855789.153077409</v>
      </c>
      <c r="BM100" s="109">
        <f t="shared" ca="1" si="132"/>
        <v>70362938.796679035</v>
      </c>
      <c r="BN100" s="109">
        <f t="shared" ca="1" si="116"/>
        <v>-9492850.3563983738</v>
      </c>
      <c r="BO100" s="111">
        <f t="shared" ca="1" si="117"/>
        <v>-9492850.3563983738</v>
      </c>
      <c r="BP100" s="109">
        <f t="shared" ref="BP100:BQ100" ca="1" si="133">IF(BP99=0,0,BP95/BP99)</f>
        <v>64855789.153077409</v>
      </c>
      <c r="BQ100" s="109">
        <f t="shared" ca="1" si="133"/>
        <v>56442039.227791801</v>
      </c>
      <c r="BR100" s="109">
        <f t="shared" ca="1" si="118"/>
        <v>-8413749.9252856076</v>
      </c>
      <c r="BS100" s="111">
        <f t="shared" ca="1" si="119"/>
        <v>-8413749.9252856076</v>
      </c>
    </row>
    <row r="101" spans="1:72" ht="13.8" thickBot="1" x14ac:dyDescent="0.3">
      <c r="A101" s="98" t="s">
        <v>15</v>
      </c>
      <c r="B101" s="98"/>
      <c r="C101" s="98"/>
      <c r="D101" s="112"/>
      <c r="E101" s="112"/>
      <c r="F101" s="112" t="s">
        <v>25</v>
      </c>
      <c r="G101" s="113" t="s">
        <v>17</v>
      </c>
      <c r="H101" s="114">
        <f ca="1">IF(H$12=0,0,H100/H$12)</f>
        <v>1.4256740228896775E-2</v>
      </c>
      <c r="I101" s="114">
        <f ca="1">IF(I$12=0,0,I100/I$12)</f>
        <v>9.2051656920387106E-3</v>
      </c>
      <c r="J101" s="115">
        <f ca="1">IFERROR(SUM(I101,-H101),"")</f>
        <v>-5.0515745368580646E-3</v>
      </c>
      <c r="K101" s="116">
        <f t="shared" ca="1" si="89"/>
        <v>-5.0515745368580646E-3</v>
      </c>
      <c r="L101" s="114"/>
      <c r="M101" s="114"/>
      <c r="N101" s="115"/>
      <c r="O101" s="116"/>
      <c r="P101" s="114">
        <f t="shared" ref="P101:Q101" ca="1" si="134">IF(P$12=0,0,P100/P$12)</f>
        <v>2.749071409532259E-2</v>
      </c>
      <c r="Q101" s="114">
        <f t="shared" ca="1" si="134"/>
        <v>2.1095100966645162E-2</v>
      </c>
      <c r="R101" s="115">
        <f t="shared" ref="R101" ca="1" si="135">IFERROR(SUM(Q101,-P101),"")</f>
        <v>-6.3956131286774277E-3</v>
      </c>
      <c r="S101" s="116">
        <f t="shared" ca="1" si="93"/>
        <v>-6.3956131286774277E-3</v>
      </c>
      <c r="T101" s="114"/>
      <c r="U101" s="114"/>
      <c r="V101" s="115"/>
      <c r="W101" s="116"/>
      <c r="X101" s="114">
        <f t="shared" ref="X101:Y101" ca="1" si="136">IF(X$12=0,0,X100/X$12)</f>
        <v>3.3421065406974169E-2</v>
      </c>
      <c r="Y101" s="114">
        <f t="shared" ca="1" si="136"/>
        <v>2.7146273087582797E-2</v>
      </c>
      <c r="Z101" s="115">
        <f t="shared" ref="Z101" ca="1" si="137">IFERROR(SUM(Y101,-X101),"")</f>
        <v>-6.2747923193913722E-3</v>
      </c>
      <c r="AA101" s="116">
        <f t="shared" ca="1" si="97"/>
        <v>-6.2747923193913722E-3</v>
      </c>
      <c r="AB101" s="114"/>
      <c r="AC101" s="114"/>
      <c r="AD101" s="115"/>
      <c r="AE101" s="116"/>
      <c r="AF101" s="114">
        <f t="shared" ref="AF101:AG101" ca="1" si="138">IF(AF$12=0,0,AF100/AF$12)</f>
        <v>3.6230936288958071E-2</v>
      </c>
      <c r="AG101" s="114">
        <f t="shared" ca="1" si="138"/>
        <v>3.0180416612466125E-2</v>
      </c>
      <c r="AH101" s="115">
        <f t="shared" ref="AH101" ca="1" si="139">IFERROR(SUM(AG101,-AF101),"")</f>
        <v>-6.0505196764919465E-3</v>
      </c>
      <c r="AI101" s="116">
        <f t="shared" ca="1" si="101"/>
        <v>-6.0505196764919465E-3</v>
      </c>
      <c r="AJ101" s="114"/>
      <c r="AK101" s="114"/>
      <c r="AL101" s="115"/>
      <c r="AM101" s="116"/>
      <c r="AN101" s="114">
        <f t="shared" ref="AN101:AO101" ca="1" si="140">IF(AN$12=0,0,AN100/AN$12)</f>
        <v>3.7710046570044092E-2</v>
      </c>
      <c r="AO101" s="114">
        <f t="shared" ca="1" si="140"/>
        <v>3.2470579463703214E-2</v>
      </c>
      <c r="AP101" s="115">
        <f t="shared" ref="AP101" ca="1" si="141">IFERROR(SUM(AO101,-AN101),"")</f>
        <v>-5.2394671063408782E-3</v>
      </c>
      <c r="AQ101" s="116">
        <f t="shared" ca="1" si="105"/>
        <v>-5.2394671063408782E-3</v>
      </c>
      <c r="AR101" s="114"/>
      <c r="AS101" s="114"/>
      <c r="AT101" s="115"/>
      <c r="AU101" s="116"/>
      <c r="AV101" s="114">
        <f t="shared" ref="AV101:AW101" ca="1" si="142">IF(AV$12=0,0,AV100/AV$12)</f>
        <v>3.5400587743050799E-2</v>
      </c>
      <c r="AW101" s="114">
        <f t="shared" ca="1" si="142"/>
        <v>3.0969194151875819E-2</v>
      </c>
      <c r="AX101" s="115">
        <f t="shared" ref="AX101" ca="1" si="143">IFERROR(SUM(AW101,-AV101),"")</f>
        <v>-4.4313935911749792E-3</v>
      </c>
      <c r="AY101" s="116">
        <f t="shared" ca="1" si="109"/>
        <v>-4.4313935911749792E-3</v>
      </c>
      <c r="AZ101" s="114"/>
      <c r="BA101" s="114"/>
      <c r="BB101" s="115"/>
      <c r="BC101" s="116"/>
      <c r="BD101" s="114">
        <f t="shared" ref="BD101:BE101" ca="1" si="144">IF(BD$12=0,0,BD100/BD$12)</f>
        <v>3.1555224830326453E-2</v>
      </c>
      <c r="BE101" s="114">
        <f t="shared" ca="1" si="144"/>
        <v>2.7784393522217409E-2</v>
      </c>
      <c r="BF101" s="115">
        <f t="shared" ref="BF101" ca="1" si="145">IFERROR(SUM(BE101,-BD101),"")</f>
        <v>-3.770831308109044E-3</v>
      </c>
      <c r="BG101" s="116">
        <f t="shared" ca="1" si="113"/>
        <v>-3.770831308109044E-3</v>
      </c>
      <c r="BH101" s="114"/>
      <c r="BI101" s="114"/>
      <c r="BJ101" s="115"/>
      <c r="BK101" s="116"/>
      <c r="BL101" s="114">
        <f t="shared" ref="BL101:BM101" ca="1" si="146">IF(BL$12=0,0,BL100/BL$12)</f>
        <v>2.6618596384359136E-2</v>
      </c>
      <c r="BM101" s="114">
        <f t="shared" ca="1" si="146"/>
        <v>2.3454312932226346E-2</v>
      </c>
      <c r="BN101" s="115">
        <f t="shared" ref="BN101" ca="1" si="147">IFERROR(SUM(BM101,-BL101),"")</f>
        <v>-3.1642834521327899E-3</v>
      </c>
      <c r="BO101" s="116">
        <f t="shared" ca="1" si="117"/>
        <v>-3.1642834521327899E-3</v>
      </c>
      <c r="BP101" s="114"/>
      <c r="BQ101" s="114"/>
      <c r="BR101" s="115"/>
      <c r="BS101" s="116"/>
    </row>
    <row r="102" spans="1:72" x14ac:dyDescent="0.25">
      <c r="A102" s="98" t="s">
        <v>15</v>
      </c>
      <c r="B102" s="98"/>
      <c r="C102" s="98"/>
      <c r="D102" s="117"/>
      <c r="E102" s="117"/>
      <c r="F102" s="117" t="s">
        <v>26</v>
      </c>
      <c r="G102" s="118" t="s">
        <v>17</v>
      </c>
      <c r="H102" s="119"/>
      <c r="I102" s="119"/>
      <c r="J102" s="120">
        <f ca="1">IF(H100=0,0,SUM(I100/H100,-1))</f>
        <v>-0.35432886170003308</v>
      </c>
      <c r="K102" s="121">
        <f ca="1">J102</f>
        <v>-0.35432886170003308</v>
      </c>
      <c r="L102" s="119"/>
      <c r="M102" s="119"/>
      <c r="N102" s="120">
        <f ca="1">IF(L100=0,0,SUM(M100/L100,-1))</f>
        <v>0</v>
      </c>
      <c r="O102" s="121">
        <f ca="1">N102</f>
        <v>0</v>
      </c>
      <c r="P102" s="119"/>
      <c r="Q102" s="119"/>
      <c r="R102" s="120">
        <f t="shared" ref="R102" ca="1" si="148">IF(P100=0,0,SUM(Q100/P100,-1))</f>
        <v>-0.23264630764049921</v>
      </c>
      <c r="S102" s="121">
        <f t="shared" ref="S102" ca="1" si="149">R102</f>
        <v>-0.23264630764049921</v>
      </c>
      <c r="T102" s="119"/>
      <c r="U102" s="119"/>
      <c r="V102" s="120">
        <f t="shared" ref="V102" ca="1" si="150">IF(T100=0,0,SUM(U100/T100,-1))</f>
        <v>0.33233745514894797</v>
      </c>
      <c r="W102" s="121">
        <f t="shared" ref="W102" ca="1" si="151">V102</f>
        <v>0.33233745514894797</v>
      </c>
      <c r="X102" s="119"/>
      <c r="Y102" s="119"/>
      <c r="Z102" s="120">
        <f t="shared" ref="Z102" ca="1" si="152">IF(X100=0,0,SUM(Y100/X100,-1))</f>
        <v>-0.18774961967795245</v>
      </c>
      <c r="AA102" s="121">
        <f t="shared" ref="AA102" ca="1" si="153">Z102</f>
        <v>-0.18774961967795245</v>
      </c>
      <c r="AB102" s="119"/>
      <c r="AC102" s="119"/>
      <c r="AD102" s="120">
        <f t="shared" ref="AD102" ca="1" si="154">IF(AB100=0,0,SUM(AC100/AB100,-1))</f>
        <v>-0.41151508803330916</v>
      </c>
      <c r="AE102" s="121">
        <f t="shared" ref="AE102" ca="1" si="155">AD102</f>
        <v>-0.41151508803330916</v>
      </c>
      <c r="AF102" s="119"/>
      <c r="AG102" s="119"/>
      <c r="AH102" s="120">
        <f t="shared" ref="AH102" ca="1" si="156">IF(AF100=0,0,SUM(AG100/AF100,-1))</f>
        <v>-0.16699871149440704</v>
      </c>
      <c r="AI102" s="121">
        <f t="shared" ref="AI102" ca="1" si="157">AH102</f>
        <v>-0.16699871149440704</v>
      </c>
      <c r="AJ102" s="119"/>
      <c r="AK102" s="119"/>
      <c r="AL102" s="120">
        <f t="shared" ref="AL102" ca="1" si="158">IF(AJ100=0,0,SUM(AK100/AJ100,-1))</f>
        <v>-0.2458458439703548</v>
      </c>
      <c r="AM102" s="121">
        <f t="shared" ref="AM102" ca="1" si="159">AL102</f>
        <v>-0.2458458439703548</v>
      </c>
      <c r="AN102" s="119"/>
      <c r="AO102" s="119"/>
      <c r="AP102" s="120">
        <f t="shared" ref="AP102" ca="1" si="160">IF(AN100=0,0,SUM(AO100/AN100,-1))</f>
        <v>-0.13894088135396199</v>
      </c>
      <c r="AQ102" s="121">
        <f t="shared" ref="AQ102" ca="1" si="161">AP102</f>
        <v>-0.13894088135396199</v>
      </c>
      <c r="AR102" s="119"/>
      <c r="AS102" s="119"/>
      <c r="AT102" s="120">
        <f t="shared" ref="AT102" ca="1" si="162">IF(AR100=0,0,SUM(AS100/AR100,-1))</f>
        <v>-0.15749689855659499</v>
      </c>
      <c r="AU102" s="121">
        <f t="shared" ref="AU102" ca="1" si="163">AT102</f>
        <v>-0.15749689855659499</v>
      </c>
      <c r="AV102" s="119"/>
      <c r="AW102" s="119"/>
      <c r="AX102" s="120">
        <f t="shared" ref="AX102" ca="1" si="164">IF(AV100=0,0,SUM(AW100/AV100,-1))</f>
        <v>-0.12517853159217307</v>
      </c>
      <c r="AY102" s="121">
        <f t="shared" ref="AY102" ca="1" si="165">AX102</f>
        <v>-0.12517853159217307</v>
      </c>
      <c r="AZ102" s="119"/>
      <c r="BA102" s="119"/>
      <c r="BB102" s="120">
        <f t="shared" ref="BB102" ca="1" si="166">IF(AZ100=0,0,SUM(BA100/AZ100,-1))</f>
        <v>-0.14196464621682114</v>
      </c>
      <c r="BC102" s="121">
        <f t="shared" ref="BC102" ca="1" si="167">BB102</f>
        <v>-0.14196464621682114</v>
      </c>
      <c r="BD102" s="119"/>
      <c r="BE102" s="119"/>
      <c r="BF102" s="120">
        <f t="shared" ref="BF102" ca="1" si="168">IF(BD100=0,0,SUM(BE100/BD100,-1))</f>
        <v>-0.11949942769810484</v>
      </c>
      <c r="BG102" s="121">
        <f t="shared" ref="BG102" ca="1" si="169">BF102</f>
        <v>-0.11949942769810484</v>
      </c>
      <c r="BH102" s="119"/>
      <c r="BI102" s="119"/>
      <c r="BJ102" s="120">
        <f t="shared" ref="BJ102" ca="1" si="170">IF(BH100=0,0,SUM(BI100/BH100,-1))</f>
        <v>-0.1308971303063059</v>
      </c>
      <c r="BK102" s="121">
        <f t="shared" ref="BK102" ca="1" si="171">BJ102</f>
        <v>-0.1308971303063059</v>
      </c>
      <c r="BL102" s="119"/>
      <c r="BM102" s="119"/>
      <c r="BN102" s="120">
        <f t="shared" ref="BN102" ca="1" si="172">IF(BL100=0,0,SUM(BM100/BL100,-1))</f>
        <v>-0.11887491761181279</v>
      </c>
      <c r="BO102" s="121">
        <f t="shared" ref="BO102" ca="1" si="173">BN102</f>
        <v>-0.11887491761181279</v>
      </c>
      <c r="BP102" s="119"/>
      <c r="BQ102" s="119"/>
      <c r="BR102" s="120">
        <f t="shared" ref="BR102" ca="1" si="174">IF(BP100=0,0,SUM(BQ100/BP100,-1))</f>
        <v>-0.12973012949432861</v>
      </c>
      <c r="BS102" s="121">
        <f t="shared" ref="BS102" ca="1" si="175">BR102</f>
        <v>-0.12973012949432861</v>
      </c>
    </row>
    <row r="103" spans="1:72" hidden="1" outlineLevel="1" x14ac:dyDescent="0.25">
      <c r="A103" s="122"/>
      <c r="B103" s="122"/>
      <c r="C103" s="122"/>
      <c r="D103" s="99"/>
      <c r="E103" s="99"/>
      <c r="F103" s="99" t="s">
        <v>27</v>
      </c>
      <c r="G103" s="100" t="s">
        <v>17</v>
      </c>
      <c r="H103" s="99"/>
      <c r="I103" s="99"/>
      <c r="J103" s="99">
        <f t="array" aca="1" ref="J103" ca="1">COUNT(IF(J$14:OFFSET(J95,-1,0)&gt;0,IF(SUBTOTAL(109,OFFSET(J$14:OFFSET(J95,-1,0),ROW(J$14:OFFSET(J95,-1,0))-MIN(ROW(J$14:OFFSET(J95,-1,0))),0,1))&gt;0,J$14:OFFSET(J95,-1,0))))</f>
        <v>4</v>
      </c>
      <c r="K103" s="123"/>
      <c r="L103" s="99"/>
      <c r="M103" s="99"/>
      <c r="N103" s="99">
        <f t="array" aca="1" ref="N103" ca="1">COUNT(IF(N$14:OFFSET(N95,-1,0)&gt;0,IF(SUBTOTAL(109,OFFSET(N$14:OFFSET(N95,-1,0),ROW(N$14:OFFSET(N95,-1,0))-MIN(ROW(N$14:OFFSET(N95,-1,0))),0,1))&gt;0,N$14:OFFSET(N95,-1,0))))</f>
        <v>0</v>
      </c>
      <c r="O103" s="123"/>
      <c r="P103" s="99"/>
      <c r="Q103" s="99"/>
      <c r="R103" s="99">
        <f t="array" aca="1" ref="R103" ca="1">COUNT(IF(R$14:OFFSET(R95,-1,0)&gt;0,IF(SUBTOTAL(109,OFFSET(R$14:OFFSET(R95,-1,0),ROW(R$14:OFFSET(R95,-1,0))-MIN(ROW(R$14:OFFSET(R95,-1,0))),0,1))&gt;0,R$14:OFFSET(R95,-1,0))))</f>
        <v>8</v>
      </c>
      <c r="S103" s="123"/>
      <c r="T103" s="99"/>
      <c r="U103" s="99"/>
      <c r="V103" s="99">
        <f t="array" aca="1" ref="V103" ca="1">COUNT(IF(V$14:OFFSET(V95,-1,0)&gt;0,IF(SUBTOTAL(109,OFFSET(V$14:OFFSET(V95,-1,0),ROW(V$14:OFFSET(V95,-1,0))-MIN(ROW(V$14:OFFSET(V95,-1,0))),0,1))&gt;0,V$14:OFFSET(V95,-1,0))))</f>
        <v>2</v>
      </c>
      <c r="W103" s="123"/>
      <c r="X103" s="99"/>
      <c r="Y103" s="99"/>
      <c r="Z103" s="99">
        <f t="array" aca="1" ref="Z103" ca="1">COUNT(IF(Z$14:OFFSET(Z95,-1,0)&gt;0,IF(SUBTOTAL(109,OFFSET(Z$14:OFFSET(Z95,-1,0),ROW(Z$14:OFFSET(Z95,-1,0))-MIN(ROW(Z$14:OFFSET(Z95,-1,0))),0,1))&gt;0,Z$14:OFFSET(Z95,-1,0))))</f>
        <v>9</v>
      </c>
      <c r="AA103" s="123"/>
      <c r="AB103" s="99"/>
      <c r="AC103" s="99"/>
      <c r="AD103" s="99">
        <f t="array" aca="1" ref="AD103" ca="1">COUNT(IF(AD$14:OFFSET(AD95,-1,0)&gt;0,IF(SUBTOTAL(109,OFFSET(AD$14:OFFSET(AD95,-1,0),ROW(AD$14:OFFSET(AD95,-1,0))-MIN(ROW(AD$14:OFFSET(AD95,-1,0))),0,1))&gt;0,AD$14:OFFSET(AD95,-1,0))))</f>
        <v>8</v>
      </c>
      <c r="AE103" s="123"/>
      <c r="AF103" s="99"/>
      <c r="AG103" s="99"/>
      <c r="AH103" s="99">
        <f t="array" aca="1" ref="AH103" ca="1">COUNT(IF(AH$14:OFFSET(AH95,-1,0)&gt;0,IF(SUBTOTAL(109,OFFSET(AH$14:OFFSET(AH95,-1,0),ROW(AH$14:OFFSET(AH95,-1,0))-MIN(ROW(AH$14:OFFSET(AH95,-1,0))),0,1))&gt;0,AH$14:OFFSET(AH95,-1,0))))</f>
        <v>11</v>
      </c>
      <c r="AI103" s="123"/>
      <c r="AJ103" s="99"/>
      <c r="AK103" s="99"/>
      <c r="AL103" s="99">
        <f t="array" aca="1" ref="AL103" ca="1">COUNT(IF(AL$14:OFFSET(AL95,-1,0)&gt;0,IF(SUBTOTAL(109,OFFSET(AL$14:OFFSET(AL95,-1,0),ROW(AL$14:OFFSET(AL95,-1,0))-MIN(ROW(AL$14:OFFSET(AL95,-1,0))),0,1))&gt;0,AL$14:OFFSET(AL95,-1,0))))</f>
        <v>11</v>
      </c>
      <c r="AM103" s="123"/>
      <c r="AN103" s="99"/>
      <c r="AO103" s="99"/>
      <c r="AP103" s="99">
        <f t="array" aca="1" ref="AP103" ca="1">COUNT(IF(AP$14:OFFSET(AP95,-1,0)&gt;0,IF(SUBTOTAL(109,OFFSET(AP$14:OFFSET(AP95,-1,0),ROW(AP$14:OFFSET(AP95,-1,0))-MIN(ROW(AP$14:OFFSET(AP95,-1,0))),0,1))&gt;0,AP$14:OFFSET(AP95,-1,0))))</f>
        <v>14</v>
      </c>
      <c r="AQ103" s="123"/>
      <c r="AR103" s="99"/>
      <c r="AS103" s="99"/>
      <c r="AT103" s="99">
        <f t="array" aca="1" ref="AT103" ca="1">COUNT(IF(AT$14:OFFSET(AT95,-1,0)&gt;0,IF(SUBTOTAL(109,OFFSET(AT$14:OFFSET(AT95,-1,0),ROW(AT$14:OFFSET(AT95,-1,0))-MIN(ROW(AT$14:OFFSET(AT95,-1,0))),0,1))&gt;0,AT$14:OFFSET(AT95,-1,0))))</f>
        <v>14</v>
      </c>
      <c r="AU103" s="123"/>
      <c r="AV103" s="99"/>
      <c r="AW103" s="99"/>
      <c r="AX103" s="99">
        <f t="array" aca="1" ref="AX103" ca="1">COUNT(IF(AX$14:OFFSET(AX95,-1,0)&gt;0,IF(SUBTOTAL(109,OFFSET(AX$14:OFFSET(AX95,-1,0),ROW(AX$14:OFFSET(AX95,-1,0))-MIN(ROW(AX$14:OFFSET(AX95,-1,0))),0,1))&gt;0,AX$14:OFFSET(AX95,-1,0))))</f>
        <v>15</v>
      </c>
      <c r="AY103" s="123"/>
      <c r="AZ103" s="99"/>
      <c r="BA103" s="99"/>
      <c r="BB103" s="99">
        <f t="array" aca="1" ref="BB103" ca="1">COUNT(IF(BB$14:OFFSET(BB95,-1,0)&gt;0,IF(SUBTOTAL(109,OFFSET(BB$14:OFFSET(BB95,-1,0),ROW(BB$14:OFFSET(BB95,-1,0))-MIN(ROW(BB$14:OFFSET(BB95,-1,0))),0,1))&gt;0,BB$14:OFFSET(BB95,-1,0))))</f>
        <v>15</v>
      </c>
      <c r="BC103" s="123"/>
      <c r="BD103" s="99"/>
      <c r="BE103" s="99"/>
      <c r="BF103" s="99">
        <f t="array" aca="1" ref="BF103" ca="1">COUNT(IF(BF$14:OFFSET(BF95,-1,0)&gt;0,IF(SUBTOTAL(109,OFFSET(BF$14:OFFSET(BF95,-1,0),ROW(BF$14:OFFSET(BF95,-1,0))-MIN(ROW(BF$14:OFFSET(BF95,-1,0))),0,1))&gt;0,BF$14:OFFSET(BF95,-1,0))))</f>
        <v>16</v>
      </c>
      <c r="BG103" s="123"/>
      <c r="BH103" s="99"/>
      <c r="BI103" s="99"/>
      <c r="BJ103" s="99">
        <f t="array" aca="1" ref="BJ103" ca="1">COUNT(IF(BJ$14:OFFSET(BJ95,-1,0)&gt;0,IF(SUBTOTAL(109,OFFSET(BJ$14:OFFSET(BJ95,-1,0),ROW(BJ$14:OFFSET(BJ95,-1,0))-MIN(ROW(BJ$14:OFFSET(BJ95,-1,0))),0,1))&gt;0,BJ$14:OFFSET(BJ95,-1,0))))</f>
        <v>16</v>
      </c>
      <c r="BK103" s="123"/>
      <c r="BL103" s="99"/>
      <c r="BM103" s="99"/>
      <c r="BN103" s="99">
        <f t="array" aca="1" ref="BN103" ca="1">COUNT(IF(BN$14:OFFSET(BN95,-1,0)&gt;0,IF(SUBTOTAL(109,OFFSET(BN$14:OFFSET(BN95,-1,0),ROW(BN$14:OFFSET(BN95,-1,0))-MIN(ROW(BN$14:OFFSET(BN95,-1,0))),0,1))&gt;0,BN$14:OFFSET(BN95,-1,0))))</f>
        <v>16</v>
      </c>
      <c r="BO103" s="123"/>
      <c r="BP103" s="99"/>
      <c r="BQ103" s="99"/>
      <c r="BR103" s="99">
        <f t="array" aca="1" ref="BR103" ca="1">COUNT(IF(BR$14:OFFSET(BR95,-1,0)&gt;0,IF(SUBTOTAL(109,OFFSET(BR$14:OFFSET(BR95,-1,0),ROW(BR$14:OFFSET(BR95,-1,0))-MIN(ROW(BR$14:OFFSET(BR95,-1,0))),0,1))&gt;0,BR$14:OFFSET(BR95,-1,0))))</f>
        <v>16</v>
      </c>
      <c r="BS103" s="123"/>
    </row>
    <row r="104" spans="1:72" hidden="1" outlineLevel="1" x14ac:dyDescent="0.25">
      <c r="A104" s="122"/>
      <c r="B104" s="122"/>
      <c r="C104" s="122"/>
      <c r="D104" s="102"/>
      <c r="E104" s="102"/>
      <c r="F104" s="102" t="s">
        <v>28</v>
      </c>
      <c r="G104" s="103" t="s">
        <v>17</v>
      </c>
      <c r="H104" s="102"/>
      <c r="I104" s="102"/>
      <c r="J104" s="102">
        <f t="array" aca="1" ref="J104" ca="1">SUM(IF(J$14:OFFSET(J95,-1,0)&gt;0,IF(SUBTOTAL(109,OFFSET(J$14:OFFSET(J95,-1,0),ROW(J$14:OFFSET(J95,-1,0))-MIN(ROW(J$14:OFFSET(J95,-1,0))),0,1))&gt;0,J$14:OFFSET(J95,-1,0))))</f>
        <v>3512367.4158000005</v>
      </c>
      <c r="K104" s="124"/>
      <c r="L104" s="102"/>
      <c r="M104" s="102"/>
      <c r="N104" s="102">
        <f t="array" aca="1" ref="N104" ca="1">SUM(IF(N$14:OFFSET(N95,-1,0)&gt;0,IF(SUBTOTAL(109,OFFSET(N$14:OFFSET(N95,-1,0),ROW(N$14:OFFSET(N95,-1,0))-MIN(ROW(N$14:OFFSET(N95,-1,0))),0,1))&gt;0,N$14:OFFSET(N95,-1,0))))</f>
        <v>0</v>
      </c>
      <c r="O104" s="124"/>
      <c r="P104" s="102"/>
      <c r="Q104" s="102"/>
      <c r="R104" s="102">
        <f t="array" aca="1" ref="R104" ca="1">SUM(IF(R$14:OFFSET(R95,-1,0)&gt;0,IF(SUBTOTAL(109,OFFSET(R$14:OFFSET(R95,-1,0),ROW(R$14:OFFSET(R95,-1,0))-MIN(ROW(R$14:OFFSET(R95,-1,0))),0,1))&gt;0,R$14:OFFSET(R95,-1,0))))</f>
        <v>9368828.6155000161</v>
      </c>
      <c r="S104" s="124"/>
      <c r="T104" s="102"/>
      <c r="U104" s="102"/>
      <c r="V104" s="102">
        <f t="array" aca="1" ref="V104" ca="1">SUM(IF(V$14:OFFSET(V95,-1,0)&gt;0,IF(SUBTOTAL(109,OFFSET(V$14:OFFSET(V95,-1,0),ROW(V$14:OFFSET(V95,-1,0))-MIN(ROW(V$14:OFFSET(V95,-1,0))),0,1))&gt;0,V$14:OFFSET(V95,-1,0))))</f>
        <v>1987995.4274000116</v>
      </c>
      <c r="W104" s="124"/>
      <c r="X104" s="102"/>
      <c r="Y104" s="102"/>
      <c r="Z104" s="102">
        <f t="array" aca="1" ref="Z104" ca="1">SUM(IF(Z$14:OFFSET(Z95,-1,0)&gt;0,IF(SUBTOTAL(109,OFFSET(Z$14:OFFSET(Z95,-1,0),ROW(Z$14:OFFSET(Z95,-1,0))-MIN(ROW(Z$14:OFFSET(Z95,-1,0))),0,1))&gt;0,Z$14:OFFSET(Z95,-1,0))))</f>
        <v>18745318.905000016</v>
      </c>
      <c r="AA104" s="124"/>
      <c r="AB104" s="102"/>
      <c r="AC104" s="102"/>
      <c r="AD104" s="102">
        <f t="array" aca="1" ref="AD104" ca="1">SUM(IF(AD$14:OFFSET(AD95,-1,0)&gt;0,IF(SUBTOTAL(109,OFFSET(AD$14:OFFSET(AD95,-1,0),ROW(AD$14:OFFSET(AD95,-1,0))-MIN(ROW(AD$14:OFFSET(AD95,-1,0))),0,1))&gt;0,AD$14:OFFSET(AD95,-1,0))))</f>
        <v>16214134.850600014</v>
      </c>
      <c r="AE104" s="124"/>
      <c r="AF104" s="102"/>
      <c r="AG104" s="102"/>
      <c r="AH104" s="102">
        <f t="array" aca="1" ref="AH104" ca="1">SUM(IF(AH$14:OFFSET(AH95,-1,0)&gt;0,IF(SUBTOTAL(109,OFFSET(AH$14:OFFSET(AH95,-1,0),ROW(AH$14:OFFSET(AH95,-1,0))-MIN(ROW(AH$14:OFFSET(AH95,-1,0))),0,1))&gt;0,AH$14:OFFSET(AH95,-1,0))))</f>
        <v>28360341.881200008</v>
      </c>
      <c r="AI104" s="124"/>
      <c r="AJ104" s="102"/>
      <c r="AK104" s="102"/>
      <c r="AL104" s="102">
        <f t="array" aca="1" ref="AL104" ca="1">SUM(IF(AL$14:OFFSET(AL95,-1,0)&gt;0,IF(SUBTOTAL(109,OFFSET(AL$14:OFFSET(AL95,-1,0),ROW(AL$14:OFFSET(AL95,-1,0))-MIN(ROW(AL$14:OFFSET(AL95,-1,0))),0,1))&gt;0,AL$14:OFFSET(AL95,-1,0))))</f>
        <v>28360341.881200008</v>
      </c>
      <c r="AM104" s="124"/>
      <c r="AN104" s="102"/>
      <c r="AO104" s="102"/>
      <c r="AP104" s="102">
        <f t="array" aca="1" ref="AP104" ca="1">SUM(IF(AP$14:OFFSET(AP95,-1,0)&gt;0,IF(SUBTOTAL(109,OFFSET(AP$14:OFFSET(AP95,-1,0),ROW(AP$14:OFFSET(AP95,-1,0))-MIN(ROW(AP$14:OFFSET(AP95,-1,0))),0,1))&gt;0,AP$14:OFFSET(AP95,-1,0))))</f>
        <v>57728564.926699974</v>
      </c>
      <c r="AQ104" s="124"/>
      <c r="AR104" s="102"/>
      <c r="AS104" s="102"/>
      <c r="AT104" s="102">
        <f t="array" aca="1" ref="AT104" ca="1">SUM(IF(AT$14:OFFSET(AT95,-1,0)&gt;0,IF(SUBTOTAL(109,OFFSET(AT$14:OFFSET(AT95,-1,0),ROW(AT$14:OFFSET(AT95,-1,0))-MIN(ROW(AT$14:OFFSET(AT95,-1,0))),0,1))&gt;0,AT$14:OFFSET(AT95,-1,0))))</f>
        <v>57728564.926699974</v>
      </c>
      <c r="AU104" s="124"/>
      <c r="AV104" s="102"/>
      <c r="AW104" s="102"/>
      <c r="AX104" s="102">
        <f t="array" aca="1" ref="AX104" ca="1">SUM(IF(AX$14:OFFSET(AX95,-1,0)&gt;0,IF(SUBTOTAL(109,OFFSET(AX$14:OFFSET(AX95,-1,0),ROW(AX$14:OFFSET(AX95,-1,0))-MIN(ROW(AX$14:OFFSET(AX95,-1,0))),0,1))&gt;0,AX$14:OFFSET(AX95,-1,0))))</f>
        <v>84490159.199799955</v>
      </c>
      <c r="AY104" s="124"/>
      <c r="AZ104" s="102"/>
      <c r="BA104" s="102"/>
      <c r="BB104" s="102">
        <f t="array" aca="1" ref="BB104" ca="1">SUM(IF(BB$14:OFFSET(BB95,-1,0)&gt;0,IF(SUBTOTAL(109,OFFSET(BB$14:OFFSET(BB95,-1,0),ROW(BB$14:OFFSET(BB95,-1,0))-MIN(ROW(BB$14:OFFSET(BB95,-1,0))),0,1))&gt;0,BB$14:OFFSET(BB95,-1,0))))</f>
        <v>84490159.199799955</v>
      </c>
      <c r="BC104" s="124"/>
      <c r="BD104" s="102"/>
      <c r="BE104" s="102"/>
      <c r="BF104" s="102">
        <f t="array" aca="1" ref="BF104" ca="1">SUM(IF(BF$14:OFFSET(BF95,-1,0)&gt;0,IF(SUBTOTAL(109,OFFSET(BF$14:OFFSET(BF95,-1,0),ROW(BF$14:OFFSET(BF95,-1,0))-MIN(ROW(BF$14:OFFSET(BF95,-1,0))),0,1))&gt;0,BF$14:OFFSET(BF95,-1,0))))</f>
        <v>87720453.977700055</v>
      </c>
      <c r="BG104" s="124"/>
      <c r="BH104" s="102"/>
      <c r="BI104" s="102"/>
      <c r="BJ104" s="102">
        <f t="array" aca="1" ref="BJ104" ca="1">SUM(IF(BJ$14:OFFSET(BJ95,-1,0)&gt;0,IF(SUBTOTAL(109,OFFSET(BJ$14:OFFSET(BJ95,-1,0),ROW(BJ$14:OFFSET(BJ95,-1,0))-MIN(ROW(BJ$14:OFFSET(BJ95,-1,0))),0,1))&gt;0,BJ$14:OFFSET(BJ95,-1,0))))</f>
        <v>87720453.977700055</v>
      </c>
      <c r="BK104" s="124"/>
      <c r="BL104" s="102"/>
      <c r="BM104" s="102"/>
      <c r="BN104" s="102">
        <f t="array" aca="1" ref="BN104" ca="1">SUM(IF(BN$14:OFFSET(BN95,-1,0)&gt;0,IF(SUBTOTAL(109,OFFSET(BN$14:OFFSET(BN95,-1,0),ROW(BN$14:OFFSET(BN95,-1,0))-MIN(ROW(BN$14:OFFSET(BN95,-1,0))),0,1))&gt;0,BN$14:OFFSET(BN95,-1,0))))</f>
        <v>89342192.463199973</v>
      </c>
      <c r="BO104" s="124"/>
      <c r="BP104" s="102"/>
      <c r="BQ104" s="102"/>
      <c r="BR104" s="102">
        <f t="array" aca="1" ref="BR104" ca="1">SUM(IF(BR$14:OFFSET(BR95,-1,0)&gt;0,IF(SUBTOTAL(109,OFFSET(BR$14:OFFSET(BR95,-1,0),ROW(BR$14:OFFSET(BR95,-1,0))-MIN(ROW(BR$14:OFFSET(BR95,-1,0))),0,1))&gt;0,BR$14:OFFSET(BR95,-1,0))))</f>
        <v>89342192.463199973</v>
      </c>
      <c r="BS104" s="124"/>
    </row>
    <row r="105" spans="1:72" ht="13.8" hidden="1" outlineLevel="1" thickBot="1" x14ac:dyDescent="0.3">
      <c r="A105" s="122"/>
      <c r="B105" s="122"/>
      <c r="C105" s="122"/>
      <c r="D105" s="112"/>
      <c r="E105" s="112"/>
      <c r="F105" s="112" t="s">
        <v>29</v>
      </c>
      <c r="G105" s="113" t="s">
        <v>17</v>
      </c>
      <c r="H105" s="112"/>
      <c r="I105" s="112"/>
      <c r="J105" s="112">
        <f ca="1">IF(J103=0,0,J104/J103)</f>
        <v>878091.85395000014</v>
      </c>
      <c r="K105" s="125"/>
      <c r="L105" s="112"/>
      <c r="M105" s="112"/>
      <c r="N105" s="112">
        <f ca="1">IF(N103=0,0,N104/N103)</f>
        <v>0</v>
      </c>
      <c r="O105" s="125"/>
      <c r="P105" s="112"/>
      <c r="Q105" s="112"/>
      <c r="R105" s="112">
        <f t="shared" ref="R105" ca="1" si="176">IF(R103=0,0,R104/R103)</f>
        <v>1171103.576937502</v>
      </c>
      <c r="S105" s="125"/>
      <c r="T105" s="112"/>
      <c r="U105" s="112"/>
      <c r="V105" s="112">
        <f t="shared" ref="V105" ca="1" si="177">IF(V103=0,0,V104/V103)</f>
        <v>993997.71370000578</v>
      </c>
      <c r="W105" s="125"/>
      <c r="X105" s="112"/>
      <c r="Y105" s="112"/>
      <c r="Z105" s="112">
        <f t="shared" ref="Z105" ca="1" si="178">IF(Z103=0,0,Z104/Z103)</f>
        <v>2082813.2116666685</v>
      </c>
      <c r="AA105" s="125"/>
      <c r="AB105" s="112"/>
      <c r="AC105" s="112"/>
      <c r="AD105" s="112">
        <f t="shared" ref="AD105" ca="1" si="179">IF(AD103=0,0,AD104/AD103)</f>
        <v>2026766.8563250017</v>
      </c>
      <c r="AE105" s="125"/>
      <c r="AF105" s="112"/>
      <c r="AG105" s="112"/>
      <c r="AH105" s="112">
        <f t="shared" ref="AH105" ca="1" si="180">IF(AH103=0,0,AH104/AH103)</f>
        <v>2578212.8982909098</v>
      </c>
      <c r="AI105" s="125"/>
      <c r="AJ105" s="112"/>
      <c r="AK105" s="112"/>
      <c r="AL105" s="112">
        <f t="shared" ref="AL105" ca="1" si="181">IF(AL103=0,0,AL104/AL103)</f>
        <v>2578212.8982909098</v>
      </c>
      <c r="AM105" s="125"/>
      <c r="AN105" s="112"/>
      <c r="AO105" s="112"/>
      <c r="AP105" s="112">
        <f t="shared" ref="AP105" ca="1" si="182">IF(AP103=0,0,AP104/AP103)</f>
        <v>4123468.9233357124</v>
      </c>
      <c r="AQ105" s="125"/>
      <c r="AR105" s="112"/>
      <c r="AS105" s="112"/>
      <c r="AT105" s="112">
        <f t="shared" ref="AT105" ca="1" si="183">IF(AT103=0,0,AT104/AT103)</f>
        <v>4123468.9233357124</v>
      </c>
      <c r="AU105" s="125"/>
      <c r="AV105" s="112"/>
      <c r="AW105" s="112"/>
      <c r="AX105" s="112">
        <f t="shared" ref="AX105" ca="1" si="184">IF(AX103=0,0,AX104/AX103)</f>
        <v>5632677.2799866637</v>
      </c>
      <c r="AY105" s="125"/>
      <c r="AZ105" s="112"/>
      <c r="BA105" s="112"/>
      <c r="BB105" s="112">
        <f t="shared" ref="BB105" ca="1" si="185">IF(BB103=0,0,BB104/BB103)</f>
        <v>5632677.2799866637</v>
      </c>
      <c r="BC105" s="125"/>
      <c r="BD105" s="112"/>
      <c r="BE105" s="112"/>
      <c r="BF105" s="112">
        <f t="shared" ref="BF105" ca="1" si="186">IF(BF103=0,0,BF104/BF103)</f>
        <v>5482528.3736062534</v>
      </c>
      <c r="BG105" s="125"/>
      <c r="BH105" s="112"/>
      <c r="BI105" s="112"/>
      <c r="BJ105" s="112">
        <f t="shared" ref="BJ105" ca="1" si="187">IF(BJ103=0,0,BJ104/BJ103)</f>
        <v>5482528.3736062534</v>
      </c>
      <c r="BK105" s="125"/>
      <c r="BL105" s="112"/>
      <c r="BM105" s="112"/>
      <c r="BN105" s="112">
        <f t="shared" ref="BN105" ca="1" si="188">IF(BN103=0,0,BN104/BN103)</f>
        <v>5583887.0289499983</v>
      </c>
      <c r="BO105" s="125"/>
      <c r="BP105" s="112"/>
      <c r="BQ105" s="112"/>
      <c r="BR105" s="112">
        <f t="shared" ref="BR105" ca="1" si="189">IF(BR103=0,0,BR104/BR103)</f>
        <v>5583887.0289499983</v>
      </c>
      <c r="BS105" s="125"/>
    </row>
    <row r="106" spans="1:72" hidden="1" outlineLevel="1" x14ac:dyDescent="0.25">
      <c r="A106" s="122"/>
      <c r="B106" s="122"/>
      <c r="C106" s="122"/>
      <c r="D106" s="99"/>
      <c r="E106" s="99"/>
      <c r="F106" s="99" t="s">
        <v>30</v>
      </c>
      <c r="G106" s="100" t="s">
        <v>17</v>
      </c>
      <c r="H106" s="99"/>
      <c r="I106" s="99"/>
      <c r="J106" s="99">
        <f t="array" aca="1" ref="J106" ca="1">COUNT(IF(J$14:OFFSET(J95,-1,0)&lt;0,IF(SUBTOTAL(109,OFFSET(J$14:OFFSET(J95,-1,0),ROW(J$14:OFFSET(J95,-1,0))-MIN(ROW(J$14:OFFSET(J95,-1,0))),0,1))&lt;0,J$14:OFFSET(J95,-1,0))))</f>
        <v>58</v>
      </c>
      <c r="K106" s="123"/>
      <c r="L106" s="99"/>
      <c r="M106" s="99"/>
      <c r="N106" s="99">
        <f t="array" aca="1" ref="N106" ca="1">COUNT(IF(N$14:OFFSET(N95,-1,0)&lt;0,IF(SUBTOTAL(109,OFFSET(N$14:OFFSET(N95,-1,0),ROW(N$14:OFFSET(N95,-1,0))-MIN(ROW(N$14:OFFSET(N95,-1,0))),0,1))&lt;0,N$14:OFFSET(N95,-1,0))))</f>
        <v>0</v>
      </c>
      <c r="O106" s="123"/>
      <c r="P106" s="99"/>
      <c r="Q106" s="99"/>
      <c r="R106" s="99">
        <f t="array" aca="1" ref="R106" ca="1">COUNT(IF(R$14:OFFSET(R95,-1,0)&lt;0,IF(SUBTOTAL(109,OFFSET(R$14:OFFSET(R95,-1,0),ROW(R$14:OFFSET(R95,-1,0))-MIN(ROW(R$14:OFFSET(R95,-1,0))),0,1))&lt;0,R$14:OFFSET(R95,-1,0))))</f>
        <v>54</v>
      </c>
      <c r="S106" s="123"/>
      <c r="T106" s="99"/>
      <c r="U106" s="99"/>
      <c r="V106" s="99">
        <f t="array" aca="1" ref="V106" ca="1">COUNT(IF(V$14:OFFSET(V95,-1,0)&lt;0,IF(SUBTOTAL(109,OFFSET(V$14:OFFSET(V95,-1,0),ROW(V$14:OFFSET(V95,-1,0))-MIN(ROW(V$14:OFFSET(V95,-1,0))),0,1))&lt;0,V$14:OFFSET(V95,-1,0))))</f>
        <v>18</v>
      </c>
      <c r="W106" s="123"/>
      <c r="X106" s="99"/>
      <c r="Y106" s="99"/>
      <c r="Z106" s="99">
        <f t="array" aca="1" ref="Z106" ca="1">COUNT(IF(Z$14:OFFSET(Z95,-1,0)&lt;0,IF(SUBTOTAL(109,OFFSET(Z$14:OFFSET(Z95,-1,0),ROW(Z$14:OFFSET(Z95,-1,0))-MIN(ROW(Z$14:OFFSET(Z95,-1,0))),0,1))&lt;0,Z$14:OFFSET(Z95,-1,0))))</f>
        <v>53</v>
      </c>
      <c r="AA106" s="123"/>
      <c r="AB106" s="99"/>
      <c r="AC106" s="99"/>
      <c r="AD106" s="99">
        <f t="array" aca="1" ref="AD106" ca="1">COUNT(IF(AD$14:OFFSET(AD95,-1,0)&lt;0,IF(SUBTOTAL(109,OFFSET(AD$14:OFFSET(AD95,-1,0),ROW(AD$14:OFFSET(AD95,-1,0))-MIN(ROW(AD$14:OFFSET(AD95,-1,0))),0,1))&lt;0,AD$14:OFFSET(AD95,-1,0))))</f>
        <v>51</v>
      </c>
      <c r="AE106" s="123"/>
      <c r="AF106" s="99"/>
      <c r="AG106" s="99"/>
      <c r="AH106" s="99">
        <f t="array" aca="1" ref="AH106" ca="1">COUNT(IF(AH$14:OFFSET(AH95,-1,0)&lt;0,IF(SUBTOTAL(109,OFFSET(AH$14:OFFSET(AH95,-1,0),ROW(AH$14:OFFSET(AH95,-1,0))-MIN(ROW(AH$14:OFFSET(AH95,-1,0))),0,1))&lt;0,AH$14:OFFSET(AH95,-1,0))))</f>
        <v>51</v>
      </c>
      <c r="AI106" s="123"/>
      <c r="AJ106" s="99"/>
      <c r="AK106" s="99"/>
      <c r="AL106" s="99">
        <f t="array" aca="1" ref="AL106" ca="1">COUNT(IF(AL$14:OFFSET(AL95,-1,0)&lt;0,IF(SUBTOTAL(109,OFFSET(AL$14:OFFSET(AL95,-1,0),ROW(AL$14:OFFSET(AL95,-1,0))-MIN(ROW(AL$14:OFFSET(AL95,-1,0))),0,1))&lt;0,AL$14:OFFSET(AL95,-1,0))))</f>
        <v>51</v>
      </c>
      <c r="AM106" s="123"/>
      <c r="AN106" s="99"/>
      <c r="AO106" s="99"/>
      <c r="AP106" s="99">
        <f t="array" aca="1" ref="AP106" ca="1">COUNT(IF(AP$14:OFFSET(AP95,-1,0)&lt;0,IF(SUBTOTAL(109,OFFSET(AP$14:OFFSET(AP95,-1,0),ROW(AP$14:OFFSET(AP95,-1,0))-MIN(ROW(AP$14:OFFSET(AP95,-1,0))),0,1))&lt;0,AP$14:OFFSET(AP95,-1,0))))</f>
        <v>48</v>
      </c>
      <c r="AQ106" s="123"/>
      <c r="AR106" s="99"/>
      <c r="AS106" s="99"/>
      <c r="AT106" s="99">
        <f t="array" aca="1" ref="AT106" ca="1">COUNT(IF(AT$14:OFFSET(AT95,-1,0)&lt;0,IF(SUBTOTAL(109,OFFSET(AT$14:OFFSET(AT95,-1,0),ROW(AT$14:OFFSET(AT95,-1,0))-MIN(ROW(AT$14:OFFSET(AT95,-1,0))),0,1))&lt;0,AT$14:OFFSET(AT95,-1,0))))</f>
        <v>48</v>
      </c>
      <c r="AU106" s="123"/>
      <c r="AV106" s="99"/>
      <c r="AW106" s="99"/>
      <c r="AX106" s="99">
        <f t="array" aca="1" ref="AX106" ca="1">COUNT(IF(AX$14:OFFSET(AX95,-1,0)&lt;0,IF(SUBTOTAL(109,OFFSET(AX$14:OFFSET(AX95,-1,0),ROW(AX$14:OFFSET(AX95,-1,0))-MIN(ROW(AX$14:OFFSET(AX95,-1,0))),0,1))&lt;0,AX$14:OFFSET(AX95,-1,0))))</f>
        <v>47</v>
      </c>
      <c r="AY106" s="123"/>
      <c r="AZ106" s="99"/>
      <c r="BA106" s="99"/>
      <c r="BB106" s="99">
        <f t="array" aca="1" ref="BB106" ca="1">COUNT(IF(BB$14:OFFSET(BB95,-1,0)&lt;0,IF(SUBTOTAL(109,OFFSET(BB$14:OFFSET(BB95,-1,0),ROW(BB$14:OFFSET(BB95,-1,0))-MIN(ROW(BB$14:OFFSET(BB95,-1,0))),0,1))&lt;0,BB$14:OFFSET(BB95,-1,0))))</f>
        <v>47</v>
      </c>
      <c r="BC106" s="123"/>
      <c r="BD106" s="99"/>
      <c r="BE106" s="99"/>
      <c r="BF106" s="99">
        <f t="array" aca="1" ref="BF106" ca="1">COUNT(IF(BF$14:OFFSET(BF95,-1,0)&lt;0,IF(SUBTOTAL(109,OFFSET(BF$14:OFFSET(BF95,-1,0),ROW(BF$14:OFFSET(BF95,-1,0))-MIN(ROW(BF$14:OFFSET(BF95,-1,0))),0,1))&lt;0,BF$14:OFFSET(BF95,-1,0))))</f>
        <v>46</v>
      </c>
      <c r="BG106" s="123"/>
      <c r="BH106" s="99"/>
      <c r="BI106" s="99"/>
      <c r="BJ106" s="99">
        <f t="array" aca="1" ref="BJ106" ca="1">COUNT(IF(BJ$14:OFFSET(BJ95,-1,0)&lt;0,IF(SUBTOTAL(109,OFFSET(BJ$14:OFFSET(BJ95,-1,0),ROW(BJ$14:OFFSET(BJ95,-1,0))-MIN(ROW(BJ$14:OFFSET(BJ95,-1,0))),0,1))&lt;0,BJ$14:OFFSET(BJ95,-1,0))))</f>
        <v>46</v>
      </c>
      <c r="BK106" s="123"/>
      <c r="BL106" s="99"/>
      <c r="BM106" s="99"/>
      <c r="BN106" s="99">
        <f t="array" aca="1" ref="BN106" ca="1">COUNT(IF(BN$14:OFFSET(BN95,-1,0)&lt;0,IF(SUBTOTAL(109,OFFSET(BN$14:OFFSET(BN95,-1,0),ROW(BN$14:OFFSET(BN95,-1,0))-MIN(ROW(BN$14:OFFSET(BN95,-1,0))),0,1))&lt;0,BN$14:OFFSET(BN95,-1,0))))</f>
        <v>46</v>
      </c>
      <c r="BO106" s="123"/>
      <c r="BP106" s="99"/>
      <c r="BQ106" s="99"/>
      <c r="BR106" s="99">
        <f t="array" aca="1" ref="BR106" ca="1">COUNT(IF(BR$14:OFFSET(BR95,-1,0)&lt;0,IF(SUBTOTAL(109,OFFSET(BR$14:OFFSET(BR95,-1,0),ROW(BR$14:OFFSET(BR95,-1,0))-MIN(ROW(BR$14:OFFSET(BR95,-1,0))),0,1))&lt;0,BR$14:OFFSET(BR95,-1,0))))</f>
        <v>46</v>
      </c>
      <c r="BS106" s="123"/>
    </row>
    <row r="107" spans="1:72" hidden="1" outlineLevel="1" x14ac:dyDescent="0.25">
      <c r="A107" s="122"/>
      <c r="B107" s="122"/>
      <c r="C107" s="122"/>
      <c r="D107" s="102"/>
      <c r="E107" s="102"/>
      <c r="F107" s="102" t="s">
        <v>31</v>
      </c>
      <c r="G107" s="103" t="s">
        <v>17</v>
      </c>
      <c r="H107" s="102"/>
      <c r="I107" s="102"/>
      <c r="J107" s="102">
        <f t="array" aca="1" ref="J107" ca="1">SUM(IF(J$14:OFFSET(J95,-1,0)&lt;0,IF(SUBTOTAL(109,OFFSET(J$14:OFFSET(J95,-1,0),ROW(J$14:OFFSET(J95,-1,0))-MIN(ROW(J$14:OFFSET(J95,-1,0))),0,1))&lt;0,J$14:OFFSET(J95,-1,0))))</f>
        <v>-81811772.737100005</v>
      </c>
      <c r="K107" s="124"/>
      <c r="L107" s="102"/>
      <c r="M107" s="102"/>
      <c r="N107" s="102">
        <f t="array" aca="1" ref="N107" ca="1">SUM(IF(N$14:OFFSET(N95,-1,0)&lt;0,IF(SUBTOTAL(109,OFFSET(N$14:OFFSET(N95,-1,0),ROW(N$14:OFFSET(N95,-1,0))-MIN(ROW(N$14:OFFSET(N95,-1,0))),0,1))&lt;0,N$14:OFFSET(N95,-1,0))))</f>
        <v>0</v>
      </c>
      <c r="O107" s="124"/>
      <c r="P107" s="102"/>
      <c r="Q107" s="102"/>
      <c r="R107" s="102">
        <f t="array" aca="1" ref="R107" ca="1">SUM(IF(R$14:OFFSET(R95,-1,0)&lt;0,IF(SUBTOTAL(109,OFFSET(R$14:OFFSET(R95,-1,0),ROW(R$14:OFFSET(R95,-1,0))-MIN(ROW(R$14:OFFSET(R95,-1,0))),0,1))&lt;0,R$14:OFFSET(R95,-1,0))))</f>
        <v>-207632835.60449997</v>
      </c>
      <c r="S107" s="124"/>
      <c r="T107" s="102"/>
      <c r="U107" s="102"/>
      <c r="V107" s="102">
        <f t="array" aca="1" ref="V107" ca="1">SUM(IF(V$14:OFFSET(V95,-1,0)&lt;0,IF(SUBTOTAL(109,OFFSET(V$14:OFFSET(V95,-1,0),ROW(V$14:OFFSET(V95,-1,0))-MIN(ROW(V$14:OFFSET(V95,-1,0))),0,1))&lt;0,V$14:OFFSET(V95,-1,0))))</f>
        <v>-39841975.435199969</v>
      </c>
      <c r="W107" s="124"/>
      <c r="X107" s="102"/>
      <c r="Y107" s="102"/>
      <c r="Z107" s="102">
        <f t="array" aca="1" ref="Z107" ca="1">SUM(IF(Z$14:OFFSET(Z95,-1,0)&lt;0,IF(SUBTOTAL(109,OFFSET(Z$14:OFFSET(Z95,-1,0),ROW(Z$14:OFFSET(Z95,-1,0))-MIN(ROW(Z$14:OFFSET(Z95,-1,0))),0,1))&lt;0,Z$14:OFFSET(Z95,-1,0))))</f>
        <v>-310523161.7566998</v>
      </c>
      <c r="AA107" s="124"/>
      <c r="AB107" s="102"/>
      <c r="AC107" s="102"/>
      <c r="AD107" s="102">
        <f t="array" aca="1" ref="AD107" ca="1">SUM(IF(AD$14:OFFSET(AD95,-1,0)&lt;0,IF(SUBTOTAL(109,OFFSET(AD$14:OFFSET(AD95,-1,0),ROW(AD$14:OFFSET(AD95,-1,0))-MIN(ROW(AD$14:OFFSET(AD95,-1,0))),0,1))&lt;0,AD$14:OFFSET(AD95,-1,0))))</f>
        <v>-288597514.04289997</v>
      </c>
      <c r="AE107" s="124"/>
      <c r="AF107" s="102"/>
      <c r="AG107" s="102"/>
      <c r="AH107" s="102">
        <f t="array" aca="1" ref="AH107" ca="1">SUM(IF(AH$14:OFFSET(AH95,-1,0)&lt;0,IF(SUBTOTAL(109,OFFSET(AH$14:OFFSET(AH95,-1,0),ROW(AH$14:OFFSET(AH95,-1,0))-MIN(ROW(AH$14:OFFSET(AH95,-1,0))),0,1))&lt;0,AH$14:OFFSET(AH95,-1,0))))</f>
        <v>-403492561.82369995</v>
      </c>
      <c r="AI107" s="124"/>
      <c r="AJ107" s="102"/>
      <c r="AK107" s="102"/>
      <c r="AL107" s="102">
        <f t="array" aca="1" ref="AL107" ca="1">SUM(IF(AL$14:OFFSET(AL95,-1,0)&lt;0,IF(SUBTOTAL(109,OFFSET(AL$14:OFFSET(AL95,-1,0),ROW(AL$14:OFFSET(AL95,-1,0))-MIN(ROW(AL$14:OFFSET(AL95,-1,0))),0,1))&lt;0,AL$14:OFFSET(AL95,-1,0))))</f>
        <v>-383994461.47349989</v>
      </c>
      <c r="AM107" s="124"/>
      <c r="AN107" s="102"/>
      <c r="AO107" s="102"/>
      <c r="AP107" s="102">
        <f t="array" aca="1" ref="AP107" ca="1">SUM(IF(AP$14:OFFSET(AP95,-1,0)&lt;0,IF(SUBTOTAL(109,OFFSET(AP$14:OFFSET(AP95,-1,0),ROW(AP$14:OFFSET(AP95,-1,0))-MIN(ROW(AP$14:OFFSET(AP95,-1,0))),0,1))&lt;0,AP$14:OFFSET(AP95,-1,0))))</f>
        <v>-544999005.81640005</v>
      </c>
      <c r="AQ107" s="124"/>
      <c r="AR107" s="102"/>
      <c r="AS107" s="102"/>
      <c r="AT107" s="102">
        <f t="array" aca="1" ref="AT107" ca="1">SUM(IF(AT$14:OFFSET(AT95,-1,0)&lt;0,IF(SUBTOTAL(109,OFFSET(AT$14:OFFSET(AT95,-1,0),ROW(AT$14:OFFSET(AT95,-1,0))-MIN(ROW(AT$14:OFFSET(AT95,-1,0))),0,1))&lt;0,AT$14:OFFSET(AT95,-1,0))))</f>
        <v>-533640880.06450015</v>
      </c>
      <c r="AU107" s="124"/>
      <c r="AV107" s="102"/>
      <c r="AW107" s="102"/>
      <c r="AX107" s="102">
        <f t="array" aca="1" ref="AX107" ca="1">SUM(IF(AX$14:OFFSET(AX95,-1,0)&lt;0,IF(SUBTOTAL(109,OFFSET(AX$14:OFFSET(AX95,-1,0),ROW(AX$14:OFFSET(AX95,-1,0))-MIN(ROW(AX$14:OFFSET(AX95,-1,0))),0,1))&lt;0,AX$14:OFFSET(AX95,-1,0))))</f>
        <v>-633982964.50550032</v>
      </c>
      <c r="AY107" s="124"/>
      <c r="AZ107" s="102"/>
      <c r="BA107" s="102"/>
      <c r="BB107" s="102">
        <f t="array" aca="1" ref="BB107" ca="1">SUM(IF(BB$14:OFFSET(BB95,-1,0)&lt;0,IF(SUBTOTAL(109,OFFSET(BB$14:OFFSET(BB95,-1,0),ROW(BB$14:OFFSET(BB95,-1,0))-MIN(ROW(BB$14:OFFSET(BB95,-1,0))),0,1))&lt;0,BB$14:OFFSET(BB95,-1,0))))</f>
        <v>-623520777.00430012</v>
      </c>
      <c r="BC107" s="124"/>
      <c r="BD107" s="102"/>
      <c r="BE107" s="102"/>
      <c r="BF107" s="102">
        <f t="array" aca="1" ref="BF107" ca="1">SUM(IF(BF$14:OFFSET(BF95,-1,0)&lt;0,IF(SUBTOTAL(109,OFFSET(BF$14:OFFSET(BF95,-1,0),ROW(BF$14:OFFSET(BF95,-1,0))-MIN(ROW(BF$14:OFFSET(BF95,-1,0))),0,1))&lt;0,BF$14:OFFSET(BF95,-1,0))))</f>
        <v>-672199306.73459983</v>
      </c>
      <c r="BG107" s="124"/>
      <c r="BH107" s="102"/>
      <c r="BI107" s="102"/>
      <c r="BJ107" s="102">
        <f t="array" aca="1" ref="BJ107" ca="1">SUM(IF(BJ$14:OFFSET(BJ95,-1,0)&lt;0,IF(SUBTOTAL(109,OFFSET(BJ$14:OFFSET(BJ95,-1,0),ROW(BJ$14:OFFSET(BJ95,-1,0))-MIN(ROW(BJ$14:OFFSET(BJ95,-1,0))),0,1))&lt;0,BJ$14:OFFSET(BJ95,-1,0))))</f>
        <v>-661737119.23339987</v>
      </c>
      <c r="BK107" s="124"/>
      <c r="BL107" s="102"/>
      <c r="BM107" s="102"/>
      <c r="BN107" s="102">
        <f t="array" aca="1" ref="BN107" ca="1">SUM(IF(BN$14:OFFSET(BN95,-1,0)&lt;0,IF(SUBTOTAL(109,OFFSET(BN$14:OFFSET(BN95,-1,0),ROW(BN$14:OFFSET(BN95,-1,0))-MIN(ROW(BN$14:OFFSET(BN95,-1,0))),0,1))&lt;0,BN$14:OFFSET(BN95,-1,0))))</f>
        <v>-677898914.5599004</v>
      </c>
      <c r="BO107" s="124"/>
      <c r="BP107" s="102"/>
      <c r="BQ107" s="102"/>
      <c r="BR107" s="102">
        <f t="array" aca="1" ref="BR107" ca="1">SUM(IF(BR$14:OFFSET(BR95,-1,0)&lt;0,IF(SUBTOTAL(109,OFFSET(BR$14:OFFSET(BR95,-1,0),ROW(BR$14:OFFSET(BR95,-1,0))-MIN(ROW(BR$14:OFFSET(BR95,-1,0))),0,1))&lt;0,BR$14:OFFSET(BR95,-1,0))))</f>
        <v>-667436727.0587002</v>
      </c>
      <c r="BS107" s="124"/>
    </row>
    <row r="108" spans="1:72" ht="13.8" hidden="1" outlineLevel="1" thickBot="1" x14ac:dyDescent="0.3">
      <c r="A108" s="122"/>
      <c r="B108" s="122"/>
      <c r="C108" s="122"/>
      <c r="D108" s="112"/>
      <c r="E108" s="112"/>
      <c r="F108" s="112" t="s">
        <v>32</v>
      </c>
      <c r="G108" s="113" t="s">
        <v>17</v>
      </c>
      <c r="H108" s="112"/>
      <c r="I108" s="112"/>
      <c r="J108" s="112">
        <f ca="1">IF(J106=0,0,J107/J106)</f>
        <v>-1410547.805812069</v>
      </c>
      <c r="K108" s="125"/>
      <c r="L108" s="112"/>
      <c r="M108" s="112"/>
      <c r="N108" s="112">
        <f ca="1">IF(N106=0,0,N107/N106)</f>
        <v>0</v>
      </c>
      <c r="O108" s="125"/>
      <c r="P108" s="112"/>
      <c r="Q108" s="112"/>
      <c r="R108" s="112">
        <f t="shared" ref="R108" ca="1" si="190">IF(R106=0,0,R107/R106)</f>
        <v>-3845052.5111944438</v>
      </c>
      <c r="S108" s="125"/>
      <c r="T108" s="112"/>
      <c r="U108" s="112"/>
      <c r="V108" s="112">
        <f t="shared" ref="V108" ca="1" si="191">IF(V106=0,0,V107/V106)</f>
        <v>-2213443.0797333317</v>
      </c>
      <c r="W108" s="125"/>
      <c r="X108" s="112"/>
      <c r="Y108" s="112"/>
      <c r="Z108" s="112">
        <f t="shared" ref="Z108" ca="1" si="192">IF(Z106=0,0,Z107/Z106)</f>
        <v>-5858927.5803150907</v>
      </c>
      <c r="AA108" s="125"/>
      <c r="AB108" s="112"/>
      <c r="AC108" s="112"/>
      <c r="AD108" s="112">
        <f t="shared" ref="AD108" ca="1" si="193">IF(AD106=0,0,AD107/AD106)</f>
        <v>-5658774.7851549014</v>
      </c>
      <c r="AE108" s="125"/>
      <c r="AF108" s="112"/>
      <c r="AG108" s="112"/>
      <c r="AH108" s="112">
        <f t="shared" ref="AH108" ca="1" si="194">IF(AH106=0,0,AH107/AH106)</f>
        <v>-7911618.8592882343</v>
      </c>
      <c r="AI108" s="125"/>
      <c r="AJ108" s="112"/>
      <c r="AK108" s="112"/>
      <c r="AL108" s="112">
        <f t="shared" ref="AL108" ca="1" si="195">IF(AL106=0,0,AL107/AL106)</f>
        <v>-7529303.166147057</v>
      </c>
      <c r="AM108" s="125"/>
      <c r="AN108" s="112"/>
      <c r="AO108" s="112"/>
      <c r="AP108" s="112">
        <f t="shared" ref="AP108" ca="1" si="196">IF(AP106=0,0,AP107/AP106)</f>
        <v>-11354145.954508334</v>
      </c>
      <c r="AQ108" s="125"/>
      <c r="AR108" s="112"/>
      <c r="AS108" s="112"/>
      <c r="AT108" s="112">
        <f t="shared" ref="AT108" ca="1" si="197">IF(AT106=0,0,AT107/AT106)</f>
        <v>-11117518.334677087</v>
      </c>
      <c r="AU108" s="125"/>
      <c r="AV108" s="112"/>
      <c r="AW108" s="112"/>
      <c r="AX108" s="112">
        <f t="shared" ref="AX108" ca="1" si="198">IF(AX106=0,0,AX107/AX106)</f>
        <v>-13488999.24479788</v>
      </c>
      <c r="AY108" s="125"/>
      <c r="AZ108" s="112"/>
      <c r="BA108" s="112"/>
      <c r="BB108" s="112">
        <f t="shared" ref="BB108" ca="1" si="199">IF(BB106=0,0,BB107/BB106)</f>
        <v>-13266399.51072979</v>
      </c>
      <c r="BC108" s="125"/>
      <c r="BD108" s="112"/>
      <c r="BE108" s="112"/>
      <c r="BF108" s="112">
        <f t="shared" ref="BF108" ca="1" si="200">IF(BF106=0,0,BF107/BF106)</f>
        <v>-14613028.407273909</v>
      </c>
      <c r="BG108" s="125"/>
      <c r="BH108" s="112"/>
      <c r="BI108" s="112"/>
      <c r="BJ108" s="112">
        <f t="shared" ref="BJ108" ca="1" si="201">IF(BJ106=0,0,BJ107/BJ106)</f>
        <v>-14385589.54855217</v>
      </c>
      <c r="BK108" s="125"/>
      <c r="BL108" s="112"/>
      <c r="BM108" s="112"/>
      <c r="BN108" s="112">
        <f t="shared" ref="BN108" ca="1" si="202">IF(BN106=0,0,BN107/BN106)</f>
        <v>-14736932.925215226</v>
      </c>
      <c r="BO108" s="125"/>
      <c r="BP108" s="112"/>
      <c r="BQ108" s="112"/>
      <c r="BR108" s="112">
        <f t="shared" ref="BR108" ca="1" si="203">IF(BR106=0,0,BR107/BR106)</f>
        <v>-14509494.066493483</v>
      </c>
      <c r="BS108" s="125"/>
    </row>
    <row r="109" spans="1:72" hidden="1" outlineLevel="1" x14ac:dyDescent="0.25">
      <c r="A109" s="122"/>
      <c r="B109" s="122"/>
      <c r="C109" s="122"/>
      <c r="D109" s="99"/>
      <c r="E109" s="99"/>
      <c r="F109" s="99" t="s">
        <v>33</v>
      </c>
      <c r="G109" s="100" t="s">
        <v>17</v>
      </c>
      <c r="H109" s="99"/>
      <c r="I109" s="99"/>
      <c r="J109" s="99">
        <f t="array" aca="1" ref="J109" ca="1">COUNT(IF((J$14:OFFSET(J95,-1,0)=0)*(J$14:OFFSET(J95,-1,0)&lt;&gt;"")*(J95&lt;&gt;0),IF(SUBTOTAL(109,OFFSET(J$14:OFFSET(J95,-1,0),ROW(J$14:OFFSET(J95,-1,0))-MIN(ROW(J$14:OFFSET(J95,-1,0))),0,1))=0,J$14:OFFSET(J95,-1,0))))</f>
        <v>0</v>
      </c>
      <c r="K109" s="123"/>
      <c r="L109" s="99"/>
      <c r="M109" s="99"/>
      <c r="N109" s="99">
        <f t="array" aca="1" ref="N109" ca="1">COUNT(IF((N$14:OFFSET(N95,-1,0)=0)*(N$14:OFFSET(N95,-1,0)&lt;&gt;"")*(N95&lt;&gt;0),IF(SUBTOTAL(109,OFFSET(N$14:OFFSET(N95,-1,0),ROW(N$14:OFFSET(N95,-1,0))-MIN(ROW(N$14:OFFSET(N95,-1,0))),0,1))=0,N$14:OFFSET(N95,-1,0))))</f>
        <v>0</v>
      </c>
      <c r="O109" s="123"/>
      <c r="P109" s="99"/>
      <c r="Q109" s="99"/>
      <c r="R109" s="99">
        <f t="array" aca="1" ref="R109" ca="1">COUNT(IF((R$14:OFFSET(R95,-1,0)=0)*(R$14:OFFSET(R95,-1,0)&lt;&gt;"")*(R95&lt;&gt;0),IF(SUBTOTAL(109,OFFSET(R$14:OFFSET(R95,-1,0),ROW(R$14:OFFSET(R95,-1,0))-MIN(ROW(R$14:OFFSET(R95,-1,0))),0,1))=0,R$14:OFFSET(R95,-1,0))))</f>
        <v>0</v>
      </c>
      <c r="S109" s="123"/>
      <c r="T109" s="99"/>
      <c r="U109" s="99"/>
      <c r="V109" s="99">
        <f t="array" aca="1" ref="V109" ca="1">COUNT(IF((V$14:OFFSET(V95,-1,0)=0)*(V$14:OFFSET(V95,-1,0)&lt;&gt;"")*(V95&lt;&gt;0),IF(SUBTOTAL(109,OFFSET(V$14:OFFSET(V95,-1,0),ROW(V$14:OFFSET(V95,-1,0))-MIN(ROW(V$14:OFFSET(V95,-1,0))),0,1))=0,V$14:OFFSET(V95,-1,0))))</f>
        <v>42</v>
      </c>
      <c r="W109" s="123"/>
      <c r="X109" s="99"/>
      <c r="Y109" s="99"/>
      <c r="Z109" s="99">
        <f t="array" aca="1" ref="Z109" ca="1">COUNT(IF((Z$14:OFFSET(Z95,-1,0)=0)*(Z$14:OFFSET(Z95,-1,0)&lt;&gt;"")*(Z95&lt;&gt;0),IF(SUBTOTAL(109,OFFSET(Z$14:OFFSET(Z95,-1,0),ROW(Z$14:OFFSET(Z95,-1,0))-MIN(ROW(Z$14:OFFSET(Z95,-1,0))),0,1))=0,Z$14:OFFSET(Z95,-1,0))))</f>
        <v>0</v>
      </c>
      <c r="AA109" s="123"/>
      <c r="AB109" s="99"/>
      <c r="AC109" s="99"/>
      <c r="AD109" s="99">
        <f t="array" aca="1" ref="AD109" ca="1">COUNT(IF((AD$14:OFFSET(AD95,-1,0)=0)*(AD$14:OFFSET(AD95,-1,0)&lt;&gt;"")*(AD95&lt;&gt;0),IF(SUBTOTAL(109,OFFSET(AD$14:OFFSET(AD95,-1,0),ROW(AD$14:OFFSET(AD95,-1,0))-MIN(ROW(AD$14:OFFSET(AD95,-1,0))),0,1))=0,AD$14:OFFSET(AD95,-1,0))))</f>
        <v>3</v>
      </c>
      <c r="AE109" s="123"/>
      <c r="AF109" s="99"/>
      <c r="AG109" s="99"/>
      <c r="AH109" s="99">
        <f t="array" aca="1" ref="AH109" ca="1">COUNT(IF((AH$14:OFFSET(AH95,-1,0)=0)*(AH$14:OFFSET(AH95,-1,0)&lt;&gt;"")*(AH95&lt;&gt;0),IF(SUBTOTAL(109,OFFSET(AH$14:OFFSET(AH95,-1,0),ROW(AH$14:OFFSET(AH95,-1,0))-MIN(ROW(AH$14:OFFSET(AH95,-1,0))),0,1))=0,AH$14:OFFSET(AH95,-1,0))))</f>
        <v>0</v>
      </c>
      <c r="AI109" s="123"/>
      <c r="AJ109" s="99"/>
      <c r="AK109" s="99"/>
      <c r="AL109" s="99">
        <f t="array" aca="1" ref="AL109" ca="1">COUNT(IF((AL$14:OFFSET(AL95,-1,0)=0)*(AL$14:OFFSET(AL95,-1,0)&lt;&gt;"")*(AL95&lt;&gt;0),IF(SUBTOTAL(109,OFFSET(AL$14:OFFSET(AL95,-1,0),ROW(AL$14:OFFSET(AL95,-1,0))-MIN(ROW(AL$14:OFFSET(AL95,-1,0))),0,1))=0,AL$14:OFFSET(AL95,-1,0))))</f>
        <v>0</v>
      </c>
      <c r="AM109" s="123"/>
      <c r="AN109" s="99"/>
      <c r="AO109" s="99"/>
      <c r="AP109" s="99">
        <f t="array" aca="1" ref="AP109" ca="1">COUNT(IF((AP$14:OFFSET(AP95,-1,0)=0)*(AP$14:OFFSET(AP95,-1,0)&lt;&gt;"")*(AP95&lt;&gt;0),IF(SUBTOTAL(109,OFFSET(AP$14:OFFSET(AP95,-1,0),ROW(AP$14:OFFSET(AP95,-1,0))-MIN(ROW(AP$14:OFFSET(AP95,-1,0))),0,1))=0,AP$14:OFFSET(AP95,-1,0))))</f>
        <v>0</v>
      </c>
      <c r="AQ109" s="123"/>
      <c r="AR109" s="99"/>
      <c r="AS109" s="99"/>
      <c r="AT109" s="99">
        <f t="array" aca="1" ref="AT109" ca="1">COUNT(IF((AT$14:OFFSET(AT95,-1,0)=0)*(AT$14:OFFSET(AT95,-1,0)&lt;&gt;"")*(AT95&lt;&gt;0),IF(SUBTOTAL(109,OFFSET(AT$14:OFFSET(AT95,-1,0),ROW(AT$14:OFFSET(AT95,-1,0))-MIN(ROW(AT$14:OFFSET(AT95,-1,0))),0,1))=0,AT$14:OFFSET(AT95,-1,0))))</f>
        <v>0</v>
      </c>
      <c r="AU109" s="123"/>
      <c r="AV109" s="99"/>
      <c r="AW109" s="99"/>
      <c r="AX109" s="99">
        <f t="array" aca="1" ref="AX109" ca="1">COUNT(IF((AX$14:OFFSET(AX95,-1,0)=0)*(AX$14:OFFSET(AX95,-1,0)&lt;&gt;"")*(AX95&lt;&gt;0),IF(SUBTOTAL(109,OFFSET(AX$14:OFFSET(AX95,-1,0),ROW(AX$14:OFFSET(AX95,-1,0))-MIN(ROW(AX$14:OFFSET(AX95,-1,0))),0,1))=0,AX$14:OFFSET(AX95,-1,0))))</f>
        <v>0</v>
      </c>
      <c r="AY109" s="123"/>
      <c r="AZ109" s="99"/>
      <c r="BA109" s="99"/>
      <c r="BB109" s="99">
        <f t="array" aca="1" ref="BB109" ca="1">COUNT(IF((BB$14:OFFSET(BB95,-1,0)=0)*(BB$14:OFFSET(BB95,-1,0)&lt;&gt;"")*(BB95&lt;&gt;0),IF(SUBTOTAL(109,OFFSET(BB$14:OFFSET(BB95,-1,0),ROW(BB$14:OFFSET(BB95,-1,0))-MIN(ROW(BB$14:OFFSET(BB95,-1,0))),0,1))=0,BB$14:OFFSET(BB95,-1,0))))</f>
        <v>0</v>
      </c>
      <c r="BC109" s="123"/>
      <c r="BD109" s="99"/>
      <c r="BE109" s="99"/>
      <c r="BF109" s="99">
        <f t="array" aca="1" ref="BF109" ca="1">COUNT(IF((BF$14:OFFSET(BF95,-1,0)=0)*(BF$14:OFFSET(BF95,-1,0)&lt;&gt;"")*(BF95&lt;&gt;0),IF(SUBTOTAL(109,OFFSET(BF$14:OFFSET(BF95,-1,0),ROW(BF$14:OFFSET(BF95,-1,0))-MIN(ROW(BF$14:OFFSET(BF95,-1,0))),0,1))=0,BF$14:OFFSET(BF95,-1,0))))</f>
        <v>0</v>
      </c>
      <c r="BG109" s="123"/>
      <c r="BH109" s="99"/>
      <c r="BI109" s="99"/>
      <c r="BJ109" s="99">
        <f t="array" aca="1" ref="BJ109" ca="1">COUNT(IF((BJ$14:OFFSET(BJ95,-1,0)=0)*(BJ$14:OFFSET(BJ95,-1,0)&lt;&gt;"")*(BJ95&lt;&gt;0),IF(SUBTOTAL(109,OFFSET(BJ$14:OFFSET(BJ95,-1,0),ROW(BJ$14:OFFSET(BJ95,-1,0))-MIN(ROW(BJ$14:OFFSET(BJ95,-1,0))),0,1))=0,BJ$14:OFFSET(BJ95,-1,0))))</f>
        <v>0</v>
      </c>
      <c r="BK109" s="123"/>
      <c r="BL109" s="99"/>
      <c r="BM109" s="99"/>
      <c r="BN109" s="99">
        <f t="array" aca="1" ref="BN109" ca="1">COUNT(IF((BN$14:OFFSET(BN95,-1,0)=0)*(BN$14:OFFSET(BN95,-1,0)&lt;&gt;"")*(BN95&lt;&gt;0),IF(SUBTOTAL(109,OFFSET(BN$14:OFFSET(BN95,-1,0),ROW(BN$14:OFFSET(BN95,-1,0))-MIN(ROW(BN$14:OFFSET(BN95,-1,0))),0,1))=0,BN$14:OFFSET(BN95,-1,0))))</f>
        <v>0</v>
      </c>
      <c r="BO109" s="123"/>
      <c r="BP109" s="99"/>
      <c r="BQ109" s="99"/>
      <c r="BR109" s="99">
        <f t="array" aca="1" ref="BR109" ca="1">COUNT(IF((BR$14:OFFSET(BR95,-1,0)=0)*(BR$14:OFFSET(BR95,-1,0)&lt;&gt;"")*(BR95&lt;&gt;0),IF(SUBTOTAL(109,OFFSET(BR$14:OFFSET(BR95,-1,0),ROW(BR$14:OFFSET(BR95,-1,0))-MIN(ROW(BR$14:OFFSET(BR95,-1,0))),0,1))=0,BR$14:OFFSET(BR95,-1,0))))</f>
        <v>0</v>
      </c>
      <c r="BS109" s="123"/>
    </row>
    <row r="110" spans="1:72" ht="13.8" hidden="1" outlineLevel="1" thickBot="1" x14ac:dyDescent="0.3">
      <c r="A110" s="98" t="s">
        <v>15</v>
      </c>
      <c r="B110" s="98"/>
      <c r="C110" s="98"/>
      <c r="D110" s="112"/>
      <c r="E110" s="112"/>
      <c r="F110" s="112" t="s">
        <v>34</v>
      </c>
      <c r="G110" s="113" t="s">
        <v>17</v>
      </c>
      <c r="H110" s="112"/>
      <c r="I110" s="112"/>
      <c r="J110" s="112">
        <f ca="1">SUM(J103,J106,J109)</f>
        <v>62</v>
      </c>
      <c r="K110" s="125"/>
      <c r="L110" s="112"/>
      <c r="M110" s="112"/>
      <c r="N110" s="112">
        <f ca="1">SUM(N103,N106,N109)</f>
        <v>0</v>
      </c>
      <c r="O110" s="125"/>
      <c r="P110" s="112"/>
      <c r="Q110" s="112"/>
      <c r="R110" s="112">
        <f t="shared" ref="R110" ca="1" si="204">SUM(R103,R106,R109)</f>
        <v>62</v>
      </c>
      <c r="S110" s="125"/>
      <c r="T110" s="112"/>
      <c r="U110" s="112"/>
      <c r="V110" s="112">
        <f t="shared" ref="V110" ca="1" si="205">SUM(V103,V106,V109)</f>
        <v>62</v>
      </c>
      <c r="W110" s="125"/>
      <c r="X110" s="112"/>
      <c r="Y110" s="112"/>
      <c r="Z110" s="112">
        <f t="shared" ref="Z110" ca="1" si="206">SUM(Z103,Z106,Z109)</f>
        <v>62</v>
      </c>
      <c r="AA110" s="125"/>
      <c r="AB110" s="112"/>
      <c r="AC110" s="112"/>
      <c r="AD110" s="112">
        <f t="shared" ref="AD110" ca="1" si="207">SUM(AD103,AD106,AD109)</f>
        <v>62</v>
      </c>
      <c r="AE110" s="125"/>
      <c r="AF110" s="112"/>
      <c r="AG110" s="112"/>
      <c r="AH110" s="112">
        <f t="shared" ref="AH110" ca="1" si="208">SUM(AH103,AH106,AH109)</f>
        <v>62</v>
      </c>
      <c r="AI110" s="125"/>
      <c r="AJ110" s="112"/>
      <c r="AK110" s="112"/>
      <c r="AL110" s="112">
        <f t="shared" ref="AL110" ca="1" si="209">SUM(AL103,AL106,AL109)</f>
        <v>62</v>
      </c>
      <c r="AM110" s="125"/>
      <c r="AN110" s="112"/>
      <c r="AO110" s="112"/>
      <c r="AP110" s="112">
        <f t="shared" ref="AP110" ca="1" si="210">SUM(AP103,AP106,AP109)</f>
        <v>62</v>
      </c>
      <c r="AQ110" s="125"/>
      <c r="AR110" s="112"/>
      <c r="AS110" s="112"/>
      <c r="AT110" s="112">
        <f t="shared" ref="AT110" ca="1" si="211">SUM(AT103,AT106,AT109)</f>
        <v>62</v>
      </c>
      <c r="AU110" s="125"/>
      <c r="AV110" s="112"/>
      <c r="AW110" s="112"/>
      <c r="AX110" s="112">
        <f t="shared" ref="AX110" ca="1" si="212">SUM(AX103,AX106,AX109)</f>
        <v>62</v>
      </c>
      <c r="AY110" s="125"/>
      <c r="AZ110" s="112"/>
      <c r="BA110" s="112"/>
      <c r="BB110" s="112">
        <f t="shared" ref="BB110" ca="1" si="213">SUM(BB103,BB106,BB109)</f>
        <v>62</v>
      </c>
      <c r="BC110" s="125"/>
      <c r="BD110" s="112"/>
      <c r="BE110" s="112"/>
      <c r="BF110" s="112">
        <f t="shared" ref="BF110" ca="1" si="214">SUM(BF103,BF106,BF109)</f>
        <v>62</v>
      </c>
      <c r="BG110" s="125"/>
      <c r="BH110" s="112"/>
      <c r="BI110" s="112"/>
      <c r="BJ110" s="112">
        <f t="shared" ref="BJ110" ca="1" si="215">SUM(BJ103,BJ106,BJ109)</f>
        <v>62</v>
      </c>
      <c r="BK110" s="125"/>
      <c r="BL110" s="112"/>
      <c r="BM110" s="112"/>
      <c r="BN110" s="112">
        <f t="shared" ref="BN110" ca="1" si="216">SUM(BN103,BN106,BN109)</f>
        <v>62</v>
      </c>
      <c r="BO110" s="125"/>
      <c r="BP110" s="112"/>
      <c r="BQ110" s="112"/>
      <c r="BR110" s="112">
        <f t="shared" ref="BR110" ca="1" si="217">SUM(BR103,BR106,BR109)</f>
        <v>62</v>
      </c>
      <c r="BS110" s="125"/>
    </row>
    <row r="111" spans="1:72" ht="6.75" customHeight="1" collapsed="1" x14ac:dyDescent="0.25">
      <c r="A111" s="126" t="s">
        <v>35</v>
      </c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</row>
    <row r="112" spans="1:72" ht="40.799999999999997" hidden="1" outlineLevel="1" x14ac:dyDescent="0.25">
      <c r="A112" s="78" t="str">
        <f>A$12</f>
        <v>Row Check</v>
      </c>
      <c r="B112" s="79" t="str">
        <f t="shared" ref="B112:C112" si="218">B$13</f>
        <v>Either
Written
Count</v>
      </c>
      <c r="C112" s="79" t="str">
        <f t="shared" si="218"/>
        <v>Both
Written
Count</v>
      </c>
      <c r="D112" s="80" t="str">
        <f>CONCATENATE(TEXT(D$10,"ddMMMyyyy"),CHAR(10),D$11,CHAR(10),D$12)</f>
        <v>23Oct2020
Written
Count</v>
      </c>
      <c r="E112" s="80" t="str">
        <f>CONCATENATE(TEXT(E$10,"ddMMMyyyy"),CHAR(10),E$11,CHAR(10),E$12)</f>
        <v>27Oct2021
Written
Count</v>
      </c>
      <c r="F112" s="81" t="str">
        <f>CONCATENATE(F$12)</f>
        <v>Event</v>
      </c>
      <c r="G112" s="82" t="str">
        <f>CONCATENATE(G$12)</f>
        <v>Schedule</v>
      </c>
      <c r="H112" s="80" t="str">
        <f>CONCATENATE(TEXT(H$9,"ddmmm"),TEXT(H$10,"yyyy"),CHAR(10),TEXT(H$12,"#,##0"))</f>
        <v>23Oct2020
250,000,000</v>
      </c>
      <c r="I112" s="80" t="str">
        <f>CONCATENATE(TEXT(I$9,"ddmmm"),TEXT(I$10,"yyyy"),CHAR(10),TEXT(I$12,"#,##0"))</f>
        <v>27Oct2021
250,000,000</v>
      </c>
      <c r="J112" s="83" t="str">
        <f>CONCATENATE(TEXT(H$12,"#,##0"),CHAR(10),J$10,CHAR(10),J$12)</f>
        <v>250,000,000
2020 - 2021
change</v>
      </c>
      <c r="K112" s="82" t="str">
        <f>CONCATENATE(COLUMN(K112),K$12)</f>
        <v>11Δ</v>
      </c>
      <c r="L112" s="83" t="str">
        <f>CONCATENATE(TEXT(L$9,"ddmmm"),TEXT(L$10,"yyyy"),CHAR(10),TEXT(L$12,"#,##0"),CHAR(10),TEXT(L$7,"#,##0")&amp;" xs ",TEXT(L$8,"#,##0"))</f>
        <v>23Oct2020
250,000,000
185,000,000 xs 15,000,000</v>
      </c>
      <c r="M112" s="83" t="str">
        <f>CONCATENATE(TEXT(M$9,"ddmmm"),TEXT(M$10,"yyyy"),CHAR(10),TEXT(M$12,"#,##0"),CHAR(10),TEXT(M$7,"#,##0")&amp;" xs ",TEXT(M$8,"#,##0"))</f>
        <v>27Oct2021
250,000,000
185,000,000 xs 15,000,000</v>
      </c>
      <c r="N112" s="83" t="str">
        <f>CONCATENATE(TEXT(H$12,"#,##0"),CHAR(10),"Layer",CHAR(10),N$10,CHAR(10),N$12)</f>
        <v>250,000,000
Layer
2020 - 2021
change</v>
      </c>
      <c r="O112" s="82" t="str">
        <f>CONCATENATE(COLUMN(O112),O$12)</f>
        <v>15Δ</v>
      </c>
      <c r="P112" s="80" t="str">
        <f>CONCATENATE(TEXT(P$9,"ddmmm"),TEXT(P$10,"yyyy"),CHAR(10),TEXT(P$12,"#,##0"))</f>
        <v>23Oct2020
500,000,000</v>
      </c>
      <c r="Q112" s="80" t="str">
        <f>CONCATENATE(TEXT(Q$9,"ddmmm"),TEXT(Q$10,"yyyy"),CHAR(10),TEXT(Q$12,"#,##0"))</f>
        <v>27Oct2021
500,000,000</v>
      </c>
      <c r="R112" s="83" t="str">
        <f>CONCATENATE(TEXT(P$12,"#,##0"),CHAR(10),R$10,CHAR(10),R$12)</f>
        <v>500,000,000
2020 - 2021
change</v>
      </c>
      <c r="S112" s="82" t="str">
        <f>CONCATENATE(COLUMN(S112),S$12)</f>
        <v>19Δ</v>
      </c>
      <c r="T112" s="83" t="str">
        <f>CONCATENATE(TEXT(T$9,"ddmmm"),TEXT(T$10,"yyyy"),CHAR(10),TEXT(T$12,"#,##0"),CHAR(10),TEXT(T$7,"#,##0")&amp;" xs ",TEXT(T$8,"#,##0"))</f>
        <v>23Oct2020
500,000,000
185,000,000 xs 15,000,000</v>
      </c>
      <c r="U112" s="83" t="str">
        <f>CONCATENATE(TEXT(U$9,"ddmmm"),TEXT(U$10,"yyyy"),CHAR(10),TEXT(U$12,"#,##0"),CHAR(10),TEXT(U$7,"#,##0")&amp;" xs ",TEXT(U$8,"#,##0"))</f>
        <v>27Oct2021
500,000,000
185,000,000 xs 15,000,000</v>
      </c>
      <c r="V112" s="83" t="str">
        <f>CONCATENATE(TEXT(P$12,"#,##0"),CHAR(10),"Layer",CHAR(10),V$10,CHAR(10),V$12)</f>
        <v>500,000,000
Layer
2020 - 2021
change</v>
      </c>
      <c r="W112" s="82" t="str">
        <f>CONCATENATE(COLUMN(W112),W$12)</f>
        <v>23Δ</v>
      </c>
      <c r="X112" s="80" t="str">
        <f>CONCATENATE(TEXT(X$9,"ddmmm"),TEXT(X$10,"yyyy"),CHAR(10),TEXT(X$12,"#,##0"))</f>
        <v>23Oct2020
750,000,000</v>
      </c>
      <c r="Y112" s="80" t="str">
        <f>CONCATENATE(TEXT(Y$9,"ddmmm"),TEXT(Y$10,"yyyy"),CHAR(10),TEXT(Y$12,"#,##0"))</f>
        <v>27Oct2021
750,000,000</v>
      </c>
      <c r="Z112" s="83" t="str">
        <f>CONCATENATE(TEXT(X$12,"#,##0"),CHAR(10),Z$10,CHAR(10),Z$12)</f>
        <v>750,000,000
2020 - 2021
change</v>
      </c>
      <c r="AA112" s="82" t="str">
        <f>CONCATENATE(COLUMN(AA112),AA$12)</f>
        <v>27Δ</v>
      </c>
      <c r="AB112" s="83" t="str">
        <f>CONCATENATE(TEXT(AB$9,"ddmmm"),TEXT(AB$10,"yyyy"),CHAR(10),TEXT(AB$12,"#,##0"),CHAR(10),TEXT(AB$7,"#,##0")&amp;" xs ",TEXT(AB$8,"#,##0"))</f>
        <v>23Oct2020
750,000,000
185,000,000 xs 15,000,000</v>
      </c>
      <c r="AC112" s="83" t="str">
        <f>CONCATENATE(TEXT(AC$9,"ddmmm"),TEXT(AC$10,"yyyy"),CHAR(10),TEXT(AC$12,"#,##0"),CHAR(10),TEXT(AC$7,"#,##0")&amp;" xs ",TEXT(AC$8,"#,##0"))</f>
        <v>27Oct2021
750,000,000
185,000,000 xs 15,000,000</v>
      </c>
      <c r="AD112" s="83" t="str">
        <f>CONCATENATE(TEXT(X$12,"#,##0"),CHAR(10),"Layer",CHAR(10),AD$10,CHAR(10),AD$12)</f>
        <v>750,000,000
Layer
2020 - 2021
change</v>
      </c>
      <c r="AE112" s="82" t="str">
        <f>CONCATENATE(COLUMN(AE112),AE$12)</f>
        <v>31Δ</v>
      </c>
      <c r="AF112" s="80" t="str">
        <f>CONCATENATE(TEXT(AF$9,"ddmmm"),TEXT(AF$10,"yyyy"),CHAR(10),TEXT(AF$12,"#,##0"))</f>
        <v>23Oct2020
1,000,000,000</v>
      </c>
      <c r="AG112" s="80" t="str">
        <f>CONCATENATE(TEXT(AG$9,"ddmmm"),TEXT(AG$10,"yyyy"),CHAR(10),TEXT(AG$12,"#,##0"))</f>
        <v>27Oct2021
1,000,000,000</v>
      </c>
      <c r="AH112" s="83" t="str">
        <f>CONCATENATE(TEXT(AF$12,"#,##0"),CHAR(10),AH$10,CHAR(10),AH$12)</f>
        <v>1,000,000,000
2020 - 2021
change</v>
      </c>
      <c r="AI112" s="82" t="str">
        <f>CONCATENATE(COLUMN(AI112),AI$12)</f>
        <v>35Δ</v>
      </c>
      <c r="AJ112" s="83" t="str">
        <f>CONCATENATE(TEXT(AJ$9,"ddmmm"),TEXT(AJ$10,"yyyy"),CHAR(10),TEXT(AJ$12,"#,##0"),CHAR(10),TEXT(AJ$7,"#,##0")&amp;" xs ",TEXT(AJ$8,"#,##0"))</f>
        <v>23Oct2020
1,000,000,000
185,000,000 xs 15,000,000</v>
      </c>
      <c r="AK112" s="83" t="str">
        <f>CONCATENATE(TEXT(AK$9,"ddmmm"),TEXT(AK$10,"yyyy"),CHAR(10),TEXT(AK$12,"#,##0"),CHAR(10),TEXT(AK$7,"#,##0")&amp;" xs ",TEXT(AK$8,"#,##0"))</f>
        <v>27Oct2021
1,000,000,000
185,000,000 xs 15,000,000</v>
      </c>
      <c r="AL112" s="83" t="str">
        <f>CONCATENATE(TEXT(AF$12,"#,##0"),CHAR(10),"Layer",CHAR(10),AL$10,CHAR(10),AL$12)</f>
        <v>1,000,000,000
Layer
2020 - 2021
change</v>
      </c>
      <c r="AM112" s="82" t="str">
        <f>CONCATENATE(COLUMN(AM112),AM$12)</f>
        <v>39Δ</v>
      </c>
      <c r="AN112" s="80" t="str">
        <f>CONCATENATE(TEXT(AN$9,"ddmmm"),TEXT(AN$10,"yyyy"),CHAR(10),TEXT(AN$12,"#,##0"))</f>
        <v>23Oct2020
1,500,000,000</v>
      </c>
      <c r="AO112" s="80" t="str">
        <f>CONCATENATE(TEXT(AO$9,"ddmmm"),TEXT(AO$10,"yyyy"),CHAR(10),TEXT(AO$12,"#,##0"))</f>
        <v>27Oct2021
1,500,000,000</v>
      </c>
      <c r="AP112" s="83" t="str">
        <f>CONCATENATE(TEXT(AN$12,"#,##0"),CHAR(10),AP$10,CHAR(10),AP$12)</f>
        <v>1,500,000,000
2020 - 2021
change</v>
      </c>
      <c r="AQ112" s="82" t="str">
        <f>CONCATENATE(COLUMN(AQ112),AQ$12)</f>
        <v>43Δ</v>
      </c>
      <c r="AR112" s="83" t="str">
        <f>CONCATENATE(TEXT(AR$9,"ddmmm"),TEXT(AR$10,"yyyy"),CHAR(10),TEXT(AR$12,"#,##0"),CHAR(10),TEXT(AR$7,"#,##0")&amp;" xs ",TEXT(AR$8,"#,##0"))</f>
        <v>23Oct2020
1,500,000,000
185,000,000 xs 15,000,000</v>
      </c>
      <c r="AS112" s="83" t="str">
        <f>CONCATENATE(TEXT(AS$9,"ddmmm"),TEXT(AS$10,"yyyy"),CHAR(10),TEXT(AS$12,"#,##0"),CHAR(10),TEXT(AS$7,"#,##0")&amp;" xs ",TEXT(AS$8,"#,##0"))</f>
        <v>27Oct2021
1,500,000,000
185,000,000 xs 15,000,000</v>
      </c>
      <c r="AT112" s="83" t="str">
        <f>CONCATENATE(TEXT(AN$12,"#,##0"),CHAR(10),"Layer",CHAR(10),AT$10,CHAR(10),AT$12)</f>
        <v>1,500,000,000
Layer
2020 - 2021
change</v>
      </c>
      <c r="AU112" s="82" t="str">
        <f>CONCATENATE(COLUMN(AU112),AU$12)</f>
        <v>47Δ</v>
      </c>
      <c r="AV112" s="80" t="str">
        <f>CONCATENATE(TEXT(AV$9,"ddmmm"),TEXT(AV$10,"yyyy"),CHAR(10),TEXT(AV$12,"#,##0"))</f>
        <v>23Oct2020
2,000,000,000</v>
      </c>
      <c r="AW112" s="80" t="str">
        <f>CONCATENATE(TEXT(AW$9,"ddmmm"),TEXT(AW$10,"yyyy"),CHAR(10),TEXT(AW$12,"#,##0"))</f>
        <v>27Oct2021
2,000,000,000</v>
      </c>
      <c r="AX112" s="83" t="str">
        <f>CONCATENATE(TEXT(AV$12,"#,##0"),CHAR(10),AX$10,CHAR(10),AX$12)</f>
        <v>2,000,000,000
2020 - 2021
change</v>
      </c>
      <c r="AY112" s="82" t="str">
        <f>CONCATENATE(COLUMN(AY112),AY$12)</f>
        <v>51Δ</v>
      </c>
      <c r="AZ112" s="83" t="str">
        <f>CONCATENATE(TEXT(AZ$9,"ddmmm"),TEXT(AZ$10,"yyyy"),CHAR(10),TEXT(AZ$12,"#,##0"),CHAR(10),TEXT(AZ$7,"#,##0")&amp;" xs ",TEXT(AZ$8,"#,##0"))</f>
        <v>23Oct2020
2,000,000,000
185,000,000 xs 15,000,000</v>
      </c>
      <c r="BA112" s="83" t="str">
        <f>CONCATENATE(TEXT(BA$9,"ddmmm"),TEXT(BA$10,"yyyy"),CHAR(10),TEXT(BA$12,"#,##0"),CHAR(10),TEXT(BA$7,"#,##0")&amp;" xs ",TEXT(BA$8,"#,##0"))</f>
        <v>27Oct2021
2,000,000,000
185,000,000 xs 15,000,000</v>
      </c>
      <c r="BB112" s="83" t="str">
        <f>CONCATENATE(TEXT(AV$12,"#,##0"),CHAR(10),"Layer",CHAR(10),BB$10,CHAR(10),BB$12)</f>
        <v>2,000,000,000
Layer
2020 - 2021
change</v>
      </c>
      <c r="BC112" s="82" t="str">
        <f>CONCATENATE(COLUMN(BC112),BC$12)</f>
        <v>55Δ</v>
      </c>
      <c r="BD112" s="80" t="str">
        <f>CONCATENATE(TEXT(BD$9,"ddmmm"),TEXT(BD$10,"yyyy"),CHAR(10),TEXT(BD$12,"#,##0"))</f>
        <v>23Oct2020
2,500,000,000</v>
      </c>
      <c r="BE112" s="80" t="str">
        <f>CONCATENATE(TEXT(BE$9,"ddmmm"),TEXT(BE$10,"yyyy"),CHAR(10),TEXT(BE$12,"#,##0"))</f>
        <v>27Oct2021
2,500,000,000</v>
      </c>
      <c r="BF112" s="83" t="str">
        <f>CONCATENATE(TEXT(BD$12,"#,##0"),CHAR(10),BF$10,CHAR(10),BF$12)</f>
        <v>2,500,000,000
2020 - 2021
change</v>
      </c>
      <c r="BG112" s="82" t="str">
        <f>CONCATENATE(COLUMN(BG112),BG$12)</f>
        <v>59Δ</v>
      </c>
      <c r="BH112" s="83" t="str">
        <f>CONCATENATE(TEXT(BH$9,"ddmmm"),TEXT(BH$10,"yyyy"),CHAR(10),TEXT(BH$12,"#,##0"),CHAR(10),TEXT(BH$7,"#,##0")&amp;" xs ",TEXT(BH$8,"#,##0"))</f>
        <v>23Oct2020
2,500,000,000
185,000,000 xs 15,000,000</v>
      </c>
      <c r="BI112" s="83" t="str">
        <f>CONCATENATE(TEXT(BI$9,"ddmmm"),TEXT(BI$10,"yyyy"),CHAR(10),TEXT(BI$12,"#,##0"),CHAR(10),TEXT(BI$7,"#,##0")&amp;" xs ",TEXT(BI$8,"#,##0"))</f>
        <v>27Oct2021
2,500,000,000
185,000,000 xs 15,000,000</v>
      </c>
      <c r="BJ112" s="83" t="str">
        <f>CONCATENATE(TEXT(BD$12,"#,##0"),CHAR(10),"Layer",CHAR(10),BJ$10,CHAR(10),BJ$12)</f>
        <v>2,500,000,000
Layer
2020 - 2021
change</v>
      </c>
      <c r="BK112" s="82" t="str">
        <f>CONCATENATE(COLUMN(BK112),BK$12)</f>
        <v>63Δ</v>
      </c>
      <c r="BL112" s="80" t="str">
        <f>CONCATENATE(TEXT(BL$9,"ddmmm"),TEXT(BL$10,"yyyy"),CHAR(10),TEXT(BL$12,"#,##0"))</f>
        <v>23Oct2020
3,000,000,000</v>
      </c>
      <c r="BM112" s="80" t="str">
        <f>CONCATENATE(TEXT(BM$9,"ddmmm"),TEXT(BM$10,"yyyy"),CHAR(10),TEXT(BM$12,"#,##0"))</f>
        <v>27Oct2021
3,000,000,000</v>
      </c>
      <c r="BN112" s="83" t="str">
        <f>CONCATENATE(TEXT(BL$12,"#,##0"),CHAR(10),BN$10,CHAR(10),BN$12)</f>
        <v>3,000,000,000
2020 - 2021
change</v>
      </c>
      <c r="BO112" s="82" t="str">
        <f>CONCATENATE(COLUMN(BO112),BO$12)</f>
        <v>67Δ</v>
      </c>
      <c r="BP112" s="83" t="str">
        <f>CONCATENATE(TEXT(BP$9,"ddmmm"),TEXT(BP$10,"yyyy"),CHAR(10),TEXT(BP$12,"#,##0"),CHAR(10),TEXT(BP$7,"#,##0")&amp;" xs ",TEXT(BP$8,"#,##0"))</f>
        <v>23Oct2020
3,000,000,000
185,000,000 xs 15,000,000</v>
      </c>
      <c r="BQ112" s="83" t="str">
        <f>CONCATENATE(TEXT(BQ$9,"ddmmm"),TEXT(BQ$10,"yyyy"),CHAR(10),TEXT(BQ$12,"#,##0"),CHAR(10),TEXT(BQ$7,"#,##0")&amp;" xs ",TEXT(BQ$8,"#,##0"))</f>
        <v>27Oct2021
3,000,000,000
185,000,000 xs 15,000,000</v>
      </c>
      <c r="BR112" s="83" t="str">
        <f>CONCATENATE(TEXT(BL$12,"#,##0"),CHAR(10),"Layer",CHAR(10),BR$10,CHAR(10),BR$12)</f>
        <v>3,000,000,000
Layer
2020 - 2021
change</v>
      </c>
      <c r="BS112" s="82" t="str">
        <f>CONCATENATE(COLUMN(BS112),BS$12)</f>
        <v>71Δ</v>
      </c>
      <c r="BT112" s="84"/>
    </row>
    <row r="113" spans="1:72" collapsed="1" x14ac:dyDescent="0.25">
      <c r="A113" s="85">
        <v>113</v>
      </c>
      <c r="B113" s="85">
        <f t="shared" ref="B113:B162" si="219">IF(OR($D113=1,$E113=1),1,0)</f>
        <v>1</v>
      </c>
      <c r="C113" s="85">
        <f t="shared" ref="C113:C162" si="220">IF(AND($D113=1,$E113=1),1,0)</f>
        <v>1</v>
      </c>
      <c r="D113" s="86">
        <f t="shared" ref="D113:E132" si="221">IF(SUMIFS($F113:$BO113,$F$9:$BO$9,D$9,$F$10:$BO$10,D$10)&gt;0,1,0)</f>
        <v>1</v>
      </c>
      <c r="E113" s="86">
        <f t="shared" si="221"/>
        <v>1</v>
      </c>
      <c r="F113" s="48" t="s">
        <v>117</v>
      </c>
      <c r="G113" s="38" t="s">
        <v>36</v>
      </c>
      <c r="H113" s="87">
        <v>2646662.2869000002</v>
      </c>
      <c r="I113" s="87">
        <v>1804709.7120000001</v>
      </c>
      <c r="J113" s="87">
        <f t="shared" ref="J113:J144" si="222">IF(Dyn_Insured="","",IF(ISNUMBER(I113)=FALSE,0,I113)-IF(ISNUMBER(H113)=FALSE,0,H113))</f>
        <v>-841952.57490000012</v>
      </c>
      <c r="K113" s="88">
        <f t="shared" ref="K113:K162" si="223">J113</f>
        <v>-841952.57490000012</v>
      </c>
      <c r="L113" s="87">
        <f>IF(Dyn_Insured="","",IF(ISNUMBER(H113)=FALSE,"n/a",MIN(MAX(H113-'Layer Comparison'!Excess_Past,0),'Layer Comparison'!Limit_Past)))</f>
        <v>0</v>
      </c>
      <c r="M113" s="87">
        <f>IF(Dyn_Insured="","",IF(ISNUMBER(I113)=FALSE,"n/a",MIN(MAX(I113-'Layer Comparison'!Excess_Latest,0),'Layer Comparison'!Limit_Latest)))</f>
        <v>0</v>
      </c>
      <c r="N113" s="87">
        <f t="shared" ref="N113:N144" si="224">IF(Dyn_Insured="","",IF(ISNUMBER(M113)=FALSE,0,M113)-IF(ISNUMBER(L113)=FALSE,0,L113))</f>
        <v>0</v>
      </c>
      <c r="O113" s="88">
        <f t="shared" ref="O113:O162" si="225">N113</f>
        <v>0</v>
      </c>
      <c r="P113" s="87">
        <v>10884242.740999999</v>
      </c>
      <c r="Q113" s="87">
        <v>8328641.2381000007</v>
      </c>
      <c r="R113" s="87">
        <f t="shared" ref="R113:R144" si="226">IF(Dyn_Insured="","",IF(ISNUMBER(Q113)=FALSE,0,Q113)-IF(ISNUMBER(P113)=FALSE,0,P113))</f>
        <v>-2555601.5028999979</v>
      </c>
      <c r="S113" s="88">
        <f t="shared" ref="S113:S162" si="227">R113</f>
        <v>-2555601.5028999979</v>
      </c>
      <c r="T113" s="87">
        <f>IF(Dyn_Insured="","",IF(ISNUMBER(P113)=FALSE,"n/a",MIN(MAX(P113-'Layer Comparison'!Excess_Past,0),'Layer Comparison'!Limit_Past)))</f>
        <v>0</v>
      </c>
      <c r="U113" s="87">
        <f>IF(Dyn_Insured="","",IF(ISNUMBER(Q113)=FALSE,"n/a",MIN(MAX(Q113-'Layer Comparison'!Excess_Latest,0),'Layer Comparison'!Limit_Latest)))</f>
        <v>0</v>
      </c>
      <c r="V113" s="87">
        <f t="shared" ref="V113:V144" si="228">IF(Dyn_Insured="","",IF(ISNUMBER(U113)=FALSE,0,U113)-IF(ISNUMBER(T113)=FALSE,0,T113))</f>
        <v>0</v>
      </c>
      <c r="W113" s="88">
        <f t="shared" ref="W113:W162" si="229">V113</f>
        <v>0</v>
      </c>
      <c r="X113" s="87">
        <v>21972088.136500001</v>
      </c>
      <c r="Y113" s="87">
        <v>16200562.172</v>
      </c>
      <c r="Z113" s="87">
        <f t="shared" ref="Z113:Z144" si="230">IF(Dyn_Insured="","",IF(ISNUMBER(Y113)=FALSE,0,Y113)-IF(ISNUMBER(X113)=FALSE,0,X113))</f>
        <v>-5771525.9645000007</v>
      </c>
      <c r="AA113" s="88">
        <f t="shared" ref="AA113:AA162" si="231">Z113</f>
        <v>-5771525.9645000007</v>
      </c>
      <c r="AB113" s="87">
        <f>IF(Dyn_Insured="","",IF(ISNUMBER(X113)=FALSE,"n/a",MIN(MAX(X113-'Layer Comparison'!Excess_Past,0),'Layer Comparison'!Limit_Past)))</f>
        <v>6972088.136500001</v>
      </c>
      <c r="AC113" s="87">
        <f>IF(Dyn_Insured="","",IF(ISNUMBER(Y113)=FALSE,"n/a",MIN(MAX(Y113-'Layer Comparison'!Excess_Latest,0),'Layer Comparison'!Limit_Latest)))</f>
        <v>1200562.1720000003</v>
      </c>
      <c r="AD113" s="87">
        <f t="shared" ref="AD113:AD144" si="232">IF(Dyn_Insured="","",IF(ISNUMBER(AC113)=FALSE,0,AC113)-IF(ISNUMBER(AB113)=FALSE,0,AB113))</f>
        <v>-5771525.9645000007</v>
      </c>
      <c r="AE113" s="88">
        <f t="shared" ref="AE113:AE162" si="233">AD113</f>
        <v>-5771525.9645000007</v>
      </c>
      <c r="AF113" s="87">
        <v>31694025.552000005</v>
      </c>
      <c r="AG113" s="87">
        <v>22913184.617100004</v>
      </c>
      <c r="AH113" s="87">
        <f t="shared" ref="AH113:AH144" si="234">IF(Dyn_Insured="","",IF(ISNUMBER(AG113)=FALSE,0,AG113)-IF(ISNUMBER(AF113)=FALSE,0,AF113))</f>
        <v>-8780840.9349000007</v>
      </c>
      <c r="AI113" s="88">
        <f t="shared" ref="AI113:AI162" si="235">AH113</f>
        <v>-8780840.9349000007</v>
      </c>
      <c r="AJ113" s="87">
        <f>IF(Dyn_Insured="","",IF(ISNUMBER(AF113)=FALSE,"n/a",MIN(MAX(AF113-'Layer Comparison'!Excess_Past,0),'Layer Comparison'!Limit_Past)))</f>
        <v>16694025.552000005</v>
      </c>
      <c r="AK113" s="87">
        <f>IF(Dyn_Insured="","",IF(ISNUMBER(AG113)=FALSE,"n/a",MIN(MAX(AG113-'Layer Comparison'!Excess_Latest,0),'Layer Comparison'!Limit_Latest)))</f>
        <v>7913184.6171000041</v>
      </c>
      <c r="AL113" s="87">
        <f t="shared" ref="AL113:AL144" si="236">IF(Dyn_Insured="","",IF(ISNUMBER(AK113)=FALSE,0,AK113)-IF(ISNUMBER(AJ113)=FALSE,0,AJ113))</f>
        <v>-8780840.9349000007</v>
      </c>
      <c r="AM113" s="88">
        <f t="shared" ref="AM113:AM162" si="237">AL113</f>
        <v>-8780840.9349000007</v>
      </c>
      <c r="AN113" s="87">
        <v>52141745.276900001</v>
      </c>
      <c r="AO113" s="87">
        <v>40103227.658899993</v>
      </c>
      <c r="AP113" s="87">
        <f t="shared" ref="AP113:AP144" si="238">IF(Dyn_Insured="","",IF(ISNUMBER(AO113)=FALSE,0,AO113)-IF(ISNUMBER(AN113)=FALSE,0,AN113))</f>
        <v>-12038517.618000008</v>
      </c>
      <c r="AQ113" s="88">
        <f t="shared" ref="AQ113:AQ162" si="239">AP113</f>
        <v>-12038517.618000008</v>
      </c>
      <c r="AR113" s="87">
        <f>IF(Dyn_Insured="","",IF(ISNUMBER(AN113)=FALSE,"n/a",MIN(MAX(AN113-'Layer Comparison'!Excess_Past,0),'Layer Comparison'!Limit_Past)))</f>
        <v>37141745.276900001</v>
      </c>
      <c r="AS113" s="87">
        <f>IF(Dyn_Insured="","",IF(ISNUMBER(AO113)=FALSE,"n/a",MIN(MAX(AO113-'Layer Comparison'!Excess_Latest,0),'Layer Comparison'!Limit_Latest)))</f>
        <v>25103227.658899993</v>
      </c>
      <c r="AT113" s="87">
        <f t="shared" ref="AT113:AT144" si="240">IF(Dyn_Insured="","",IF(ISNUMBER(AS113)=FALSE,0,AS113)-IF(ISNUMBER(AR113)=FALSE,0,AR113))</f>
        <v>-12038517.618000008</v>
      </c>
      <c r="AU113" s="88">
        <f t="shared" ref="AU113:AU162" si="241">AT113</f>
        <v>-12038517.618000008</v>
      </c>
      <c r="AV113" s="87">
        <v>59562026.011000007</v>
      </c>
      <c r="AW113" s="87">
        <v>46437420.552100003</v>
      </c>
      <c r="AX113" s="87">
        <f t="shared" ref="AX113:AX144" si="242">IF(Dyn_Insured="","",IF(ISNUMBER(AW113)=FALSE,0,AW113)-IF(ISNUMBER(AV113)=FALSE,0,AV113))</f>
        <v>-13124605.458900005</v>
      </c>
      <c r="AY113" s="88">
        <f t="shared" ref="AY113:AY162" si="243">AX113</f>
        <v>-13124605.458900005</v>
      </c>
      <c r="AZ113" s="87">
        <f>IF(Dyn_Insured="","",IF(ISNUMBER(AV113)=FALSE,"n/a",MIN(MAX(AV113-'Layer Comparison'!Excess_Past,0),'Layer Comparison'!Limit_Past)))</f>
        <v>44562026.011000007</v>
      </c>
      <c r="BA113" s="87">
        <f>IF(Dyn_Insured="","",IF(ISNUMBER(AW113)=FALSE,"n/a",MIN(MAX(AW113-'Layer Comparison'!Excess_Latest,0),'Layer Comparison'!Limit_Latest)))</f>
        <v>31437420.552100003</v>
      </c>
      <c r="BB113" s="87">
        <f t="shared" ref="BB113:BB144" si="244">IF(Dyn_Insured="","",IF(ISNUMBER(BA113)=FALSE,0,BA113)-IF(ISNUMBER(AZ113)=FALSE,0,AZ113))</f>
        <v>-13124605.458900005</v>
      </c>
      <c r="BC113" s="88">
        <f t="shared" ref="BC113:BC162" si="245">BB113</f>
        <v>-13124605.458900005</v>
      </c>
      <c r="BD113" s="87">
        <v>59562026.011</v>
      </c>
      <c r="BE113" s="87">
        <v>46437420.552100018</v>
      </c>
      <c r="BF113" s="87">
        <f t="shared" ref="BF113:BF144" si="246">IF(Dyn_Insured="","",IF(ISNUMBER(BE113)=FALSE,0,BE113)-IF(ISNUMBER(BD113)=FALSE,0,BD113))</f>
        <v>-13124605.458899982</v>
      </c>
      <c r="BG113" s="88">
        <f t="shared" ref="BG113:BG162" si="247">BF113</f>
        <v>-13124605.458899982</v>
      </c>
      <c r="BH113" s="87">
        <f>IF(Dyn_Insured="","",IF(ISNUMBER(BD113)=FALSE,"n/a",MIN(MAX(BD113-'Layer Comparison'!Excess_Past,0),'Layer Comparison'!Limit_Past)))</f>
        <v>44562026.011</v>
      </c>
      <c r="BI113" s="87">
        <f>IF(Dyn_Insured="","",IF(ISNUMBER(BE113)=FALSE,"n/a",MIN(MAX(BE113-'Layer Comparison'!Excess_Latest,0),'Layer Comparison'!Limit_Latest)))</f>
        <v>31437420.552100018</v>
      </c>
      <c r="BJ113" s="87">
        <f t="shared" ref="BJ113:BJ144" si="248">IF(Dyn_Insured="","",IF(ISNUMBER(BI113)=FALSE,0,BI113)-IF(ISNUMBER(BH113)=FALSE,0,BH113))</f>
        <v>-13124605.458899982</v>
      </c>
      <c r="BK113" s="88">
        <f t="shared" ref="BK113:BK162" si="249">BJ113</f>
        <v>-13124605.458899982</v>
      </c>
      <c r="BL113" s="87">
        <v>59562026.011</v>
      </c>
      <c r="BM113" s="87">
        <v>46437420.552099995</v>
      </c>
      <c r="BN113" s="87">
        <f t="shared" ref="BN113:BN144" si="250">IF(Dyn_Insured="","",IF(ISNUMBER(BM113)=FALSE,0,BM113)-IF(ISNUMBER(BL113)=FALSE,0,BL113))</f>
        <v>-13124605.458900005</v>
      </c>
      <c r="BO113" s="88">
        <f t="shared" ref="BO113:BO162" si="251">BN113</f>
        <v>-13124605.458900005</v>
      </c>
      <c r="BP113" s="87">
        <f>IF(Dyn_Insured="","",IF(ISNUMBER(BL113)=FALSE,"n/a",MIN(MAX(BL113-'Layer Comparison'!Excess_Past,0),'Layer Comparison'!Limit_Past)))</f>
        <v>44562026.011</v>
      </c>
      <c r="BQ113" s="87">
        <f>IF(Dyn_Insured="","",IF(ISNUMBER(BM113)=FALSE,"n/a",MIN(MAX(BM113-'Layer Comparison'!Excess_Latest,0),'Layer Comparison'!Limit_Latest)))</f>
        <v>31437420.552099995</v>
      </c>
      <c r="BR113" s="87">
        <f t="shared" ref="BR113:BR144" si="252">IF(Dyn_Insured="","",IF(ISNUMBER(BQ113)=FALSE,0,BQ113)-IF(ISNUMBER(BP113)=FALSE,0,BP113))</f>
        <v>-13124605.458900005</v>
      </c>
      <c r="BS113" s="88">
        <f t="shared" ref="BS113:BS162" si="253">BR113</f>
        <v>-13124605.458900005</v>
      </c>
      <c r="BT113" s="46" t="s">
        <v>13</v>
      </c>
    </row>
    <row r="114" spans="1:72" x14ac:dyDescent="0.25">
      <c r="A114" s="89">
        <v>114</v>
      </c>
      <c r="B114" s="89">
        <f t="shared" si="219"/>
        <v>1</v>
      </c>
      <c r="C114" s="89">
        <f t="shared" si="220"/>
        <v>1</v>
      </c>
      <c r="D114" s="90">
        <f t="shared" si="221"/>
        <v>1</v>
      </c>
      <c r="E114" s="90">
        <f t="shared" si="221"/>
        <v>1</v>
      </c>
      <c r="F114" s="48" t="s">
        <v>118</v>
      </c>
      <c r="G114" s="38" t="s">
        <v>36</v>
      </c>
      <c r="H114" s="87">
        <v>1625617.4446</v>
      </c>
      <c r="I114" s="87">
        <v>943588.48619999993</v>
      </c>
      <c r="J114" s="87">
        <f t="shared" si="222"/>
        <v>-682028.95840000012</v>
      </c>
      <c r="K114" s="88">
        <f t="shared" si="223"/>
        <v>-682028.95840000012</v>
      </c>
      <c r="L114" s="87">
        <f>IF(Dyn_Insured="","",IF(ISNUMBER(H114)=FALSE,"n/a",MIN(MAX(H114-'Layer Comparison'!Excess_Past,0),'Layer Comparison'!Limit_Past)))</f>
        <v>0</v>
      </c>
      <c r="M114" s="87">
        <f>IF(Dyn_Insured="","",IF(ISNUMBER(I114)=FALSE,"n/a",MIN(MAX(I114-'Layer Comparison'!Excess_Latest,0),'Layer Comparison'!Limit_Latest)))</f>
        <v>0</v>
      </c>
      <c r="N114" s="87">
        <f t="shared" si="224"/>
        <v>0</v>
      </c>
      <c r="O114" s="88">
        <f t="shared" si="225"/>
        <v>0</v>
      </c>
      <c r="P114" s="87">
        <v>9288142.5537999999</v>
      </c>
      <c r="Q114" s="87">
        <v>8851608.1730999984</v>
      </c>
      <c r="R114" s="87">
        <f t="shared" si="226"/>
        <v>-436534.38070000149</v>
      </c>
      <c r="S114" s="88">
        <f t="shared" si="227"/>
        <v>-436534.38070000149</v>
      </c>
      <c r="T114" s="87">
        <f>IF(Dyn_Insured="","",IF(ISNUMBER(P114)=FALSE,"n/a",MIN(MAX(P114-'Layer Comparison'!Excess_Past,0),'Layer Comparison'!Limit_Past)))</f>
        <v>0</v>
      </c>
      <c r="U114" s="87">
        <f>IF(Dyn_Insured="","",IF(ISNUMBER(Q114)=FALSE,"n/a",MIN(MAX(Q114-'Layer Comparison'!Excess_Latest,0),'Layer Comparison'!Limit_Latest)))</f>
        <v>0</v>
      </c>
      <c r="V114" s="87">
        <f t="shared" si="228"/>
        <v>0</v>
      </c>
      <c r="W114" s="88">
        <f t="shared" si="229"/>
        <v>0</v>
      </c>
      <c r="X114" s="87">
        <v>20272352.256999999</v>
      </c>
      <c r="Y114" s="87">
        <v>19157183.131700005</v>
      </c>
      <c r="Z114" s="87">
        <f t="shared" si="230"/>
        <v>-1115169.1252999939</v>
      </c>
      <c r="AA114" s="88">
        <f t="shared" si="231"/>
        <v>-1115169.1252999939</v>
      </c>
      <c r="AB114" s="87">
        <f>IF(Dyn_Insured="","",IF(ISNUMBER(X114)=FALSE,"n/a",MIN(MAX(X114-'Layer Comparison'!Excess_Past,0),'Layer Comparison'!Limit_Past)))</f>
        <v>5272352.2569999993</v>
      </c>
      <c r="AC114" s="87">
        <f>IF(Dyn_Insured="","",IF(ISNUMBER(Y114)=FALSE,"n/a",MIN(MAX(Y114-'Layer Comparison'!Excess_Latest,0),'Layer Comparison'!Limit_Latest)))</f>
        <v>4157183.1317000054</v>
      </c>
      <c r="AD114" s="87">
        <f t="shared" si="232"/>
        <v>-1115169.1252999939</v>
      </c>
      <c r="AE114" s="88">
        <f t="shared" si="233"/>
        <v>-1115169.1252999939</v>
      </c>
      <c r="AF114" s="87">
        <v>31604288.425699998</v>
      </c>
      <c r="AG114" s="87">
        <v>30498393.528900001</v>
      </c>
      <c r="AH114" s="87">
        <f t="shared" si="234"/>
        <v>-1105894.8967999965</v>
      </c>
      <c r="AI114" s="88">
        <f t="shared" si="235"/>
        <v>-1105894.8967999965</v>
      </c>
      <c r="AJ114" s="87">
        <f>IF(Dyn_Insured="","",IF(ISNUMBER(AF114)=FALSE,"n/a",MIN(MAX(AF114-'Layer Comparison'!Excess_Past,0),'Layer Comparison'!Limit_Past)))</f>
        <v>16604288.425699998</v>
      </c>
      <c r="AK114" s="87">
        <f>IF(Dyn_Insured="","",IF(ISNUMBER(AG114)=FALSE,"n/a",MIN(MAX(AG114-'Layer Comparison'!Excess_Latest,0),'Layer Comparison'!Limit_Latest)))</f>
        <v>15498393.528900001</v>
      </c>
      <c r="AL114" s="87">
        <f t="shared" si="236"/>
        <v>-1105894.8967999965</v>
      </c>
      <c r="AM114" s="88">
        <f t="shared" si="237"/>
        <v>-1105894.8967999965</v>
      </c>
      <c r="AN114" s="87">
        <v>55143260.758600004</v>
      </c>
      <c r="AO114" s="87">
        <v>56607047.801799998</v>
      </c>
      <c r="AP114" s="87">
        <f t="shared" si="238"/>
        <v>1463787.0431999937</v>
      </c>
      <c r="AQ114" s="88">
        <f t="shared" si="239"/>
        <v>1463787.0431999937</v>
      </c>
      <c r="AR114" s="87">
        <f>IF(Dyn_Insured="","",IF(ISNUMBER(AN114)=FALSE,"n/a",MIN(MAX(AN114-'Layer Comparison'!Excess_Past,0),'Layer Comparison'!Limit_Past)))</f>
        <v>40143260.758600004</v>
      </c>
      <c r="AS114" s="87">
        <f>IF(Dyn_Insured="","",IF(ISNUMBER(AO114)=FALSE,"n/a",MIN(MAX(AO114-'Layer Comparison'!Excess_Latest,0),'Layer Comparison'!Limit_Latest)))</f>
        <v>41607047.801799998</v>
      </c>
      <c r="AT114" s="87">
        <f t="shared" si="240"/>
        <v>1463787.0431999937</v>
      </c>
      <c r="AU114" s="88">
        <f t="shared" si="241"/>
        <v>1463787.0431999937</v>
      </c>
      <c r="AV114" s="87">
        <v>77751439.079500005</v>
      </c>
      <c r="AW114" s="87">
        <v>82486308.725500003</v>
      </c>
      <c r="AX114" s="87">
        <f t="shared" si="242"/>
        <v>4734869.6459999979</v>
      </c>
      <c r="AY114" s="88">
        <f t="shared" si="243"/>
        <v>4734869.6459999979</v>
      </c>
      <c r="AZ114" s="87">
        <f>IF(Dyn_Insured="","",IF(ISNUMBER(AV114)=FALSE,"n/a",MIN(MAX(AV114-'Layer Comparison'!Excess_Past,0),'Layer Comparison'!Limit_Past)))</f>
        <v>62751439.079500005</v>
      </c>
      <c r="BA114" s="87">
        <f>IF(Dyn_Insured="","",IF(ISNUMBER(AW114)=FALSE,"n/a",MIN(MAX(AW114-'Layer Comparison'!Excess_Latest,0),'Layer Comparison'!Limit_Latest)))</f>
        <v>67486308.725500003</v>
      </c>
      <c r="BB114" s="87">
        <f t="shared" si="244"/>
        <v>4734869.6459999979</v>
      </c>
      <c r="BC114" s="88">
        <f t="shared" si="245"/>
        <v>4734869.6459999979</v>
      </c>
      <c r="BD114" s="87">
        <v>87349871.913200021</v>
      </c>
      <c r="BE114" s="87">
        <v>91519743.047300011</v>
      </c>
      <c r="BF114" s="87">
        <f t="shared" si="246"/>
        <v>4169871.1340999901</v>
      </c>
      <c r="BG114" s="88">
        <f t="shared" si="247"/>
        <v>4169871.1340999901</v>
      </c>
      <c r="BH114" s="87">
        <f>IF(Dyn_Insured="","",IF(ISNUMBER(BD114)=FALSE,"n/a",MIN(MAX(BD114-'Layer Comparison'!Excess_Past,0),'Layer Comparison'!Limit_Past)))</f>
        <v>72349871.913200021</v>
      </c>
      <c r="BI114" s="87">
        <f>IF(Dyn_Insured="","",IF(ISNUMBER(BE114)=FALSE,"n/a",MIN(MAX(BE114-'Layer Comparison'!Excess_Latest,0),'Layer Comparison'!Limit_Latest)))</f>
        <v>76519743.047300011</v>
      </c>
      <c r="BJ114" s="87">
        <f t="shared" si="248"/>
        <v>4169871.1340999901</v>
      </c>
      <c r="BK114" s="88">
        <f t="shared" si="249"/>
        <v>4169871.1340999901</v>
      </c>
      <c r="BL114" s="87">
        <v>87349871.913200021</v>
      </c>
      <c r="BM114" s="87">
        <v>91519743.047300011</v>
      </c>
      <c r="BN114" s="87">
        <f t="shared" si="250"/>
        <v>4169871.1340999901</v>
      </c>
      <c r="BO114" s="88">
        <f t="shared" si="251"/>
        <v>4169871.1340999901</v>
      </c>
      <c r="BP114" s="87">
        <f>IF(Dyn_Insured="","",IF(ISNUMBER(BL114)=FALSE,"n/a",MIN(MAX(BL114-'Layer Comparison'!Excess_Past,0),'Layer Comparison'!Limit_Past)))</f>
        <v>72349871.913200021</v>
      </c>
      <c r="BQ114" s="87">
        <f>IF(Dyn_Insured="","",IF(ISNUMBER(BM114)=FALSE,"n/a",MIN(MAX(BM114-'Layer Comparison'!Excess_Latest,0),'Layer Comparison'!Limit_Latest)))</f>
        <v>76519743.047300011</v>
      </c>
      <c r="BR114" s="87">
        <f t="shared" si="252"/>
        <v>4169871.1340999901</v>
      </c>
      <c r="BS114" s="88">
        <f t="shared" si="253"/>
        <v>4169871.1340999901</v>
      </c>
      <c r="BT114" s="46" t="s">
        <v>13</v>
      </c>
    </row>
    <row r="115" spans="1:72" x14ac:dyDescent="0.25">
      <c r="A115" s="89">
        <v>115</v>
      </c>
      <c r="B115" s="89">
        <f t="shared" si="219"/>
        <v>1</v>
      </c>
      <c r="C115" s="89">
        <f t="shared" si="220"/>
        <v>1</v>
      </c>
      <c r="D115" s="90">
        <f t="shared" si="221"/>
        <v>1</v>
      </c>
      <c r="E115" s="90">
        <f t="shared" si="221"/>
        <v>1</v>
      </c>
      <c r="F115" s="48" t="s">
        <v>119</v>
      </c>
      <c r="G115" s="38" t="s">
        <v>36</v>
      </c>
      <c r="H115" s="87">
        <v>3481983.4116999996</v>
      </c>
      <c r="I115" s="87">
        <v>2671085.5438000001</v>
      </c>
      <c r="J115" s="87">
        <f t="shared" si="222"/>
        <v>-810897.86789999949</v>
      </c>
      <c r="K115" s="88">
        <f t="shared" si="223"/>
        <v>-810897.86789999949</v>
      </c>
      <c r="L115" s="87">
        <f>IF(Dyn_Insured="","",IF(ISNUMBER(H115)=FALSE,"n/a",MIN(MAX(H115-'Layer Comparison'!Excess_Past,0),'Layer Comparison'!Limit_Past)))</f>
        <v>0</v>
      </c>
      <c r="M115" s="87">
        <f>IF(Dyn_Insured="","",IF(ISNUMBER(I115)=FALSE,"n/a",MIN(MAX(I115-'Layer Comparison'!Excess_Latest,0),'Layer Comparison'!Limit_Latest)))</f>
        <v>0</v>
      </c>
      <c r="N115" s="87">
        <f t="shared" si="224"/>
        <v>0</v>
      </c>
      <c r="O115" s="88">
        <f t="shared" si="225"/>
        <v>0</v>
      </c>
      <c r="P115" s="87">
        <v>13429806.935600001</v>
      </c>
      <c r="Q115" s="87">
        <v>13146815.426500004</v>
      </c>
      <c r="R115" s="87">
        <f t="shared" si="226"/>
        <v>-282991.50909999758</v>
      </c>
      <c r="S115" s="88">
        <f t="shared" si="227"/>
        <v>-282991.50909999758</v>
      </c>
      <c r="T115" s="87">
        <f>IF(Dyn_Insured="","",IF(ISNUMBER(P115)=FALSE,"n/a",MIN(MAX(P115-'Layer Comparison'!Excess_Past,0),'Layer Comparison'!Limit_Past)))</f>
        <v>0</v>
      </c>
      <c r="U115" s="87">
        <f>IF(Dyn_Insured="","",IF(ISNUMBER(Q115)=FALSE,"n/a",MIN(MAX(Q115-'Layer Comparison'!Excess_Latest,0),'Layer Comparison'!Limit_Latest)))</f>
        <v>0</v>
      </c>
      <c r="V115" s="87">
        <f t="shared" si="228"/>
        <v>0</v>
      </c>
      <c r="W115" s="88">
        <f t="shared" si="229"/>
        <v>0</v>
      </c>
      <c r="X115" s="87">
        <v>26154053.535</v>
      </c>
      <c r="Y115" s="87">
        <v>26326587.470100001</v>
      </c>
      <c r="Z115" s="87">
        <f t="shared" si="230"/>
        <v>172533.93510000035</v>
      </c>
      <c r="AA115" s="88">
        <f t="shared" si="231"/>
        <v>172533.93510000035</v>
      </c>
      <c r="AB115" s="87">
        <f>IF(Dyn_Insured="","",IF(ISNUMBER(X115)=FALSE,"n/a",MIN(MAX(X115-'Layer Comparison'!Excess_Past,0),'Layer Comparison'!Limit_Past)))</f>
        <v>11154053.535</v>
      </c>
      <c r="AC115" s="87">
        <f>IF(Dyn_Insured="","",IF(ISNUMBER(Y115)=FALSE,"n/a",MIN(MAX(Y115-'Layer Comparison'!Excess_Latest,0),'Layer Comparison'!Limit_Latest)))</f>
        <v>11326587.470100001</v>
      </c>
      <c r="AD115" s="87">
        <f t="shared" si="232"/>
        <v>172533.93510000035</v>
      </c>
      <c r="AE115" s="88">
        <f t="shared" si="233"/>
        <v>172533.93510000035</v>
      </c>
      <c r="AF115" s="87">
        <v>39646495.048400007</v>
      </c>
      <c r="AG115" s="87">
        <v>40181276.232600003</v>
      </c>
      <c r="AH115" s="87">
        <f t="shared" si="234"/>
        <v>534781.18419999629</v>
      </c>
      <c r="AI115" s="88">
        <f t="shared" si="235"/>
        <v>534781.18419999629</v>
      </c>
      <c r="AJ115" s="87">
        <f>IF(Dyn_Insured="","",IF(ISNUMBER(AF115)=FALSE,"n/a",MIN(MAX(AF115-'Layer Comparison'!Excess_Past,0),'Layer Comparison'!Limit_Past)))</f>
        <v>24646495.048400007</v>
      </c>
      <c r="AK115" s="87">
        <f>IF(Dyn_Insured="","",IF(ISNUMBER(AG115)=FALSE,"n/a",MIN(MAX(AG115-'Layer Comparison'!Excess_Latest,0),'Layer Comparison'!Limit_Latest)))</f>
        <v>25181276.232600003</v>
      </c>
      <c r="AL115" s="87">
        <f t="shared" si="236"/>
        <v>534781.18419999629</v>
      </c>
      <c r="AM115" s="88">
        <f t="shared" si="237"/>
        <v>534781.18419999629</v>
      </c>
      <c r="AN115" s="87">
        <v>64873990.257600002</v>
      </c>
      <c r="AO115" s="87">
        <v>68765150.45540002</v>
      </c>
      <c r="AP115" s="87">
        <f t="shared" si="238"/>
        <v>3891160.1978000179</v>
      </c>
      <c r="AQ115" s="88">
        <f t="shared" si="239"/>
        <v>3891160.1978000179</v>
      </c>
      <c r="AR115" s="87">
        <f>IF(Dyn_Insured="","",IF(ISNUMBER(AN115)=FALSE,"n/a",MIN(MAX(AN115-'Layer Comparison'!Excess_Past,0),'Layer Comparison'!Limit_Past)))</f>
        <v>49873990.257600002</v>
      </c>
      <c r="AS115" s="87">
        <f>IF(Dyn_Insured="","",IF(ISNUMBER(AO115)=FALSE,"n/a",MIN(MAX(AO115-'Layer Comparison'!Excess_Latest,0),'Layer Comparison'!Limit_Latest)))</f>
        <v>53765150.45540002</v>
      </c>
      <c r="AT115" s="87">
        <f t="shared" si="240"/>
        <v>3891160.1978000179</v>
      </c>
      <c r="AU115" s="88">
        <f t="shared" si="241"/>
        <v>3891160.1978000179</v>
      </c>
      <c r="AV115" s="87">
        <v>90982155.217600018</v>
      </c>
      <c r="AW115" s="87">
        <v>96168711.744299993</v>
      </c>
      <c r="AX115" s="87">
        <f t="shared" si="242"/>
        <v>5186556.5266999751</v>
      </c>
      <c r="AY115" s="88">
        <f t="shared" si="243"/>
        <v>5186556.5266999751</v>
      </c>
      <c r="AZ115" s="87">
        <f>IF(Dyn_Insured="","",IF(ISNUMBER(AV115)=FALSE,"n/a",MIN(MAX(AV115-'Layer Comparison'!Excess_Past,0),'Layer Comparison'!Limit_Past)))</f>
        <v>75982155.217600018</v>
      </c>
      <c r="BA115" s="87">
        <f>IF(Dyn_Insured="","",IF(ISNUMBER(AW115)=FALSE,"n/a",MIN(MAX(AW115-'Layer Comparison'!Excess_Latest,0),'Layer Comparison'!Limit_Latest)))</f>
        <v>81168711.744299993</v>
      </c>
      <c r="BB115" s="87">
        <f t="shared" si="244"/>
        <v>5186556.5266999751</v>
      </c>
      <c r="BC115" s="88">
        <f t="shared" si="245"/>
        <v>5186556.5266999751</v>
      </c>
      <c r="BD115" s="87">
        <v>101859695.68479997</v>
      </c>
      <c r="BE115" s="87">
        <v>106882691.68019998</v>
      </c>
      <c r="BF115" s="87">
        <f t="shared" si="246"/>
        <v>5022995.9954000115</v>
      </c>
      <c r="BG115" s="88">
        <f t="shared" si="247"/>
        <v>5022995.9954000115</v>
      </c>
      <c r="BH115" s="87">
        <f>IF(Dyn_Insured="","",IF(ISNUMBER(BD115)=FALSE,"n/a",MIN(MAX(BD115-'Layer Comparison'!Excess_Past,0),'Layer Comparison'!Limit_Past)))</f>
        <v>86859695.684799969</v>
      </c>
      <c r="BI115" s="87">
        <f>IF(Dyn_Insured="","",IF(ISNUMBER(BE115)=FALSE,"n/a",MIN(MAX(BE115-'Layer Comparison'!Excess_Latest,0),'Layer Comparison'!Limit_Latest)))</f>
        <v>91882691.680199981</v>
      </c>
      <c r="BJ115" s="87">
        <f t="shared" si="248"/>
        <v>5022995.9954000115</v>
      </c>
      <c r="BK115" s="88">
        <f t="shared" si="249"/>
        <v>5022995.9954000115</v>
      </c>
      <c r="BL115" s="87">
        <v>101859695.68479997</v>
      </c>
      <c r="BM115" s="87">
        <v>106882691.68019998</v>
      </c>
      <c r="BN115" s="87">
        <f t="shared" si="250"/>
        <v>5022995.9954000115</v>
      </c>
      <c r="BO115" s="88">
        <f t="shared" si="251"/>
        <v>5022995.9954000115</v>
      </c>
      <c r="BP115" s="87">
        <f>IF(Dyn_Insured="","",IF(ISNUMBER(BL115)=FALSE,"n/a",MIN(MAX(BL115-'Layer Comparison'!Excess_Past,0),'Layer Comparison'!Limit_Past)))</f>
        <v>86859695.684799969</v>
      </c>
      <c r="BQ115" s="87">
        <f>IF(Dyn_Insured="","",IF(ISNUMBER(BM115)=FALSE,"n/a",MIN(MAX(BM115-'Layer Comparison'!Excess_Latest,0),'Layer Comparison'!Limit_Latest)))</f>
        <v>91882691.680199981</v>
      </c>
      <c r="BR115" s="87">
        <f t="shared" si="252"/>
        <v>5022995.9954000115</v>
      </c>
      <c r="BS115" s="88">
        <f t="shared" si="253"/>
        <v>5022995.9954000115</v>
      </c>
      <c r="BT115" s="46" t="s">
        <v>13</v>
      </c>
    </row>
    <row r="116" spans="1:72" x14ac:dyDescent="0.25">
      <c r="A116" s="89">
        <v>116</v>
      </c>
      <c r="B116" s="89">
        <f t="shared" si="219"/>
        <v>1</v>
      </c>
      <c r="C116" s="89">
        <f t="shared" si="220"/>
        <v>1</v>
      </c>
      <c r="D116" s="90">
        <f t="shared" si="221"/>
        <v>1</v>
      </c>
      <c r="E116" s="90">
        <f t="shared" si="221"/>
        <v>1</v>
      </c>
      <c r="F116" s="48" t="s">
        <v>120</v>
      </c>
      <c r="G116" s="38" t="s">
        <v>36</v>
      </c>
      <c r="H116" s="87">
        <v>1837686.3425999999</v>
      </c>
      <c r="I116" s="87">
        <v>2004257.2351000002</v>
      </c>
      <c r="J116" s="87">
        <f t="shared" si="222"/>
        <v>166570.89250000031</v>
      </c>
      <c r="K116" s="88">
        <f t="shared" si="223"/>
        <v>166570.89250000031</v>
      </c>
      <c r="L116" s="87">
        <f>IF(Dyn_Insured="","",IF(ISNUMBER(H116)=FALSE,"n/a",MIN(MAX(H116-'Layer Comparison'!Excess_Past,0),'Layer Comparison'!Limit_Past)))</f>
        <v>0</v>
      </c>
      <c r="M116" s="87">
        <f>IF(Dyn_Insured="","",IF(ISNUMBER(I116)=FALSE,"n/a",MIN(MAX(I116-'Layer Comparison'!Excess_Latest,0),'Layer Comparison'!Limit_Latest)))</f>
        <v>0</v>
      </c>
      <c r="N116" s="87">
        <f t="shared" si="224"/>
        <v>0</v>
      </c>
      <c r="O116" s="88">
        <f t="shared" si="225"/>
        <v>0</v>
      </c>
      <c r="P116" s="87">
        <v>12367917.4047</v>
      </c>
      <c r="Q116" s="87">
        <v>10714354.574900003</v>
      </c>
      <c r="R116" s="87">
        <f t="shared" si="226"/>
        <v>-1653562.8297999967</v>
      </c>
      <c r="S116" s="88">
        <f t="shared" si="227"/>
        <v>-1653562.8297999967</v>
      </c>
      <c r="T116" s="87">
        <f>IF(Dyn_Insured="","",IF(ISNUMBER(P116)=FALSE,"n/a",MIN(MAX(P116-'Layer Comparison'!Excess_Past,0),'Layer Comparison'!Limit_Past)))</f>
        <v>0</v>
      </c>
      <c r="U116" s="87">
        <f>IF(Dyn_Insured="","",IF(ISNUMBER(Q116)=FALSE,"n/a",MIN(MAX(Q116-'Layer Comparison'!Excess_Latest,0),'Layer Comparison'!Limit_Latest)))</f>
        <v>0</v>
      </c>
      <c r="V116" s="87">
        <f t="shared" si="228"/>
        <v>0</v>
      </c>
      <c r="W116" s="88">
        <f t="shared" si="229"/>
        <v>0</v>
      </c>
      <c r="X116" s="87">
        <v>25047752.709999997</v>
      </c>
      <c r="Y116" s="87">
        <v>22776636.138400007</v>
      </c>
      <c r="Z116" s="87">
        <f t="shared" si="230"/>
        <v>-2271116.5715999901</v>
      </c>
      <c r="AA116" s="88">
        <f t="shared" si="231"/>
        <v>-2271116.5715999901</v>
      </c>
      <c r="AB116" s="87">
        <f>IF(Dyn_Insured="","",IF(ISNUMBER(X116)=FALSE,"n/a",MIN(MAX(X116-'Layer Comparison'!Excess_Past,0),'Layer Comparison'!Limit_Past)))</f>
        <v>10047752.709999997</v>
      </c>
      <c r="AC116" s="87">
        <f>IF(Dyn_Insured="","",IF(ISNUMBER(Y116)=FALSE,"n/a",MIN(MAX(Y116-'Layer Comparison'!Excess_Latest,0),'Layer Comparison'!Limit_Latest)))</f>
        <v>7776636.138400007</v>
      </c>
      <c r="AD116" s="87">
        <f t="shared" si="232"/>
        <v>-2271116.5715999901</v>
      </c>
      <c r="AE116" s="88">
        <f t="shared" si="233"/>
        <v>-2271116.5715999901</v>
      </c>
      <c r="AF116" s="87">
        <v>38006379.522799999</v>
      </c>
      <c r="AG116" s="87">
        <v>35259318.041700006</v>
      </c>
      <c r="AH116" s="87">
        <f t="shared" si="234"/>
        <v>-2747061.481099993</v>
      </c>
      <c r="AI116" s="88">
        <f t="shared" si="235"/>
        <v>-2747061.481099993</v>
      </c>
      <c r="AJ116" s="87">
        <f>IF(Dyn_Insured="","",IF(ISNUMBER(AF116)=FALSE,"n/a",MIN(MAX(AF116-'Layer Comparison'!Excess_Past,0),'Layer Comparison'!Limit_Past)))</f>
        <v>23006379.522799999</v>
      </c>
      <c r="AK116" s="87">
        <f>IF(Dyn_Insured="","",IF(ISNUMBER(AG116)=FALSE,"n/a",MIN(MAX(AG116-'Layer Comparison'!Excess_Latest,0),'Layer Comparison'!Limit_Latest)))</f>
        <v>20259318.041700006</v>
      </c>
      <c r="AL116" s="87">
        <f t="shared" si="236"/>
        <v>-2747061.481099993</v>
      </c>
      <c r="AM116" s="88">
        <f t="shared" si="237"/>
        <v>-2747061.481099993</v>
      </c>
      <c r="AN116" s="87">
        <v>65495638.7566</v>
      </c>
      <c r="AO116" s="87">
        <v>61816956.280599996</v>
      </c>
      <c r="AP116" s="87">
        <f t="shared" si="238"/>
        <v>-3678682.4760000035</v>
      </c>
      <c r="AQ116" s="88">
        <f t="shared" si="239"/>
        <v>-3678682.4760000035</v>
      </c>
      <c r="AR116" s="87">
        <f>IF(Dyn_Insured="","",IF(ISNUMBER(AN116)=FALSE,"n/a",MIN(MAX(AN116-'Layer Comparison'!Excess_Past,0),'Layer Comparison'!Limit_Past)))</f>
        <v>50495638.7566</v>
      </c>
      <c r="AS116" s="87">
        <f>IF(Dyn_Insured="","",IF(ISNUMBER(AO116)=FALSE,"n/a",MIN(MAX(AO116-'Layer Comparison'!Excess_Latest,0),'Layer Comparison'!Limit_Latest)))</f>
        <v>46816956.280599996</v>
      </c>
      <c r="AT116" s="87">
        <f t="shared" si="240"/>
        <v>-3678682.4760000035</v>
      </c>
      <c r="AU116" s="88">
        <f t="shared" si="241"/>
        <v>-3678682.4760000035</v>
      </c>
      <c r="AV116" s="87">
        <v>76507631.998899996</v>
      </c>
      <c r="AW116" s="87">
        <v>72408486.014699996</v>
      </c>
      <c r="AX116" s="87">
        <f t="shared" si="242"/>
        <v>-4099145.9842000008</v>
      </c>
      <c r="AY116" s="88">
        <f t="shared" si="243"/>
        <v>-4099145.9842000008</v>
      </c>
      <c r="AZ116" s="87">
        <f>IF(Dyn_Insured="","",IF(ISNUMBER(AV116)=FALSE,"n/a",MIN(MAX(AV116-'Layer Comparison'!Excess_Past,0),'Layer Comparison'!Limit_Past)))</f>
        <v>61507631.998899996</v>
      </c>
      <c r="BA116" s="87">
        <f>IF(Dyn_Insured="","",IF(ISNUMBER(AW116)=FALSE,"n/a",MIN(MAX(AW116-'Layer Comparison'!Excess_Latest,0),'Layer Comparison'!Limit_Latest)))</f>
        <v>57408486.014699996</v>
      </c>
      <c r="BB116" s="87">
        <f t="shared" si="244"/>
        <v>-4099145.9842000008</v>
      </c>
      <c r="BC116" s="88">
        <f t="shared" si="245"/>
        <v>-4099145.9842000008</v>
      </c>
      <c r="BD116" s="87">
        <v>76507631.998899996</v>
      </c>
      <c r="BE116" s="87">
        <v>72408486.01470001</v>
      </c>
      <c r="BF116" s="87">
        <f t="shared" si="246"/>
        <v>-4099145.9841999859</v>
      </c>
      <c r="BG116" s="88">
        <f t="shared" si="247"/>
        <v>-4099145.9841999859</v>
      </c>
      <c r="BH116" s="87">
        <f>IF(Dyn_Insured="","",IF(ISNUMBER(BD116)=FALSE,"n/a",MIN(MAX(BD116-'Layer Comparison'!Excess_Past,0),'Layer Comparison'!Limit_Past)))</f>
        <v>61507631.998899996</v>
      </c>
      <c r="BI116" s="87">
        <f>IF(Dyn_Insured="","",IF(ISNUMBER(BE116)=FALSE,"n/a",MIN(MAX(BE116-'Layer Comparison'!Excess_Latest,0),'Layer Comparison'!Limit_Latest)))</f>
        <v>57408486.01470001</v>
      </c>
      <c r="BJ116" s="87">
        <f t="shared" si="248"/>
        <v>-4099145.9841999859</v>
      </c>
      <c r="BK116" s="88">
        <f t="shared" si="249"/>
        <v>-4099145.9841999859</v>
      </c>
      <c r="BL116" s="87">
        <v>76507631.998900011</v>
      </c>
      <c r="BM116" s="87">
        <v>72408486.01470001</v>
      </c>
      <c r="BN116" s="87">
        <f t="shared" si="250"/>
        <v>-4099145.9842000008</v>
      </c>
      <c r="BO116" s="88">
        <f t="shared" si="251"/>
        <v>-4099145.9842000008</v>
      </c>
      <c r="BP116" s="87">
        <f>IF(Dyn_Insured="","",IF(ISNUMBER(BL116)=FALSE,"n/a",MIN(MAX(BL116-'Layer Comparison'!Excess_Past,0),'Layer Comparison'!Limit_Past)))</f>
        <v>61507631.998900011</v>
      </c>
      <c r="BQ116" s="87">
        <f>IF(Dyn_Insured="","",IF(ISNUMBER(BM116)=FALSE,"n/a",MIN(MAX(BM116-'Layer Comparison'!Excess_Latest,0),'Layer Comparison'!Limit_Latest)))</f>
        <v>57408486.01470001</v>
      </c>
      <c r="BR116" s="87">
        <f t="shared" si="252"/>
        <v>-4099145.9842000008</v>
      </c>
      <c r="BS116" s="88">
        <f t="shared" si="253"/>
        <v>-4099145.9842000008</v>
      </c>
      <c r="BT116" s="46" t="s">
        <v>13</v>
      </c>
    </row>
    <row r="117" spans="1:72" x14ac:dyDescent="0.25">
      <c r="A117" s="89">
        <v>117</v>
      </c>
      <c r="B117" s="89">
        <f t="shared" si="219"/>
        <v>1</v>
      </c>
      <c r="C117" s="89">
        <f t="shared" si="220"/>
        <v>1</v>
      </c>
      <c r="D117" s="90">
        <f t="shared" si="221"/>
        <v>1</v>
      </c>
      <c r="E117" s="90">
        <f t="shared" si="221"/>
        <v>1</v>
      </c>
      <c r="F117" s="48" t="s">
        <v>121</v>
      </c>
      <c r="G117" s="38" t="s">
        <v>36</v>
      </c>
      <c r="H117" s="87">
        <v>1828629.3157000002</v>
      </c>
      <c r="I117" s="87">
        <v>873665.2527999999</v>
      </c>
      <c r="J117" s="87">
        <f t="shared" si="222"/>
        <v>-954964.06290000025</v>
      </c>
      <c r="K117" s="88">
        <f t="shared" si="223"/>
        <v>-954964.06290000025</v>
      </c>
      <c r="L117" s="87">
        <f>IF(Dyn_Insured="","",IF(ISNUMBER(H117)=FALSE,"n/a",MIN(MAX(H117-'Layer Comparison'!Excess_Past,0),'Layer Comparison'!Limit_Past)))</f>
        <v>0</v>
      </c>
      <c r="M117" s="87">
        <f>IF(Dyn_Insured="","",IF(ISNUMBER(I117)=FALSE,"n/a",MIN(MAX(I117-'Layer Comparison'!Excess_Latest,0),'Layer Comparison'!Limit_Latest)))</f>
        <v>0</v>
      </c>
      <c r="N117" s="87">
        <f t="shared" si="224"/>
        <v>0</v>
      </c>
      <c r="O117" s="88">
        <f t="shared" si="225"/>
        <v>0</v>
      </c>
      <c r="P117" s="87">
        <v>10750202.169299997</v>
      </c>
      <c r="Q117" s="87">
        <v>8273767.2612000015</v>
      </c>
      <c r="R117" s="87">
        <f t="shared" si="226"/>
        <v>-2476434.9080999959</v>
      </c>
      <c r="S117" s="88">
        <f t="shared" si="227"/>
        <v>-2476434.9080999959</v>
      </c>
      <c r="T117" s="87">
        <f>IF(Dyn_Insured="","",IF(ISNUMBER(P117)=FALSE,"n/a",MIN(MAX(P117-'Layer Comparison'!Excess_Past,0),'Layer Comparison'!Limit_Past)))</f>
        <v>0</v>
      </c>
      <c r="U117" s="87">
        <f>IF(Dyn_Insured="","",IF(ISNUMBER(Q117)=FALSE,"n/a",MIN(MAX(Q117-'Layer Comparison'!Excess_Latest,0),'Layer Comparison'!Limit_Latest)))</f>
        <v>0</v>
      </c>
      <c r="V117" s="87">
        <f t="shared" si="228"/>
        <v>0</v>
      </c>
      <c r="W117" s="88">
        <f t="shared" si="229"/>
        <v>0</v>
      </c>
      <c r="X117" s="87">
        <v>22958401.650699999</v>
      </c>
      <c r="Y117" s="87">
        <v>19440438.513000004</v>
      </c>
      <c r="Z117" s="87">
        <f t="shared" si="230"/>
        <v>-3517963.1376999952</v>
      </c>
      <c r="AA117" s="88">
        <f t="shared" si="231"/>
        <v>-3517963.1376999952</v>
      </c>
      <c r="AB117" s="87">
        <f>IF(Dyn_Insured="","",IF(ISNUMBER(X117)=FALSE,"n/a",MIN(MAX(X117-'Layer Comparison'!Excess_Past,0),'Layer Comparison'!Limit_Past)))</f>
        <v>7958401.6506999992</v>
      </c>
      <c r="AC117" s="87">
        <f>IF(Dyn_Insured="","",IF(ISNUMBER(Y117)=FALSE,"n/a",MIN(MAX(Y117-'Layer Comparison'!Excess_Latest,0),'Layer Comparison'!Limit_Latest)))</f>
        <v>4440438.513000004</v>
      </c>
      <c r="AD117" s="87">
        <f t="shared" si="232"/>
        <v>-3517963.1376999952</v>
      </c>
      <c r="AE117" s="88">
        <f t="shared" si="233"/>
        <v>-3517963.1376999952</v>
      </c>
      <c r="AF117" s="87">
        <v>35143401.104500003</v>
      </c>
      <c r="AG117" s="87">
        <v>30340078.814500004</v>
      </c>
      <c r="AH117" s="87">
        <f t="shared" si="234"/>
        <v>-4803322.2899999991</v>
      </c>
      <c r="AI117" s="88">
        <f t="shared" si="235"/>
        <v>-4803322.2899999991</v>
      </c>
      <c r="AJ117" s="87">
        <f>IF(Dyn_Insured="","",IF(ISNUMBER(AF117)=FALSE,"n/a",MIN(MAX(AF117-'Layer Comparison'!Excess_Past,0),'Layer Comparison'!Limit_Past)))</f>
        <v>20143401.104500003</v>
      </c>
      <c r="AK117" s="87">
        <f>IF(Dyn_Insured="","",IF(ISNUMBER(AG117)=FALSE,"n/a",MIN(MAX(AG117-'Layer Comparison'!Excess_Latest,0),'Layer Comparison'!Limit_Latest)))</f>
        <v>15340078.814500004</v>
      </c>
      <c r="AL117" s="87">
        <f t="shared" si="236"/>
        <v>-4803322.2899999991</v>
      </c>
      <c r="AM117" s="88">
        <f t="shared" si="237"/>
        <v>-4803322.2899999991</v>
      </c>
      <c r="AN117" s="87">
        <v>61481559.063100003</v>
      </c>
      <c r="AO117" s="87">
        <v>56286639.335199997</v>
      </c>
      <c r="AP117" s="87">
        <f t="shared" si="238"/>
        <v>-5194919.7279000059</v>
      </c>
      <c r="AQ117" s="88">
        <f t="shared" si="239"/>
        <v>-5194919.7279000059</v>
      </c>
      <c r="AR117" s="87">
        <f>IF(Dyn_Insured="","",IF(ISNUMBER(AN117)=FALSE,"n/a",MIN(MAX(AN117-'Layer Comparison'!Excess_Past,0),'Layer Comparison'!Limit_Past)))</f>
        <v>46481559.063100003</v>
      </c>
      <c r="AS117" s="87">
        <f>IF(Dyn_Insured="","",IF(ISNUMBER(AO117)=FALSE,"n/a",MIN(MAX(AO117-'Layer Comparison'!Excess_Latest,0),'Layer Comparison'!Limit_Latest)))</f>
        <v>41286639.335199997</v>
      </c>
      <c r="AT117" s="87">
        <f t="shared" si="240"/>
        <v>-5194919.7279000059</v>
      </c>
      <c r="AU117" s="88">
        <f t="shared" si="241"/>
        <v>-5194919.7279000059</v>
      </c>
      <c r="AV117" s="87">
        <v>84948182.021400034</v>
      </c>
      <c r="AW117" s="87">
        <v>78946424.183400005</v>
      </c>
      <c r="AX117" s="87">
        <f t="shared" si="242"/>
        <v>-6001757.8380000293</v>
      </c>
      <c r="AY117" s="88">
        <f t="shared" si="243"/>
        <v>-6001757.8380000293</v>
      </c>
      <c r="AZ117" s="87">
        <f>IF(Dyn_Insured="","",IF(ISNUMBER(AV117)=FALSE,"n/a",MIN(MAX(AV117-'Layer Comparison'!Excess_Past,0),'Layer Comparison'!Limit_Past)))</f>
        <v>69948182.021400034</v>
      </c>
      <c r="BA117" s="87">
        <f>IF(Dyn_Insured="","",IF(ISNUMBER(AW117)=FALSE,"n/a",MIN(MAX(AW117-'Layer Comparison'!Excess_Latest,0),'Layer Comparison'!Limit_Latest)))</f>
        <v>63946424.183400005</v>
      </c>
      <c r="BB117" s="87">
        <f t="shared" si="244"/>
        <v>-6001757.8380000293</v>
      </c>
      <c r="BC117" s="88">
        <f t="shared" si="245"/>
        <v>-6001757.8380000293</v>
      </c>
      <c r="BD117" s="87">
        <v>85350791.756400004</v>
      </c>
      <c r="BE117" s="87">
        <v>79456167.67490001</v>
      </c>
      <c r="BF117" s="87">
        <f t="shared" si="246"/>
        <v>-5894624.0814999938</v>
      </c>
      <c r="BG117" s="88">
        <f t="shared" si="247"/>
        <v>-5894624.0814999938</v>
      </c>
      <c r="BH117" s="87">
        <f>IF(Dyn_Insured="","",IF(ISNUMBER(BD117)=FALSE,"n/a",MIN(MAX(BD117-'Layer Comparison'!Excess_Past,0),'Layer Comparison'!Limit_Past)))</f>
        <v>70350791.756400004</v>
      </c>
      <c r="BI117" s="87">
        <f>IF(Dyn_Insured="","",IF(ISNUMBER(BE117)=FALSE,"n/a",MIN(MAX(BE117-'Layer Comparison'!Excess_Latest,0),'Layer Comparison'!Limit_Latest)))</f>
        <v>64456167.67490001</v>
      </c>
      <c r="BJ117" s="87">
        <f t="shared" si="248"/>
        <v>-5894624.0814999938</v>
      </c>
      <c r="BK117" s="88">
        <f t="shared" si="249"/>
        <v>-5894624.0814999938</v>
      </c>
      <c r="BL117" s="87">
        <v>85350791.756400004</v>
      </c>
      <c r="BM117" s="87">
        <v>79456167.674899995</v>
      </c>
      <c r="BN117" s="87">
        <f t="shared" si="250"/>
        <v>-5894624.0815000087</v>
      </c>
      <c r="BO117" s="88">
        <f t="shared" si="251"/>
        <v>-5894624.0815000087</v>
      </c>
      <c r="BP117" s="87">
        <f>IF(Dyn_Insured="","",IF(ISNUMBER(BL117)=FALSE,"n/a",MIN(MAX(BL117-'Layer Comparison'!Excess_Past,0),'Layer Comparison'!Limit_Past)))</f>
        <v>70350791.756400004</v>
      </c>
      <c r="BQ117" s="87">
        <f>IF(Dyn_Insured="","",IF(ISNUMBER(BM117)=FALSE,"n/a",MIN(MAX(BM117-'Layer Comparison'!Excess_Latest,0),'Layer Comparison'!Limit_Latest)))</f>
        <v>64456167.674899995</v>
      </c>
      <c r="BR117" s="87">
        <f t="shared" si="252"/>
        <v>-5894624.0815000087</v>
      </c>
      <c r="BS117" s="88">
        <f t="shared" si="253"/>
        <v>-5894624.0815000087</v>
      </c>
      <c r="BT117" s="46" t="s">
        <v>13</v>
      </c>
    </row>
    <row r="118" spans="1:72" x14ac:dyDescent="0.25">
      <c r="A118" s="89">
        <v>118</v>
      </c>
      <c r="B118" s="89">
        <f t="shared" si="219"/>
        <v>1</v>
      </c>
      <c r="C118" s="89">
        <f t="shared" si="220"/>
        <v>1</v>
      </c>
      <c r="D118" s="90">
        <f t="shared" si="221"/>
        <v>1</v>
      </c>
      <c r="E118" s="90">
        <f t="shared" si="221"/>
        <v>1</v>
      </c>
      <c r="F118" s="48" t="s">
        <v>122</v>
      </c>
      <c r="G118" s="38" t="s">
        <v>36</v>
      </c>
      <c r="H118" s="87">
        <v>3195703.9246</v>
      </c>
      <c r="I118" s="87">
        <v>2362005.5778999999</v>
      </c>
      <c r="J118" s="87">
        <f t="shared" si="222"/>
        <v>-833698.34670000011</v>
      </c>
      <c r="K118" s="88">
        <f t="shared" si="223"/>
        <v>-833698.34670000011</v>
      </c>
      <c r="L118" s="87">
        <f>IF(Dyn_Insured="","",IF(ISNUMBER(H118)=FALSE,"n/a",MIN(MAX(H118-'Layer Comparison'!Excess_Past,0),'Layer Comparison'!Limit_Past)))</f>
        <v>0</v>
      </c>
      <c r="M118" s="87">
        <f>IF(Dyn_Insured="","",IF(ISNUMBER(I118)=FALSE,"n/a",MIN(MAX(I118-'Layer Comparison'!Excess_Latest,0),'Layer Comparison'!Limit_Latest)))</f>
        <v>0</v>
      </c>
      <c r="N118" s="87">
        <f t="shared" si="224"/>
        <v>0</v>
      </c>
      <c r="O118" s="88">
        <f t="shared" si="225"/>
        <v>0</v>
      </c>
      <c r="P118" s="87">
        <v>12664567.013</v>
      </c>
      <c r="Q118" s="87">
        <v>12146501.251300002</v>
      </c>
      <c r="R118" s="87">
        <f t="shared" si="226"/>
        <v>-518065.76169999875</v>
      </c>
      <c r="S118" s="88">
        <f t="shared" si="227"/>
        <v>-518065.76169999875</v>
      </c>
      <c r="T118" s="87">
        <f>IF(Dyn_Insured="","",IF(ISNUMBER(P118)=FALSE,"n/a",MIN(MAX(P118-'Layer Comparison'!Excess_Past,0),'Layer Comparison'!Limit_Past)))</f>
        <v>0</v>
      </c>
      <c r="U118" s="87">
        <f>IF(Dyn_Insured="","",IF(ISNUMBER(Q118)=FALSE,"n/a",MIN(MAX(Q118-'Layer Comparison'!Excess_Latest,0),'Layer Comparison'!Limit_Latest)))</f>
        <v>0</v>
      </c>
      <c r="V118" s="87">
        <f t="shared" si="228"/>
        <v>0</v>
      </c>
      <c r="W118" s="88">
        <f t="shared" si="229"/>
        <v>0</v>
      </c>
      <c r="X118" s="87">
        <v>23988301.539999995</v>
      </c>
      <c r="Y118" s="87">
        <v>23731369.483199999</v>
      </c>
      <c r="Z118" s="87">
        <f t="shared" si="230"/>
        <v>-256932.05679999664</v>
      </c>
      <c r="AA118" s="88">
        <f t="shared" si="231"/>
        <v>-256932.05679999664</v>
      </c>
      <c r="AB118" s="87">
        <f>IF(Dyn_Insured="","",IF(ISNUMBER(X118)=FALSE,"n/a",MIN(MAX(X118-'Layer Comparison'!Excess_Past,0),'Layer Comparison'!Limit_Past)))</f>
        <v>8988301.5399999954</v>
      </c>
      <c r="AC118" s="87">
        <f>IF(Dyn_Insured="","",IF(ISNUMBER(Y118)=FALSE,"n/a",MIN(MAX(Y118-'Layer Comparison'!Excess_Latest,0),'Layer Comparison'!Limit_Latest)))</f>
        <v>8731369.4831999987</v>
      </c>
      <c r="AD118" s="87">
        <f t="shared" si="232"/>
        <v>-256932.05679999664</v>
      </c>
      <c r="AE118" s="88">
        <f t="shared" si="233"/>
        <v>-256932.05679999664</v>
      </c>
      <c r="AF118" s="87">
        <v>35682291.321300007</v>
      </c>
      <c r="AG118" s="87">
        <v>35738144.690799996</v>
      </c>
      <c r="AH118" s="87">
        <f t="shared" si="234"/>
        <v>55853.369499988854</v>
      </c>
      <c r="AI118" s="88">
        <f t="shared" si="235"/>
        <v>55853.369499988854</v>
      </c>
      <c r="AJ118" s="87">
        <f>IF(Dyn_Insured="","",IF(ISNUMBER(AF118)=FALSE,"n/a",MIN(MAX(AF118-'Layer Comparison'!Excess_Past,0),'Layer Comparison'!Limit_Past)))</f>
        <v>20682291.321300007</v>
      </c>
      <c r="AK118" s="87">
        <f>IF(Dyn_Insured="","",IF(ISNUMBER(AG118)=FALSE,"n/a",MIN(MAX(AG118-'Layer Comparison'!Excess_Latest,0),'Layer Comparison'!Limit_Latest)))</f>
        <v>20738144.690799996</v>
      </c>
      <c r="AL118" s="87">
        <f t="shared" si="236"/>
        <v>55853.369499988854</v>
      </c>
      <c r="AM118" s="88">
        <f t="shared" si="237"/>
        <v>55853.369499988854</v>
      </c>
      <c r="AN118" s="87">
        <v>58064055.139099985</v>
      </c>
      <c r="AO118" s="87">
        <v>58602991.2764</v>
      </c>
      <c r="AP118" s="87">
        <f t="shared" si="238"/>
        <v>538936.1373000145</v>
      </c>
      <c r="AQ118" s="88">
        <f t="shared" si="239"/>
        <v>538936.1373000145</v>
      </c>
      <c r="AR118" s="87">
        <f>IF(Dyn_Insured="","",IF(ISNUMBER(AN118)=FALSE,"n/a",MIN(MAX(AN118-'Layer Comparison'!Excess_Past,0),'Layer Comparison'!Limit_Past)))</f>
        <v>43064055.139099985</v>
      </c>
      <c r="AS118" s="87">
        <f>IF(Dyn_Insured="","",IF(ISNUMBER(AO118)=FALSE,"n/a",MIN(MAX(AO118-'Layer Comparison'!Excess_Latest,0),'Layer Comparison'!Limit_Latest)))</f>
        <v>43602991.2764</v>
      </c>
      <c r="AT118" s="87">
        <f t="shared" si="240"/>
        <v>538936.1373000145</v>
      </c>
      <c r="AU118" s="88">
        <f t="shared" si="241"/>
        <v>538936.1373000145</v>
      </c>
      <c r="AV118" s="87">
        <v>66128196.937400013</v>
      </c>
      <c r="AW118" s="87">
        <v>65926726.840599984</v>
      </c>
      <c r="AX118" s="87">
        <f t="shared" si="242"/>
        <v>-201470.09680002928</v>
      </c>
      <c r="AY118" s="88">
        <f t="shared" si="243"/>
        <v>-201470.09680002928</v>
      </c>
      <c r="AZ118" s="87">
        <f>IF(Dyn_Insured="","",IF(ISNUMBER(AV118)=FALSE,"n/a",MIN(MAX(AV118-'Layer Comparison'!Excess_Past,0),'Layer Comparison'!Limit_Past)))</f>
        <v>51128196.937400013</v>
      </c>
      <c r="BA118" s="87">
        <f>IF(Dyn_Insured="","",IF(ISNUMBER(AW118)=FALSE,"n/a",MIN(MAX(AW118-'Layer Comparison'!Excess_Latest,0),'Layer Comparison'!Limit_Latest)))</f>
        <v>50926726.840599984</v>
      </c>
      <c r="BB118" s="87">
        <f t="shared" si="244"/>
        <v>-201470.09680002928</v>
      </c>
      <c r="BC118" s="88">
        <f t="shared" si="245"/>
        <v>-201470.09680002928</v>
      </c>
      <c r="BD118" s="87">
        <v>66128196.937400013</v>
      </c>
      <c r="BE118" s="87">
        <v>65926726.840599991</v>
      </c>
      <c r="BF118" s="87">
        <f t="shared" si="246"/>
        <v>-201470.09680002183</v>
      </c>
      <c r="BG118" s="88">
        <f t="shared" si="247"/>
        <v>-201470.09680002183</v>
      </c>
      <c r="BH118" s="87">
        <f>IF(Dyn_Insured="","",IF(ISNUMBER(BD118)=FALSE,"n/a",MIN(MAX(BD118-'Layer Comparison'!Excess_Past,0),'Layer Comparison'!Limit_Past)))</f>
        <v>51128196.937400013</v>
      </c>
      <c r="BI118" s="87">
        <f>IF(Dyn_Insured="","",IF(ISNUMBER(BE118)=FALSE,"n/a",MIN(MAX(BE118-'Layer Comparison'!Excess_Latest,0),'Layer Comparison'!Limit_Latest)))</f>
        <v>50926726.840599991</v>
      </c>
      <c r="BJ118" s="87">
        <f t="shared" si="248"/>
        <v>-201470.09680002183</v>
      </c>
      <c r="BK118" s="88">
        <f t="shared" si="249"/>
        <v>-201470.09680002183</v>
      </c>
      <c r="BL118" s="87">
        <v>66128196.937400013</v>
      </c>
      <c r="BM118" s="87">
        <v>65926726.840599984</v>
      </c>
      <c r="BN118" s="87">
        <f t="shared" si="250"/>
        <v>-201470.09680002928</v>
      </c>
      <c r="BO118" s="88">
        <f t="shared" si="251"/>
        <v>-201470.09680002928</v>
      </c>
      <c r="BP118" s="87">
        <f>IF(Dyn_Insured="","",IF(ISNUMBER(BL118)=FALSE,"n/a",MIN(MAX(BL118-'Layer Comparison'!Excess_Past,0),'Layer Comparison'!Limit_Past)))</f>
        <v>51128196.937400013</v>
      </c>
      <c r="BQ118" s="87">
        <f>IF(Dyn_Insured="","",IF(ISNUMBER(BM118)=FALSE,"n/a",MIN(MAX(BM118-'Layer Comparison'!Excess_Latest,0),'Layer Comparison'!Limit_Latest)))</f>
        <v>50926726.840599984</v>
      </c>
      <c r="BR118" s="87">
        <f t="shared" si="252"/>
        <v>-201470.09680002928</v>
      </c>
      <c r="BS118" s="88">
        <f t="shared" si="253"/>
        <v>-201470.09680002928</v>
      </c>
      <c r="BT118" s="46" t="s">
        <v>13</v>
      </c>
    </row>
    <row r="119" spans="1:72" x14ac:dyDescent="0.25">
      <c r="A119" s="89">
        <v>119</v>
      </c>
      <c r="B119" s="89">
        <f t="shared" si="219"/>
        <v>1</v>
      </c>
      <c r="C119" s="89">
        <f t="shared" si="220"/>
        <v>1</v>
      </c>
      <c r="D119" s="90">
        <f t="shared" si="221"/>
        <v>1</v>
      </c>
      <c r="E119" s="90">
        <f t="shared" si="221"/>
        <v>1</v>
      </c>
      <c r="F119" s="48" t="s">
        <v>123</v>
      </c>
      <c r="G119" s="38" t="s">
        <v>36</v>
      </c>
      <c r="H119" s="87">
        <v>3898168.1715000002</v>
      </c>
      <c r="I119" s="87">
        <v>2832920.7352</v>
      </c>
      <c r="J119" s="87">
        <f t="shared" si="222"/>
        <v>-1065247.4363000002</v>
      </c>
      <c r="K119" s="88">
        <f t="shared" si="223"/>
        <v>-1065247.4363000002</v>
      </c>
      <c r="L119" s="87">
        <f>IF(Dyn_Insured="","",IF(ISNUMBER(H119)=FALSE,"n/a",MIN(MAX(H119-'Layer Comparison'!Excess_Past,0),'Layer Comparison'!Limit_Past)))</f>
        <v>0</v>
      </c>
      <c r="M119" s="87">
        <f>IF(Dyn_Insured="","",IF(ISNUMBER(I119)=FALSE,"n/a",MIN(MAX(I119-'Layer Comparison'!Excess_Latest,0),'Layer Comparison'!Limit_Latest)))</f>
        <v>0</v>
      </c>
      <c r="N119" s="87">
        <f t="shared" si="224"/>
        <v>0</v>
      </c>
      <c r="O119" s="88">
        <f t="shared" si="225"/>
        <v>0</v>
      </c>
      <c r="P119" s="87">
        <v>11064383.216</v>
      </c>
      <c r="Q119" s="87">
        <v>10761167.4167</v>
      </c>
      <c r="R119" s="87">
        <f t="shared" si="226"/>
        <v>-303215.79930000007</v>
      </c>
      <c r="S119" s="88">
        <f t="shared" si="227"/>
        <v>-303215.79930000007</v>
      </c>
      <c r="T119" s="87">
        <f>IF(Dyn_Insured="","",IF(ISNUMBER(P119)=FALSE,"n/a",MIN(MAX(P119-'Layer Comparison'!Excess_Past,0),'Layer Comparison'!Limit_Past)))</f>
        <v>0</v>
      </c>
      <c r="U119" s="87">
        <f>IF(Dyn_Insured="","",IF(ISNUMBER(Q119)=FALSE,"n/a",MIN(MAX(Q119-'Layer Comparison'!Excess_Latest,0),'Layer Comparison'!Limit_Latest)))</f>
        <v>0</v>
      </c>
      <c r="V119" s="87">
        <f t="shared" si="228"/>
        <v>0</v>
      </c>
      <c r="W119" s="88">
        <f t="shared" si="229"/>
        <v>0</v>
      </c>
      <c r="X119" s="87">
        <v>18969316.3649</v>
      </c>
      <c r="Y119" s="87">
        <v>19291382.084999997</v>
      </c>
      <c r="Z119" s="87">
        <f t="shared" si="230"/>
        <v>322065.72009999678</v>
      </c>
      <c r="AA119" s="88">
        <f t="shared" si="231"/>
        <v>322065.72009999678</v>
      </c>
      <c r="AB119" s="87">
        <f>IF(Dyn_Insured="","",IF(ISNUMBER(X119)=FALSE,"n/a",MIN(MAX(X119-'Layer Comparison'!Excess_Past,0),'Layer Comparison'!Limit_Past)))</f>
        <v>3969316.3649000004</v>
      </c>
      <c r="AC119" s="87">
        <f>IF(Dyn_Insured="","",IF(ISNUMBER(Y119)=FALSE,"n/a",MIN(MAX(Y119-'Layer Comparison'!Excess_Latest,0),'Layer Comparison'!Limit_Latest)))</f>
        <v>4291382.0849999972</v>
      </c>
      <c r="AD119" s="87">
        <f t="shared" si="232"/>
        <v>322065.72009999678</v>
      </c>
      <c r="AE119" s="88">
        <f t="shared" si="233"/>
        <v>322065.72009999678</v>
      </c>
      <c r="AF119" s="87">
        <v>26275206.732899997</v>
      </c>
      <c r="AG119" s="87">
        <v>27215640.945300002</v>
      </c>
      <c r="AH119" s="87">
        <f t="shared" si="234"/>
        <v>940434.21240000427</v>
      </c>
      <c r="AI119" s="88">
        <f t="shared" si="235"/>
        <v>940434.21240000427</v>
      </c>
      <c r="AJ119" s="87">
        <f>IF(Dyn_Insured="","",IF(ISNUMBER(AF119)=FALSE,"n/a",MIN(MAX(AF119-'Layer Comparison'!Excess_Past,0),'Layer Comparison'!Limit_Past)))</f>
        <v>11275206.732899997</v>
      </c>
      <c r="AK119" s="87">
        <f>IF(Dyn_Insured="","",IF(ISNUMBER(AG119)=FALSE,"n/a",MIN(MAX(AG119-'Layer Comparison'!Excess_Latest,0),'Layer Comparison'!Limit_Latest)))</f>
        <v>12215640.945300002</v>
      </c>
      <c r="AL119" s="87">
        <f t="shared" si="236"/>
        <v>940434.21240000427</v>
      </c>
      <c r="AM119" s="88">
        <f t="shared" si="237"/>
        <v>940434.21240000427</v>
      </c>
      <c r="AN119" s="87">
        <v>36626141.717899993</v>
      </c>
      <c r="AO119" s="87">
        <v>40342464.883299999</v>
      </c>
      <c r="AP119" s="87">
        <f t="shared" si="238"/>
        <v>3716323.1654000059</v>
      </c>
      <c r="AQ119" s="88">
        <f t="shared" si="239"/>
        <v>3716323.1654000059</v>
      </c>
      <c r="AR119" s="87">
        <f>IF(Dyn_Insured="","",IF(ISNUMBER(AN119)=FALSE,"n/a",MIN(MAX(AN119-'Layer Comparison'!Excess_Past,0),'Layer Comparison'!Limit_Past)))</f>
        <v>21626141.717899993</v>
      </c>
      <c r="AS119" s="87">
        <f>IF(Dyn_Insured="","",IF(ISNUMBER(AO119)=FALSE,"n/a",MIN(MAX(AO119-'Layer Comparison'!Excess_Latest,0),'Layer Comparison'!Limit_Latest)))</f>
        <v>25342464.883299999</v>
      </c>
      <c r="AT119" s="87">
        <f t="shared" si="240"/>
        <v>3716323.1654000059</v>
      </c>
      <c r="AU119" s="88">
        <f t="shared" si="241"/>
        <v>3716323.1654000059</v>
      </c>
      <c r="AV119" s="87">
        <v>36626141.717900001</v>
      </c>
      <c r="AW119" s="87">
        <v>40342464.883299999</v>
      </c>
      <c r="AX119" s="87">
        <f t="shared" si="242"/>
        <v>3716323.1653999984</v>
      </c>
      <c r="AY119" s="88">
        <f t="shared" si="243"/>
        <v>3716323.1653999984</v>
      </c>
      <c r="AZ119" s="87">
        <f>IF(Dyn_Insured="","",IF(ISNUMBER(AV119)=FALSE,"n/a",MIN(MAX(AV119-'Layer Comparison'!Excess_Past,0),'Layer Comparison'!Limit_Past)))</f>
        <v>21626141.717900001</v>
      </c>
      <c r="BA119" s="87">
        <f>IF(Dyn_Insured="","",IF(ISNUMBER(AW119)=FALSE,"n/a",MIN(MAX(AW119-'Layer Comparison'!Excess_Latest,0),'Layer Comparison'!Limit_Latest)))</f>
        <v>25342464.883299999</v>
      </c>
      <c r="BB119" s="87">
        <f t="shared" si="244"/>
        <v>3716323.1653999984</v>
      </c>
      <c r="BC119" s="88">
        <f t="shared" si="245"/>
        <v>3716323.1653999984</v>
      </c>
      <c r="BD119" s="87">
        <v>36626141.717900001</v>
      </c>
      <c r="BE119" s="87">
        <v>40342464.883299999</v>
      </c>
      <c r="BF119" s="87">
        <f t="shared" si="246"/>
        <v>3716323.1653999984</v>
      </c>
      <c r="BG119" s="88">
        <f t="shared" si="247"/>
        <v>3716323.1653999984</v>
      </c>
      <c r="BH119" s="87">
        <f>IF(Dyn_Insured="","",IF(ISNUMBER(BD119)=FALSE,"n/a",MIN(MAX(BD119-'Layer Comparison'!Excess_Past,0),'Layer Comparison'!Limit_Past)))</f>
        <v>21626141.717900001</v>
      </c>
      <c r="BI119" s="87">
        <f>IF(Dyn_Insured="","",IF(ISNUMBER(BE119)=FALSE,"n/a",MIN(MAX(BE119-'Layer Comparison'!Excess_Latest,0),'Layer Comparison'!Limit_Latest)))</f>
        <v>25342464.883299999</v>
      </c>
      <c r="BJ119" s="87">
        <f t="shared" si="248"/>
        <v>3716323.1653999984</v>
      </c>
      <c r="BK119" s="88">
        <f t="shared" si="249"/>
        <v>3716323.1653999984</v>
      </c>
      <c r="BL119" s="87">
        <v>36626141.717900001</v>
      </c>
      <c r="BM119" s="87">
        <v>40342464.883299991</v>
      </c>
      <c r="BN119" s="87">
        <f t="shared" si="250"/>
        <v>3716323.165399991</v>
      </c>
      <c r="BO119" s="88">
        <f t="shared" si="251"/>
        <v>3716323.165399991</v>
      </c>
      <c r="BP119" s="87">
        <f>IF(Dyn_Insured="","",IF(ISNUMBER(BL119)=FALSE,"n/a",MIN(MAX(BL119-'Layer Comparison'!Excess_Past,0),'Layer Comparison'!Limit_Past)))</f>
        <v>21626141.717900001</v>
      </c>
      <c r="BQ119" s="87">
        <f>IF(Dyn_Insured="","",IF(ISNUMBER(BM119)=FALSE,"n/a",MIN(MAX(BM119-'Layer Comparison'!Excess_Latest,0),'Layer Comparison'!Limit_Latest)))</f>
        <v>25342464.883299991</v>
      </c>
      <c r="BR119" s="87">
        <f t="shared" si="252"/>
        <v>3716323.165399991</v>
      </c>
      <c r="BS119" s="88">
        <f t="shared" si="253"/>
        <v>3716323.165399991</v>
      </c>
      <c r="BT119" s="46" t="s">
        <v>13</v>
      </c>
    </row>
    <row r="120" spans="1:72" x14ac:dyDescent="0.25">
      <c r="A120" s="89">
        <v>120</v>
      </c>
      <c r="B120" s="89">
        <f t="shared" si="219"/>
        <v>1</v>
      </c>
      <c r="C120" s="89">
        <f t="shared" si="220"/>
        <v>1</v>
      </c>
      <c r="D120" s="90">
        <f t="shared" si="221"/>
        <v>1</v>
      </c>
      <c r="E120" s="90">
        <f t="shared" si="221"/>
        <v>1</v>
      </c>
      <c r="F120" s="48" t="s">
        <v>124</v>
      </c>
      <c r="G120" s="38" t="s">
        <v>36</v>
      </c>
      <c r="H120" s="87">
        <v>5539095.8702999996</v>
      </c>
      <c r="I120" s="87">
        <v>3383672.8585000001</v>
      </c>
      <c r="J120" s="87">
        <f t="shared" si="222"/>
        <v>-2155423.0117999995</v>
      </c>
      <c r="K120" s="88">
        <f t="shared" si="223"/>
        <v>-2155423.0117999995</v>
      </c>
      <c r="L120" s="87">
        <f>IF(Dyn_Insured="","",IF(ISNUMBER(H120)=FALSE,"n/a",MIN(MAX(H120-'Layer Comparison'!Excess_Past,0),'Layer Comparison'!Limit_Past)))</f>
        <v>0</v>
      </c>
      <c r="M120" s="87">
        <f>IF(Dyn_Insured="","",IF(ISNUMBER(I120)=FALSE,"n/a",MIN(MAX(I120-'Layer Comparison'!Excess_Latest,0),'Layer Comparison'!Limit_Latest)))</f>
        <v>0</v>
      </c>
      <c r="N120" s="87">
        <f t="shared" si="224"/>
        <v>0</v>
      </c>
      <c r="O120" s="88">
        <f t="shared" si="225"/>
        <v>0</v>
      </c>
      <c r="P120" s="87">
        <v>16752305.7553</v>
      </c>
      <c r="Q120" s="87">
        <v>12878937.979700001</v>
      </c>
      <c r="R120" s="87">
        <f t="shared" si="226"/>
        <v>-3873367.7755999994</v>
      </c>
      <c r="S120" s="88">
        <f t="shared" si="227"/>
        <v>-3873367.7755999994</v>
      </c>
      <c r="T120" s="87">
        <f>IF(Dyn_Insured="","",IF(ISNUMBER(P120)=FALSE,"n/a",MIN(MAX(P120-'Layer Comparison'!Excess_Past,0),'Layer Comparison'!Limit_Past)))</f>
        <v>1752305.7553000003</v>
      </c>
      <c r="U120" s="87">
        <f>IF(Dyn_Insured="","",IF(ISNUMBER(Q120)=FALSE,"n/a",MIN(MAX(Q120-'Layer Comparison'!Excess_Latest,0),'Layer Comparison'!Limit_Latest)))</f>
        <v>0</v>
      </c>
      <c r="V120" s="87">
        <f t="shared" si="228"/>
        <v>-1752305.7553000003</v>
      </c>
      <c r="W120" s="88">
        <f t="shared" si="229"/>
        <v>-1752305.7553000003</v>
      </c>
      <c r="X120" s="87">
        <v>27441341.844300002</v>
      </c>
      <c r="Y120" s="87">
        <v>22034718.578899998</v>
      </c>
      <c r="Z120" s="87">
        <f t="shared" si="230"/>
        <v>-5406623.2654000036</v>
      </c>
      <c r="AA120" s="88">
        <f t="shared" si="231"/>
        <v>-5406623.2654000036</v>
      </c>
      <c r="AB120" s="87">
        <f>IF(Dyn_Insured="","",IF(ISNUMBER(X120)=FALSE,"n/a",MIN(MAX(X120-'Layer Comparison'!Excess_Past,0),'Layer Comparison'!Limit_Past)))</f>
        <v>12441341.844300002</v>
      </c>
      <c r="AC120" s="87">
        <f>IF(Dyn_Insured="","",IF(ISNUMBER(Y120)=FALSE,"n/a",MIN(MAX(Y120-'Layer Comparison'!Excess_Latest,0),'Layer Comparison'!Limit_Latest)))</f>
        <v>7034718.5788999982</v>
      </c>
      <c r="AD120" s="87">
        <f t="shared" si="232"/>
        <v>-5406623.2654000036</v>
      </c>
      <c r="AE120" s="88">
        <f t="shared" si="233"/>
        <v>-5406623.2654000036</v>
      </c>
      <c r="AF120" s="87">
        <v>37303006.129299998</v>
      </c>
      <c r="AG120" s="87">
        <v>31085149.604100004</v>
      </c>
      <c r="AH120" s="87">
        <f t="shared" si="234"/>
        <v>-6217856.5251999944</v>
      </c>
      <c r="AI120" s="88">
        <f t="shared" si="235"/>
        <v>-6217856.5251999944</v>
      </c>
      <c r="AJ120" s="87">
        <f>IF(Dyn_Insured="","",IF(ISNUMBER(AF120)=FALSE,"n/a",MIN(MAX(AF120-'Layer Comparison'!Excess_Past,0),'Layer Comparison'!Limit_Past)))</f>
        <v>22303006.129299998</v>
      </c>
      <c r="AK120" s="87">
        <f>IF(Dyn_Insured="","",IF(ISNUMBER(AG120)=FALSE,"n/a",MIN(MAX(AG120-'Layer Comparison'!Excess_Latest,0),'Layer Comparison'!Limit_Latest)))</f>
        <v>16085149.604100004</v>
      </c>
      <c r="AL120" s="87">
        <f t="shared" si="236"/>
        <v>-6217856.5251999944</v>
      </c>
      <c r="AM120" s="88">
        <f t="shared" si="237"/>
        <v>-6217856.5251999944</v>
      </c>
      <c r="AN120" s="87">
        <v>52883344.184199989</v>
      </c>
      <c r="AO120" s="87">
        <v>46760901.350299999</v>
      </c>
      <c r="AP120" s="87">
        <f t="shared" si="238"/>
        <v>-6122442.8338999897</v>
      </c>
      <c r="AQ120" s="88">
        <f t="shared" si="239"/>
        <v>-6122442.8338999897</v>
      </c>
      <c r="AR120" s="87">
        <f>IF(Dyn_Insured="","",IF(ISNUMBER(AN120)=FALSE,"n/a",MIN(MAX(AN120-'Layer Comparison'!Excess_Past,0),'Layer Comparison'!Limit_Past)))</f>
        <v>37883344.184199989</v>
      </c>
      <c r="AS120" s="87">
        <f>IF(Dyn_Insured="","",IF(ISNUMBER(AO120)=FALSE,"n/a",MIN(MAX(AO120-'Layer Comparison'!Excess_Latest,0),'Layer Comparison'!Limit_Latest)))</f>
        <v>31760901.350299999</v>
      </c>
      <c r="AT120" s="87">
        <f t="shared" si="240"/>
        <v>-6122442.8338999897</v>
      </c>
      <c r="AU120" s="88">
        <f t="shared" si="241"/>
        <v>-6122442.8338999897</v>
      </c>
      <c r="AV120" s="87">
        <v>52883344.184199996</v>
      </c>
      <c r="AW120" s="87">
        <v>46760901.350299999</v>
      </c>
      <c r="AX120" s="87">
        <f t="shared" si="242"/>
        <v>-6122442.8338999972</v>
      </c>
      <c r="AY120" s="88">
        <f t="shared" si="243"/>
        <v>-6122442.8338999972</v>
      </c>
      <c r="AZ120" s="87">
        <f>IF(Dyn_Insured="","",IF(ISNUMBER(AV120)=FALSE,"n/a",MIN(MAX(AV120-'Layer Comparison'!Excess_Past,0),'Layer Comparison'!Limit_Past)))</f>
        <v>37883344.184199996</v>
      </c>
      <c r="BA120" s="87">
        <f>IF(Dyn_Insured="","",IF(ISNUMBER(AW120)=FALSE,"n/a",MIN(MAX(AW120-'Layer Comparison'!Excess_Latest,0),'Layer Comparison'!Limit_Latest)))</f>
        <v>31760901.350299999</v>
      </c>
      <c r="BB120" s="87">
        <f t="shared" si="244"/>
        <v>-6122442.8338999972</v>
      </c>
      <c r="BC120" s="88">
        <f t="shared" si="245"/>
        <v>-6122442.8338999972</v>
      </c>
      <c r="BD120" s="87">
        <v>52883344.184199989</v>
      </c>
      <c r="BE120" s="87">
        <v>46760901.350299999</v>
      </c>
      <c r="BF120" s="87">
        <f t="shared" si="246"/>
        <v>-6122442.8338999897</v>
      </c>
      <c r="BG120" s="88">
        <f t="shared" si="247"/>
        <v>-6122442.8338999897</v>
      </c>
      <c r="BH120" s="87">
        <f>IF(Dyn_Insured="","",IF(ISNUMBER(BD120)=FALSE,"n/a",MIN(MAX(BD120-'Layer Comparison'!Excess_Past,0),'Layer Comparison'!Limit_Past)))</f>
        <v>37883344.184199989</v>
      </c>
      <c r="BI120" s="87">
        <f>IF(Dyn_Insured="","",IF(ISNUMBER(BE120)=FALSE,"n/a",MIN(MAX(BE120-'Layer Comparison'!Excess_Latest,0),'Layer Comparison'!Limit_Latest)))</f>
        <v>31760901.350299999</v>
      </c>
      <c r="BJ120" s="87">
        <f t="shared" si="248"/>
        <v>-6122442.8338999897</v>
      </c>
      <c r="BK120" s="88">
        <f t="shared" si="249"/>
        <v>-6122442.8338999897</v>
      </c>
      <c r="BL120" s="87">
        <v>52883344.184199989</v>
      </c>
      <c r="BM120" s="87">
        <v>46760901.350299999</v>
      </c>
      <c r="BN120" s="87">
        <f t="shared" si="250"/>
        <v>-6122442.8338999897</v>
      </c>
      <c r="BO120" s="88">
        <f t="shared" si="251"/>
        <v>-6122442.8338999897</v>
      </c>
      <c r="BP120" s="87">
        <f>IF(Dyn_Insured="","",IF(ISNUMBER(BL120)=FALSE,"n/a",MIN(MAX(BL120-'Layer Comparison'!Excess_Past,0),'Layer Comparison'!Limit_Past)))</f>
        <v>37883344.184199989</v>
      </c>
      <c r="BQ120" s="87">
        <f>IF(Dyn_Insured="","",IF(ISNUMBER(BM120)=FALSE,"n/a",MIN(MAX(BM120-'Layer Comparison'!Excess_Latest,0),'Layer Comparison'!Limit_Latest)))</f>
        <v>31760901.350299999</v>
      </c>
      <c r="BR120" s="87">
        <f t="shared" si="252"/>
        <v>-6122442.8338999897</v>
      </c>
      <c r="BS120" s="88">
        <f t="shared" si="253"/>
        <v>-6122442.8338999897</v>
      </c>
      <c r="BT120" s="46" t="s">
        <v>13</v>
      </c>
    </row>
    <row r="121" spans="1:72" x14ac:dyDescent="0.25">
      <c r="A121" s="89">
        <v>121</v>
      </c>
      <c r="B121" s="89">
        <f t="shared" si="219"/>
        <v>1</v>
      </c>
      <c r="C121" s="89">
        <f t="shared" si="220"/>
        <v>1</v>
      </c>
      <c r="D121" s="90">
        <f t="shared" si="221"/>
        <v>1</v>
      </c>
      <c r="E121" s="90">
        <f t="shared" si="221"/>
        <v>1</v>
      </c>
      <c r="F121" s="48" t="s">
        <v>125</v>
      </c>
      <c r="G121" s="38" t="s">
        <v>36</v>
      </c>
      <c r="H121" s="87">
        <v>5406593.0642999997</v>
      </c>
      <c r="I121" s="87">
        <v>3276005.7092999998</v>
      </c>
      <c r="J121" s="87">
        <f t="shared" si="222"/>
        <v>-2130587.355</v>
      </c>
      <c r="K121" s="88">
        <f t="shared" si="223"/>
        <v>-2130587.355</v>
      </c>
      <c r="L121" s="87">
        <f>IF(Dyn_Insured="","",IF(ISNUMBER(H121)=FALSE,"n/a",MIN(MAX(H121-'Layer Comparison'!Excess_Past,0),'Layer Comparison'!Limit_Past)))</f>
        <v>0</v>
      </c>
      <c r="M121" s="87">
        <f>IF(Dyn_Insured="","",IF(ISNUMBER(I121)=FALSE,"n/a",MIN(MAX(I121-'Layer Comparison'!Excess_Latest,0),'Layer Comparison'!Limit_Latest)))</f>
        <v>0</v>
      </c>
      <c r="N121" s="87">
        <f t="shared" si="224"/>
        <v>0</v>
      </c>
      <c r="O121" s="88">
        <f t="shared" si="225"/>
        <v>0</v>
      </c>
      <c r="P121" s="87">
        <v>16786950.971000001</v>
      </c>
      <c r="Q121" s="87">
        <v>11932159.7458</v>
      </c>
      <c r="R121" s="87">
        <f t="shared" si="226"/>
        <v>-4854791.2252000012</v>
      </c>
      <c r="S121" s="88">
        <f t="shared" si="227"/>
        <v>-4854791.2252000012</v>
      </c>
      <c r="T121" s="87">
        <f>IF(Dyn_Insured="","",IF(ISNUMBER(P121)=FALSE,"n/a",MIN(MAX(P121-'Layer Comparison'!Excess_Past,0),'Layer Comparison'!Limit_Past)))</f>
        <v>1786950.9710000008</v>
      </c>
      <c r="U121" s="87">
        <f>IF(Dyn_Insured="","",IF(ISNUMBER(Q121)=FALSE,"n/a",MIN(MAX(Q121-'Layer Comparison'!Excess_Latest,0),'Layer Comparison'!Limit_Latest)))</f>
        <v>0</v>
      </c>
      <c r="V121" s="87">
        <f t="shared" si="228"/>
        <v>-1786950.9710000008</v>
      </c>
      <c r="W121" s="88">
        <f t="shared" si="229"/>
        <v>-1786950.9710000008</v>
      </c>
      <c r="X121" s="87">
        <v>27000873.870100003</v>
      </c>
      <c r="Y121" s="87">
        <v>19878665.942399997</v>
      </c>
      <c r="Z121" s="87">
        <f t="shared" si="230"/>
        <v>-7122207.9277000055</v>
      </c>
      <c r="AA121" s="88">
        <f t="shared" si="231"/>
        <v>-7122207.9277000055</v>
      </c>
      <c r="AB121" s="87">
        <f>IF(Dyn_Insured="","",IF(ISNUMBER(X121)=FALSE,"n/a",MIN(MAX(X121-'Layer Comparison'!Excess_Past,0),'Layer Comparison'!Limit_Past)))</f>
        <v>12000873.870100003</v>
      </c>
      <c r="AC121" s="87">
        <f>IF(Dyn_Insured="","",IF(ISNUMBER(Y121)=FALSE,"n/a",MIN(MAX(Y121-'Layer Comparison'!Excess_Latest,0),'Layer Comparison'!Limit_Latest)))</f>
        <v>4878665.9423999973</v>
      </c>
      <c r="AD121" s="87">
        <f t="shared" si="232"/>
        <v>-7122207.9277000055</v>
      </c>
      <c r="AE121" s="88">
        <f t="shared" si="233"/>
        <v>-7122207.9277000055</v>
      </c>
      <c r="AF121" s="87">
        <v>37841393.16520001</v>
      </c>
      <c r="AG121" s="87">
        <v>28812612.8189</v>
      </c>
      <c r="AH121" s="87">
        <f t="shared" si="234"/>
        <v>-9028780.3463000096</v>
      </c>
      <c r="AI121" s="88">
        <f t="shared" si="235"/>
        <v>-9028780.3463000096</v>
      </c>
      <c r="AJ121" s="87">
        <f>IF(Dyn_Insured="","",IF(ISNUMBER(AF121)=FALSE,"n/a",MIN(MAX(AF121-'Layer Comparison'!Excess_Past,0),'Layer Comparison'!Limit_Past)))</f>
        <v>22841393.16520001</v>
      </c>
      <c r="AK121" s="87">
        <f>IF(Dyn_Insured="","",IF(ISNUMBER(AG121)=FALSE,"n/a",MIN(MAX(AG121-'Layer Comparison'!Excess_Latest,0),'Layer Comparison'!Limit_Latest)))</f>
        <v>13812612.8189</v>
      </c>
      <c r="AL121" s="87">
        <f t="shared" si="236"/>
        <v>-9028780.3463000096</v>
      </c>
      <c r="AM121" s="88">
        <f t="shared" si="237"/>
        <v>-9028780.3463000096</v>
      </c>
      <c r="AN121" s="87">
        <v>52754644.685399994</v>
      </c>
      <c r="AO121" s="87">
        <v>44060654.771299988</v>
      </c>
      <c r="AP121" s="87">
        <f t="shared" si="238"/>
        <v>-8693989.9141000062</v>
      </c>
      <c r="AQ121" s="88">
        <f t="shared" si="239"/>
        <v>-8693989.9141000062</v>
      </c>
      <c r="AR121" s="87">
        <f>IF(Dyn_Insured="","",IF(ISNUMBER(AN121)=FALSE,"n/a",MIN(MAX(AN121-'Layer Comparison'!Excess_Past,0),'Layer Comparison'!Limit_Past)))</f>
        <v>37754644.685399994</v>
      </c>
      <c r="AS121" s="87">
        <f>IF(Dyn_Insured="","",IF(ISNUMBER(AO121)=FALSE,"n/a",MIN(MAX(AO121-'Layer Comparison'!Excess_Latest,0),'Layer Comparison'!Limit_Latest)))</f>
        <v>29060654.771299988</v>
      </c>
      <c r="AT121" s="87">
        <f t="shared" si="240"/>
        <v>-8693989.9141000062</v>
      </c>
      <c r="AU121" s="88">
        <f t="shared" si="241"/>
        <v>-8693989.9141000062</v>
      </c>
      <c r="AV121" s="87">
        <v>52754644.685399994</v>
      </c>
      <c r="AW121" s="87">
        <v>44060654.771299995</v>
      </c>
      <c r="AX121" s="87">
        <f t="shared" si="242"/>
        <v>-8693989.9140999988</v>
      </c>
      <c r="AY121" s="88">
        <f t="shared" si="243"/>
        <v>-8693989.9140999988</v>
      </c>
      <c r="AZ121" s="87">
        <f>IF(Dyn_Insured="","",IF(ISNUMBER(AV121)=FALSE,"n/a",MIN(MAX(AV121-'Layer Comparison'!Excess_Past,0),'Layer Comparison'!Limit_Past)))</f>
        <v>37754644.685399994</v>
      </c>
      <c r="BA121" s="87">
        <f>IF(Dyn_Insured="","",IF(ISNUMBER(AW121)=FALSE,"n/a",MIN(MAX(AW121-'Layer Comparison'!Excess_Latest,0),'Layer Comparison'!Limit_Latest)))</f>
        <v>29060654.771299995</v>
      </c>
      <c r="BB121" s="87">
        <f t="shared" si="244"/>
        <v>-8693989.9140999988</v>
      </c>
      <c r="BC121" s="88">
        <f t="shared" si="245"/>
        <v>-8693989.9140999988</v>
      </c>
      <c r="BD121" s="87">
        <v>52754644.685399994</v>
      </c>
      <c r="BE121" s="87">
        <v>44060654.771299995</v>
      </c>
      <c r="BF121" s="87">
        <f t="shared" si="246"/>
        <v>-8693989.9140999988</v>
      </c>
      <c r="BG121" s="88">
        <f t="shared" si="247"/>
        <v>-8693989.9140999988</v>
      </c>
      <c r="BH121" s="87">
        <f>IF(Dyn_Insured="","",IF(ISNUMBER(BD121)=FALSE,"n/a",MIN(MAX(BD121-'Layer Comparison'!Excess_Past,0),'Layer Comparison'!Limit_Past)))</f>
        <v>37754644.685399994</v>
      </c>
      <c r="BI121" s="87">
        <f>IF(Dyn_Insured="","",IF(ISNUMBER(BE121)=FALSE,"n/a",MIN(MAX(BE121-'Layer Comparison'!Excess_Latest,0),'Layer Comparison'!Limit_Latest)))</f>
        <v>29060654.771299995</v>
      </c>
      <c r="BJ121" s="87">
        <f t="shared" si="248"/>
        <v>-8693989.9140999988</v>
      </c>
      <c r="BK121" s="88">
        <f t="shared" si="249"/>
        <v>-8693989.9140999988</v>
      </c>
      <c r="BL121" s="87">
        <v>52754644.685400009</v>
      </c>
      <c r="BM121" s="87">
        <v>44060654.771299988</v>
      </c>
      <c r="BN121" s="87">
        <f t="shared" si="250"/>
        <v>-8693989.9141000211</v>
      </c>
      <c r="BO121" s="88">
        <f t="shared" si="251"/>
        <v>-8693989.9141000211</v>
      </c>
      <c r="BP121" s="87">
        <f>IF(Dyn_Insured="","",IF(ISNUMBER(BL121)=FALSE,"n/a",MIN(MAX(BL121-'Layer Comparison'!Excess_Past,0),'Layer Comparison'!Limit_Past)))</f>
        <v>37754644.685400009</v>
      </c>
      <c r="BQ121" s="87">
        <f>IF(Dyn_Insured="","",IF(ISNUMBER(BM121)=FALSE,"n/a",MIN(MAX(BM121-'Layer Comparison'!Excess_Latest,0),'Layer Comparison'!Limit_Latest)))</f>
        <v>29060654.771299988</v>
      </c>
      <c r="BR121" s="87">
        <f t="shared" si="252"/>
        <v>-8693989.9141000211</v>
      </c>
      <c r="BS121" s="88">
        <f t="shared" si="253"/>
        <v>-8693989.9141000211</v>
      </c>
      <c r="BT121" s="46" t="s">
        <v>13</v>
      </c>
    </row>
    <row r="122" spans="1:72" x14ac:dyDescent="0.25">
      <c r="A122" s="89">
        <v>122</v>
      </c>
      <c r="B122" s="89">
        <f t="shared" si="219"/>
        <v>1</v>
      </c>
      <c r="C122" s="89">
        <f t="shared" si="220"/>
        <v>1</v>
      </c>
      <c r="D122" s="90">
        <f t="shared" si="221"/>
        <v>1</v>
      </c>
      <c r="E122" s="90">
        <f t="shared" si="221"/>
        <v>1</v>
      </c>
      <c r="F122" s="48" t="s">
        <v>126</v>
      </c>
      <c r="G122" s="38" t="s">
        <v>36</v>
      </c>
      <c r="H122" s="87">
        <v>4112825.8306</v>
      </c>
      <c r="I122" s="87">
        <v>2709520.0688</v>
      </c>
      <c r="J122" s="87">
        <f t="shared" si="222"/>
        <v>-1403305.7618</v>
      </c>
      <c r="K122" s="88">
        <f t="shared" si="223"/>
        <v>-1403305.7618</v>
      </c>
      <c r="L122" s="87">
        <f>IF(Dyn_Insured="","",IF(ISNUMBER(H122)=FALSE,"n/a",MIN(MAX(H122-'Layer Comparison'!Excess_Past,0),'Layer Comparison'!Limit_Past)))</f>
        <v>0</v>
      </c>
      <c r="M122" s="87">
        <f>IF(Dyn_Insured="","",IF(ISNUMBER(I122)=FALSE,"n/a",MIN(MAX(I122-'Layer Comparison'!Excess_Latest,0),'Layer Comparison'!Limit_Latest)))</f>
        <v>0</v>
      </c>
      <c r="N122" s="87">
        <f t="shared" si="224"/>
        <v>0</v>
      </c>
      <c r="O122" s="88">
        <f t="shared" si="225"/>
        <v>0</v>
      </c>
      <c r="P122" s="87">
        <v>13816460.699000001</v>
      </c>
      <c r="Q122" s="87">
        <v>12788171.320699999</v>
      </c>
      <c r="R122" s="87">
        <f t="shared" si="226"/>
        <v>-1028289.3783000018</v>
      </c>
      <c r="S122" s="88">
        <f t="shared" si="227"/>
        <v>-1028289.3783000018</v>
      </c>
      <c r="T122" s="87">
        <f>IF(Dyn_Insured="","",IF(ISNUMBER(P122)=FALSE,"n/a",MIN(MAX(P122-'Layer Comparison'!Excess_Past,0),'Layer Comparison'!Limit_Past)))</f>
        <v>0</v>
      </c>
      <c r="U122" s="87">
        <f>IF(Dyn_Insured="","",IF(ISNUMBER(Q122)=FALSE,"n/a",MIN(MAX(Q122-'Layer Comparison'!Excess_Latest,0),'Layer Comparison'!Limit_Latest)))</f>
        <v>0</v>
      </c>
      <c r="V122" s="87">
        <f t="shared" si="228"/>
        <v>0</v>
      </c>
      <c r="W122" s="88">
        <f t="shared" si="229"/>
        <v>0</v>
      </c>
      <c r="X122" s="87">
        <v>25776411.215700001</v>
      </c>
      <c r="Y122" s="87">
        <v>23935023.439599998</v>
      </c>
      <c r="Z122" s="87">
        <f t="shared" si="230"/>
        <v>-1841387.7761000022</v>
      </c>
      <c r="AA122" s="88">
        <f t="shared" si="231"/>
        <v>-1841387.7761000022</v>
      </c>
      <c r="AB122" s="87">
        <f>IF(Dyn_Insured="","",IF(ISNUMBER(X122)=FALSE,"n/a",MIN(MAX(X122-'Layer Comparison'!Excess_Past,0),'Layer Comparison'!Limit_Past)))</f>
        <v>10776411.215700001</v>
      </c>
      <c r="AC122" s="87">
        <f>IF(Dyn_Insured="","",IF(ISNUMBER(Y122)=FALSE,"n/a",MIN(MAX(Y122-'Layer Comparison'!Excess_Latest,0),'Layer Comparison'!Limit_Latest)))</f>
        <v>8935023.4395999983</v>
      </c>
      <c r="AD122" s="87">
        <f t="shared" si="232"/>
        <v>-1841387.7761000022</v>
      </c>
      <c r="AE122" s="88">
        <f t="shared" si="233"/>
        <v>-1841387.7761000022</v>
      </c>
      <c r="AF122" s="87">
        <v>37111016.144199997</v>
      </c>
      <c r="AG122" s="87">
        <v>34599661.062299997</v>
      </c>
      <c r="AH122" s="87">
        <f t="shared" si="234"/>
        <v>-2511355.0819000006</v>
      </c>
      <c r="AI122" s="88">
        <f t="shared" si="235"/>
        <v>-2511355.0819000006</v>
      </c>
      <c r="AJ122" s="87">
        <f>IF(Dyn_Insured="","",IF(ISNUMBER(AF122)=FALSE,"n/a",MIN(MAX(AF122-'Layer Comparison'!Excess_Past,0),'Layer Comparison'!Limit_Past)))</f>
        <v>22111016.144199997</v>
      </c>
      <c r="AK122" s="87">
        <f>IF(Dyn_Insured="","",IF(ISNUMBER(AG122)=FALSE,"n/a",MIN(MAX(AG122-'Layer Comparison'!Excess_Latest,0),'Layer Comparison'!Limit_Latest)))</f>
        <v>19599661.062299997</v>
      </c>
      <c r="AL122" s="87">
        <f t="shared" si="236"/>
        <v>-2511355.0819000006</v>
      </c>
      <c r="AM122" s="88">
        <f t="shared" si="237"/>
        <v>-2511355.0819000006</v>
      </c>
      <c r="AN122" s="87">
        <v>59870786.406599984</v>
      </c>
      <c r="AO122" s="87">
        <v>57763480.651599988</v>
      </c>
      <c r="AP122" s="87">
        <f t="shared" si="238"/>
        <v>-2107305.7549999952</v>
      </c>
      <c r="AQ122" s="88">
        <f t="shared" si="239"/>
        <v>-2107305.7549999952</v>
      </c>
      <c r="AR122" s="87">
        <f>IF(Dyn_Insured="","",IF(ISNUMBER(AN122)=FALSE,"n/a",MIN(MAX(AN122-'Layer Comparison'!Excess_Past,0),'Layer Comparison'!Limit_Past)))</f>
        <v>44870786.406599984</v>
      </c>
      <c r="AS122" s="87">
        <f>IF(Dyn_Insured="","",IF(ISNUMBER(AO122)=FALSE,"n/a",MIN(MAX(AO122-'Layer Comparison'!Excess_Latest,0),'Layer Comparison'!Limit_Latest)))</f>
        <v>42763480.651599988</v>
      </c>
      <c r="AT122" s="87">
        <f t="shared" si="240"/>
        <v>-2107305.7549999952</v>
      </c>
      <c r="AU122" s="88">
        <f t="shared" si="241"/>
        <v>-2107305.7549999952</v>
      </c>
      <c r="AV122" s="87">
        <v>80382326.963200003</v>
      </c>
      <c r="AW122" s="87">
        <v>78219344.435599998</v>
      </c>
      <c r="AX122" s="87">
        <f t="shared" si="242"/>
        <v>-2162982.5276000053</v>
      </c>
      <c r="AY122" s="88">
        <f t="shared" si="243"/>
        <v>-2162982.5276000053</v>
      </c>
      <c r="AZ122" s="87">
        <f>IF(Dyn_Insured="","",IF(ISNUMBER(AV122)=FALSE,"n/a",MIN(MAX(AV122-'Layer Comparison'!Excess_Past,0),'Layer Comparison'!Limit_Past)))</f>
        <v>65382326.963200003</v>
      </c>
      <c r="BA122" s="87">
        <f>IF(Dyn_Insured="","",IF(ISNUMBER(AW122)=FALSE,"n/a",MIN(MAX(AW122-'Layer Comparison'!Excess_Latest,0),'Layer Comparison'!Limit_Latest)))</f>
        <v>63219344.435599998</v>
      </c>
      <c r="BB122" s="87">
        <f t="shared" si="244"/>
        <v>-2162982.5276000053</v>
      </c>
      <c r="BC122" s="88">
        <f t="shared" si="245"/>
        <v>-2162982.5276000053</v>
      </c>
      <c r="BD122" s="87">
        <v>80382326.963200018</v>
      </c>
      <c r="BE122" s="87">
        <v>78219344.435600013</v>
      </c>
      <c r="BF122" s="87">
        <f t="shared" si="246"/>
        <v>-2162982.5276000053</v>
      </c>
      <c r="BG122" s="88">
        <f t="shared" si="247"/>
        <v>-2162982.5276000053</v>
      </c>
      <c r="BH122" s="87">
        <f>IF(Dyn_Insured="","",IF(ISNUMBER(BD122)=FALSE,"n/a",MIN(MAX(BD122-'Layer Comparison'!Excess_Past,0),'Layer Comparison'!Limit_Past)))</f>
        <v>65382326.963200018</v>
      </c>
      <c r="BI122" s="87">
        <f>IF(Dyn_Insured="","",IF(ISNUMBER(BE122)=FALSE,"n/a",MIN(MAX(BE122-'Layer Comparison'!Excess_Latest,0),'Layer Comparison'!Limit_Latest)))</f>
        <v>63219344.435600013</v>
      </c>
      <c r="BJ122" s="87">
        <f t="shared" si="248"/>
        <v>-2162982.5276000053</v>
      </c>
      <c r="BK122" s="88">
        <f t="shared" si="249"/>
        <v>-2162982.5276000053</v>
      </c>
      <c r="BL122" s="87">
        <v>80382326.963200018</v>
      </c>
      <c r="BM122" s="87">
        <v>78219344.435599998</v>
      </c>
      <c r="BN122" s="87">
        <f t="shared" si="250"/>
        <v>-2162982.5276000202</v>
      </c>
      <c r="BO122" s="88">
        <f t="shared" si="251"/>
        <v>-2162982.5276000202</v>
      </c>
      <c r="BP122" s="87">
        <f>IF(Dyn_Insured="","",IF(ISNUMBER(BL122)=FALSE,"n/a",MIN(MAX(BL122-'Layer Comparison'!Excess_Past,0),'Layer Comparison'!Limit_Past)))</f>
        <v>65382326.963200018</v>
      </c>
      <c r="BQ122" s="87">
        <f>IF(Dyn_Insured="","",IF(ISNUMBER(BM122)=FALSE,"n/a",MIN(MAX(BM122-'Layer Comparison'!Excess_Latest,0),'Layer Comparison'!Limit_Latest)))</f>
        <v>63219344.435599998</v>
      </c>
      <c r="BR122" s="87">
        <f t="shared" si="252"/>
        <v>-2162982.5276000202</v>
      </c>
      <c r="BS122" s="88">
        <f t="shared" si="253"/>
        <v>-2162982.5276000202</v>
      </c>
      <c r="BT122" s="46" t="s">
        <v>13</v>
      </c>
    </row>
    <row r="123" spans="1:72" x14ac:dyDescent="0.25">
      <c r="A123" s="89">
        <v>123</v>
      </c>
      <c r="B123" s="89">
        <f t="shared" si="219"/>
        <v>1</v>
      </c>
      <c r="C123" s="89">
        <f t="shared" si="220"/>
        <v>1</v>
      </c>
      <c r="D123" s="90">
        <f t="shared" si="221"/>
        <v>1</v>
      </c>
      <c r="E123" s="90">
        <f t="shared" si="221"/>
        <v>1</v>
      </c>
      <c r="F123" s="48" t="s">
        <v>127</v>
      </c>
      <c r="G123" s="38" t="s">
        <v>36</v>
      </c>
      <c r="H123" s="87">
        <v>1504490.7431000001</v>
      </c>
      <c r="I123" s="87">
        <v>1721591.3952000001</v>
      </c>
      <c r="J123" s="87">
        <f t="shared" si="222"/>
        <v>217100.65210000006</v>
      </c>
      <c r="K123" s="88">
        <f t="shared" si="223"/>
        <v>217100.65210000006</v>
      </c>
      <c r="L123" s="87">
        <f>IF(Dyn_Insured="","",IF(ISNUMBER(H123)=FALSE,"n/a",MIN(MAX(H123-'Layer Comparison'!Excess_Past,0),'Layer Comparison'!Limit_Past)))</f>
        <v>0</v>
      </c>
      <c r="M123" s="87">
        <f>IF(Dyn_Insured="","",IF(ISNUMBER(I123)=FALSE,"n/a",MIN(MAX(I123-'Layer Comparison'!Excess_Latest,0),'Layer Comparison'!Limit_Latest)))</f>
        <v>0</v>
      </c>
      <c r="N123" s="87">
        <f t="shared" si="224"/>
        <v>0</v>
      </c>
      <c r="O123" s="88">
        <f t="shared" si="225"/>
        <v>0</v>
      </c>
      <c r="P123" s="87">
        <v>8439302.0966999996</v>
      </c>
      <c r="Q123" s="87">
        <v>9754843.2149999999</v>
      </c>
      <c r="R123" s="87">
        <f t="shared" si="226"/>
        <v>1315541.1183000002</v>
      </c>
      <c r="S123" s="88">
        <f t="shared" si="227"/>
        <v>1315541.1183000002</v>
      </c>
      <c r="T123" s="87">
        <f>IF(Dyn_Insured="","",IF(ISNUMBER(P123)=FALSE,"n/a",MIN(MAX(P123-'Layer Comparison'!Excess_Past,0),'Layer Comparison'!Limit_Past)))</f>
        <v>0</v>
      </c>
      <c r="U123" s="87">
        <f>IF(Dyn_Insured="","",IF(ISNUMBER(Q123)=FALSE,"n/a",MIN(MAX(Q123-'Layer Comparison'!Excess_Latest,0),'Layer Comparison'!Limit_Latest)))</f>
        <v>0</v>
      </c>
      <c r="V123" s="87">
        <f t="shared" si="228"/>
        <v>0</v>
      </c>
      <c r="W123" s="88">
        <f t="shared" si="229"/>
        <v>0</v>
      </c>
      <c r="X123" s="87">
        <v>17112648.807599999</v>
      </c>
      <c r="Y123" s="87">
        <v>19748886.086100001</v>
      </c>
      <c r="Z123" s="87">
        <f t="shared" si="230"/>
        <v>2636237.2785000019</v>
      </c>
      <c r="AA123" s="88">
        <f t="shared" si="231"/>
        <v>2636237.2785000019</v>
      </c>
      <c r="AB123" s="87">
        <f>IF(Dyn_Insured="","",IF(ISNUMBER(X123)=FALSE,"n/a",MIN(MAX(X123-'Layer Comparison'!Excess_Past,0),'Layer Comparison'!Limit_Past)))</f>
        <v>2112648.807599999</v>
      </c>
      <c r="AC123" s="87">
        <f>IF(Dyn_Insured="","",IF(ISNUMBER(Y123)=FALSE,"n/a",MIN(MAX(Y123-'Layer Comparison'!Excess_Latest,0),'Layer Comparison'!Limit_Latest)))</f>
        <v>4748886.0861000009</v>
      </c>
      <c r="AD123" s="87">
        <f t="shared" si="232"/>
        <v>2636237.2785000019</v>
      </c>
      <c r="AE123" s="88">
        <f t="shared" si="233"/>
        <v>2636237.2785000019</v>
      </c>
      <c r="AF123" s="87">
        <v>26508806.720600005</v>
      </c>
      <c r="AG123" s="87">
        <v>29680827.257400002</v>
      </c>
      <c r="AH123" s="87">
        <f t="shared" si="234"/>
        <v>3172020.5367999971</v>
      </c>
      <c r="AI123" s="88">
        <f t="shared" si="235"/>
        <v>3172020.5367999971</v>
      </c>
      <c r="AJ123" s="87">
        <f>IF(Dyn_Insured="","",IF(ISNUMBER(AF123)=FALSE,"n/a",MIN(MAX(AF123-'Layer Comparison'!Excess_Past,0),'Layer Comparison'!Limit_Past)))</f>
        <v>11508806.720600005</v>
      </c>
      <c r="AK123" s="87">
        <f>IF(Dyn_Insured="","",IF(ISNUMBER(AG123)=FALSE,"n/a",MIN(MAX(AG123-'Layer Comparison'!Excess_Latest,0),'Layer Comparison'!Limit_Latest)))</f>
        <v>14680827.257400002</v>
      </c>
      <c r="AL123" s="87">
        <f t="shared" si="236"/>
        <v>3172020.5367999971</v>
      </c>
      <c r="AM123" s="88">
        <f t="shared" si="237"/>
        <v>3172020.5367999971</v>
      </c>
      <c r="AN123" s="87">
        <v>44361997.908799998</v>
      </c>
      <c r="AO123" s="87">
        <v>51317079.874400005</v>
      </c>
      <c r="AP123" s="87">
        <f t="shared" si="238"/>
        <v>6955081.9656000063</v>
      </c>
      <c r="AQ123" s="88">
        <f t="shared" si="239"/>
        <v>6955081.9656000063</v>
      </c>
      <c r="AR123" s="87">
        <f>IF(Dyn_Insured="","",IF(ISNUMBER(AN123)=FALSE,"n/a",MIN(MAX(AN123-'Layer Comparison'!Excess_Past,0),'Layer Comparison'!Limit_Past)))</f>
        <v>29361997.908799998</v>
      </c>
      <c r="AS123" s="87">
        <f>IF(Dyn_Insured="","",IF(ISNUMBER(AO123)=FALSE,"n/a",MIN(MAX(AO123-'Layer Comparison'!Excess_Latest,0),'Layer Comparison'!Limit_Latest)))</f>
        <v>36317079.874400005</v>
      </c>
      <c r="AT123" s="87">
        <f t="shared" si="240"/>
        <v>6955081.9656000063</v>
      </c>
      <c r="AU123" s="88">
        <f t="shared" si="241"/>
        <v>6955081.9656000063</v>
      </c>
      <c r="AV123" s="87">
        <v>50373620.425099999</v>
      </c>
      <c r="AW123" s="87">
        <v>58768769.585099995</v>
      </c>
      <c r="AX123" s="87">
        <f t="shared" si="242"/>
        <v>8395149.1599999964</v>
      </c>
      <c r="AY123" s="88">
        <f t="shared" si="243"/>
        <v>8395149.1599999964</v>
      </c>
      <c r="AZ123" s="87">
        <f>IF(Dyn_Insured="","",IF(ISNUMBER(AV123)=FALSE,"n/a",MIN(MAX(AV123-'Layer Comparison'!Excess_Past,0),'Layer Comparison'!Limit_Past)))</f>
        <v>35373620.425099999</v>
      </c>
      <c r="BA123" s="87">
        <f>IF(Dyn_Insured="","",IF(ISNUMBER(AW123)=FALSE,"n/a",MIN(MAX(AW123-'Layer Comparison'!Excess_Latest,0),'Layer Comparison'!Limit_Latest)))</f>
        <v>43768769.585099995</v>
      </c>
      <c r="BB123" s="87">
        <f t="shared" si="244"/>
        <v>8395149.1599999964</v>
      </c>
      <c r="BC123" s="88">
        <f t="shared" si="245"/>
        <v>8395149.1599999964</v>
      </c>
      <c r="BD123" s="87">
        <v>50373620.425099999</v>
      </c>
      <c r="BE123" s="87">
        <v>58768769.58510001</v>
      </c>
      <c r="BF123" s="87">
        <f t="shared" si="246"/>
        <v>8395149.1600000113</v>
      </c>
      <c r="BG123" s="88">
        <f t="shared" si="247"/>
        <v>8395149.1600000113</v>
      </c>
      <c r="BH123" s="87">
        <f>IF(Dyn_Insured="","",IF(ISNUMBER(BD123)=FALSE,"n/a",MIN(MAX(BD123-'Layer Comparison'!Excess_Past,0),'Layer Comparison'!Limit_Past)))</f>
        <v>35373620.425099999</v>
      </c>
      <c r="BI123" s="87">
        <f>IF(Dyn_Insured="","",IF(ISNUMBER(BE123)=FALSE,"n/a",MIN(MAX(BE123-'Layer Comparison'!Excess_Latest,0),'Layer Comparison'!Limit_Latest)))</f>
        <v>43768769.58510001</v>
      </c>
      <c r="BJ123" s="87">
        <f t="shared" si="248"/>
        <v>8395149.1600000113</v>
      </c>
      <c r="BK123" s="88">
        <f t="shared" si="249"/>
        <v>8395149.1600000113</v>
      </c>
      <c r="BL123" s="87">
        <v>50373620.425099991</v>
      </c>
      <c r="BM123" s="87">
        <v>58768769.585100003</v>
      </c>
      <c r="BN123" s="87">
        <f t="shared" si="250"/>
        <v>8395149.1600000113</v>
      </c>
      <c r="BO123" s="88">
        <f t="shared" si="251"/>
        <v>8395149.1600000113</v>
      </c>
      <c r="BP123" s="87">
        <f>IF(Dyn_Insured="","",IF(ISNUMBER(BL123)=FALSE,"n/a",MIN(MAX(BL123-'Layer Comparison'!Excess_Past,0),'Layer Comparison'!Limit_Past)))</f>
        <v>35373620.425099991</v>
      </c>
      <c r="BQ123" s="87">
        <f>IF(Dyn_Insured="","",IF(ISNUMBER(BM123)=FALSE,"n/a",MIN(MAX(BM123-'Layer Comparison'!Excess_Latest,0),'Layer Comparison'!Limit_Latest)))</f>
        <v>43768769.585100003</v>
      </c>
      <c r="BR123" s="87">
        <f t="shared" si="252"/>
        <v>8395149.1600000113</v>
      </c>
      <c r="BS123" s="88">
        <f t="shared" si="253"/>
        <v>8395149.1600000113</v>
      </c>
      <c r="BT123" s="46" t="s">
        <v>13</v>
      </c>
    </row>
    <row r="124" spans="1:72" x14ac:dyDescent="0.25">
      <c r="A124" s="89">
        <v>124</v>
      </c>
      <c r="B124" s="89">
        <f t="shared" si="219"/>
        <v>1</v>
      </c>
      <c r="C124" s="89">
        <f t="shared" si="220"/>
        <v>1</v>
      </c>
      <c r="D124" s="90">
        <f t="shared" si="221"/>
        <v>1</v>
      </c>
      <c r="E124" s="90">
        <f t="shared" si="221"/>
        <v>1</v>
      </c>
      <c r="F124" s="48" t="s">
        <v>128</v>
      </c>
      <c r="G124" s="38" t="s">
        <v>36</v>
      </c>
      <c r="H124" s="87">
        <v>5289043.5644000005</v>
      </c>
      <c r="I124" s="87">
        <v>3335153.2314999998</v>
      </c>
      <c r="J124" s="87">
        <f t="shared" si="222"/>
        <v>-1953890.3329000007</v>
      </c>
      <c r="K124" s="88">
        <f t="shared" si="223"/>
        <v>-1953890.3329000007</v>
      </c>
      <c r="L124" s="87">
        <f>IF(Dyn_Insured="","",IF(ISNUMBER(H124)=FALSE,"n/a",MIN(MAX(H124-'Layer Comparison'!Excess_Past,0),'Layer Comparison'!Limit_Past)))</f>
        <v>0</v>
      </c>
      <c r="M124" s="87">
        <f>IF(Dyn_Insured="","",IF(ISNUMBER(I124)=FALSE,"n/a",MIN(MAX(I124-'Layer Comparison'!Excess_Latest,0),'Layer Comparison'!Limit_Latest)))</f>
        <v>0</v>
      </c>
      <c r="N124" s="87">
        <f t="shared" si="224"/>
        <v>0</v>
      </c>
      <c r="O124" s="88">
        <f t="shared" si="225"/>
        <v>0</v>
      </c>
      <c r="P124" s="87">
        <v>16779690.498999998</v>
      </c>
      <c r="Q124" s="87">
        <v>12131392.008300001</v>
      </c>
      <c r="R124" s="87">
        <f t="shared" si="226"/>
        <v>-4648298.4906999972</v>
      </c>
      <c r="S124" s="88">
        <f t="shared" si="227"/>
        <v>-4648298.4906999972</v>
      </c>
      <c r="T124" s="87">
        <f>IF(Dyn_Insured="","",IF(ISNUMBER(P124)=FALSE,"n/a",MIN(MAX(P124-'Layer Comparison'!Excess_Past,0),'Layer Comparison'!Limit_Past)))</f>
        <v>1779690.498999998</v>
      </c>
      <c r="U124" s="87">
        <f>IF(Dyn_Insured="","",IF(ISNUMBER(Q124)=FALSE,"n/a",MIN(MAX(Q124-'Layer Comparison'!Excess_Latest,0),'Layer Comparison'!Limit_Latest)))</f>
        <v>0</v>
      </c>
      <c r="V124" s="87">
        <f t="shared" si="228"/>
        <v>-1779690.498999998</v>
      </c>
      <c r="W124" s="88">
        <f t="shared" si="229"/>
        <v>-1779690.498999998</v>
      </c>
      <c r="X124" s="87">
        <v>27560676.431999996</v>
      </c>
      <c r="Y124" s="87">
        <v>20881168.6789</v>
      </c>
      <c r="Z124" s="87">
        <f t="shared" si="230"/>
        <v>-6679507.7530999966</v>
      </c>
      <c r="AA124" s="88">
        <f t="shared" si="231"/>
        <v>-6679507.7530999966</v>
      </c>
      <c r="AB124" s="87">
        <f>IF(Dyn_Insured="","",IF(ISNUMBER(X124)=FALSE,"n/a",MIN(MAX(X124-'Layer Comparison'!Excess_Past,0),'Layer Comparison'!Limit_Past)))</f>
        <v>12560676.431999996</v>
      </c>
      <c r="AC124" s="87">
        <f>IF(Dyn_Insured="","",IF(ISNUMBER(Y124)=FALSE,"n/a",MIN(MAX(Y124-'Layer Comparison'!Excess_Latest,0),'Layer Comparison'!Limit_Latest)))</f>
        <v>5881168.6788999997</v>
      </c>
      <c r="AD124" s="87">
        <f t="shared" si="232"/>
        <v>-6679507.7530999966</v>
      </c>
      <c r="AE124" s="88">
        <f t="shared" si="233"/>
        <v>-6679507.7530999966</v>
      </c>
      <c r="AF124" s="87">
        <v>38995862.923800007</v>
      </c>
      <c r="AG124" s="87">
        <v>30403210.282200001</v>
      </c>
      <c r="AH124" s="87">
        <f t="shared" si="234"/>
        <v>-8592652.6416000053</v>
      </c>
      <c r="AI124" s="88">
        <f t="shared" si="235"/>
        <v>-8592652.6416000053</v>
      </c>
      <c r="AJ124" s="87">
        <f>IF(Dyn_Insured="","",IF(ISNUMBER(AF124)=FALSE,"n/a",MIN(MAX(AF124-'Layer Comparison'!Excess_Past,0),'Layer Comparison'!Limit_Past)))</f>
        <v>23995862.923800007</v>
      </c>
      <c r="AK124" s="87">
        <f>IF(Dyn_Insured="","",IF(ISNUMBER(AG124)=FALSE,"n/a",MIN(MAX(AG124-'Layer Comparison'!Excess_Latest,0),'Layer Comparison'!Limit_Latest)))</f>
        <v>15403210.282200001</v>
      </c>
      <c r="AL124" s="87">
        <f t="shared" si="236"/>
        <v>-8592652.6416000053</v>
      </c>
      <c r="AM124" s="88">
        <f t="shared" si="237"/>
        <v>-8592652.6416000053</v>
      </c>
      <c r="AN124" s="87">
        <v>53427941.364299998</v>
      </c>
      <c r="AO124" s="87">
        <v>43436341.388400003</v>
      </c>
      <c r="AP124" s="87">
        <f t="shared" si="238"/>
        <v>-9991599.9758999944</v>
      </c>
      <c r="AQ124" s="88">
        <f t="shared" si="239"/>
        <v>-9991599.9758999944</v>
      </c>
      <c r="AR124" s="87">
        <f>IF(Dyn_Insured="","",IF(ISNUMBER(AN124)=FALSE,"n/a",MIN(MAX(AN124-'Layer Comparison'!Excess_Past,0),'Layer Comparison'!Limit_Past)))</f>
        <v>38427941.364299998</v>
      </c>
      <c r="AS124" s="87">
        <f>IF(Dyn_Insured="","",IF(ISNUMBER(AO124)=FALSE,"n/a",MIN(MAX(AO124-'Layer Comparison'!Excess_Latest,0),'Layer Comparison'!Limit_Latest)))</f>
        <v>28436341.388400003</v>
      </c>
      <c r="AT124" s="87">
        <f t="shared" si="240"/>
        <v>-9991599.9758999944</v>
      </c>
      <c r="AU124" s="88">
        <f t="shared" si="241"/>
        <v>-9991599.9758999944</v>
      </c>
      <c r="AV124" s="87">
        <v>53660372.665200002</v>
      </c>
      <c r="AW124" s="87">
        <v>43612669.759500012</v>
      </c>
      <c r="AX124" s="87">
        <f t="shared" si="242"/>
        <v>-10047702.905699991</v>
      </c>
      <c r="AY124" s="88">
        <f t="shared" si="243"/>
        <v>-10047702.905699991</v>
      </c>
      <c r="AZ124" s="87">
        <f>IF(Dyn_Insured="","",IF(ISNUMBER(AV124)=FALSE,"n/a",MIN(MAX(AV124-'Layer Comparison'!Excess_Past,0),'Layer Comparison'!Limit_Past)))</f>
        <v>38660372.665200002</v>
      </c>
      <c r="BA124" s="87">
        <f>IF(Dyn_Insured="","",IF(ISNUMBER(AW124)=FALSE,"n/a",MIN(MAX(AW124-'Layer Comparison'!Excess_Latest,0),'Layer Comparison'!Limit_Latest)))</f>
        <v>28612669.759500012</v>
      </c>
      <c r="BB124" s="87">
        <f t="shared" si="244"/>
        <v>-10047702.905699991</v>
      </c>
      <c r="BC124" s="88">
        <f t="shared" si="245"/>
        <v>-10047702.905699991</v>
      </c>
      <c r="BD124" s="87">
        <v>53660372.66520001</v>
      </c>
      <c r="BE124" s="87">
        <v>43612669.759500012</v>
      </c>
      <c r="BF124" s="87">
        <f t="shared" si="246"/>
        <v>-10047702.905699998</v>
      </c>
      <c r="BG124" s="88">
        <f t="shared" si="247"/>
        <v>-10047702.905699998</v>
      </c>
      <c r="BH124" s="87">
        <f>IF(Dyn_Insured="","",IF(ISNUMBER(BD124)=FALSE,"n/a",MIN(MAX(BD124-'Layer Comparison'!Excess_Past,0),'Layer Comparison'!Limit_Past)))</f>
        <v>38660372.66520001</v>
      </c>
      <c r="BI124" s="87">
        <f>IF(Dyn_Insured="","",IF(ISNUMBER(BE124)=FALSE,"n/a",MIN(MAX(BE124-'Layer Comparison'!Excess_Latest,0),'Layer Comparison'!Limit_Latest)))</f>
        <v>28612669.759500012</v>
      </c>
      <c r="BJ124" s="87">
        <f t="shared" si="248"/>
        <v>-10047702.905699998</v>
      </c>
      <c r="BK124" s="88">
        <f t="shared" si="249"/>
        <v>-10047702.905699998</v>
      </c>
      <c r="BL124" s="87">
        <v>53660372.66520001</v>
      </c>
      <c r="BM124" s="87">
        <v>43612669.759500004</v>
      </c>
      <c r="BN124" s="87">
        <f t="shared" si="250"/>
        <v>-10047702.905700006</v>
      </c>
      <c r="BO124" s="88">
        <f t="shared" si="251"/>
        <v>-10047702.905700006</v>
      </c>
      <c r="BP124" s="87">
        <f>IF(Dyn_Insured="","",IF(ISNUMBER(BL124)=FALSE,"n/a",MIN(MAX(BL124-'Layer Comparison'!Excess_Past,0),'Layer Comparison'!Limit_Past)))</f>
        <v>38660372.66520001</v>
      </c>
      <c r="BQ124" s="87">
        <f>IF(Dyn_Insured="","",IF(ISNUMBER(BM124)=FALSE,"n/a",MIN(MAX(BM124-'Layer Comparison'!Excess_Latest,0),'Layer Comparison'!Limit_Latest)))</f>
        <v>28612669.759500004</v>
      </c>
      <c r="BR124" s="87">
        <f t="shared" si="252"/>
        <v>-10047702.905700006</v>
      </c>
      <c r="BS124" s="88">
        <f t="shared" si="253"/>
        <v>-10047702.905700006</v>
      </c>
      <c r="BT124" s="46" t="s">
        <v>13</v>
      </c>
    </row>
    <row r="125" spans="1:72" x14ac:dyDescent="0.25">
      <c r="A125" s="89">
        <v>125</v>
      </c>
      <c r="B125" s="89">
        <f t="shared" si="219"/>
        <v>1</v>
      </c>
      <c r="C125" s="89">
        <f t="shared" si="220"/>
        <v>1</v>
      </c>
      <c r="D125" s="90">
        <f t="shared" si="221"/>
        <v>1</v>
      </c>
      <c r="E125" s="90">
        <f t="shared" si="221"/>
        <v>1</v>
      </c>
      <c r="F125" s="48" t="s">
        <v>129</v>
      </c>
      <c r="G125" s="38" t="s">
        <v>36</v>
      </c>
      <c r="H125" s="87">
        <v>4446407.790000001</v>
      </c>
      <c r="I125" s="87">
        <v>2791113.5093999999</v>
      </c>
      <c r="J125" s="87">
        <f t="shared" si="222"/>
        <v>-1655294.2806000011</v>
      </c>
      <c r="K125" s="88">
        <f t="shared" si="223"/>
        <v>-1655294.2806000011</v>
      </c>
      <c r="L125" s="87">
        <f>IF(Dyn_Insured="","",IF(ISNUMBER(H125)=FALSE,"n/a",MIN(MAX(H125-'Layer Comparison'!Excess_Past,0),'Layer Comparison'!Limit_Past)))</f>
        <v>0</v>
      </c>
      <c r="M125" s="87">
        <f>IF(Dyn_Insured="","",IF(ISNUMBER(I125)=FALSE,"n/a",MIN(MAX(I125-'Layer Comparison'!Excess_Latest,0),'Layer Comparison'!Limit_Latest)))</f>
        <v>0</v>
      </c>
      <c r="N125" s="87">
        <f t="shared" si="224"/>
        <v>0</v>
      </c>
      <c r="O125" s="88">
        <f t="shared" si="225"/>
        <v>0</v>
      </c>
      <c r="P125" s="87">
        <v>16071626.8368</v>
      </c>
      <c r="Q125" s="87">
        <v>12422799.628300002</v>
      </c>
      <c r="R125" s="87">
        <f t="shared" si="226"/>
        <v>-3648827.2084999979</v>
      </c>
      <c r="S125" s="88">
        <f t="shared" si="227"/>
        <v>-3648827.2084999979</v>
      </c>
      <c r="T125" s="87">
        <f>IF(Dyn_Insured="","",IF(ISNUMBER(P125)=FALSE,"n/a",MIN(MAX(P125-'Layer Comparison'!Excess_Past,0),'Layer Comparison'!Limit_Past)))</f>
        <v>1071626.8367999997</v>
      </c>
      <c r="U125" s="87">
        <f>IF(Dyn_Insured="","",IF(ISNUMBER(Q125)=FALSE,"n/a",MIN(MAX(Q125-'Layer Comparison'!Excess_Latest,0),'Layer Comparison'!Limit_Latest)))</f>
        <v>0</v>
      </c>
      <c r="V125" s="87">
        <f t="shared" si="228"/>
        <v>-1071626.8367999997</v>
      </c>
      <c r="W125" s="88">
        <f t="shared" si="229"/>
        <v>-1071626.8367999997</v>
      </c>
      <c r="X125" s="87">
        <v>31570205.544199996</v>
      </c>
      <c r="Y125" s="87">
        <v>24467780.7302</v>
      </c>
      <c r="Z125" s="87">
        <f t="shared" si="230"/>
        <v>-7102424.8139999956</v>
      </c>
      <c r="AA125" s="88">
        <f t="shared" si="231"/>
        <v>-7102424.8139999956</v>
      </c>
      <c r="AB125" s="87">
        <f>IF(Dyn_Insured="","",IF(ISNUMBER(X125)=FALSE,"n/a",MIN(MAX(X125-'Layer Comparison'!Excess_Past,0),'Layer Comparison'!Limit_Past)))</f>
        <v>16570205.544199996</v>
      </c>
      <c r="AC125" s="87">
        <f>IF(Dyn_Insured="","",IF(ISNUMBER(Y125)=FALSE,"n/a",MIN(MAX(Y125-'Layer Comparison'!Excess_Latest,0),'Layer Comparison'!Limit_Latest)))</f>
        <v>9467780.7302000001</v>
      </c>
      <c r="AD125" s="87">
        <f t="shared" si="232"/>
        <v>-7102424.8139999956</v>
      </c>
      <c r="AE125" s="88">
        <f t="shared" si="233"/>
        <v>-7102424.8139999956</v>
      </c>
      <c r="AF125" s="87">
        <v>44950433.717400007</v>
      </c>
      <c r="AG125" s="87">
        <v>35524565.1699</v>
      </c>
      <c r="AH125" s="87">
        <f t="shared" si="234"/>
        <v>-9425868.5475000069</v>
      </c>
      <c r="AI125" s="88">
        <f t="shared" si="235"/>
        <v>-9425868.5475000069</v>
      </c>
      <c r="AJ125" s="87">
        <f>IF(Dyn_Insured="","",IF(ISNUMBER(AF125)=FALSE,"n/a",MIN(MAX(AF125-'Layer Comparison'!Excess_Past,0),'Layer Comparison'!Limit_Past)))</f>
        <v>29950433.717400007</v>
      </c>
      <c r="AK125" s="87">
        <f>IF(Dyn_Insured="","",IF(ISNUMBER(AG125)=FALSE,"n/a",MIN(MAX(AG125-'Layer Comparison'!Excess_Latest,0),'Layer Comparison'!Limit_Latest)))</f>
        <v>20524565.1699</v>
      </c>
      <c r="AL125" s="87">
        <f t="shared" si="236"/>
        <v>-9425868.5475000069</v>
      </c>
      <c r="AM125" s="88">
        <f t="shared" si="237"/>
        <v>-9425868.5475000069</v>
      </c>
      <c r="AN125" s="87">
        <v>74066745.4067</v>
      </c>
      <c r="AO125" s="87">
        <v>61948100.71509999</v>
      </c>
      <c r="AP125" s="87">
        <f t="shared" si="238"/>
        <v>-12118644.69160001</v>
      </c>
      <c r="AQ125" s="88">
        <f t="shared" si="239"/>
        <v>-12118644.69160001</v>
      </c>
      <c r="AR125" s="87">
        <f>IF(Dyn_Insured="","",IF(ISNUMBER(AN125)=FALSE,"n/a",MIN(MAX(AN125-'Layer Comparison'!Excess_Past,0),'Layer Comparison'!Limit_Past)))</f>
        <v>59066745.4067</v>
      </c>
      <c r="AS125" s="87">
        <f>IF(Dyn_Insured="","",IF(ISNUMBER(AO125)=FALSE,"n/a",MIN(MAX(AO125-'Layer Comparison'!Excess_Latest,0),'Layer Comparison'!Limit_Latest)))</f>
        <v>46948100.71509999</v>
      </c>
      <c r="AT125" s="87">
        <f t="shared" si="240"/>
        <v>-12118644.69160001</v>
      </c>
      <c r="AU125" s="88">
        <f t="shared" si="241"/>
        <v>-12118644.69160001</v>
      </c>
      <c r="AV125" s="87">
        <v>104872788.1085</v>
      </c>
      <c r="AW125" s="87">
        <v>90005510.847200006</v>
      </c>
      <c r="AX125" s="87">
        <f t="shared" si="242"/>
        <v>-14867277.261299998</v>
      </c>
      <c r="AY125" s="88">
        <f t="shared" si="243"/>
        <v>-14867277.261299998</v>
      </c>
      <c r="AZ125" s="87">
        <f>IF(Dyn_Insured="","",IF(ISNUMBER(AV125)=FALSE,"n/a",MIN(MAX(AV125-'Layer Comparison'!Excess_Past,0),'Layer Comparison'!Limit_Past)))</f>
        <v>89872788.108500004</v>
      </c>
      <c r="BA125" s="87">
        <f>IF(Dyn_Insured="","",IF(ISNUMBER(AW125)=FALSE,"n/a",MIN(MAX(AW125-'Layer Comparison'!Excess_Latest,0),'Layer Comparison'!Limit_Latest)))</f>
        <v>75005510.847200006</v>
      </c>
      <c r="BB125" s="87">
        <f t="shared" si="244"/>
        <v>-14867277.261299998</v>
      </c>
      <c r="BC125" s="88">
        <f t="shared" si="245"/>
        <v>-14867277.261299998</v>
      </c>
      <c r="BD125" s="87">
        <v>117957086.03780001</v>
      </c>
      <c r="BE125" s="87">
        <v>101565954.67719999</v>
      </c>
      <c r="BF125" s="87">
        <f t="shared" si="246"/>
        <v>-16391131.360600024</v>
      </c>
      <c r="BG125" s="88">
        <f t="shared" si="247"/>
        <v>-16391131.360600024</v>
      </c>
      <c r="BH125" s="87">
        <f>IF(Dyn_Insured="","",IF(ISNUMBER(BD125)=FALSE,"n/a",MIN(MAX(BD125-'Layer Comparison'!Excess_Past,0),'Layer Comparison'!Limit_Past)))</f>
        <v>102957086.03780001</v>
      </c>
      <c r="BI125" s="87">
        <f>IF(Dyn_Insured="","",IF(ISNUMBER(BE125)=FALSE,"n/a",MIN(MAX(BE125-'Layer Comparison'!Excess_Latest,0),'Layer Comparison'!Limit_Latest)))</f>
        <v>86565954.67719999</v>
      </c>
      <c r="BJ125" s="87">
        <f t="shared" si="248"/>
        <v>-16391131.360600024</v>
      </c>
      <c r="BK125" s="88">
        <f t="shared" si="249"/>
        <v>-16391131.360600024</v>
      </c>
      <c r="BL125" s="87">
        <v>117957086.03780001</v>
      </c>
      <c r="BM125" s="87">
        <v>101565954.67720002</v>
      </c>
      <c r="BN125" s="87">
        <f t="shared" si="250"/>
        <v>-16391131.360599995</v>
      </c>
      <c r="BO125" s="88">
        <f t="shared" si="251"/>
        <v>-16391131.360599995</v>
      </c>
      <c r="BP125" s="87">
        <f>IF(Dyn_Insured="","",IF(ISNUMBER(BL125)=FALSE,"n/a",MIN(MAX(BL125-'Layer Comparison'!Excess_Past,0),'Layer Comparison'!Limit_Past)))</f>
        <v>102957086.03780001</v>
      </c>
      <c r="BQ125" s="87">
        <f>IF(Dyn_Insured="","",IF(ISNUMBER(BM125)=FALSE,"n/a",MIN(MAX(BM125-'Layer Comparison'!Excess_Latest,0),'Layer Comparison'!Limit_Latest)))</f>
        <v>86565954.677200019</v>
      </c>
      <c r="BR125" s="87">
        <f t="shared" si="252"/>
        <v>-16391131.360599995</v>
      </c>
      <c r="BS125" s="88">
        <f t="shared" si="253"/>
        <v>-16391131.360599995</v>
      </c>
      <c r="BT125" s="46" t="s">
        <v>13</v>
      </c>
    </row>
    <row r="126" spans="1:72" x14ac:dyDescent="0.25">
      <c r="A126" s="128">
        <v>126</v>
      </c>
      <c r="B126" s="128">
        <f t="shared" si="219"/>
        <v>1</v>
      </c>
      <c r="C126" s="128">
        <f t="shared" si="220"/>
        <v>1</v>
      </c>
      <c r="D126" s="129">
        <f t="shared" si="221"/>
        <v>1</v>
      </c>
      <c r="E126" s="129">
        <f t="shared" si="221"/>
        <v>1</v>
      </c>
      <c r="F126" s="48" t="s">
        <v>130</v>
      </c>
      <c r="G126" s="38" t="s">
        <v>36</v>
      </c>
      <c r="H126" s="87">
        <v>1465546.5102000001</v>
      </c>
      <c r="I126" s="87">
        <v>1770002.5117999997</v>
      </c>
      <c r="J126" s="87">
        <f t="shared" si="222"/>
        <v>304456.00159999961</v>
      </c>
      <c r="K126" s="88">
        <f t="shared" si="223"/>
        <v>304456.00159999961</v>
      </c>
      <c r="L126" s="87">
        <f>IF(Dyn_Insured="","",IF(ISNUMBER(H126)=FALSE,"n/a",MIN(MAX(H126-'Layer Comparison'!Excess_Past,0),'Layer Comparison'!Limit_Past)))</f>
        <v>0</v>
      </c>
      <c r="M126" s="87">
        <f>IF(Dyn_Insured="","",IF(ISNUMBER(I126)=FALSE,"n/a",MIN(MAX(I126-'Layer Comparison'!Excess_Latest,0),'Layer Comparison'!Limit_Latest)))</f>
        <v>0</v>
      </c>
      <c r="N126" s="87">
        <f t="shared" si="224"/>
        <v>0</v>
      </c>
      <c r="O126" s="88">
        <f t="shared" si="225"/>
        <v>0</v>
      </c>
      <c r="P126" s="87">
        <v>9912864.3471000008</v>
      </c>
      <c r="Q126" s="87">
        <v>9342546.3205999993</v>
      </c>
      <c r="R126" s="87">
        <f t="shared" si="226"/>
        <v>-570318.02650000155</v>
      </c>
      <c r="S126" s="88">
        <f t="shared" si="227"/>
        <v>-570318.02650000155</v>
      </c>
      <c r="T126" s="87">
        <f>IF(Dyn_Insured="","",IF(ISNUMBER(P126)=FALSE,"n/a",MIN(MAX(P126-'Layer Comparison'!Excess_Past,0),'Layer Comparison'!Limit_Past)))</f>
        <v>0</v>
      </c>
      <c r="U126" s="87">
        <f>IF(Dyn_Insured="","",IF(ISNUMBER(Q126)=FALSE,"n/a",MIN(MAX(Q126-'Layer Comparison'!Excess_Latest,0),'Layer Comparison'!Limit_Latest)))</f>
        <v>0</v>
      </c>
      <c r="V126" s="87">
        <f t="shared" si="228"/>
        <v>0</v>
      </c>
      <c r="W126" s="88">
        <f t="shared" si="229"/>
        <v>0</v>
      </c>
      <c r="X126" s="87">
        <v>20815553.061700001</v>
      </c>
      <c r="Y126" s="87">
        <v>18145597.3114</v>
      </c>
      <c r="Z126" s="87">
        <f t="shared" si="230"/>
        <v>-2669955.7503000014</v>
      </c>
      <c r="AA126" s="88">
        <f t="shared" si="231"/>
        <v>-2669955.7503000014</v>
      </c>
      <c r="AB126" s="87">
        <f>IF(Dyn_Insured="","",IF(ISNUMBER(X126)=FALSE,"n/a",MIN(MAX(X126-'Layer Comparison'!Excess_Past,0),'Layer Comparison'!Limit_Past)))</f>
        <v>5815553.0617000014</v>
      </c>
      <c r="AC126" s="87">
        <f>IF(Dyn_Insured="","",IF(ISNUMBER(Y126)=FALSE,"n/a",MIN(MAX(Y126-'Layer Comparison'!Excess_Latest,0),'Layer Comparison'!Limit_Latest)))</f>
        <v>3145597.3114</v>
      </c>
      <c r="AD126" s="87">
        <f t="shared" si="232"/>
        <v>-2669955.7503000014</v>
      </c>
      <c r="AE126" s="88">
        <f t="shared" si="233"/>
        <v>-2669955.7503000014</v>
      </c>
      <c r="AF126" s="87">
        <v>31091438.880100004</v>
      </c>
      <c r="AG126" s="87">
        <v>26101656.539300002</v>
      </c>
      <c r="AH126" s="87">
        <f t="shared" si="234"/>
        <v>-4989782.3408000022</v>
      </c>
      <c r="AI126" s="88">
        <f t="shared" si="235"/>
        <v>-4989782.3408000022</v>
      </c>
      <c r="AJ126" s="87">
        <f>IF(Dyn_Insured="","",IF(ISNUMBER(AF126)=FALSE,"n/a",MIN(MAX(AF126-'Layer Comparison'!Excess_Past,0),'Layer Comparison'!Limit_Past)))</f>
        <v>16091438.880100004</v>
      </c>
      <c r="AK126" s="87">
        <f>IF(Dyn_Insured="","",IF(ISNUMBER(AG126)=FALSE,"n/a",MIN(MAX(AG126-'Layer Comparison'!Excess_Latest,0),'Layer Comparison'!Limit_Latest)))</f>
        <v>11101656.539300002</v>
      </c>
      <c r="AL126" s="87">
        <f t="shared" si="236"/>
        <v>-4989782.3408000022</v>
      </c>
      <c r="AM126" s="88">
        <f t="shared" si="237"/>
        <v>-4989782.3408000022</v>
      </c>
      <c r="AN126" s="87">
        <v>53828217.286799997</v>
      </c>
      <c r="AO126" s="87">
        <v>45589835.6017</v>
      </c>
      <c r="AP126" s="87">
        <f t="shared" si="238"/>
        <v>-8238381.6850999966</v>
      </c>
      <c r="AQ126" s="88">
        <f t="shared" si="239"/>
        <v>-8238381.6850999966</v>
      </c>
      <c r="AR126" s="87">
        <f>IF(Dyn_Insured="","",IF(ISNUMBER(AN126)=FALSE,"n/a",MIN(MAX(AN126-'Layer Comparison'!Excess_Past,0),'Layer Comparison'!Limit_Past)))</f>
        <v>38828217.286799997</v>
      </c>
      <c r="AS126" s="87">
        <f>IF(Dyn_Insured="","",IF(ISNUMBER(AO126)=FALSE,"n/a",MIN(MAX(AO126-'Layer Comparison'!Excess_Latest,0),'Layer Comparison'!Limit_Latest)))</f>
        <v>30589835.6017</v>
      </c>
      <c r="AT126" s="87">
        <f t="shared" si="240"/>
        <v>-8238381.6850999966</v>
      </c>
      <c r="AU126" s="88">
        <f t="shared" si="241"/>
        <v>-8238381.6850999966</v>
      </c>
      <c r="AV126" s="87">
        <v>61959513.708300002</v>
      </c>
      <c r="AW126" s="87">
        <v>53299693.269699998</v>
      </c>
      <c r="AX126" s="87">
        <f t="shared" si="242"/>
        <v>-8659820.4386000037</v>
      </c>
      <c r="AY126" s="88">
        <f t="shared" si="243"/>
        <v>-8659820.4386000037</v>
      </c>
      <c r="AZ126" s="87">
        <f>IF(Dyn_Insured="","",IF(ISNUMBER(AV126)=FALSE,"n/a",MIN(MAX(AV126-'Layer Comparison'!Excess_Past,0),'Layer Comparison'!Limit_Past)))</f>
        <v>46959513.708300002</v>
      </c>
      <c r="BA126" s="87">
        <f>IF(Dyn_Insured="","",IF(ISNUMBER(AW126)=FALSE,"n/a",MIN(MAX(AW126-'Layer Comparison'!Excess_Latest,0),'Layer Comparison'!Limit_Latest)))</f>
        <v>38299693.269699998</v>
      </c>
      <c r="BB126" s="87">
        <f t="shared" si="244"/>
        <v>-8659820.4386000037</v>
      </c>
      <c r="BC126" s="88">
        <f t="shared" si="245"/>
        <v>-8659820.4386000037</v>
      </c>
      <c r="BD126" s="87">
        <v>61959513.708300002</v>
      </c>
      <c r="BE126" s="87">
        <v>53299693.269700006</v>
      </c>
      <c r="BF126" s="87">
        <f t="shared" si="246"/>
        <v>-8659820.4385999963</v>
      </c>
      <c r="BG126" s="88">
        <f t="shared" si="247"/>
        <v>-8659820.4385999963</v>
      </c>
      <c r="BH126" s="87">
        <f>IF(Dyn_Insured="","",IF(ISNUMBER(BD126)=FALSE,"n/a",MIN(MAX(BD126-'Layer Comparison'!Excess_Past,0),'Layer Comparison'!Limit_Past)))</f>
        <v>46959513.708300002</v>
      </c>
      <c r="BI126" s="87">
        <f>IF(Dyn_Insured="","",IF(ISNUMBER(BE126)=FALSE,"n/a",MIN(MAX(BE126-'Layer Comparison'!Excess_Latest,0),'Layer Comparison'!Limit_Latest)))</f>
        <v>38299693.269700006</v>
      </c>
      <c r="BJ126" s="87">
        <f t="shared" si="248"/>
        <v>-8659820.4385999963</v>
      </c>
      <c r="BK126" s="88">
        <f t="shared" si="249"/>
        <v>-8659820.4385999963</v>
      </c>
      <c r="BL126" s="87">
        <v>61959513.708300002</v>
      </c>
      <c r="BM126" s="87">
        <v>53299693.269700006</v>
      </c>
      <c r="BN126" s="87">
        <f t="shared" si="250"/>
        <v>-8659820.4385999963</v>
      </c>
      <c r="BO126" s="88">
        <f t="shared" si="251"/>
        <v>-8659820.4385999963</v>
      </c>
      <c r="BP126" s="87">
        <f>IF(Dyn_Insured="","",IF(ISNUMBER(BL126)=FALSE,"n/a",MIN(MAX(BL126-'Layer Comparison'!Excess_Past,0),'Layer Comparison'!Limit_Past)))</f>
        <v>46959513.708300002</v>
      </c>
      <c r="BQ126" s="87">
        <f>IF(Dyn_Insured="","",IF(ISNUMBER(BM126)=FALSE,"n/a",MIN(MAX(BM126-'Layer Comparison'!Excess_Latest,0),'Layer Comparison'!Limit_Latest)))</f>
        <v>38299693.269700006</v>
      </c>
      <c r="BR126" s="87">
        <f t="shared" si="252"/>
        <v>-8659820.4385999963</v>
      </c>
      <c r="BS126" s="88">
        <f t="shared" si="253"/>
        <v>-8659820.4385999963</v>
      </c>
      <c r="BT126" s="46" t="s">
        <v>13</v>
      </c>
    </row>
    <row r="127" spans="1:72" hidden="1" outlineLevel="1" x14ac:dyDescent="0.25">
      <c r="A127" s="130" t="s">
        <v>54</v>
      </c>
      <c r="B127" s="130">
        <f t="shared" si="219"/>
        <v>0</v>
      </c>
      <c r="C127" s="130">
        <f t="shared" si="220"/>
        <v>0</v>
      </c>
      <c r="D127" s="48">
        <f t="shared" si="221"/>
        <v>0</v>
      </c>
      <c r="E127" s="48">
        <f t="shared" si="221"/>
        <v>0</v>
      </c>
      <c r="F127" s="48" t="s">
        <v>50</v>
      </c>
      <c r="G127" s="38" t="s">
        <v>50</v>
      </c>
      <c r="H127" s="87" t="s">
        <v>50</v>
      </c>
      <c r="I127" s="87" t="s">
        <v>50</v>
      </c>
      <c r="J127" s="87" t="str">
        <f t="shared" si="222"/>
        <v/>
      </c>
      <c r="K127" s="88" t="str">
        <f t="shared" si="223"/>
        <v/>
      </c>
      <c r="L127" s="87" t="str">
        <f>IF(Dyn_Insured="","",IF(ISNUMBER(H127)=FALSE,"n/a",MIN(MAX(H127-'Layer Comparison'!Excess_Past,0),'Layer Comparison'!Limit_Past)))</f>
        <v/>
      </c>
      <c r="M127" s="87" t="str">
        <f>IF(Dyn_Insured="","",IF(ISNUMBER(I127)=FALSE,"n/a",MIN(MAX(I127-'Layer Comparison'!Excess_Latest,0),'Layer Comparison'!Limit_Latest)))</f>
        <v/>
      </c>
      <c r="N127" s="87" t="str">
        <f t="shared" si="224"/>
        <v/>
      </c>
      <c r="O127" s="88" t="str">
        <f t="shared" si="225"/>
        <v/>
      </c>
      <c r="P127" s="87" t="s">
        <v>50</v>
      </c>
      <c r="Q127" s="87" t="s">
        <v>50</v>
      </c>
      <c r="R127" s="87" t="str">
        <f t="shared" si="226"/>
        <v/>
      </c>
      <c r="S127" s="88" t="str">
        <f t="shared" si="227"/>
        <v/>
      </c>
      <c r="T127" s="87" t="str">
        <f>IF(Dyn_Insured="","",IF(ISNUMBER(P127)=FALSE,"n/a",MIN(MAX(P127-'Layer Comparison'!Excess_Past,0),'Layer Comparison'!Limit_Past)))</f>
        <v/>
      </c>
      <c r="U127" s="87" t="str">
        <f>IF(Dyn_Insured="","",IF(ISNUMBER(Q127)=FALSE,"n/a",MIN(MAX(Q127-'Layer Comparison'!Excess_Latest,0),'Layer Comparison'!Limit_Latest)))</f>
        <v/>
      </c>
      <c r="V127" s="87" t="str">
        <f t="shared" si="228"/>
        <v/>
      </c>
      <c r="W127" s="88" t="str">
        <f t="shared" si="229"/>
        <v/>
      </c>
      <c r="X127" s="87" t="s">
        <v>50</v>
      </c>
      <c r="Y127" s="87" t="s">
        <v>50</v>
      </c>
      <c r="Z127" s="87" t="str">
        <f t="shared" si="230"/>
        <v/>
      </c>
      <c r="AA127" s="88" t="str">
        <f t="shared" si="231"/>
        <v/>
      </c>
      <c r="AB127" s="87" t="str">
        <f>IF(Dyn_Insured="","",IF(ISNUMBER(X127)=FALSE,"n/a",MIN(MAX(X127-'Layer Comparison'!Excess_Past,0),'Layer Comparison'!Limit_Past)))</f>
        <v/>
      </c>
      <c r="AC127" s="87" t="str">
        <f>IF(Dyn_Insured="","",IF(ISNUMBER(Y127)=FALSE,"n/a",MIN(MAX(Y127-'Layer Comparison'!Excess_Latest,0),'Layer Comparison'!Limit_Latest)))</f>
        <v/>
      </c>
      <c r="AD127" s="87" t="str">
        <f t="shared" si="232"/>
        <v/>
      </c>
      <c r="AE127" s="88" t="str">
        <f t="shared" si="233"/>
        <v/>
      </c>
      <c r="AF127" s="87" t="s">
        <v>50</v>
      </c>
      <c r="AG127" s="87" t="s">
        <v>50</v>
      </c>
      <c r="AH127" s="87" t="str">
        <f t="shared" si="234"/>
        <v/>
      </c>
      <c r="AI127" s="88" t="str">
        <f t="shared" si="235"/>
        <v/>
      </c>
      <c r="AJ127" s="87" t="str">
        <f>IF(Dyn_Insured="","",IF(ISNUMBER(AF127)=FALSE,"n/a",MIN(MAX(AF127-'Layer Comparison'!Excess_Past,0),'Layer Comparison'!Limit_Past)))</f>
        <v/>
      </c>
      <c r="AK127" s="87" t="str">
        <f>IF(Dyn_Insured="","",IF(ISNUMBER(AG127)=FALSE,"n/a",MIN(MAX(AG127-'Layer Comparison'!Excess_Latest,0),'Layer Comparison'!Limit_Latest)))</f>
        <v/>
      </c>
      <c r="AL127" s="87" t="str">
        <f t="shared" si="236"/>
        <v/>
      </c>
      <c r="AM127" s="88" t="str">
        <f t="shared" si="237"/>
        <v/>
      </c>
      <c r="AN127" s="87" t="s">
        <v>50</v>
      </c>
      <c r="AO127" s="87" t="s">
        <v>50</v>
      </c>
      <c r="AP127" s="87" t="str">
        <f t="shared" si="238"/>
        <v/>
      </c>
      <c r="AQ127" s="88" t="str">
        <f t="shared" si="239"/>
        <v/>
      </c>
      <c r="AR127" s="87" t="str">
        <f>IF(Dyn_Insured="","",IF(ISNUMBER(AN127)=FALSE,"n/a",MIN(MAX(AN127-'Layer Comparison'!Excess_Past,0),'Layer Comparison'!Limit_Past)))</f>
        <v/>
      </c>
      <c r="AS127" s="87" t="str">
        <f>IF(Dyn_Insured="","",IF(ISNUMBER(AO127)=FALSE,"n/a",MIN(MAX(AO127-'Layer Comparison'!Excess_Latest,0),'Layer Comparison'!Limit_Latest)))</f>
        <v/>
      </c>
      <c r="AT127" s="87" t="str">
        <f t="shared" si="240"/>
        <v/>
      </c>
      <c r="AU127" s="88" t="str">
        <f t="shared" si="241"/>
        <v/>
      </c>
      <c r="AV127" s="87" t="s">
        <v>50</v>
      </c>
      <c r="AW127" s="87" t="s">
        <v>50</v>
      </c>
      <c r="AX127" s="87" t="str">
        <f t="shared" si="242"/>
        <v/>
      </c>
      <c r="AY127" s="88" t="str">
        <f t="shared" si="243"/>
        <v/>
      </c>
      <c r="AZ127" s="87" t="str">
        <f>IF(Dyn_Insured="","",IF(ISNUMBER(AV127)=FALSE,"n/a",MIN(MAX(AV127-'Layer Comparison'!Excess_Past,0),'Layer Comparison'!Limit_Past)))</f>
        <v/>
      </c>
      <c r="BA127" s="87" t="str">
        <f>IF(Dyn_Insured="","",IF(ISNUMBER(AW127)=FALSE,"n/a",MIN(MAX(AW127-'Layer Comparison'!Excess_Latest,0),'Layer Comparison'!Limit_Latest)))</f>
        <v/>
      </c>
      <c r="BB127" s="87" t="str">
        <f t="shared" si="244"/>
        <v/>
      </c>
      <c r="BC127" s="88" t="str">
        <f t="shared" si="245"/>
        <v/>
      </c>
      <c r="BD127" s="87" t="s">
        <v>50</v>
      </c>
      <c r="BE127" s="87" t="s">
        <v>50</v>
      </c>
      <c r="BF127" s="87" t="str">
        <f t="shared" si="246"/>
        <v/>
      </c>
      <c r="BG127" s="88" t="str">
        <f t="shared" si="247"/>
        <v/>
      </c>
      <c r="BH127" s="87" t="str">
        <f>IF(Dyn_Insured="","",IF(ISNUMBER(BD127)=FALSE,"n/a",MIN(MAX(BD127-'Layer Comparison'!Excess_Past,0),'Layer Comparison'!Limit_Past)))</f>
        <v/>
      </c>
      <c r="BI127" s="87" t="str">
        <f>IF(Dyn_Insured="","",IF(ISNUMBER(BE127)=FALSE,"n/a",MIN(MAX(BE127-'Layer Comparison'!Excess_Latest,0),'Layer Comparison'!Limit_Latest)))</f>
        <v/>
      </c>
      <c r="BJ127" s="87" t="str">
        <f t="shared" si="248"/>
        <v/>
      </c>
      <c r="BK127" s="88" t="str">
        <f t="shared" si="249"/>
        <v/>
      </c>
      <c r="BL127" s="87" t="s">
        <v>50</v>
      </c>
      <c r="BM127" s="87" t="s">
        <v>50</v>
      </c>
      <c r="BN127" s="87" t="str">
        <f t="shared" si="250"/>
        <v/>
      </c>
      <c r="BO127" s="88" t="str">
        <f t="shared" si="251"/>
        <v/>
      </c>
      <c r="BP127" s="87" t="str">
        <f>IF(Dyn_Insured="","",IF(ISNUMBER(BL127)=FALSE,"n/a",MIN(MAX(BL127-'Layer Comparison'!Excess_Past,0),'Layer Comparison'!Limit_Past)))</f>
        <v/>
      </c>
      <c r="BQ127" s="87" t="str">
        <f>IF(Dyn_Insured="","",IF(ISNUMBER(BM127)=FALSE,"n/a",MIN(MAX(BM127-'Layer Comparison'!Excess_Latest,0),'Layer Comparison'!Limit_Latest)))</f>
        <v/>
      </c>
      <c r="BR127" s="87" t="str">
        <f t="shared" si="252"/>
        <v/>
      </c>
      <c r="BS127" s="88" t="str">
        <f t="shared" si="253"/>
        <v/>
      </c>
      <c r="BT127" s="46" t="s">
        <v>13</v>
      </c>
    </row>
    <row r="128" spans="1:72" hidden="1" outlineLevel="1" x14ac:dyDescent="0.25">
      <c r="A128" s="85" t="s">
        <v>54</v>
      </c>
      <c r="B128" s="85">
        <f t="shared" si="219"/>
        <v>0</v>
      </c>
      <c r="C128" s="85">
        <f t="shared" si="220"/>
        <v>0</v>
      </c>
      <c r="D128" s="86">
        <f t="shared" si="221"/>
        <v>0</v>
      </c>
      <c r="E128" s="86">
        <f t="shared" si="221"/>
        <v>0</v>
      </c>
      <c r="F128" s="48" t="s">
        <v>50</v>
      </c>
      <c r="G128" s="38" t="s">
        <v>50</v>
      </c>
      <c r="H128" s="87" t="s">
        <v>50</v>
      </c>
      <c r="I128" s="87" t="s">
        <v>50</v>
      </c>
      <c r="J128" s="87" t="str">
        <f t="shared" si="222"/>
        <v/>
      </c>
      <c r="K128" s="88" t="str">
        <f t="shared" si="223"/>
        <v/>
      </c>
      <c r="L128" s="87" t="str">
        <f>IF(Dyn_Insured="","",IF(ISNUMBER(H128)=FALSE,"n/a",MIN(MAX(H128-'Layer Comparison'!Excess_Past,0),'Layer Comparison'!Limit_Past)))</f>
        <v/>
      </c>
      <c r="M128" s="87" t="str">
        <f>IF(Dyn_Insured="","",IF(ISNUMBER(I128)=FALSE,"n/a",MIN(MAX(I128-'Layer Comparison'!Excess_Latest,0),'Layer Comparison'!Limit_Latest)))</f>
        <v/>
      </c>
      <c r="N128" s="87" t="str">
        <f t="shared" si="224"/>
        <v/>
      </c>
      <c r="O128" s="88" t="str">
        <f t="shared" si="225"/>
        <v/>
      </c>
      <c r="P128" s="87" t="s">
        <v>50</v>
      </c>
      <c r="Q128" s="87" t="s">
        <v>50</v>
      </c>
      <c r="R128" s="87" t="str">
        <f t="shared" si="226"/>
        <v/>
      </c>
      <c r="S128" s="88" t="str">
        <f t="shared" si="227"/>
        <v/>
      </c>
      <c r="T128" s="87" t="str">
        <f>IF(Dyn_Insured="","",IF(ISNUMBER(P128)=FALSE,"n/a",MIN(MAX(P128-'Layer Comparison'!Excess_Past,0),'Layer Comparison'!Limit_Past)))</f>
        <v/>
      </c>
      <c r="U128" s="87" t="str">
        <f>IF(Dyn_Insured="","",IF(ISNUMBER(Q128)=FALSE,"n/a",MIN(MAX(Q128-'Layer Comparison'!Excess_Latest,0),'Layer Comparison'!Limit_Latest)))</f>
        <v/>
      </c>
      <c r="V128" s="87" t="str">
        <f t="shared" si="228"/>
        <v/>
      </c>
      <c r="W128" s="88" t="str">
        <f t="shared" si="229"/>
        <v/>
      </c>
      <c r="X128" s="87" t="s">
        <v>50</v>
      </c>
      <c r="Y128" s="87" t="s">
        <v>50</v>
      </c>
      <c r="Z128" s="87" t="str">
        <f t="shared" si="230"/>
        <v/>
      </c>
      <c r="AA128" s="88" t="str">
        <f t="shared" si="231"/>
        <v/>
      </c>
      <c r="AB128" s="87" t="str">
        <f>IF(Dyn_Insured="","",IF(ISNUMBER(X128)=FALSE,"n/a",MIN(MAX(X128-'Layer Comparison'!Excess_Past,0),'Layer Comparison'!Limit_Past)))</f>
        <v/>
      </c>
      <c r="AC128" s="87" t="str">
        <f>IF(Dyn_Insured="","",IF(ISNUMBER(Y128)=FALSE,"n/a",MIN(MAX(Y128-'Layer Comparison'!Excess_Latest,0),'Layer Comparison'!Limit_Latest)))</f>
        <v/>
      </c>
      <c r="AD128" s="87" t="str">
        <f t="shared" si="232"/>
        <v/>
      </c>
      <c r="AE128" s="88" t="str">
        <f t="shared" si="233"/>
        <v/>
      </c>
      <c r="AF128" s="87" t="s">
        <v>50</v>
      </c>
      <c r="AG128" s="87" t="s">
        <v>50</v>
      </c>
      <c r="AH128" s="87" t="str">
        <f t="shared" si="234"/>
        <v/>
      </c>
      <c r="AI128" s="88" t="str">
        <f t="shared" si="235"/>
        <v/>
      </c>
      <c r="AJ128" s="87" t="str">
        <f>IF(Dyn_Insured="","",IF(ISNUMBER(AF128)=FALSE,"n/a",MIN(MAX(AF128-'Layer Comparison'!Excess_Past,0),'Layer Comparison'!Limit_Past)))</f>
        <v/>
      </c>
      <c r="AK128" s="87" t="str">
        <f>IF(Dyn_Insured="","",IF(ISNUMBER(AG128)=FALSE,"n/a",MIN(MAX(AG128-'Layer Comparison'!Excess_Latest,0),'Layer Comparison'!Limit_Latest)))</f>
        <v/>
      </c>
      <c r="AL128" s="87" t="str">
        <f t="shared" si="236"/>
        <v/>
      </c>
      <c r="AM128" s="88" t="str">
        <f t="shared" si="237"/>
        <v/>
      </c>
      <c r="AN128" s="87" t="s">
        <v>50</v>
      </c>
      <c r="AO128" s="87" t="s">
        <v>50</v>
      </c>
      <c r="AP128" s="87" t="str">
        <f t="shared" si="238"/>
        <v/>
      </c>
      <c r="AQ128" s="88" t="str">
        <f t="shared" si="239"/>
        <v/>
      </c>
      <c r="AR128" s="87" t="str">
        <f>IF(Dyn_Insured="","",IF(ISNUMBER(AN128)=FALSE,"n/a",MIN(MAX(AN128-'Layer Comparison'!Excess_Past,0),'Layer Comparison'!Limit_Past)))</f>
        <v/>
      </c>
      <c r="AS128" s="87" t="str">
        <f>IF(Dyn_Insured="","",IF(ISNUMBER(AO128)=FALSE,"n/a",MIN(MAX(AO128-'Layer Comparison'!Excess_Latest,0),'Layer Comparison'!Limit_Latest)))</f>
        <v/>
      </c>
      <c r="AT128" s="87" t="str">
        <f t="shared" si="240"/>
        <v/>
      </c>
      <c r="AU128" s="88" t="str">
        <f t="shared" si="241"/>
        <v/>
      </c>
      <c r="AV128" s="87" t="s">
        <v>50</v>
      </c>
      <c r="AW128" s="87" t="s">
        <v>50</v>
      </c>
      <c r="AX128" s="87" t="str">
        <f t="shared" si="242"/>
        <v/>
      </c>
      <c r="AY128" s="88" t="str">
        <f t="shared" si="243"/>
        <v/>
      </c>
      <c r="AZ128" s="87" t="str">
        <f>IF(Dyn_Insured="","",IF(ISNUMBER(AV128)=FALSE,"n/a",MIN(MAX(AV128-'Layer Comparison'!Excess_Past,0),'Layer Comparison'!Limit_Past)))</f>
        <v/>
      </c>
      <c r="BA128" s="87" t="str">
        <f>IF(Dyn_Insured="","",IF(ISNUMBER(AW128)=FALSE,"n/a",MIN(MAX(AW128-'Layer Comparison'!Excess_Latest,0),'Layer Comparison'!Limit_Latest)))</f>
        <v/>
      </c>
      <c r="BB128" s="87" t="str">
        <f t="shared" si="244"/>
        <v/>
      </c>
      <c r="BC128" s="88" t="str">
        <f t="shared" si="245"/>
        <v/>
      </c>
      <c r="BD128" s="87" t="s">
        <v>50</v>
      </c>
      <c r="BE128" s="87" t="s">
        <v>50</v>
      </c>
      <c r="BF128" s="87" t="str">
        <f t="shared" si="246"/>
        <v/>
      </c>
      <c r="BG128" s="88" t="str">
        <f t="shared" si="247"/>
        <v/>
      </c>
      <c r="BH128" s="87" t="str">
        <f>IF(Dyn_Insured="","",IF(ISNUMBER(BD128)=FALSE,"n/a",MIN(MAX(BD128-'Layer Comparison'!Excess_Past,0),'Layer Comparison'!Limit_Past)))</f>
        <v/>
      </c>
      <c r="BI128" s="87" t="str">
        <f>IF(Dyn_Insured="","",IF(ISNUMBER(BE128)=FALSE,"n/a",MIN(MAX(BE128-'Layer Comparison'!Excess_Latest,0),'Layer Comparison'!Limit_Latest)))</f>
        <v/>
      </c>
      <c r="BJ128" s="87" t="str">
        <f t="shared" si="248"/>
        <v/>
      </c>
      <c r="BK128" s="88" t="str">
        <f t="shared" si="249"/>
        <v/>
      </c>
      <c r="BL128" s="87" t="s">
        <v>50</v>
      </c>
      <c r="BM128" s="87" t="s">
        <v>50</v>
      </c>
      <c r="BN128" s="87" t="str">
        <f t="shared" si="250"/>
        <v/>
      </c>
      <c r="BO128" s="88" t="str">
        <f t="shared" si="251"/>
        <v/>
      </c>
      <c r="BP128" s="87" t="str">
        <f>IF(Dyn_Insured="","",IF(ISNUMBER(BL128)=FALSE,"n/a",MIN(MAX(BL128-'Layer Comparison'!Excess_Past,0),'Layer Comparison'!Limit_Past)))</f>
        <v/>
      </c>
      <c r="BQ128" s="87" t="str">
        <f>IF(Dyn_Insured="","",IF(ISNUMBER(BM128)=FALSE,"n/a",MIN(MAX(BM128-'Layer Comparison'!Excess_Latest,0),'Layer Comparison'!Limit_Latest)))</f>
        <v/>
      </c>
      <c r="BR128" s="87" t="str">
        <f t="shared" si="252"/>
        <v/>
      </c>
      <c r="BS128" s="88" t="str">
        <f t="shared" si="253"/>
        <v/>
      </c>
      <c r="BT128" s="46" t="s">
        <v>13</v>
      </c>
    </row>
    <row r="129" spans="1:72" hidden="1" outlineLevel="1" x14ac:dyDescent="0.25">
      <c r="A129" s="89" t="s">
        <v>54</v>
      </c>
      <c r="B129" s="89">
        <f t="shared" si="219"/>
        <v>0</v>
      </c>
      <c r="C129" s="89">
        <f t="shared" si="220"/>
        <v>0</v>
      </c>
      <c r="D129" s="90">
        <f t="shared" si="221"/>
        <v>0</v>
      </c>
      <c r="E129" s="90">
        <f t="shared" si="221"/>
        <v>0</v>
      </c>
      <c r="F129" s="48" t="s">
        <v>50</v>
      </c>
      <c r="G129" s="38" t="s">
        <v>50</v>
      </c>
      <c r="H129" s="87" t="s">
        <v>50</v>
      </c>
      <c r="I129" s="87" t="s">
        <v>50</v>
      </c>
      <c r="J129" s="87" t="str">
        <f t="shared" si="222"/>
        <v/>
      </c>
      <c r="K129" s="88" t="str">
        <f t="shared" si="223"/>
        <v/>
      </c>
      <c r="L129" s="87" t="str">
        <f>IF(Dyn_Insured="","",IF(ISNUMBER(H129)=FALSE,"n/a",MIN(MAX(H129-'Layer Comparison'!Excess_Past,0),'Layer Comparison'!Limit_Past)))</f>
        <v/>
      </c>
      <c r="M129" s="87" t="str">
        <f>IF(Dyn_Insured="","",IF(ISNUMBER(I129)=FALSE,"n/a",MIN(MAX(I129-'Layer Comparison'!Excess_Latest,0),'Layer Comparison'!Limit_Latest)))</f>
        <v/>
      </c>
      <c r="N129" s="87" t="str">
        <f t="shared" si="224"/>
        <v/>
      </c>
      <c r="O129" s="88" t="str">
        <f t="shared" si="225"/>
        <v/>
      </c>
      <c r="P129" s="87" t="s">
        <v>50</v>
      </c>
      <c r="Q129" s="87" t="s">
        <v>50</v>
      </c>
      <c r="R129" s="87" t="str">
        <f t="shared" si="226"/>
        <v/>
      </c>
      <c r="S129" s="88" t="str">
        <f t="shared" si="227"/>
        <v/>
      </c>
      <c r="T129" s="87" t="str">
        <f>IF(Dyn_Insured="","",IF(ISNUMBER(P129)=FALSE,"n/a",MIN(MAX(P129-'Layer Comparison'!Excess_Past,0),'Layer Comparison'!Limit_Past)))</f>
        <v/>
      </c>
      <c r="U129" s="87" t="str">
        <f>IF(Dyn_Insured="","",IF(ISNUMBER(Q129)=FALSE,"n/a",MIN(MAX(Q129-'Layer Comparison'!Excess_Latest,0),'Layer Comparison'!Limit_Latest)))</f>
        <v/>
      </c>
      <c r="V129" s="87" t="str">
        <f t="shared" si="228"/>
        <v/>
      </c>
      <c r="W129" s="88" t="str">
        <f t="shared" si="229"/>
        <v/>
      </c>
      <c r="X129" s="87" t="s">
        <v>50</v>
      </c>
      <c r="Y129" s="87" t="s">
        <v>50</v>
      </c>
      <c r="Z129" s="87" t="str">
        <f t="shared" si="230"/>
        <v/>
      </c>
      <c r="AA129" s="88" t="str">
        <f t="shared" si="231"/>
        <v/>
      </c>
      <c r="AB129" s="87" t="str">
        <f>IF(Dyn_Insured="","",IF(ISNUMBER(X129)=FALSE,"n/a",MIN(MAX(X129-'Layer Comparison'!Excess_Past,0),'Layer Comparison'!Limit_Past)))</f>
        <v/>
      </c>
      <c r="AC129" s="87" t="str">
        <f>IF(Dyn_Insured="","",IF(ISNUMBER(Y129)=FALSE,"n/a",MIN(MAX(Y129-'Layer Comparison'!Excess_Latest,0),'Layer Comparison'!Limit_Latest)))</f>
        <v/>
      </c>
      <c r="AD129" s="87" t="str">
        <f t="shared" si="232"/>
        <v/>
      </c>
      <c r="AE129" s="88" t="str">
        <f t="shared" si="233"/>
        <v/>
      </c>
      <c r="AF129" s="87" t="s">
        <v>50</v>
      </c>
      <c r="AG129" s="87" t="s">
        <v>50</v>
      </c>
      <c r="AH129" s="87" t="str">
        <f t="shared" si="234"/>
        <v/>
      </c>
      <c r="AI129" s="88" t="str">
        <f t="shared" si="235"/>
        <v/>
      </c>
      <c r="AJ129" s="87" t="str">
        <f>IF(Dyn_Insured="","",IF(ISNUMBER(AF129)=FALSE,"n/a",MIN(MAX(AF129-'Layer Comparison'!Excess_Past,0),'Layer Comparison'!Limit_Past)))</f>
        <v/>
      </c>
      <c r="AK129" s="87" t="str">
        <f>IF(Dyn_Insured="","",IF(ISNUMBER(AG129)=FALSE,"n/a",MIN(MAX(AG129-'Layer Comparison'!Excess_Latest,0),'Layer Comparison'!Limit_Latest)))</f>
        <v/>
      </c>
      <c r="AL129" s="87" t="str">
        <f t="shared" si="236"/>
        <v/>
      </c>
      <c r="AM129" s="88" t="str">
        <f t="shared" si="237"/>
        <v/>
      </c>
      <c r="AN129" s="87" t="s">
        <v>50</v>
      </c>
      <c r="AO129" s="87" t="s">
        <v>50</v>
      </c>
      <c r="AP129" s="87" t="str">
        <f t="shared" si="238"/>
        <v/>
      </c>
      <c r="AQ129" s="88" t="str">
        <f t="shared" si="239"/>
        <v/>
      </c>
      <c r="AR129" s="87" t="str">
        <f>IF(Dyn_Insured="","",IF(ISNUMBER(AN129)=FALSE,"n/a",MIN(MAX(AN129-'Layer Comparison'!Excess_Past,0),'Layer Comparison'!Limit_Past)))</f>
        <v/>
      </c>
      <c r="AS129" s="87" t="str">
        <f>IF(Dyn_Insured="","",IF(ISNUMBER(AO129)=FALSE,"n/a",MIN(MAX(AO129-'Layer Comparison'!Excess_Latest,0),'Layer Comparison'!Limit_Latest)))</f>
        <v/>
      </c>
      <c r="AT129" s="87" t="str">
        <f t="shared" si="240"/>
        <v/>
      </c>
      <c r="AU129" s="88" t="str">
        <f t="shared" si="241"/>
        <v/>
      </c>
      <c r="AV129" s="87" t="s">
        <v>50</v>
      </c>
      <c r="AW129" s="87" t="s">
        <v>50</v>
      </c>
      <c r="AX129" s="87" t="str">
        <f t="shared" si="242"/>
        <v/>
      </c>
      <c r="AY129" s="88" t="str">
        <f t="shared" si="243"/>
        <v/>
      </c>
      <c r="AZ129" s="87" t="str">
        <f>IF(Dyn_Insured="","",IF(ISNUMBER(AV129)=FALSE,"n/a",MIN(MAX(AV129-'Layer Comparison'!Excess_Past,0),'Layer Comparison'!Limit_Past)))</f>
        <v/>
      </c>
      <c r="BA129" s="87" t="str">
        <f>IF(Dyn_Insured="","",IF(ISNUMBER(AW129)=FALSE,"n/a",MIN(MAX(AW129-'Layer Comparison'!Excess_Latest,0),'Layer Comparison'!Limit_Latest)))</f>
        <v/>
      </c>
      <c r="BB129" s="87" t="str">
        <f t="shared" si="244"/>
        <v/>
      </c>
      <c r="BC129" s="88" t="str">
        <f t="shared" si="245"/>
        <v/>
      </c>
      <c r="BD129" s="87" t="s">
        <v>50</v>
      </c>
      <c r="BE129" s="87" t="s">
        <v>50</v>
      </c>
      <c r="BF129" s="87" t="str">
        <f t="shared" si="246"/>
        <v/>
      </c>
      <c r="BG129" s="88" t="str">
        <f t="shared" si="247"/>
        <v/>
      </c>
      <c r="BH129" s="87" t="str">
        <f>IF(Dyn_Insured="","",IF(ISNUMBER(BD129)=FALSE,"n/a",MIN(MAX(BD129-'Layer Comparison'!Excess_Past,0),'Layer Comparison'!Limit_Past)))</f>
        <v/>
      </c>
      <c r="BI129" s="87" t="str">
        <f>IF(Dyn_Insured="","",IF(ISNUMBER(BE129)=FALSE,"n/a",MIN(MAX(BE129-'Layer Comparison'!Excess_Latest,0),'Layer Comparison'!Limit_Latest)))</f>
        <v/>
      </c>
      <c r="BJ129" s="87" t="str">
        <f t="shared" si="248"/>
        <v/>
      </c>
      <c r="BK129" s="88" t="str">
        <f t="shared" si="249"/>
        <v/>
      </c>
      <c r="BL129" s="87" t="s">
        <v>50</v>
      </c>
      <c r="BM129" s="87" t="s">
        <v>50</v>
      </c>
      <c r="BN129" s="87" t="str">
        <f t="shared" si="250"/>
        <v/>
      </c>
      <c r="BO129" s="88" t="str">
        <f t="shared" si="251"/>
        <v/>
      </c>
      <c r="BP129" s="87" t="str">
        <f>IF(Dyn_Insured="","",IF(ISNUMBER(BL129)=FALSE,"n/a",MIN(MAX(BL129-'Layer Comparison'!Excess_Past,0),'Layer Comparison'!Limit_Past)))</f>
        <v/>
      </c>
      <c r="BQ129" s="87" t="str">
        <f>IF(Dyn_Insured="","",IF(ISNUMBER(BM129)=FALSE,"n/a",MIN(MAX(BM129-'Layer Comparison'!Excess_Latest,0),'Layer Comparison'!Limit_Latest)))</f>
        <v/>
      </c>
      <c r="BR129" s="87" t="str">
        <f t="shared" si="252"/>
        <v/>
      </c>
      <c r="BS129" s="88" t="str">
        <f t="shared" si="253"/>
        <v/>
      </c>
      <c r="BT129" s="46" t="s">
        <v>13</v>
      </c>
    </row>
    <row r="130" spans="1:72" hidden="1" outlineLevel="1" x14ac:dyDescent="0.25">
      <c r="A130" s="89" t="s">
        <v>54</v>
      </c>
      <c r="B130" s="89">
        <f t="shared" si="219"/>
        <v>0</v>
      </c>
      <c r="C130" s="89">
        <f t="shared" si="220"/>
        <v>0</v>
      </c>
      <c r="D130" s="90">
        <f t="shared" si="221"/>
        <v>0</v>
      </c>
      <c r="E130" s="90">
        <f t="shared" si="221"/>
        <v>0</v>
      </c>
      <c r="F130" s="48" t="s">
        <v>50</v>
      </c>
      <c r="G130" s="38" t="s">
        <v>50</v>
      </c>
      <c r="H130" s="87" t="s">
        <v>50</v>
      </c>
      <c r="I130" s="87" t="s">
        <v>50</v>
      </c>
      <c r="J130" s="87" t="str">
        <f t="shared" si="222"/>
        <v/>
      </c>
      <c r="K130" s="88" t="str">
        <f t="shared" si="223"/>
        <v/>
      </c>
      <c r="L130" s="87" t="str">
        <f>IF(Dyn_Insured="","",IF(ISNUMBER(H130)=FALSE,"n/a",MIN(MAX(H130-'Layer Comparison'!Excess_Past,0),'Layer Comparison'!Limit_Past)))</f>
        <v/>
      </c>
      <c r="M130" s="87" t="str">
        <f>IF(Dyn_Insured="","",IF(ISNUMBER(I130)=FALSE,"n/a",MIN(MAX(I130-'Layer Comparison'!Excess_Latest,0),'Layer Comparison'!Limit_Latest)))</f>
        <v/>
      </c>
      <c r="N130" s="87" t="str">
        <f t="shared" si="224"/>
        <v/>
      </c>
      <c r="O130" s="88" t="str">
        <f t="shared" si="225"/>
        <v/>
      </c>
      <c r="P130" s="87" t="s">
        <v>50</v>
      </c>
      <c r="Q130" s="87" t="s">
        <v>50</v>
      </c>
      <c r="R130" s="87" t="str">
        <f t="shared" si="226"/>
        <v/>
      </c>
      <c r="S130" s="88" t="str">
        <f t="shared" si="227"/>
        <v/>
      </c>
      <c r="T130" s="87" t="str">
        <f>IF(Dyn_Insured="","",IF(ISNUMBER(P130)=FALSE,"n/a",MIN(MAX(P130-'Layer Comparison'!Excess_Past,0),'Layer Comparison'!Limit_Past)))</f>
        <v/>
      </c>
      <c r="U130" s="87" t="str">
        <f>IF(Dyn_Insured="","",IF(ISNUMBER(Q130)=FALSE,"n/a",MIN(MAX(Q130-'Layer Comparison'!Excess_Latest,0),'Layer Comparison'!Limit_Latest)))</f>
        <v/>
      </c>
      <c r="V130" s="87" t="str">
        <f t="shared" si="228"/>
        <v/>
      </c>
      <c r="W130" s="88" t="str">
        <f t="shared" si="229"/>
        <v/>
      </c>
      <c r="X130" s="87" t="s">
        <v>50</v>
      </c>
      <c r="Y130" s="87" t="s">
        <v>50</v>
      </c>
      <c r="Z130" s="87" t="str">
        <f t="shared" si="230"/>
        <v/>
      </c>
      <c r="AA130" s="88" t="str">
        <f t="shared" si="231"/>
        <v/>
      </c>
      <c r="AB130" s="87" t="str">
        <f>IF(Dyn_Insured="","",IF(ISNUMBER(X130)=FALSE,"n/a",MIN(MAX(X130-'Layer Comparison'!Excess_Past,0),'Layer Comparison'!Limit_Past)))</f>
        <v/>
      </c>
      <c r="AC130" s="87" t="str">
        <f>IF(Dyn_Insured="","",IF(ISNUMBER(Y130)=FALSE,"n/a",MIN(MAX(Y130-'Layer Comparison'!Excess_Latest,0),'Layer Comparison'!Limit_Latest)))</f>
        <v/>
      </c>
      <c r="AD130" s="87" t="str">
        <f t="shared" si="232"/>
        <v/>
      </c>
      <c r="AE130" s="88" t="str">
        <f t="shared" si="233"/>
        <v/>
      </c>
      <c r="AF130" s="87" t="s">
        <v>50</v>
      </c>
      <c r="AG130" s="87" t="s">
        <v>50</v>
      </c>
      <c r="AH130" s="87" t="str">
        <f t="shared" si="234"/>
        <v/>
      </c>
      <c r="AI130" s="88" t="str">
        <f t="shared" si="235"/>
        <v/>
      </c>
      <c r="AJ130" s="87" t="str">
        <f>IF(Dyn_Insured="","",IF(ISNUMBER(AF130)=FALSE,"n/a",MIN(MAX(AF130-'Layer Comparison'!Excess_Past,0),'Layer Comparison'!Limit_Past)))</f>
        <v/>
      </c>
      <c r="AK130" s="87" t="str">
        <f>IF(Dyn_Insured="","",IF(ISNUMBER(AG130)=FALSE,"n/a",MIN(MAX(AG130-'Layer Comparison'!Excess_Latest,0),'Layer Comparison'!Limit_Latest)))</f>
        <v/>
      </c>
      <c r="AL130" s="87" t="str">
        <f t="shared" si="236"/>
        <v/>
      </c>
      <c r="AM130" s="88" t="str">
        <f t="shared" si="237"/>
        <v/>
      </c>
      <c r="AN130" s="87" t="s">
        <v>50</v>
      </c>
      <c r="AO130" s="87" t="s">
        <v>50</v>
      </c>
      <c r="AP130" s="87" t="str">
        <f t="shared" si="238"/>
        <v/>
      </c>
      <c r="AQ130" s="88" t="str">
        <f t="shared" si="239"/>
        <v/>
      </c>
      <c r="AR130" s="87" t="str">
        <f>IF(Dyn_Insured="","",IF(ISNUMBER(AN130)=FALSE,"n/a",MIN(MAX(AN130-'Layer Comparison'!Excess_Past,0),'Layer Comparison'!Limit_Past)))</f>
        <v/>
      </c>
      <c r="AS130" s="87" t="str">
        <f>IF(Dyn_Insured="","",IF(ISNUMBER(AO130)=FALSE,"n/a",MIN(MAX(AO130-'Layer Comparison'!Excess_Latest,0),'Layer Comparison'!Limit_Latest)))</f>
        <v/>
      </c>
      <c r="AT130" s="87" t="str">
        <f t="shared" si="240"/>
        <v/>
      </c>
      <c r="AU130" s="88" t="str">
        <f t="shared" si="241"/>
        <v/>
      </c>
      <c r="AV130" s="87" t="s">
        <v>50</v>
      </c>
      <c r="AW130" s="87" t="s">
        <v>50</v>
      </c>
      <c r="AX130" s="87" t="str">
        <f t="shared" si="242"/>
        <v/>
      </c>
      <c r="AY130" s="88" t="str">
        <f t="shared" si="243"/>
        <v/>
      </c>
      <c r="AZ130" s="87" t="str">
        <f>IF(Dyn_Insured="","",IF(ISNUMBER(AV130)=FALSE,"n/a",MIN(MAX(AV130-'Layer Comparison'!Excess_Past,0),'Layer Comparison'!Limit_Past)))</f>
        <v/>
      </c>
      <c r="BA130" s="87" t="str">
        <f>IF(Dyn_Insured="","",IF(ISNUMBER(AW130)=FALSE,"n/a",MIN(MAX(AW130-'Layer Comparison'!Excess_Latest,0),'Layer Comparison'!Limit_Latest)))</f>
        <v/>
      </c>
      <c r="BB130" s="87" t="str">
        <f t="shared" si="244"/>
        <v/>
      </c>
      <c r="BC130" s="88" t="str">
        <f t="shared" si="245"/>
        <v/>
      </c>
      <c r="BD130" s="87" t="s">
        <v>50</v>
      </c>
      <c r="BE130" s="87" t="s">
        <v>50</v>
      </c>
      <c r="BF130" s="87" t="str">
        <f t="shared" si="246"/>
        <v/>
      </c>
      <c r="BG130" s="88" t="str">
        <f t="shared" si="247"/>
        <v/>
      </c>
      <c r="BH130" s="87" t="str">
        <f>IF(Dyn_Insured="","",IF(ISNUMBER(BD130)=FALSE,"n/a",MIN(MAX(BD130-'Layer Comparison'!Excess_Past,0),'Layer Comparison'!Limit_Past)))</f>
        <v/>
      </c>
      <c r="BI130" s="87" t="str">
        <f>IF(Dyn_Insured="","",IF(ISNUMBER(BE130)=FALSE,"n/a",MIN(MAX(BE130-'Layer Comparison'!Excess_Latest,0),'Layer Comparison'!Limit_Latest)))</f>
        <v/>
      </c>
      <c r="BJ130" s="87" t="str">
        <f t="shared" si="248"/>
        <v/>
      </c>
      <c r="BK130" s="88" t="str">
        <f t="shared" si="249"/>
        <v/>
      </c>
      <c r="BL130" s="87" t="s">
        <v>50</v>
      </c>
      <c r="BM130" s="87" t="s">
        <v>50</v>
      </c>
      <c r="BN130" s="87" t="str">
        <f t="shared" si="250"/>
        <v/>
      </c>
      <c r="BO130" s="88" t="str">
        <f t="shared" si="251"/>
        <v/>
      </c>
      <c r="BP130" s="87" t="str">
        <f>IF(Dyn_Insured="","",IF(ISNUMBER(BL130)=FALSE,"n/a",MIN(MAX(BL130-'Layer Comparison'!Excess_Past,0),'Layer Comparison'!Limit_Past)))</f>
        <v/>
      </c>
      <c r="BQ130" s="87" t="str">
        <f>IF(Dyn_Insured="","",IF(ISNUMBER(BM130)=FALSE,"n/a",MIN(MAX(BM130-'Layer Comparison'!Excess_Latest,0),'Layer Comparison'!Limit_Latest)))</f>
        <v/>
      </c>
      <c r="BR130" s="87" t="str">
        <f t="shared" si="252"/>
        <v/>
      </c>
      <c r="BS130" s="88" t="str">
        <f t="shared" si="253"/>
        <v/>
      </c>
      <c r="BT130" s="46" t="s">
        <v>13</v>
      </c>
    </row>
    <row r="131" spans="1:72" hidden="1" outlineLevel="1" x14ac:dyDescent="0.25">
      <c r="A131" s="89" t="s">
        <v>54</v>
      </c>
      <c r="B131" s="89">
        <f t="shared" si="219"/>
        <v>0</v>
      </c>
      <c r="C131" s="89">
        <f t="shared" si="220"/>
        <v>0</v>
      </c>
      <c r="D131" s="90">
        <f t="shared" si="221"/>
        <v>0</v>
      </c>
      <c r="E131" s="90">
        <f t="shared" si="221"/>
        <v>0</v>
      </c>
      <c r="F131" s="48" t="s">
        <v>50</v>
      </c>
      <c r="G131" s="38" t="s">
        <v>50</v>
      </c>
      <c r="H131" s="87" t="s">
        <v>50</v>
      </c>
      <c r="I131" s="87" t="s">
        <v>50</v>
      </c>
      <c r="J131" s="87" t="str">
        <f t="shared" si="222"/>
        <v/>
      </c>
      <c r="K131" s="88" t="str">
        <f t="shared" si="223"/>
        <v/>
      </c>
      <c r="L131" s="87" t="str">
        <f>IF(Dyn_Insured="","",IF(ISNUMBER(H131)=FALSE,"n/a",MIN(MAX(H131-'Layer Comparison'!Excess_Past,0),'Layer Comparison'!Limit_Past)))</f>
        <v/>
      </c>
      <c r="M131" s="87" t="str">
        <f>IF(Dyn_Insured="","",IF(ISNUMBER(I131)=FALSE,"n/a",MIN(MAX(I131-'Layer Comparison'!Excess_Latest,0),'Layer Comparison'!Limit_Latest)))</f>
        <v/>
      </c>
      <c r="N131" s="87" t="str">
        <f t="shared" si="224"/>
        <v/>
      </c>
      <c r="O131" s="88" t="str">
        <f t="shared" si="225"/>
        <v/>
      </c>
      <c r="P131" s="87" t="s">
        <v>50</v>
      </c>
      <c r="Q131" s="87" t="s">
        <v>50</v>
      </c>
      <c r="R131" s="87" t="str">
        <f t="shared" si="226"/>
        <v/>
      </c>
      <c r="S131" s="88" t="str">
        <f t="shared" si="227"/>
        <v/>
      </c>
      <c r="T131" s="87" t="str">
        <f>IF(Dyn_Insured="","",IF(ISNUMBER(P131)=FALSE,"n/a",MIN(MAX(P131-'Layer Comparison'!Excess_Past,0),'Layer Comparison'!Limit_Past)))</f>
        <v/>
      </c>
      <c r="U131" s="87" t="str">
        <f>IF(Dyn_Insured="","",IF(ISNUMBER(Q131)=FALSE,"n/a",MIN(MAX(Q131-'Layer Comparison'!Excess_Latest,0),'Layer Comparison'!Limit_Latest)))</f>
        <v/>
      </c>
      <c r="V131" s="87" t="str">
        <f t="shared" si="228"/>
        <v/>
      </c>
      <c r="W131" s="88" t="str">
        <f t="shared" si="229"/>
        <v/>
      </c>
      <c r="X131" s="87" t="s">
        <v>50</v>
      </c>
      <c r="Y131" s="87" t="s">
        <v>50</v>
      </c>
      <c r="Z131" s="87" t="str">
        <f t="shared" si="230"/>
        <v/>
      </c>
      <c r="AA131" s="88" t="str">
        <f t="shared" si="231"/>
        <v/>
      </c>
      <c r="AB131" s="87" t="str">
        <f>IF(Dyn_Insured="","",IF(ISNUMBER(X131)=FALSE,"n/a",MIN(MAX(X131-'Layer Comparison'!Excess_Past,0),'Layer Comparison'!Limit_Past)))</f>
        <v/>
      </c>
      <c r="AC131" s="87" t="str">
        <f>IF(Dyn_Insured="","",IF(ISNUMBER(Y131)=FALSE,"n/a",MIN(MAX(Y131-'Layer Comparison'!Excess_Latest,0),'Layer Comparison'!Limit_Latest)))</f>
        <v/>
      </c>
      <c r="AD131" s="87" t="str">
        <f t="shared" si="232"/>
        <v/>
      </c>
      <c r="AE131" s="88" t="str">
        <f t="shared" si="233"/>
        <v/>
      </c>
      <c r="AF131" s="87" t="s">
        <v>50</v>
      </c>
      <c r="AG131" s="87" t="s">
        <v>50</v>
      </c>
      <c r="AH131" s="87" t="str">
        <f t="shared" si="234"/>
        <v/>
      </c>
      <c r="AI131" s="88" t="str">
        <f t="shared" si="235"/>
        <v/>
      </c>
      <c r="AJ131" s="87" t="str">
        <f>IF(Dyn_Insured="","",IF(ISNUMBER(AF131)=FALSE,"n/a",MIN(MAX(AF131-'Layer Comparison'!Excess_Past,0),'Layer Comparison'!Limit_Past)))</f>
        <v/>
      </c>
      <c r="AK131" s="87" t="str">
        <f>IF(Dyn_Insured="","",IF(ISNUMBER(AG131)=FALSE,"n/a",MIN(MAX(AG131-'Layer Comparison'!Excess_Latest,0),'Layer Comparison'!Limit_Latest)))</f>
        <v/>
      </c>
      <c r="AL131" s="87" t="str">
        <f t="shared" si="236"/>
        <v/>
      </c>
      <c r="AM131" s="88" t="str">
        <f t="shared" si="237"/>
        <v/>
      </c>
      <c r="AN131" s="87" t="s">
        <v>50</v>
      </c>
      <c r="AO131" s="87" t="s">
        <v>50</v>
      </c>
      <c r="AP131" s="87" t="str">
        <f t="shared" si="238"/>
        <v/>
      </c>
      <c r="AQ131" s="88" t="str">
        <f t="shared" si="239"/>
        <v/>
      </c>
      <c r="AR131" s="87" t="str">
        <f>IF(Dyn_Insured="","",IF(ISNUMBER(AN131)=FALSE,"n/a",MIN(MAX(AN131-'Layer Comparison'!Excess_Past,0),'Layer Comparison'!Limit_Past)))</f>
        <v/>
      </c>
      <c r="AS131" s="87" t="str">
        <f>IF(Dyn_Insured="","",IF(ISNUMBER(AO131)=FALSE,"n/a",MIN(MAX(AO131-'Layer Comparison'!Excess_Latest,0),'Layer Comparison'!Limit_Latest)))</f>
        <v/>
      </c>
      <c r="AT131" s="87" t="str">
        <f t="shared" si="240"/>
        <v/>
      </c>
      <c r="AU131" s="88" t="str">
        <f t="shared" si="241"/>
        <v/>
      </c>
      <c r="AV131" s="87" t="s">
        <v>50</v>
      </c>
      <c r="AW131" s="87" t="s">
        <v>50</v>
      </c>
      <c r="AX131" s="87" t="str">
        <f t="shared" si="242"/>
        <v/>
      </c>
      <c r="AY131" s="88" t="str">
        <f t="shared" si="243"/>
        <v/>
      </c>
      <c r="AZ131" s="87" t="str">
        <f>IF(Dyn_Insured="","",IF(ISNUMBER(AV131)=FALSE,"n/a",MIN(MAX(AV131-'Layer Comparison'!Excess_Past,0),'Layer Comparison'!Limit_Past)))</f>
        <v/>
      </c>
      <c r="BA131" s="87" t="str">
        <f>IF(Dyn_Insured="","",IF(ISNUMBER(AW131)=FALSE,"n/a",MIN(MAX(AW131-'Layer Comparison'!Excess_Latest,0),'Layer Comparison'!Limit_Latest)))</f>
        <v/>
      </c>
      <c r="BB131" s="87" t="str">
        <f t="shared" si="244"/>
        <v/>
      </c>
      <c r="BC131" s="88" t="str">
        <f t="shared" si="245"/>
        <v/>
      </c>
      <c r="BD131" s="87" t="s">
        <v>50</v>
      </c>
      <c r="BE131" s="87" t="s">
        <v>50</v>
      </c>
      <c r="BF131" s="87" t="str">
        <f t="shared" si="246"/>
        <v/>
      </c>
      <c r="BG131" s="88" t="str">
        <f t="shared" si="247"/>
        <v/>
      </c>
      <c r="BH131" s="87" t="str">
        <f>IF(Dyn_Insured="","",IF(ISNUMBER(BD131)=FALSE,"n/a",MIN(MAX(BD131-'Layer Comparison'!Excess_Past,0),'Layer Comparison'!Limit_Past)))</f>
        <v/>
      </c>
      <c r="BI131" s="87" t="str">
        <f>IF(Dyn_Insured="","",IF(ISNUMBER(BE131)=FALSE,"n/a",MIN(MAX(BE131-'Layer Comparison'!Excess_Latest,0),'Layer Comparison'!Limit_Latest)))</f>
        <v/>
      </c>
      <c r="BJ131" s="87" t="str">
        <f t="shared" si="248"/>
        <v/>
      </c>
      <c r="BK131" s="88" t="str">
        <f t="shared" si="249"/>
        <v/>
      </c>
      <c r="BL131" s="87" t="s">
        <v>50</v>
      </c>
      <c r="BM131" s="87" t="s">
        <v>50</v>
      </c>
      <c r="BN131" s="87" t="str">
        <f t="shared" si="250"/>
        <v/>
      </c>
      <c r="BO131" s="88" t="str">
        <f t="shared" si="251"/>
        <v/>
      </c>
      <c r="BP131" s="87" t="str">
        <f>IF(Dyn_Insured="","",IF(ISNUMBER(BL131)=FALSE,"n/a",MIN(MAX(BL131-'Layer Comparison'!Excess_Past,0),'Layer Comparison'!Limit_Past)))</f>
        <v/>
      </c>
      <c r="BQ131" s="87" t="str">
        <f>IF(Dyn_Insured="","",IF(ISNUMBER(BM131)=FALSE,"n/a",MIN(MAX(BM131-'Layer Comparison'!Excess_Latest,0),'Layer Comparison'!Limit_Latest)))</f>
        <v/>
      </c>
      <c r="BR131" s="87" t="str">
        <f t="shared" si="252"/>
        <v/>
      </c>
      <c r="BS131" s="88" t="str">
        <f t="shared" si="253"/>
        <v/>
      </c>
      <c r="BT131" s="46" t="s">
        <v>13</v>
      </c>
    </row>
    <row r="132" spans="1:72" hidden="1" outlineLevel="1" x14ac:dyDescent="0.25">
      <c r="A132" s="89" t="s">
        <v>54</v>
      </c>
      <c r="B132" s="89">
        <f t="shared" si="219"/>
        <v>0</v>
      </c>
      <c r="C132" s="89">
        <f t="shared" si="220"/>
        <v>0</v>
      </c>
      <c r="D132" s="90">
        <f t="shared" si="221"/>
        <v>0</v>
      </c>
      <c r="E132" s="90">
        <f t="shared" si="221"/>
        <v>0</v>
      </c>
      <c r="F132" s="48" t="s">
        <v>50</v>
      </c>
      <c r="G132" s="38" t="s">
        <v>50</v>
      </c>
      <c r="H132" s="87" t="s">
        <v>50</v>
      </c>
      <c r="I132" s="87" t="s">
        <v>50</v>
      </c>
      <c r="J132" s="87" t="str">
        <f t="shared" si="222"/>
        <v/>
      </c>
      <c r="K132" s="88" t="str">
        <f t="shared" si="223"/>
        <v/>
      </c>
      <c r="L132" s="87" t="str">
        <f>IF(Dyn_Insured="","",IF(ISNUMBER(H132)=FALSE,"n/a",MIN(MAX(H132-'Layer Comparison'!Excess_Past,0),'Layer Comparison'!Limit_Past)))</f>
        <v/>
      </c>
      <c r="M132" s="87" t="str">
        <f>IF(Dyn_Insured="","",IF(ISNUMBER(I132)=FALSE,"n/a",MIN(MAX(I132-'Layer Comparison'!Excess_Latest,0),'Layer Comparison'!Limit_Latest)))</f>
        <v/>
      </c>
      <c r="N132" s="87" t="str">
        <f t="shared" si="224"/>
        <v/>
      </c>
      <c r="O132" s="88" t="str">
        <f t="shared" si="225"/>
        <v/>
      </c>
      <c r="P132" s="87" t="s">
        <v>50</v>
      </c>
      <c r="Q132" s="87" t="s">
        <v>50</v>
      </c>
      <c r="R132" s="87" t="str">
        <f t="shared" si="226"/>
        <v/>
      </c>
      <c r="S132" s="88" t="str">
        <f t="shared" si="227"/>
        <v/>
      </c>
      <c r="T132" s="87" t="str">
        <f>IF(Dyn_Insured="","",IF(ISNUMBER(P132)=FALSE,"n/a",MIN(MAX(P132-'Layer Comparison'!Excess_Past,0),'Layer Comparison'!Limit_Past)))</f>
        <v/>
      </c>
      <c r="U132" s="87" t="str">
        <f>IF(Dyn_Insured="","",IF(ISNUMBER(Q132)=FALSE,"n/a",MIN(MAX(Q132-'Layer Comparison'!Excess_Latest,0),'Layer Comparison'!Limit_Latest)))</f>
        <v/>
      </c>
      <c r="V132" s="87" t="str">
        <f t="shared" si="228"/>
        <v/>
      </c>
      <c r="W132" s="88" t="str">
        <f t="shared" si="229"/>
        <v/>
      </c>
      <c r="X132" s="87" t="s">
        <v>50</v>
      </c>
      <c r="Y132" s="87" t="s">
        <v>50</v>
      </c>
      <c r="Z132" s="87" t="str">
        <f t="shared" si="230"/>
        <v/>
      </c>
      <c r="AA132" s="88" t="str">
        <f t="shared" si="231"/>
        <v/>
      </c>
      <c r="AB132" s="87" t="str">
        <f>IF(Dyn_Insured="","",IF(ISNUMBER(X132)=FALSE,"n/a",MIN(MAX(X132-'Layer Comparison'!Excess_Past,0),'Layer Comparison'!Limit_Past)))</f>
        <v/>
      </c>
      <c r="AC132" s="87" t="str">
        <f>IF(Dyn_Insured="","",IF(ISNUMBER(Y132)=FALSE,"n/a",MIN(MAX(Y132-'Layer Comparison'!Excess_Latest,0),'Layer Comparison'!Limit_Latest)))</f>
        <v/>
      </c>
      <c r="AD132" s="87" t="str">
        <f t="shared" si="232"/>
        <v/>
      </c>
      <c r="AE132" s="88" t="str">
        <f t="shared" si="233"/>
        <v/>
      </c>
      <c r="AF132" s="87" t="s">
        <v>50</v>
      </c>
      <c r="AG132" s="87" t="s">
        <v>50</v>
      </c>
      <c r="AH132" s="87" t="str">
        <f t="shared" si="234"/>
        <v/>
      </c>
      <c r="AI132" s="88" t="str">
        <f t="shared" si="235"/>
        <v/>
      </c>
      <c r="AJ132" s="87" t="str">
        <f>IF(Dyn_Insured="","",IF(ISNUMBER(AF132)=FALSE,"n/a",MIN(MAX(AF132-'Layer Comparison'!Excess_Past,0),'Layer Comparison'!Limit_Past)))</f>
        <v/>
      </c>
      <c r="AK132" s="87" t="str">
        <f>IF(Dyn_Insured="","",IF(ISNUMBER(AG132)=FALSE,"n/a",MIN(MAX(AG132-'Layer Comparison'!Excess_Latest,0),'Layer Comparison'!Limit_Latest)))</f>
        <v/>
      </c>
      <c r="AL132" s="87" t="str">
        <f t="shared" si="236"/>
        <v/>
      </c>
      <c r="AM132" s="88" t="str">
        <f t="shared" si="237"/>
        <v/>
      </c>
      <c r="AN132" s="87" t="s">
        <v>50</v>
      </c>
      <c r="AO132" s="87" t="s">
        <v>50</v>
      </c>
      <c r="AP132" s="87" t="str">
        <f t="shared" si="238"/>
        <v/>
      </c>
      <c r="AQ132" s="88" t="str">
        <f t="shared" si="239"/>
        <v/>
      </c>
      <c r="AR132" s="87" t="str">
        <f>IF(Dyn_Insured="","",IF(ISNUMBER(AN132)=FALSE,"n/a",MIN(MAX(AN132-'Layer Comparison'!Excess_Past,0),'Layer Comparison'!Limit_Past)))</f>
        <v/>
      </c>
      <c r="AS132" s="87" t="str">
        <f>IF(Dyn_Insured="","",IF(ISNUMBER(AO132)=FALSE,"n/a",MIN(MAX(AO132-'Layer Comparison'!Excess_Latest,0),'Layer Comparison'!Limit_Latest)))</f>
        <v/>
      </c>
      <c r="AT132" s="87" t="str">
        <f t="shared" si="240"/>
        <v/>
      </c>
      <c r="AU132" s="88" t="str">
        <f t="shared" si="241"/>
        <v/>
      </c>
      <c r="AV132" s="87" t="s">
        <v>50</v>
      </c>
      <c r="AW132" s="87" t="s">
        <v>50</v>
      </c>
      <c r="AX132" s="87" t="str">
        <f t="shared" si="242"/>
        <v/>
      </c>
      <c r="AY132" s="88" t="str">
        <f t="shared" si="243"/>
        <v/>
      </c>
      <c r="AZ132" s="87" t="str">
        <f>IF(Dyn_Insured="","",IF(ISNUMBER(AV132)=FALSE,"n/a",MIN(MAX(AV132-'Layer Comparison'!Excess_Past,0),'Layer Comparison'!Limit_Past)))</f>
        <v/>
      </c>
      <c r="BA132" s="87" t="str">
        <f>IF(Dyn_Insured="","",IF(ISNUMBER(AW132)=FALSE,"n/a",MIN(MAX(AW132-'Layer Comparison'!Excess_Latest,0),'Layer Comparison'!Limit_Latest)))</f>
        <v/>
      </c>
      <c r="BB132" s="87" t="str">
        <f t="shared" si="244"/>
        <v/>
      </c>
      <c r="BC132" s="88" t="str">
        <f t="shared" si="245"/>
        <v/>
      </c>
      <c r="BD132" s="87" t="s">
        <v>50</v>
      </c>
      <c r="BE132" s="87" t="s">
        <v>50</v>
      </c>
      <c r="BF132" s="87" t="str">
        <f t="shared" si="246"/>
        <v/>
      </c>
      <c r="BG132" s="88" t="str">
        <f t="shared" si="247"/>
        <v/>
      </c>
      <c r="BH132" s="87" t="str">
        <f>IF(Dyn_Insured="","",IF(ISNUMBER(BD132)=FALSE,"n/a",MIN(MAX(BD132-'Layer Comparison'!Excess_Past,0),'Layer Comparison'!Limit_Past)))</f>
        <v/>
      </c>
      <c r="BI132" s="87" t="str">
        <f>IF(Dyn_Insured="","",IF(ISNUMBER(BE132)=FALSE,"n/a",MIN(MAX(BE132-'Layer Comparison'!Excess_Latest,0),'Layer Comparison'!Limit_Latest)))</f>
        <v/>
      </c>
      <c r="BJ132" s="87" t="str">
        <f t="shared" si="248"/>
        <v/>
      </c>
      <c r="BK132" s="88" t="str">
        <f t="shared" si="249"/>
        <v/>
      </c>
      <c r="BL132" s="87" t="s">
        <v>50</v>
      </c>
      <c r="BM132" s="87" t="s">
        <v>50</v>
      </c>
      <c r="BN132" s="87" t="str">
        <f t="shared" si="250"/>
        <v/>
      </c>
      <c r="BO132" s="88" t="str">
        <f t="shared" si="251"/>
        <v/>
      </c>
      <c r="BP132" s="87" t="str">
        <f>IF(Dyn_Insured="","",IF(ISNUMBER(BL132)=FALSE,"n/a",MIN(MAX(BL132-'Layer Comparison'!Excess_Past,0),'Layer Comparison'!Limit_Past)))</f>
        <v/>
      </c>
      <c r="BQ132" s="87" t="str">
        <f>IF(Dyn_Insured="","",IF(ISNUMBER(BM132)=FALSE,"n/a",MIN(MAX(BM132-'Layer Comparison'!Excess_Latest,0),'Layer Comparison'!Limit_Latest)))</f>
        <v/>
      </c>
      <c r="BR132" s="87" t="str">
        <f t="shared" si="252"/>
        <v/>
      </c>
      <c r="BS132" s="88" t="str">
        <f t="shared" si="253"/>
        <v/>
      </c>
      <c r="BT132" s="46" t="s">
        <v>13</v>
      </c>
    </row>
    <row r="133" spans="1:72" hidden="1" outlineLevel="1" x14ac:dyDescent="0.25">
      <c r="A133" s="89" t="s">
        <v>54</v>
      </c>
      <c r="B133" s="89">
        <f t="shared" si="219"/>
        <v>0</v>
      </c>
      <c r="C133" s="89">
        <f t="shared" si="220"/>
        <v>0</v>
      </c>
      <c r="D133" s="90">
        <f t="shared" ref="D133:E152" si="254">IF(SUMIFS($F133:$BO133,$F$9:$BO$9,D$9,$F$10:$BO$10,D$10)&gt;0,1,0)</f>
        <v>0</v>
      </c>
      <c r="E133" s="90">
        <f t="shared" si="254"/>
        <v>0</v>
      </c>
      <c r="F133" s="48" t="s">
        <v>50</v>
      </c>
      <c r="G133" s="38" t="s">
        <v>50</v>
      </c>
      <c r="H133" s="87" t="s">
        <v>50</v>
      </c>
      <c r="I133" s="87" t="s">
        <v>50</v>
      </c>
      <c r="J133" s="87" t="str">
        <f t="shared" si="222"/>
        <v/>
      </c>
      <c r="K133" s="88" t="str">
        <f t="shared" si="223"/>
        <v/>
      </c>
      <c r="L133" s="87" t="str">
        <f>IF(Dyn_Insured="","",IF(ISNUMBER(H133)=FALSE,"n/a",MIN(MAX(H133-'Layer Comparison'!Excess_Past,0),'Layer Comparison'!Limit_Past)))</f>
        <v/>
      </c>
      <c r="M133" s="87" t="str">
        <f>IF(Dyn_Insured="","",IF(ISNUMBER(I133)=FALSE,"n/a",MIN(MAX(I133-'Layer Comparison'!Excess_Latest,0),'Layer Comparison'!Limit_Latest)))</f>
        <v/>
      </c>
      <c r="N133" s="87" t="str">
        <f t="shared" si="224"/>
        <v/>
      </c>
      <c r="O133" s="88" t="str">
        <f t="shared" si="225"/>
        <v/>
      </c>
      <c r="P133" s="87" t="s">
        <v>50</v>
      </c>
      <c r="Q133" s="87" t="s">
        <v>50</v>
      </c>
      <c r="R133" s="87" t="str">
        <f t="shared" si="226"/>
        <v/>
      </c>
      <c r="S133" s="88" t="str">
        <f t="shared" si="227"/>
        <v/>
      </c>
      <c r="T133" s="87" t="str">
        <f>IF(Dyn_Insured="","",IF(ISNUMBER(P133)=FALSE,"n/a",MIN(MAX(P133-'Layer Comparison'!Excess_Past,0),'Layer Comparison'!Limit_Past)))</f>
        <v/>
      </c>
      <c r="U133" s="87" t="str">
        <f>IF(Dyn_Insured="","",IF(ISNUMBER(Q133)=FALSE,"n/a",MIN(MAX(Q133-'Layer Comparison'!Excess_Latest,0),'Layer Comparison'!Limit_Latest)))</f>
        <v/>
      </c>
      <c r="V133" s="87" t="str">
        <f t="shared" si="228"/>
        <v/>
      </c>
      <c r="W133" s="88" t="str">
        <f t="shared" si="229"/>
        <v/>
      </c>
      <c r="X133" s="87" t="s">
        <v>50</v>
      </c>
      <c r="Y133" s="87" t="s">
        <v>50</v>
      </c>
      <c r="Z133" s="87" t="str">
        <f t="shared" si="230"/>
        <v/>
      </c>
      <c r="AA133" s="88" t="str">
        <f t="shared" si="231"/>
        <v/>
      </c>
      <c r="AB133" s="87" t="str">
        <f>IF(Dyn_Insured="","",IF(ISNUMBER(X133)=FALSE,"n/a",MIN(MAX(X133-'Layer Comparison'!Excess_Past,0),'Layer Comparison'!Limit_Past)))</f>
        <v/>
      </c>
      <c r="AC133" s="87" t="str">
        <f>IF(Dyn_Insured="","",IF(ISNUMBER(Y133)=FALSE,"n/a",MIN(MAX(Y133-'Layer Comparison'!Excess_Latest,0),'Layer Comparison'!Limit_Latest)))</f>
        <v/>
      </c>
      <c r="AD133" s="87" t="str">
        <f t="shared" si="232"/>
        <v/>
      </c>
      <c r="AE133" s="88" t="str">
        <f t="shared" si="233"/>
        <v/>
      </c>
      <c r="AF133" s="87" t="s">
        <v>50</v>
      </c>
      <c r="AG133" s="87" t="s">
        <v>50</v>
      </c>
      <c r="AH133" s="87" t="str">
        <f t="shared" si="234"/>
        <v/>
      </c>
      <c r="AI133" s="88" t="str">
        <f t="shared" si="235"/>
        <v/>
      </c>
      <c r="AJ133" s="87" t="str">
        <f>IF(Dyn_Insured="","",IF(ISNUMBER(AF133)=FALSE,"n/a",MIN(MAX(AF133-'Layer Comparison'!Excess_Past,0),'Layer Comparison'!Limit_Past)))</f>
        <v/>
      </c>
      <c r="AK133" s="87" t="str">
        <f>IF(Dyn_Insured="","",IF(ISNUMBER(AG133)=FALSE,"n/a",MIN(MAX(AG133-'Layer Comparison'!Excess_Latest,0),'Layer Comparison'!Limit_Latest)))</f>
        <v/>
      </c>
      <c r="AL133" s="87" t="str">
        <f t="shared" si="236"/>
        <v/>
      </c>
      <c r="AM133" s="88" t="str">
        <f t="shared" si="237"/>
        <v/>
      </c>
      <c r="AN133" s="87" t="s">
        <v>50</v>
      </c>
      <c r="AO133" s="87" t="s">
        <v>50</v>
      </c>
      <c r="AP133" s="87" t="str">
        <f t="shared" si="238"/>
        <v/>
      </c>
      <c r="AQ133" s="88" t="str">
        <f t="shared" si="239"/>
        <v/>
      </c>
      <c r="AR133" s="87" t="str">
        <f>IF(Dyn_Insured="","",IF(ISNUMBER(AN133)=FALSE,"n/a",MIN(MAX(AN133-'Layer Comparison'!Excess_Past,0),'Layer Comparison'!Limit_Past)))</f>
        <v/>
      </c>
      <c r="AS133" s="87" t="str">
        <f>IF(Dyn_Insured="","",IF(ISNUMBER(AO133)=FALSE,"n/a",MIN(MAX(AO133-'Layer Comparison'!Excess_Latest,0),'Layer Comparison'!Limit_Latest)))</f>
        <v/>
      </c>
      <c r="AT133" s="87" t="str">
        <f t="shared" si="240"/>
        <v/>
      </c>
      <c r="AU133" s="88" t="str">
        <f t="shared" si="241"/>
        <v/>
      </c>
      <c r="AV133" s="87" t="s">
        <v>50</v>
      </c>
      <c r="AW133" s="87" t="s">
        <v>50</v>
      </c>
      <c r="AX133" s="87" t="str">
        <f t="shared" si="242"/>
        <v/>
      </c>
      <c r="AY133" s="88" t="str">
        <f t="shared" si="243"/>
        <v/>
      </c>
      <c r="AZ133" s="87" t="str">
        <f>IF(Dyn_Insured="","",IF(ISNUMBER(AV133)=FALSE,"n/a",MIN(MAX(AV133-'Layer Comparison'!Excess_Past,0),'Layer Comparison'!Limit_Past)))</f>
        <v/>
      </c>
      <c r="BA133" s="87" t="str">
        <f>IF(Dyn_Insured="","",IF(ISNUMBER(AW133)=FALSE,"n/a",MIN(MAX(AW133-'Layer Comparison'!Excess_Latest,0),'Layer Comparison'!Limit_Latest)))</f>
        <v/>
      </c>
      <c r="BB133" s="87" t="str">
        <f t="shared" si="244"/>
        <v/>
      </c>
      <c r="BC133" s="88" t="str">
        <f t="shared" si="245"/>
        <v/>
      </c>
      <c r="BD133" s="87" t="s">
        <v>50</v>
      </c>
      <c r="BE133" s="87" t="s">
        <v>50</v>
      </c>
      <c r="BF133" s="87" t="str">
        <f t="shared" si="246"/>
        <v/>
      </c>
      <c r="BG133" s="88" t="str">
        <f t="shared" si="247"/>
        <v/>
      </c>
      <c r="BH133" s="87" t="str">
        <f>IF(Dyn_Insured="","",IF(ISNUMBER(BD133)=FALSE,"n/a",MIN(MAX(BD133-'Layer Comparison'!Excess_Past,0),'Layer Comparison'!Limit_Past)))</f>
        <v/>
      </c>
      <c r="BI133" s="87" t="str">
        <f>IF(Dyn_Insured="","",IF(ISNUMBER(BE133)=FALSE,"n/a",MIN(MAX(BE133-'Layer Comparison'!Excess_Latest,0),'Layer Comparison'!Limit_Latest)))</f>
        <v/>
      </c>
      <c r="BJ133" s="87" t="str">
        <f t="shared" si="248"/>
        <v/>
      </c>
      <c r="BK133" s="88" t="str">
        <f t="shared" si="249"/>
        <v/>
      </c>
      <c r="BL133" s="87" t="s">
        <v>50</v>
      </c>
      <c r="BM133" s="87" t="s">
        <v>50</v>
      </c>
      <c r="BN133" s="87" t="str">
        <f t="shared" si="250"/>
        <v/>
      </c>
      <c r="BO133" s="88" t="str">
        <f t="shared" si="251"/>
        <v/>
      </c>
      <c r="BP133" s="87" t="str">
        <f>IF(Dyn_Insured="","",IF(ISNUMBER(BL133)=FALSE,"n/a",MIN(MAX(BL133-'Layer Comparison'!Excess_Past,0),'Layer Comparison'!Limit_Past)))</f>
        <v/>
      </c>
      <c r="BQ133" s="87" t="str">
        <f>IF(Dyn_Insured="","",IF(ISNUMBER(BM133)=FALSE,"n/a",MIN(MAX(BM133-'Layer Comparison'!Excess_Latest,0),'Layer Comparison'!Limit_Latest)))</f>
        <v/>
      </c>
      <c r="BR133" s="87" t="str">
        <f t="shared" si="252"/>
        <v/>
      </c>
      <c r="BS133" s="88" t="str">
        <f t="shared" si="253"/>
        <v/>
      </c>
      <c r="BT133" s="46" t="s">
        <v>13</v>
      </c>
    </row>
    <row r="134" spans="1:72" hidden="1" outlineLevel="1" x14ac:dyDescent="0.25">
      <c r="A134" s="89" t="s">
        <v>54</v>
      </c>
      <c r="B134" s="89">
        <f t="shared" si="219"/>
        <v>0</v>
      </c>
      <c r="C134" s="89">
        <f t="shared" si="220"/>
        <v>0</v>
      </c>
      <c r="D134" s="90">
        <f t="shared" si="254"/>
        <v>0</v>
      </c>
      <c r="E134" s="90">
        <f t="shared" si="254"/>
        <v>0</v>
      </c>
      <c r="F134" s="48" t="s">
        <v>50</v>
      </c>
      <c r="G134" s="38" t="s">
        <v>50</v>
      </c>
      <c r="H134" s="87" t="s">
        <v>50</v>
      </c>
      <c r="I134" s="87" t="s">
        <v>50</v>
      </c>
      <c r="J134" s="87" t="str">
        <f t="shared" si="222"/>
        <v/>
      </c>
      <c r="K134" s="88" t="str">
        <f t="shared" si="223"/>
        <v/>
      </c>
      <c r="L134" s="87" t="str">
        <f>IF(Dyn_Insured="","",IF(ISNUMBER(H134)=FALSE,"n/a",MIN(MAX(H134-'Layer Comparison'!Excess_Past,0),'Layer Comparison'!Limit_Past)))</f>
        <v/>
      </c>
      <c r="M134" s="87" t="str">
        <f>IF(Dyn_Insured="","",IF(ISNUMBER(I134)=FALSE,"n/a",MIN(MAX(I134-'Layer Comparison'!Excess_Latest,0),'Layer Comparison'!Limit_Latest)))</f>
        <v/>
      </c>
      <c r="N134" s="87" t="str">
        <f t="shared" si="224"/>
        <v/>
      </c>
      <c r="O134" s="88" t="str">
        <f t="shared" si="225"/>
        <v/>
      </c>
      <c r="P134" s="87" t="s">
        <v>50</v>
      </c>
      <c r="Q134" s="87" t="s">
        <v>50</v>
      </c>
      <c r="R134" s="87" t="str">
        <f t="shared" si="226"/>
        <v/>
      </c>
      <c r="S134" s="88" t="str">
        <f t="shared" si="227"/>
        <v/>
      </c>
      <c r="T134" s="87" t="str">
        <f>IF(Dyn_Insured="","",IF(ISNUMBER(P134)=FALSE,"n/a",MIN(MAX(P134-'Layer Comparison'!Excess_Past,0),'Layer Comparison'!Limit_Past)))</f>
        <v/>
      </c>
      <c r="U134" s="87" t="str">
        <f>IF(Dyn_Insured="","",IF(ISNUMBER(Q134)=FALSE,"n/a",MIN(MAX(Q134-'Layer Comparison'!Excess_Latest,0),'Layer Comparison'!Limit_Latest)))</f>
        <v/>
      </c>
      <c r="V134" s="87" t="str">
        <f t="shared" si="228"/>
        <v/>
      </c>
      <c r="W134" s="88" t="str">
        <f t="shared" si="229"/>
        <v/>
      </c>
      <c r="X134" s="87" t="s">
        <v>50</v>
      </c>
      <c r="Y134" s="87" t="s">
        <v>50</v>
      </c>
      <c r="Z134" s="87" t="str">
        <f t="shared" si="230"/>
        <v/>
      </c>
      <c r="AA134" s="88" t="str">
        <f t="shared" si="231"/>
        <v/>
      </c>
      <c r="AB134" s="87" t="str">
        <f>IF(Dyn_Insured="","",IF(ISNUMBER(X134)=FALSE,"n/a",MIN(MAX(X134-'Layer Comparison'!Excess_Past,0),'Layer Comparison'!Limit_Past)))</f>
        <v/>
      </c>
      <c r="AC134" s="87" t="str">
        <f>IF(Dyn_Insured="","",IF(ISNUMBER(Y134)=FALSE,"n/a",MIN(MAX(Y134-'Layer Comparison'!Excess_Latest,0),'Layer Comparison'!Limit_Latest)))</f>
        <v/>
      </c>
      <c r="AD134" s="87" t="str">
        <f t="shared" si="232"/>
        <v/>
      </c>
      <c r="AE134" s="88" t="str">
        <f t="shared" si="233"/>
        <v/>
      </c>
      <c r="AF134" s="87" t="s">
        <v>50</v>
      </c>
      <c r="AG134" s="87" t="s">
        <v>50</v>
      </c>
      <c r="AH134" s="87" t="str">
        <f t="shared" si="234"/>
        <v/>
      </c>
      <c r="AI134" s="88" t="str">
        <f t="shared" si="235"/>
        <v/>
      </c>
      <c r="AJ134" s="87" t="str">
        <f>IF(Dyn_Insured="","",IF(ISNUMBER(AF134)=FALSE,"n/a",MIN(MAX(AF134-'Layer Comparison'!Excess_Past,0),'Layer Comparison'!Limit_Past)))</f>
        <v/>
      </c>
      <c r="AK134" s="87" t="str">
        <f>IF(Dyn_Insured="","",IF(ISNUMBER(AG134)=FALSE,"n/a",MIN(MAX(AG134-'Layer Comparison'!Excess_Latest,0),'Layer Comparison'!Limit_Latest)))</f>
        <v/>
      </c>
      <c r="AL134" s="87" t="str">
        <f t="shared" si="236"/>
        <v/>
      </c>
      <c r="AM134" s="88" t="str">
        <f t="shared" si="237"/>
        <v/>
      </c>
      <c r="AN134" s="87" t="s">
        <v>50</v>
      </c>
      <c r="AO134" s="87" t="s">
        <v>50</v>
      </c>
      <c r="AP134" s="87" t="str">
        <f t="shared" si="238"/>
        <v/>
      </c>
      <c r="AQ134" s="88" t="str">
        <f t="shared" si="239"/>
        <v/>
      </c>
      <c r="AR134" s="87" t="str">
        <f>IF(Dyn_Insured="","",IF(ISNUMBER(AN134)=FALSE,"n/a",MIN(MAX(AN134-'Layer Comparison'!Excess_Past,0),'Layer Comparison'!Limit_Past)))</f>
        <v/>
      </c>
      <c r="AS134" s="87" t="str">
        <f>IF(Dyn_Insured="","",IF(ISNUMBER(AO134)=FALSE,"n/a",MIN(MAX(AO134-'Layer Comparison'!Excess_Latest,0),'Layer Comparison'!Limit_Latest)))</f>
        <v/>
      </c>
      <c r="AT134" s="87" t="str">
        <f t="shared" si="240"/>
        <v/>
      </c>
      <c r="AU134" s="88" t="str">
        <f t="shared" si="241"/>
        <v/>
      </c>
      <c r="AV134" s="87" t="s">
        <v>50</v>
      </c>
      <c r="AW134" s="87" t="s">
        <v>50</v>
      </c>
      <c r="AX134" s="87" t="str">
        <f t="shared" si="242"/>
        <v/>
      </c>
      <c r="AY134" s="88" t="str">
        <f t="shared" si="243"/>
        <v/>
      </c>
      <c r="AZ134" s="87" t="str">
        <f>IF(Dyn_Insured="","",IF(ISNUMBER(AV134)=FALSE,"n/a",MIN(MAX(AV134-'Layer Comparison'!Excess_Past,0),'Layer Comparison'!Limit_Past)))</f>
        <v/>
      </c>
      <c r="BA134" s="87" t="str">
        <f>IF(Dyn_Insured="","",IF(ISNUMBER(AW134)=FALSE,"n/a",MIN(MAX(AW134-'Layer Comparison'!Excess_Latest,0),'Layer Comparison'!Limit_Latest)))</f>
        <v/>
      </c>
      <c r="BB134" s="87" t="str">
        <f t="shared" si="244"/>
        <v/>
      </c>
      <c r="BC134" s="88" t="str">
        <f t="shared" si="245"/>
        <v/>
      </c>
      <c r="BD134" s="87" t="s">
        <v>50</v>
      </c>
      <c r="BE134" s="87" t="s">
        <v>50</v>
      </c>
      <c r="BF134" s="87" t="str">
        <f t="shared" si="246"/>
        <v/>
      </c>
      <c r="BG134" s="88" t="str">
        <f t="shared" si="247"/>
        <v/>
      </c>
      <c r="BH134" s="87" t="str">
        <f>IF(Dyn_Insured="","",IF(ISNUMBER(BD134)=FALSE,"n/a",MIN(MAX(BD134-'Layer Comparison'!Excess_Past,0),'Layer Comparison'!Limit_Past)))</f>
        <v/>
      </c>
      <c r="BI134" s="87" t="str">
        <f>IF(Dyn_Insured="","",IF(ISNUMBER(BE134)=FALSE,"n/a",MIN(MAX(BE134-'Layer Comparison'!Excess_Latest,0),'Layer Comparison'!Limit_Latest)))</f>
        <v/>
      </c>
      <c r="BJ134" s="87" t="str">
        <f t="shared" si="248"/>
        <v/>
      </c>
      <c r="BK134" s="88" t="str">
        <f t="shared" si="249"/>
        <v/>
      </c>
      <c r="BL134" s="87" t="s">
        <v>50</v>
      </c>
      <c r="BM134" s="87" t="s">
        <v>50</v>
      </c>
      <c r="BN134" s="87" t="str">
        <f t="shared" si="250"/>
        <v/>
      </c>
      <c r="BO134" s="88" t="str">
        <f t="shared" si="251"/>
        <v/>
      </c>
      <c r="BP134" s="87" t="str">
        <f>IF(Dyn_Insured="","",IF(ISNUMBER(BL134)=FALSE,"n/a",MIN(MAX(BL134-'Layer Comparison'!Excess_Past,0),'Layer Comparison'!Limit_Past)))</f>
        <v/>
      </c>
      <c r="BQ134" s="87" t="str">
        <f>IF(Dyn_Insured="","",IF(ISNUMBER(BM134)=FALSE,"n/a",MIN(MAX(BM134-'Layer Comparison'!Excess_Latest,0),'Layer Comparison'!Limit_Latest)))</f>
        <v/>
      </c>
      <c r="BR134" s="87" t="str">
        <f t="shared" si="252"/>
        <v/>
      </c>
      <c r="BS134" s="88" t="str">
        <f t="shared" si="253"/>
        <v/>
      </c>
      <c r="BT134" s="46" t="s">
        <v>13</v>
      </c>
    </row>
    <row r="135" spans="1:72" hidden="1" outlineLevel="1" x14ac:dyDescent="0.25">
      <c r="A135" s="89" t="s">
        <v>54</v>
      </c>
      <c r="B135" s="89">
        <f t="shared" si="219"/>
        <v>0</v>
      </c>
      <c r="C135" s="89">
        <f t="shared" si="220"/>
        <v>0</v>
      </c>
      <c r="D135" s="90">
        <f t="shared" si="254"/>
        <v>0</v>
      </c>
      <c r="E135" s="90">
        <f t="shared" si="254"/>
        <v>0</v>
      </c>
      <c r="F135" s="48" t="s">
        <v>50</v>
      </c>
      <c r="G135" s="38" t="s">
        <v>50</v>
      </c>
      <c r="H135" s="87" t="s">
        <v>50</v>
      </c>
      <c r="I135" s="87" t="s">
        <v>50</v>
      </c>
      <c r="J135" s="87" t="str">
        <f t="shared" si="222"/>
        <v/>
      </c>
      <c r="K135" s="88" t="str">
        <f t="shared" si="223"/>
        <v/>
      </c>
      <c r="L135" s="87" t="str">
        <f>IF(Dyn_Insured="","",IF(ISNUMBER(H135)=FALSE,"n/a",MIN(MAX(H135-'Layer Comparison'!Excess_Past,0),'Layer Comparison'!Limit_Past)))</f>
        <v/>
      </c>
      <c r="M135" s="87" t="str">
        <f>IF(Dyn_Insured="","",IF(ISNUMBER(I135)=FALSE,"n/a",MIN(MAX(I135-'Layer Comparison'!Excess_Latest,0),'Layer Comparison'!Limit_Latest)))</f>
        <v/>
      </c>
      <c r="N135" s="87" t="str">
        <f t="shared" si="224"/>
        <v/>
      </c>
      <c r="O135" s="88" t="str">
        <f t="shared" si="225"/>
        <v/>
      </c>
      <c r="P135" s="87" t="s">
        <v>50</v>
      </c>
      <c r="Q135" s="87" t="s">
        <v>50</v>
      </c>
      <c r="R135" s="87" t="str">
        <f t="shared" si="226"/>
        <v/>
      </c>
      <c r="S135" s="88" t="str">
        <f t="shared" si="227"/>
        <v/>
      </c>
      <c r="T135" s="87" t="str">
        <f>IF(Dyn_Insured="","",IF(ISNUMBER(P135)=FALSE,"n/a",MIN(MAX(P135-'Layer Comparison'!Excess_Past,0),'Layer Comparison'!Limit_Past)))</f>
        <v/>
      </c>
      <c r="U135" s="87" t="str">
        <f>IF(Dyn_Insured="","",IF(ISNUMBER(Q135)=FALSE,"n/a",MIN(MAX(Q135-'Layer Comparison'!Excess_Latest,0),'Layer Comparison'!Limit_Latest)))</f>
        <v/>
      </c>
      <c r="V135" s="87" t="str">
        <f t="shared" si="228"/>
        <v/>
      </c>
      <c r="W135" s="88" t="str">
        <f t="shared" si="229"/>
        <v/>
      </c>
      <c r="X135" s="87" t="s">
        <v>50</v>
      </c>
      <c r="Y135" s="87" t="s">
        <v>50</v>
      </c>
      <c r="Z135" s="87" t="str">
        <f t="shared" si="230"/>
        <v/>
      </c>
      <c r="AA135" s="88" t="str">
        <f t="shared" si="231"/>
        <v/>
      </c>
      <c r="AB135" s="87" t="str">
        <f>IF(Dyn_Insured="","",IF(ISNUMBER(X135)=FALSE,"n/a",MIN(MAX(X135-'Layer Comparison'!Excess_Past,0),'Layer Comparison'!Limit_Past)))</f>
        <v/>
      </c>
      <c r="AC135" s="87" t="str">
        <f>IF(Dyn_Insured="","",IF(ISNUMBER(Y135)=FALSE,"n/a",MIN(MAX(Y135-'Layer Comparison'!Excess_Latest,0),'Layer Comparison'!Limit_Latest)))</f>
        <v/>
      </c>
      <c r="AD135" s="87" t="str">
        <f t="shared" si="232"/>
        <v/>
      </c>
      <c r="AE135" s="88" t="str">
        <f t="shared" si="233"/>
        <v/>
      </c>
      <c r="AF135" s="87" t="s">
        <v>50</v>
      </c>
      <c r="AG135" s="87" t="s">
        <v>50</v>
      </c>
      <c r="AH135" s="87" t="str">
        <f t="shared" si="234"/>
        <v/>
      </c>
      <c r="AI135" s="88" t="str">
        <f t="shared" si="235"/>
        <v/>
      </c>
      <c r="AJ135" s="87" t="str">
        <f>IF(Dyn_Insured="","",IF(ISNUMBER(AF135)=FALSE,"n/a",MIN(MAX(AF135-'Layer Comparison'!Excess_Past,0),'Layer Comparison'!Limit_Past)))</f>
        <v/>
      </c>
      <c r="AK135" s="87" t="str">
        <f>IF(Dyn_Insured="","",IF(ISNUMBER(AG135)=FALSE,"n/a",MIN(MAX(AG135-'Layer Comparison'!Excess_Latest,0),'Layer Comparison'!Limit_Latest)))</f>
        <v/>
      </c>
      <c r="AL135" s="87" t="str">
        <f t="shared" si="236"/>
        <v/>
      </c>
      <c r="AM135" s="88" t="str">
        <f t="shared" si="237"/>
        <v/>
      </c>
      <c r="AN135" s="87" t="s">
        <v>50</v>
      </c>
      <c r="AO135" s="87" t="s">
        <v>50</v>
      </c>
      <c r="AP135" s="87" t="str">
        <f t="shared" si="238"/>
        <v/>
      </c>
      <c r="AQ135" s="88" t="str">
        <f t="shared" si="239"/>
        <v/>
      </c>
      <c r="AR135" s="87" t="str">
        <f>IF(Dyn_Insured="","",IF(ISNUMBER(AN135)=FALSE,"n/a",MIN(MAX(AN135-'Layer Comparison'!Excess_Past,0),'Layer Comparison'!Limit_Past)))</f>
        <v/>
      </c>
      <c r="AS135" s="87" t="str">
        <f>IF(Dyn_Insured="","",IF(ISNUMBER(AO135)=FALSE,"n/a",MIN(MAX(AO135-'Layer Comparison'!Excess_Latest,0),'Layer Comparison'!Limit_Latest)))</f>
        <v/>
      </c>
      <c r="AT135" s="87" t="str">
        <f t="shared" si="240"/>
        <v/>
      </c>
      <c r="AU135" s="88" t="str">
        <f t="shared" si="241"/>
        <v/>
      </c>
      <c r="AV135" s="87" t="s">
        <v>50</v>
      </c>
      <c r="AW135" s="87" t="s">
        <v>50</v>
      </c>
      <c r="AX135" s="87" t="str">
        <f t="shared" si="242"/>
        <v/>
      </c>
      <c r="AY135" s="88" t="str">
        <f t="shared" si="243"/>
        <v/>
      </c>
      <c r="AZ135" s="87" t="str">
        <f>IF(Dyn_Insured="","",IF(ISNUMBER(AV135)=FALSE,"n/a",MIN(MAX(AV135-'Layer Comparison'!Excess_Past,0),'Layer Comparison'!Limit_Past)))</f>
        <v/>
      </c>
      <c r="BA135" s="87" t="str">
        <f>IF(Dyn_Insured="","",IF(ISNUMBER(AW135)=FALSE,"n/a",MIN(MAX(AW135-'Layer Comparison'!Excess_Latest,0),'Layer Comparison'!Limit_Latest)))</f>
        <v/>
      </c>
      <c r="BB135" s="87" t="str">
        <f t="shared" si="244"/>
        <v/>
      </c>
      <c r="BC135" s="88" t="str">
        <f t="shared" si="245"/>
        <v/>
      </c>
      <c r="BD135" s="87" t="s">
        <v>50</v>
      </c>
      <c r="BE135" s="87" t="s">
        <v>50</v>
      </c>
      <c r="BF135" s="87" t="str">
        <f t="shared" si="246"/>
        <v/>
      </c>
      <c r="BG135" s="88" t="str">
        <f t="shared" si="247"/>
        <v/>
      </c>
      <c r="BH135" s="87" t="str">
        <f>IF(Dyn_Insured="","",IF(ISNUMBER(BD135)=FALSE,"n/a",MIN(MAX(BD135-'Layer Comparison'!Excess_Past,0),'Layer Comparison'!Limit_Past)))</f>
        <v/>
      </c>
      <c r="BI135" s="87" t="str">
        <f>IF(Dyn_Insured="","",IF(ISNUMBER(BE135)=FALSE,"n/a",MIN(MAX(BE135-'Layer Comparison'!Excess_Latest,0),'Layer Comparison'!Limit_Latest)))</f>
        <v/>
      </c>
      <c r="BJ135" s="87" t="str">
        <f t="shared" si="248"/>
        <v/>
      </c>
      <c r="BK135" s="88" t="str">
        <f t="shared" si="249"/>
        <v/>
      </c>
      <c r="BL135" s="87" t="s">
        <v>50</v>
      </c>
      <c r="BM135" s="87" t="s">
        <v>50</v>
      </c>
      <c r="BN135" s="87" t="str">
        <f t="shared" si="250"/>
        <v/>
      </c>
      <c r="BO135" s="88" t="str">
        <f t="shared" si="251"/>
        <v/>
      </c>
      <c r="BP135" s="87" t="str">
        <f>IF(Dyn_Insured="","",IF(ISNUMBER(BL135)=FALSE,"n/a",MIN(MAX(BL135-'Layer Comparison'!Excess_Past,0),'Layer Comparison'!Limit_Past)))</f>
        <v/>
      </c>
      <c r="BQ135" s="87" t="str">
        <f>IF(Dyn_Insured="","",IF(ISNUMBER(BM135)=FALSE,"n/a",MIN(MAX(BM135-'Layer Comparison'!Excess_Latest,0),'Layer Comparison'!Limit_Latest)))</f>
        <v/>
      </c>
      <c r="BR135" s="87" t="str">
        <f t="shared" si="252"/>
        <v/>
      </c>
      <c r="BS135" s="88" t="str">
        <f t="shared" si="253"/>
        <v/>
      </c>
      <c r="BT135" s="46" t="s">
        <v>13</v>
      </c>
    </row>
    <row r="136" spans="1:72" hidden="1" outlineLevel="1" x14ac:dyDescent="0.25">
      <c r="A136" s="89" t="s">
        <v>54</v>
      </c>
      <c r="B136" s="89">
        <f t="shared" si="219"/>
        <v>0</v>
      </c>
      <c r="C136" s="89">
        <f t="shared" si="220"/>
        <v>0</v>
      </c>
      <c r="D136" s="90">
        <f t="shared" si="254"/>
        <v>0</v>
      </c>
      <c r="E136" s="90">
        <f t="shared" si="254"/>
        <v>0</v>
      </c>
      <c r="F136" s="48" t="s">
        <v>50</v>
      </c>
      <c r="G136" s="38" t="s">
        <v>50</v>
      </c>
      <c r="H136" s="87" t="s">
        <v>50</v>
      </c>
      <c r="I136" s="87" t="s">
        <v>50</v>
      </c>
      <c r="J136" s="87" t="str">
        <f t="shared" si="222"/>
        <v/>
      </c>
      <c r="K136" s="88" t="str">
        <f t="shared" si="223"/>
        <v/>
      </c>
      <c r="L136" s="87" t="str">
        <f>IF(Dyn_Insured="","",IF(ISNUMBER(H136)=FALSE,"n/a",MIN(MAX(H136-'Layer Comparison'!Excess_Past,0),'Layer Comparison'!Limit_Past)))</f>
        <v/>
      </c>
      <c r="M136" s="87" t="str">
        <f>IF(Dyn_Insured="","",IF(ISNUMBER(I136)=FALSE,"n/a",MIN(MAX(I136-'Layer Comparison'!Excess_Latest,0),'Layer Comparison'!Limit_Latest)))</f>
        <v/>
      </c>
      <c r="N136" s="87" t="str">
        <f t="shared" si="224"/>
        <v/>
      </c>
      <c r="O136" s="88" t="str">
        <f t="shared" si="225"/>
        <v/>
      </c>
      <c r="P136" s="87" t="s">
        <v>50</v>
      </c>
      <c r="Q136" s="87" t="s">
        <v>50</v>
      </c>
      <c r="R136" s="87" t="str">
        <f t="shared" si="226"/>
        <v/>
      </c>
      <c r="S136" s="88" t="str">
        <f t="shared" si="227"/>
        <v/>
      </c>
      <c r="T136" s="87" t="str">
        <f>IF(Dyn_Insured="","",IF(ISNUMBER(P136)=FALSE,"n/a",MIN(MAX(P136-'Layer Comparison'!Excess_Past,0),'Layer Comparison'!Limit_Past)))</f>
        <v/>
      </c>
      <c r="U136" s="87" t="str">
        <f>IF(Dyn_Insured="","",IF(ISNUMBER(Q136)=FALSE,"n/a",MIN(MAX(Q136-'Layer Comparison'!Excess_Latest,0),'Layer Comparison'!Limit_Latest)))</f>
        <v/>
      </c>
      <c r="V136" s="87" t="str">
        <f t="shared" si="228"/>
        <v/>
      </c>
      <c r="W136" s="88" t="str">
        <f t="shared" si="229"/>
        <v/>
      </c>
      <c r="X136" s="87" t="s">
        <v>50</v>
      </c>
      <c r="Y136" s="87" t="s">
        <v>50</v>
      </c>
      <c r="Z136" s="87" t="str">
        <f t="shared" si="230"/>
        <v/>
      </c>
      <c r="AA136" s="88" t="str">
        <f t="shared" si="231"/>
        <v/>
      </c>
      <c r="AB136" s="87" t="str">
        <f>IF(Dyn_Insured="","",IF(ISNUMBER(X136)=FALSE,"n/a",MIN(MAX(X136-'Layer Comparison'!Excess_Past,0),'Layer Comparison'!Limit_Past)))</f>
        <v/>
      </c>
      <c r="AC136" s="87" t="str">
        <f>IF(Dyn_Insured="","",IF(ISNUMBER(Y136)=FALSE,"n/a",MIN(MAX(Y136-'Layer Comparison'!Excess_Latest,0),'Layer Comparison'!Limit_Latest)))</f>
        <v/>
      </c>
      <c r="AD136" s="87" t="str">
        <f t="shared" si="232"/>
        <v/>
      </c>
      <c r="AE136" s="88" t="str">
        <f t="shared" si="233"/>
        <v/>
      </c>
      <c r="AF136" s="87" t="s">
        <v>50</v>
      </c>
      <c r="AG136" s="87" t="s">
        <v>50</v>
      </c>
      <c r="AH136" s="87" t="str">
        <f t="shared" si="234"/>
        <v/>
      </c>
      <c r="AI136" s="88" t="str">
        <f t="shared" si="235"/>
        <v/>
      </c>
      <c r="AJ136" s="87" t="str">
        <f>IF(Dyn_Insured="","",IF(ISNUMBER(AF136)=FALSE,"n/a",MIN(MAX(AF136-'Layer Comparison'!Excess_Past,0),'Layer Comparison'!Limit_Past)))</f>
        <v/>
      </c>
      <c r="AK136" s="87" t="str">
        <f>IF(Dyn_Insured="","",IF(ISNUMBER(AG136)=FALSE,"n/a",MIN(MAX(AG136-'Layer Comparison'!Excess_Latest,0),'Layer Comparison'!Limit_Latest)))</f>
        <v/>
      </c>
      <c r="AL136" s="87" t="str">
        <f t="shared" si="236"/>
        <v/>
      </c>
      <c r="AM136" s="88" t="str">
        <f t="shared" si="237"/>
        <v/>
      </c>
      <c r="AN136" s="87" t="s">
        <v>50</v>
      </c>
      <c r="AO136" s="87" t="s">
        <v>50</v>
      </c>
      <c r="AP136" s="87" t="str">
        <f t="shared" si="238"/>
        <v/>
      </c>
      <c r="AQ136" s="88" t="str">
        <f t="shared" si="239"/>
        <v/>
      </c>
      <c r="AR136" s="87" t="str">
        <f>IF(Dyn_Insured="","",IF(ISNUMBER(AN136)=FALSE,"n/a",MIN(MAX(AN136-'Layer Comparison'!Excess_Past,0),'Layer Comparison'!Limit_Past)))</f>
        <v/>
      </c>
      <c r="AS136" s="87" t="str">
        <f>IF(Dyn_Insured="","",IF(ISNUMBER(AO136)=FALSE,"n/a",MIN(MAX(AO136-'Layer Comparison'!Excess_Latest,0),'Layer Comparison'!Limit_Latest)))</f>
        <v/>
      </c>
      <c r="AT136" s="87" t="str">
        <f t="shared" si="240"/>
        <v/>
      </c>
      <c r="AU136" s="88" t="str">
        <f t="shared" si="241"/>
        <v/>
      </c>
      <c r="AV136" s="87" t="s">
        <v>50</v>
      </c>
      <c r="AW136" s="87" t="s">
        <v>50</v>
      </c>
      <c r="AX136" s="87" t="str">
        <f t="shared" si="242"/>
        <v/>
      </c>
      <c r="AY136" s="88" t="str">
        <f t="shared" si="243"/>
        <v/>
      </c>
      <c r="AZ136" s="87" t="str">
        <f>IF(Dyn_Insured="","",IF(ISNUMBER(AV136)=FALSE,"n/a",MIN(MAX(AV136-'Layer Comparison'!Excess_Past,0),'Layer Comparison'!Limit_Past)))</f>
        <v/>
      </c>
      <c r="BA136" s="87" t="str">
        <f>IF(Dyn_Insured="","",IF(ISNUMBER(AW136)=FALSE,"n/a",MIN(MAX(AW136-'Layer Comparison'!Excess_Latest,0),'Layer Comparison'!Limit_Latest)))</f>
        <v/>
      </c>
      <c r="BB136" s="87" t="str">
        <f t="shared" si="244"/>
        <v/>
      </c>
      <c r="BC136" s="88" t="str">
        <f t="shared" si="245"/>
        <v/>
      </c>
      <c r="BD136" s="87" t="s">
        <v>50</v>
      </c>
      <c r="BE136" s="87" t="s">
        <v>50</v>
      </c>
      <c r="BF136" s="87" t="str">
        <f t="shared" si="246"/>
        <v/>
      </c>
      <c r="BG136" s="88" t="str">
        <f t="shared" si="247"/>
        <v/>
      </c>
      <c r="BH136" s="87" t="str">
        <f>IF(Dyn_Insured="","",IF(ISNUMBER(BD136)=FALSE,"n/a",MIN(MAX(BD136-'Layer Comparison'!Excess_Past,0),'Layer Comparison'!Limit_Past)))</f>
        <v/>
      </c>
      <c r="BI136" s="87" t="str">
        <f>IF(Dyn_Insured="","",IF(ISNUMBER(BE136)=FALSE,"n/a",MIN(MAX(BE136-'Layer Comparison'!Excess_Latest,0),'Layer Comparison'!Limit_Latest)))</f>
        <v/>
      </c>
      <c r="BJ136" s="87" t="str">
        <f t="shared" si="248"/>
        <v/>
      </c>
      <c r="BK136" s="88" t="str">
        <f t="shared" si="249"/>
        <v/>
      </c>
      <c r="BL136" s="87" t="s">
        <v>50</v>
      </c>
      <c r="BM136" s="87" t="s">
        <v>50</v>
      </c>
      <c r="BN136" s="87" t="str">
        <f t="shared" si="250"/>
        <v/>
      </c>
      <c r="BO136" s="88" t="str">
        <f t="shared" si="251"/>
        <v/>
      </c>
      <c r="BP136" s="87" t="str">
        <f>IF(Dyn_Insured="","",IF(ISNUMBER(BL136)=FALSE,"n/a",MIN(MAX(BL136-'Layer Comparison'!Excess_Past,0),'Layer Comparison'!Limit_Past)))</f>
        <v/>
      </c>
      <c r="BQ136" s="87" t="str">
        <f>IF(Dyn_Insured="","",IF(ISNUMBER(BM136)=FALSE,"n/a",MIN(MAX(BM136-'Layer Comparison'!Excess_Latest,0),'Layer Comparison'!Limit_Latest)))</f>
        <v/>
      </c>
      <c r="BR136" s="87" t="str">
        <f t="shared" si="252"/>
        <v/>
      </c>
      <c r="BS136" s="88" t="str">
        <f t="shared" si="253"/>
        <v/>
      </c>
      <c r="BT136" s="46" t="s">
        <v>13</v>
      </c>
    </row>
    <row r="137" spans="1:72" hidden="1" outlineLevel="1" x14ac:dyDescent="0.25">
      <c r="A137" s="89" t="s">
        <v>54</v>
      </c>
      <c r="B137" s="89">
        <f t="shared" si="219"/>
        <v>0</v>
      </c>
      <c r="C137" s="89">
        <f t="shared" si="220"/>
        <v>0</v>
      </c>
      <c r="D137" s="90">
        <f t="shared" si="254"/>
        <v>0</v>
      </c>
      <c r="E137" s="90">
        <f t="shared" si="254"/>
        <v>0</v>
      </c>
      <c r="F137" s="48" t="s">
        <v>50</v>
      </c>
      <c r="G137" s="38" t="s">
        <v>50</v>
      </c>
      <c r="H137" s="87" t="s">
        <v>50</v>
      </c>
      <c r="I137" s="87" t="s">
        <v>50</v>
      </c>
      <c r="J137" s="87" t="str">
        <f t="shared" si="222"/>
        <v/>
      </c>
      <c r="K137" s="88" t="str">
        <f t="shared" si="223"/>
        <v/>
      </c>
      <c r="L137" s="87" t="str">
        <f>IF(Dyn_Insured="","",IF(ISNUMBER(H137)=FALSE,"n/a",MIN(MAX(H137-'Layer Comparison'!Excess_Past,0),'Layer Comparison'!Limit_Past)))</f>
        <v/>
      </c>
      <c r="M137" s="87" t="str">
        <f>IF(Dyn_Insured="","",IF(ISNUMBER(I137)=FALSE,"n/a",MIN(MAX(I137-'Layer Comparison'!Excess_Latest,0),'Layer Comparison'!Limit_Latest)))</f>
        <v/>
      </c>
      <c r="N137" s="87" t="str">
        <f t="shared" si="224"/>
        <v/>
      </c>
      <c r="O137" s="88" t="str">
        <f t="shared" si="225"/>
        <v/>
      </c>
      <c r="P137" s="87" t="s">
        <v>50</v>
      </c>
      <c r="Q137" s="87" t="s">
        <v>50</v>
      </c>
      <c r="R137" s="87" t="str">
        <f t="shared" si="226"/>
        <v/>
      </c>
      <c r="S137" s="88" t="str">
        <f t="shared" si="227"/>
        <v/>
      </c>
      <c r="T137" s="87" t="str">
        <f>IF(Dyn_Insured="","",IF(ISNUMBER(P137)=FALSE,"n/a",MIN(MAX(P137-'Layer Comparison'!Excess_Past,0),'Layer Comparison'!Limit_Past)))</f>
        <v/>
      </c>
      <c r="U137" s="87" t="str">
        <f>IF(Dyn_Insured="","",IF(ISNUMBER(Q137)=FALSE,"n/a",MIN(MAX(Q137-'Layer Comparison'!Excess_Latest,0),'Layer Comparison'!Limit_Latest)))</f>
        <v/>
      </c>
      <c r="V137" s="87" t="str">
        <f t="shared" si="228"/>
        <v/>
      </c>
      <c r="W137" s="88" t="str">
        <f t="shared" si="229"/>
        <v/>
      </c>
      <c r="X137" s="87" t="s">
        <v>50</v>
      </c>
      <c r="Y137" s="87" t="s">
        <v>50</v>
      </c>
      <c r="Z137" s="87" t="str">
        <f t="shared" si="230"/>
        <v/>
      </c>
      <c r="AA137" s="88" t="str">
        <f t="shared" si="231"/>
        <v/>
      </c>
      <c r="AB137" s="87" t="str">
        <f>IF(Dyn_Insured="","",IF(ISNUMBER(X137)=FALSE,"n/a",MIN(MAX(X137-'Layer Comparison'!Excess_Past,0),'Layer Comparison'!Limit_Past)))</f>
        <v/>
      </c>
      <c r="AC137" s="87" t="str">
        <f>IF(Dyn_Insured="","",IF(ISNUMBER(Y137)=FALSE,"n/a",MIN(MAX(Y137-'Layer Comparison'!Excess_Latest,0),'Layer Comparison'!Limit_Latest)))</f>
        <v/>
      </c>
      <c r="AD137" s="87" t="str">
        <f t="shared" si="232"/>
        <v/>
      </c>
      <c r="AE137" s="88" t="str">
        <f t="shared" si="233"/>
        <v/>
      </c>
      <c r="AF137" s="87" t="s">
        <v>50</v>
      </c>
      <c r="AG137" s="87" t="s">
        <v>50</v>
      </c>
      <c r="AH137" s="87" t="str">
        <f t="shared" si="234"/>
        <v/>
      </c>
      <c r="AI137" s="88" t="str">
        <f t="shared" si="235"/>
        <v/>
      </c>
      <c r="AJ137" s="87" t="str">
        <f>IF(Dyn_Insured="","",IF(ISNUMBER(AF137)=FALSE,"n/a",MIN(MAX(AF137-'Layer Comparison'!Excess_Past,0),'Layer Comparison'!Limit_Past)))</f>
        <v/>
      </c>
      <c r="AK137" s="87" t="str">
        <f>IF(Dyn_Insured="","",IF(ISNUMBER(AG137)=FALSE,"n/a",MIN(MAX(AG137-'Layer Comparison'!Excess_Latest,0),'Layer Comparison'!Limit_Latest)))</f>
        <v/>
      </c>
      <c r="AL137" s="87" t="str">
        <f t="shared" si="236"/>
        <v/>
      </c>
      <c r="AM137" s="88" t="str">
        <f t="shared" si="237"/>
        <v/>
      </c>
      <c r="AN137" s="87" t="s">
        <v>50</v>
      </c>
      <c r="AO137" s="87" t="s">
        <v>50</v>
      </c>
      <c r="AP137" s="87" t="str">
        <f t="shared" si="238"/>
        <v/>
      </c>
      <c r="AQ137" s="88" t="str">
        <f t="shared" si="239"/>
        <v/>
      </c>
      <c r="AR137" s="87" t="str">
        <f>IF(Dyn_Insured="","",IF(ISNUMBER(AN137)=FALSE,"n/a",MIN(MAX(AN137-'Layer Comparison'!Excess_Past,0),'Layer Comparison'!Limit_Past)))</f>
        <v/>
      </c>
      <c r="AS137" s="87" t="str">
        <f>IF(Dyn_Insured="","",IF(ISNUMBER(AO137)=FALSE,"n/a",MIN(MAX(AO137-'Layer Comparison'!Excess_Latest,0),'Layer Comparison'!Limit_Latest)))</f>
        <v/>
      </c>
      <c r="AT137" s="87" t="str">
        <f t="shared" si="240"/>
        <v/>
      </c>
      <c r="AU137" s="88" t="str">
        <f t="shared" si="241"/>
        <v/>
      </c>
      <c r="AV137" s="87" t="s">
        <v>50</v>
      </c>
      <c r="AW137" s="87" t="s">
        <v>50</v>
      </c>
      <c r="AX137" s="87" t="str">
        <f t="shared" si="242"/>
        <v/>
      </c>
      <c r="AY137" s="88" t="str">
        <f t="shared" si="243"/>
        <v/>
      </c>
      <c r="AZ137" s="87" t="str">
        <f>IF(Dyn_Insured="","",IF(ISNUMBER(AV137)=FALSE,"n/a",MIN(MAX(AV137-'Layer Comparison'!Excess_Past,0),'Layer Comparison'!Limit_Past)))</f>
        <v/>
      </c>
      <c r="BA137" s="87" t="str">
        <f>IF(Dyn_Insured="","",IF(ISNUMBER(AW137)=FALSE,"n/a",MIN(MAX(AW137-'Layer Comparison'!Excess_Latest,0),'Layer Comparison'!Limit_Latest)))</f>
        <v/>
      </c>
      <c r="BB137" s="87" t="str">
        <f t="shared" si="244"/>
        <v/>
      </c>
      <c r="BC137" s="88" t="str">
        <f t="shared" si="245"/>
        <v/>
      </c>
      <c r="BD137" s="87" t="s">
        <v>50</v>
      </c>
      <c r="BE137" s="87" t="s">
        <v>50</v>
      </c>
      <c r="BF137" s="87" t="str">
        <f t="shared" si="246"/>
        <v/>
      </c>
      <c r="BG137" s="88" t="str">
        <f t="shared" si="247"/>
        <v/>
      </c>
      <c r="BH137" s="87" t="str">
        <f>IF(Dyn_Insured="","",IF(ISNUMBER(BD137)=FALSE,"n/a",MIN(MAX(BD137-'Layer Comparison'!Excess_Past,0),'Layer Comparison'!Limit_Past)))</f>
        <v/>
      </c>
      <c r="BI137" s="87" t="str">
        <f>IF(Dyn_Insured="","",IF(ISNUMBER(BE137)=FALSE,"n/a",MIN(MAX(BE137-'Layer Comparison'!Excess_Latest,0),'Layer Comparison'!Limit_Latest)))</f>
        <v/>
      </c>
      <c r="BJ137" s="87" t="str">
        <f t="shared" si="248"/>
        <v/>
      </c>
      <c r="BK137" s="88" t="str">
        <f t="shared" si="249"/>
        <v/>
      </c>
      <c r="BL137" s="87" t="s">
        <v>50</v>
      </c>
      <c r="BM137" s="87" t="s">
        <v>50</v>
      </c>
      <c r="BN137" s="87" t="str">
        <f t="shared" si="250"/>
        <v/>
      </c>
      <c r="BO137" s="88" t="str">
        <f t="shared" si="251"/>
        <v/>
      </c>
      <c r="BP137" s="87" t="str">
        <f>IF(Dyn_Insured="","",IF(ISNUMBER(BL137)=FALSE,"n/a",MIN(MAX(BL137-'Layer Comparison'!Excess_Past,0),'Layer Comparison'!Limit_Past)))</f>
        <v/>
      </c>
      <c r="BQ137" s="87" t="str">
        <f>IF(Dyn_Insured="","",IF(ISNUMBER(BM137)=FALSE,"n/a",MIN(MAX(BM137-'Layer Comparison'!Excess_Latest,0),'Layer Comparison'!Limit_Latest)))</f>
        <v/>
      </c>
      <c r="BR137" s="87" t="str">
        <f t="shared" si="252"/>
        <v/>
      </c>
      <c r="BS137" s="88" t="str">
        <f t="shared" si="253"/>
        <v/>
      </c>
      <c r="BT137" s="46" t="s">
        <v>13</v>
      </c>
    </row>
    <row r="138" spans="1:72" hidden="1" outlineLevel="1" x14ac:dyDescent="0.25">
      <c r="A138" s="89" t="s">
        <v>54</v>
      </c>
      <c r="B138" s="89">
        <f t="shared" si="219"/>
        <v>0</v>
      </c>
      <c r="C138" s="89">
        <f t="shared" si="220"/>
        <v>0</v>
      </c>
      <c r="D138" s="90">
        <f t="shared" si="254"/>
        <v>0</v>
      </c>
      <c r="E138" s="90">
        <f t="shared" si="254"/>
        <v>0</v>
      </c>
      <c r="F138" s="48" t="s">
        <v>50</v>
      </c>
      <c r="G138" s="38" t="s">
        <v>50</v>
      </c>
      <c r="H138" s="87" t="s">
        <v>50</v>
      </c>
      <c r="I138" s="87" t="s">
        <v>50</v>
      </c>
      <c r="J138" s="87" t="str">
        <f t="shared" si="222"/>
        <v/>
      </c>
      <c r="K138" s="88" t="str">
        <f t="shared" si="223"/>
        <v/>
      </c>
      <c r="L138" s="87" t="str">
        <f>IF(Dyn_Insured="","",IF(ISNUMBER(H138)=FALSE,"n/a",MIN(MAX(H138-'Layer Comparison'!Excess_Past,0),'Layer Comparison'!Limit_Past)))</f>
        <v/>
      </c>
      <c r="M138" s="87" t="str">
        <f>IF(Dyn_Insured="","",IF(ISNUMBER(I138)=FALSE,"n/a",MIN(MAX(I138-'Layer Comparison'!Excess_Latest,0),'Layer Comparison'!Limit_Latest)))</f>
        <v/>
      </c>
      <c r="N138" s="87" t="str">
        <f t="shared" si="224"/>
        <v/>
      </c>
      <c r="O138" s="88" t="str">
        <f t="shared" si="225"/>
        <v/>
      </c>
      <c r="P138" s="87" t="s">
        <v>50</v>
      </c>
      <c r="Q138" s="87" t="s">
        <v>50</v>
      </c>
      <c r="R138" s="87" t="str">
        <f t="shared" si="226"/>
        <v/>
      </c>
      <c r="S138" s="88" t="str">
        <f t="shared" si="227"/>
        <v/>
      </c>
      <c r="T138" s="87" t="str">
        <f>IF(Dyn_Insured="","",IF(ISNUMBER(P138)=FALSE,"n/a",MIN(MAX(P138-'Layer Comparison'!Excess_Past,0),'Layer Comparison'!Limit_Past)))</f>
        <v/>
      </c>
      <c r="U138" s="87" t="str">
        <f>IF(Dyn_Insured="","",IF(ISNUMBER(Q138)=FALSE,"n/a",MIN(MAX(Q138-'Layer Comparison'!Excess_Latest,0),'Layer Comparison'!Limit_Latest)))</f>
        <v/>
      </c>
      <c r="V138" s="87" t="str">
        <f t="shared" si="228"/>
        <v/>
      </c>
      <c r="W138" s="88" t="str">
        <f t="shared" si="229"/>
        <v/>
      </c>
      <c r="X138" s="87" t="s">
        <v>50</v>
      </c>
      <c r="Y138" s="87" t="s">
        <v>50</v>
      </c>
      <c r="Z138" s="87" t="str">
        <f t="shared" si="230"/>
        <v/>
      </c>
      <c r="AA138" s="88" t="str">
        <f t="shared" si="231"/>
        <v/>
      </c>
      <c r="AB138" s="87" t="str">
        <f>IF(Dyn_Insured="","",IF(ISNUMBER(X138)=FALSE,"n/a",MIN(MAX(X138-'Layer Comparison'!Excess_Past,0),'Layer Comparison'!Limit_Past)))</f>
        <v/>
      </c>
      <c r="AC138" s="87" t="str">
        <f>IF(Dyn_Insured="","",IF(ISNUMBER(Y138)=FALSE,"n/a",MIN(MAX(Y138-'Layer Comparison'!Excess_Latest,0),'Layer Comparison'!Limit_Latest)))</f>
        <v/>
      </c>
      <c r="AD138" s="87" t="str">
        <f t="shared" si="232"/>
        <v/>
      </c>
      <c r="AE138" s="88" t="str">
        <f t="shared" si="233"/>
        <v/>
      </c>
      <c r="AF138" s="87" t="s">
        <v>50</v>
      </c>
      <c r="AG138" s="87" t="s">
        <v>50</v>
      </c>
      <c r="AH138" s="87" t="str">
        <f t="shared" si="234"/>
        <v/>
      </c>
      <c r="AI138" s="88" t="str">
        <f t="shared" si="235"/>
        <v/>
      </c>
      <c r="AJ138" s="87" t="str">
        <f>IF(Dyn_Insured="","",IF(ISNUMBER(AF138)=FALSE,"n/a",MIN(MAX(AF138-'Layer Comparison'!Excess_Past,0),'Layer Comparison'!Limit_Past)))</f>
        <v/>
      </c>
      <c r="AK138" s="87" t="str">
        <f>IF(Dyn_Insured="","",IF(ISNUMBER(AG138)=FALSE,"n/a",MIN(MAX(AG138-'Layer Comparison'!Excess_Latest,0),'Layer Comparison'!Limit_Latest)))</f>
        <v/>
      </c>
      <c r="AL138" s="87" t="str">
        <f t="shared" si="236"/>
        <v/>
      </c>
      <c r="AM138" s="88" t="str">
        <f t="shared" si="237"/>
        <v/>
      </c>
      <c r="AN138" s="87" t="s">
        <v>50</v>
      </c>
      <c r="AO138" s="87" t="s">
        <v>50</v>
      </c>
      <c r="AP138" s="87" t="str">
        <f t="shared" si="238"/>
        <v/>
      </c>
      <c r="AQ138" s="88" t="str">
        <f t="shared" si="239"/>
        <v/>
      </c>
      <c r="AR138" s="87" t="str">
        <f>IF(Dyn_Insured="","",IF(ISNUMBER(AN138)=FALSE,"n/a",MIN(MAX(AN138-'Layer Comparison'!Excess_Past,0),'Layer Comparison'!Limit_Past)))</f>
        <v/>
      </c>
      <c r="AS138" s="87" t="str">
        <f>IF(Dyn_Insured="","",IF(ISNUMBER(AO138)=FALSE,"n/a",MIN(MAX(AO138-'Layer Comparison'!Excess_Latest,0),'Layer Comparison'!Limit_Latest)))</f>
        <v/>
      </c>
      <c r="AT138" s="87" t="str">
        <f t="shared" si="240"/>
        <v/>
      </c>
      <c r="AU138" s="88" t="str">
        <f t="shared" si="241"/>
        <v/>
      </c>
      <c r="AV138" s="87" t="s">
        <v>50</v>
      </c>
      <c r="AW138" s="87" t="s">
        <v>50</v>
      </c>
      <c r="AX138" s="87" t="str">
        <f t="shared" si="242"/>
        <v/>
      </c>
      <c r="AY138" s="88" t="str">
        <f t="shared" si="243"/>
        <v/>
      </c>
      <c r="AZ138" s="87" t="str">
        <f>IF(Dyn_Insured="","",IF(ISNUMBER(AV138)=FALSE,"n/a",MIN(MAX(AV138-'Layer Comparison'!Excess_Past,0),'Layer Comparison'!Limit_Past)))</f>
        <v/>
      </c>
      <c r="BA138" s="87" t="str">
        <f>IF(Dyn_Insured="","",IF(ISNUMBER(AW138)=FALSE,"n/a",MIN(MAX(AW138-'Layer Comparison'!Excess_Latest,0),'Layer Comparison'!Limit_Latest)))</f>
        <v/>
      </c>
      <c r="BB138" s="87" t="str">
        <f t="shared" si="244"/>
        <v/>
      </c>
      <c r="BC138" s="88" t="str">
        <f t="shared" si="245"/>
        <v/>
      </c>
      <c r="BD138" s="87" t="s">
        <v>50</v>
      </c>
      <c r="BE138" s="87" t="s">
        <v>50</v>
      </c>
      <c r="BF138" s="87" t="str">
        <f t="shared" si="246"/>
        <v/>
      </c>
      <c r="BG138" s="88" t="str">
        <f t="shared" si="247"/>
        <v/>
      </c>
      <c r="BH138" s="87" t="str">
        <f>IF(Dyn_Insured="","",IF(ISNUMBER(BD138)=FALSE,"n/a",MIN(MAX(BD138-'Layer Comparison'!Excess_Past,0),'Layer Comparison'!Limit_Past)))</f>
        <v/>
      </c>
      <c r="BI138" s="87" t="str">
        <f>IF(Dyn_Insured="","",IF(ISNUMBER(BE138)=FALSE,"n/a",MIN(MAX(BE138-'Layer Comparison'!Excess_Latest,0),'Layer Comparison'!Limit_Latest)))</f>
        <v/>
      </c>
      <c r="BJ138" s="87" t="str">
        <f t="shared" si="248"/>
        <v/>
      </c>
      <c r="BK138" s="88" t="str">
        <f t="shared" si="249"/>
        <v/>
      </c>
      <c r="BL138" s="87" t="s">
        <v>50</v>
      </c>
      <c r="BM138" s="87" t="s">
        <v>50</v>
      </c>
      <c r="BN138" s="87" t="str">
        <f t="shared" si="250"/>
        <v/>
      </c>
      <c r="BO138" s="88" t="str">
        <f t="shared" si="251"/>
        <v/>
      </c>
      <c r="BP138" s="87" t="str">
        <f>IF(Dyn_Insured="","",IF(ISNUMBER(BL138)=FALSE,"n/a",MIN(MAX(BL138-'Layer Comparison'!Excess_Past,0),'Layer Comparison'!Limit_Past)))</f>
        <v/>
      </c>
      <c r="BQ138" s="87" t="str">
        <f>IF(Dyn_Insured="","",IF(ISNUMBER(BM138)=FALSE,"n/a",MIN(MAX(BM138-'Layer Comparison'!Excess_Latest,0),'Layer Comparison'!Limit_Latest)))</f>
        <v/>
      </c>
      <c r="BR138" s="87" t="str">
        <f t="shared" si="252"/>
        <v/>
      </c>
      <c r="BS138" s="88" t="str">
        <f t="shared" si="253"/>
        <v/>
      </c>
      <c r="BT138" s="46" t="s">
        <v>13</v>
      </c>
    </row>
    <row r="139" spans="1:72" hidden="1" outlineLevel="1" x14ac:dyDescent="0.25">
      <c r="A139" s="89" t="s">
        <v>54</v>
      </c>
      <c r="B139" s="89">
        <f t="shared" si="219"/>
        <v>0</v>
      </c>
      <c r="C139" s="89">
        <f t="shared" si="220"/>
        <v>0</v>
      </c>
      <c r="D139" s="90">
        <f t="shared" si="254"/>
        <v>0</v>
      </c>
      <c r="E139" s="90">
        <f t="shared" si="254"/>
        <v>0</v>
      </c>
      <c r="F139" s="48" t="s">
        <v>50</v>
      </c>
      <c r="G139" s="38" t="s">
        <v>50</v>
      </c>
      <c r="H139" s="87" t="s">
        <v>50</v>
      </c>
      <c r="I139" s="87" t="s">
        <v>50</v>
      </c>
      <c r="J139" s="87" t="str">
        <f t="shared" si="222"/>
        <v/>
      </c>
      <c r="K139" s="88" t="str">
        <f t="shared" si="223"/>
        <v/>
      </c>
      <c r="L139" s="87" t="str">
        <f>IF(Dyn_Insured="","",IF(ISNUMBER(H139)=FALSE,"n/a",MIN(MAX(H139-'Layer Comparison'!Excess_Past,0),'Layer Comparison'!Limit_Past)))</f>
        <v/>
      </c>
      <c r="M139" s="87" t="str">
        <f>IF(Dyn_Insured="","",IF(ISNUMBER(I139)=FALSE,"n/a",MIN(MAX(I139-'Layer Comparison'!Excess_Latest,0),'Layer Comparison'!Limit_Latest)))</f>
        <v/>
      </c>
      <c r="N139" s="87" t="str">
        <f t="shared" si="224"/>
        <v/>
      </c>
      <c r="O139" s="88" t="str">
        <f t="shared" si="225"/>
        <v/>
      </c>
      <c r="P139" s="87" t="s">
        <v>50</v>
      </c>
      <c r="Q139" s="87" t="s">
        <v>50</v>
      </c>
      <c r="R139" s="87" t="str">
        <f t="shared" si="226"/>
        <v/>
      </c>
      <c r="S139" s="88" t="str">
        <f t="shared" si="227"/>
        <v/>
      </c>
      <c r="T139" s="87" t="str">
        <f>IF(Dyn_Insured="","",IF(ISNUMBER(P139)=FALSE,"n/a",MIN(MAX(P139-'Layer Comparison'!Excess_Past,0),'Layer Comparison'!Limit_Past)))</f>
        <v/>
      </c>
      <c r="U139" s="87" t="str">
        <f>IF(Dyn_Insured="","",IF(ISNUMBER(Q139)=FALSE,"n/a",MIN(MAX(Q139-'Layer Comparison'!Excess_Latest,0),'Layer Comparison'!Limit_Latest)))</f>
        <v/>
      </c>
      <c r="V139" s="87" t="str">
        <f t="shared" si="228"/>
        <v/>
      </c>
      <c r="W139" s="88" t="str">
        <f t="shared" si="229"/>
        <v/>
      </c>
      <c r="X139" s="87" t="s">
        <v>50</v>
      </c>
      <c r="Y139" s="87" t="s">
        <v>50</v>
      </c>
      <c r="Z139" s="87" t="str">
        <f t="shared" si="230"/>
        <v/>
      </c>
      <c r="AA139" s="88" t="str">
        <f t="shared" si="231"/>
        <v/>
      </c>
      <c r="AB139" s="87" t="str">
        <f>IF(Dyn_Insured="","",IF(ISNUMBER(X139)=FALSE,"n/a",MIN(MAX(X139-'Layer Comparison'!Excess_Past,0),'Layer Comparison'!Limit_Past)))</f>
        <v/>
      </c>
      <c r="AC139" s="87" t="str">
        <f>IF(Dyn_Insured="","",IF(ISNUMBER(Y139)=FALSE,"n/a",MIN(MAX(Y139-'Layer Comparison'!Excess_Latest,0),'Layer Comparison'!Limit_Latest)))</f>
        <v/>
      </c>
      <c r="AD139" s="87" t="str">
        <f t="shared" si="232"/>
        <v/>
      </c>
      <c r="AE139" s="88" t="str">
        <f t="shared" si="233"/>
        <v/>
      </c>
      <c r="AF139" s="87" t="s">
        <v>50</v>
      </c>
      <c r="AG139" s="87" t="s">
        <v>50</v>
      </c>
      <c r="AH139" s="87" t="str">
        <f t="shared" si="234"/>
        <v/>
      </c>
      <c r="AI139" s="88" t="str">
        <f t="shared" si="235"/>
        <v/>
      </c>
      <c r="AJ139" s="87" t="str">
        <f>IF(Dyn_Insured="","",IF(ISNUMBER(AF139)=FALSE,"n/a",MIN(MAX(AF139-'Layer Comparison'!Excess_Past,0),'Layer Comparison'!Limit_Past)))</f>
        <v/>
      </c>
      <c r="AK139" s="87" t="str">
        <f>IF(Dyn_Insured="","",IF(ISNUMBER(AG139)=FALSE,"n/a",MIN(MAX(AG139-'Layer Comparison'!Excess_Latest,0),'Layer Comparison'!Limit_Latest)))</f>
        <v/>
      </c>
      <c r="AL139" s="87" t="str">
        <f t="shared" si="236"/>
        <v/>
      </c>
      <c r="AM139" s="88" t="str">
        <f t="shared" si="237"/>
        <v/>
      </c>
      <c r="AN139" s="87" t="s">
        <v>50</v>
      </c>
      <c r="AO139" s="87" t="s">
        <v>50</v>
      </c>
      <c r="AP139" s="87" t="str">
        <f t="shared" si="238"/>
        <v/>
      </c>
      <c r="AQ139" s="88" t="str">
        <f t="shared" si="239"/>
        <v/>
      </c>
      <c r="AR139" s="87" t="str">
        <f>IF(Dyn_Insured="","",IF(ISNUMBER(AN139)=FALSE,"n/a",MIN(MAX(AN139-'Layer Comparison'!Excess_Past,0),'Layer Comparison'!Limit_Past)))</f>
        <v/>
      </c>
      <c r="AS139" s="87" t="str">
        <f>IF(Dyn_Insured="","",IF(ISNUMBER(AO139)=FALSE,"n/a",MIN(MAX(AO139-'Layer Comparison'!Excess_Latest,0),'Layer Comparison'!Limit_Latest)))</f>
        <v/>
      </c>
      <c r="AT139" s="87" t="str">
        <f t="shared" si="240"/>
        <v/>
      </c>
      <c r="AU139" s="88" t="str">
        <f t="shared" si="241"/>
        <v/>
      </c>
      <c r="AV139" s="87" t="s">
        <v>50</v>
      </c>
      <c r="AW139" s="87" t="s">
        <v>50</v>
      </c>
      <c r="AX139" s="87" t="str">
        <f t="shared" si="242"/>
        <v/>
      </c>
      <c r="AY139" s="88" t="str">
        <f t="shared" si="243"/>
        <v/>
      </c>
      <c r="AZ139" s="87" t="str">
        <f>IF(Dyn_Insured="","",IF(ISNUMBER(AV139)=FALSE,"n/a",MIN(MAX(AV139-'Layer Comparison'!Excess_Past,0),'Layer Comparison'!Limit_Past)))</f>
        <v/>
      </c>
      <c r="BA139" s="87" t="str">
        <f>IF(Dyn_Insured="","",IF(ISNUMBER(AW139)=FALSE,"n/a",MIN(MAX(AW139-'Layer Comparison'!Excess_Latest,0),'Layer Comparison'!Limit_Latest)))</f>
        <v/>
      </c>
      <c r="BB139" s="87" t="str">
        <f t="shared" si="244"/>
        <v/>
      </c>
      <c r="BC139" s="88" t="str">
        <f t="shared" si="245"/>
        <v/>
      </c>
      <c r="BD139" s="87" t="s">
        <v>50</v>
      </c>
      <c r="BE139" s="87" t="s">
        <v>50</v>
      </c>
      <c r="BF139" s="87" t="str">
        <f t="shared" si="246"/>
        <v/>
      </c>
      <c r="BG139" s="88" t="str">
        <f t="shared" si="247"/>
        <v/>
      </c>
      <c r="BH139" s="87" t="str">
        <f>IF(Dyn_Insured="","",IF(ISNUMBER(BD139)=FALSE,"n/a",MIN(MAX(BD139-'Layer Comparison'!Excess_Past,0),'Layer Comparison'!Limit_Past)))</f>
        <v/>
      </c>
      <c r="BI139" s="87" t="str">
        <f>IF(Dyn_Insured="","",IF(ISNUMBER(BE139)=FALSE,"n/a",MIN(MAX(BE139-'Layer Comparison'!Excess_Latest,0),'Layer Comparison'!Limit_Latest)))</f>
        <v/>
      </c>
      <c r="BJ139" s="87" t="str">
        <f t="shared" si="248"/>
        <v/>
      </c>
      <c r="BK139" s="88" t="str">
        <f t="shared" si="249"/>
        <v/>
      </c>
      <c r="BL139" s="87" t="s">
        <v>50</v>
      </c>
      <c r="BM139" s="87" t="s">
        <v>50</v>
      </c>
      <c r="BN139" s="87" t="str">
        <f t="shared" si="250"/>
        <v/>
      </c>
      <c r="BO139" s="88" t="str">
        <f t="shared" si="251"/>
        <v/>
      </c>
      <c r="BP139" s="87" t="str">
        <f>IF(Dyn_Insured="","",IF(ISNUMBER(BL139)=FALSE,"n/a",MIN(MAX(BL139-'Layer Comparison'!Excess_Past,0),'Layer Comparison'!Limit_Past)))</f>
        <v/>
      </c>
      <c r="BQ139" s="87" t="str">
        <f>IF(Dyn_Insured="","",IF(ISNUMBER(BM139)=FALSE,"n/a",MIN(MAX(BM139-'Layer Comparison'!Excess_Latest,0),'Layer Comparison'!Limit_Latest)))</f>
        <v/>
      </c>
      <c r="BR139" s="87" t="str">
        <f t="shared" si="252"/>
        <v/>
      </c>
      <c r="BS139" s="88" t="str">
        <f t="shared" si="253"/>
        <v/>
      </c>
      <c r="BT139" s="46" t="s">
        <v>13</v>
      </c>
    </row>
    <row r="140" spans="1:72" hidden="1" outlineLevel="1" x14ac:dyDescent="0.25">
      <c r="A140" s="89" t="s">
        <v>54</v>
      </c>
      <c r="B140" s="89">
        <f t="shared" si="219"/>
        <v>0</v>
      </c>
      <c r="C140" s="89">
        <f t="shared" si="220"/>
        <v>0</v>
      </c>
      <c r="D140" s="90">
        <f t="shared" si="254"/>
        <v>0</v>
      </c>
      <c r="E140" s="90">
        <f t="shared" si="254"/>
        <v>0</v>
      </c>
      <c r="F140" s="48" t="s">
        <v>50</v>
      </c>
      <c r="G140" s="38" t="s">
        <v>50</v>
      </c>
      <c r="H140" s="87" t="s">
        <v>50</v>
      </c>
      <c r="I140" s="87" t="s">
        <v>50</v>
      </c>
      <c r="J140" s="87" t="str">
        <f t="shared" si="222"/>
        <v/>
      </c>
      <c r="K140" s="88" t="str">
        <f t="shared" si="223"/>
        <v/>
      </c>
      <c r="L140" s="87" t="str">
        <f>IF(Dyn_Insured="","",IF(ISNUMBER(H140)=FALSE,"n/a",MIN(MAX(H140-'Layer Comparison'!Excess_Past,0),'Layer Comparison'!Limit_Past)))</f>
        <v/>
      </c>
      <c r="M140" s="87" t="str">
        <f>IF(Dyn_Insured="","",IF(ISNUMBER(I140)=FALSE,"n/a",MIN(MAX(I140-'Layer Comparison'!Excess_Latest,0),'Layer Comparison'!Limit_Latest)))</f>
        <v/>
      </c>
      <c r="N140" s="87" t="str">
        <f t="shared" si="224"/>
        <v/>
      </c>
      <c r="O140" s="88" t="str">
        <f t="shared" si="225"/>
        <v/>
      </c>
      <c r="P140" s="87" t="s">
        <v>50</v>
      </c>
      <c r="Q140" s="87" t="s">
        <v>50</v>
      </c>
      <c r="R140" s="87" t="str">
        <f t="shared" si="226"/>
        <v/>
      </c>
      <c r="S140" s="88" t="str">
        <f t="shared" si="227"/>
        <v/>
      </c>
      <c r="T140" s="87" t="str">
        <f>IF(Dyn_Insured="","",IF(ISNUMBER(P140)=FALSE,"n/a",MIN(MAX(P140-'Layer Comparison'!Excess_Past,0),'Layer Comparison'!Limit_Past)))</f>
        <v/>
      </c>
      <c r="U140" s="87" t="str">
        <f>IF(Dyn_Insured="","",IF(ISNUMBER(Q140)=FALSE,"n/a",MIN(MAX(Q140-'Layer Comparison'!Excess_Latest,0),'Layer Comparison'!Limit_Latest)))</f>
        <v/>
      </c>
      <c r="V140" s="87" t="str">
        <f t="shared" si="228"/>
        <v/>
      </c>
      <c r="W140" s="88" t="str">
        <f t="shared" si="229"/>
        <v/>
      </c>
      <c r="X140" s="87" t="s">
        <v>50</v>
      </c>
      <c r="Y140" s="87" t="s">
        <v>50</v>
      </c>
      <c r="Z140" s="87" t="str">
        <f t="shared" si="230"/>
        <v/>
      </c>
      <c r="AA140" s="88" t="str">
        <f t="shared" si="231"/>
        <v/>
      </c>
      <c r="AB140" s="87" t="str">
        <f>IF(Dyn_Insured="","",IF(ISNUMBER(X140)=FALSE,"n/a",MIN(MAX(X140-'Layer Comparison'!Excess_Past,0),'Layer Comparison'!Limit_Past)))</f>
        <v/>
      </c>
      <c r="AC140" s="87" t="str">
        <f>IF(Dyn_Insured="","",IF(ISNUMBER(Y140)=FALSE,"n/a",MIN(MAX(Y140-'Layer Comparison'!Excess_Latest,0),'Layer Comparison'!Limit_Latest)))</f>
        <v/>
      </c>
      <c r="AD140" s="87" t="str">
        <f t="shared" si="232"/>
        <v/>
      </c>
      <c r="AE140" s="88" t="str">
        <f t="shared" si="233"/>
        <v/>
      </c>
      <c r="AF140" s="87" t="s">
        <v>50</v>
      </c>
      <c r="AG140" s="87" t="s">
        <v>50</v>
      </c>
      <c r="AH140" s="87" t="str">
        <f t="shared" si="234"/>
        <v/>
      </c>
      <c r="AI140" s="88" t="str">
        <f t="shared" si="235"/>
        <v/>
      </c>
      <c r="AJ140" s="87" t="str">
        <f>IF(Dyn_Insured="","",IF(ISNUMBER(AF140)=FALSE,"n/a",MIN(MAX(AF140-'Layer Comparison'!Excess_Past,0),'Layer Comparison'!Limit_Past)))</f>
        <v/>
      </c>
      <c r="AK140" s="87" t="str">
        <f>IF(Dyn_Insured="","",IF(ISNUMBER(AG140)=FALSE,"n/a",MIN(MAX(AG140-'Layer Comparison'!Excess_Latest,0),'Layer Comparison'!Limit_Latest)))</f>
        <v/>
      </c>
      <c r="AL140" s="87" t="str">
        <f t="shared" si="236"/>
        <v/>
      </c>
      <c r="AM140" s="88" t="str">
        <f t="shared" si="237"/>
        <v/>
      </c>
      <c r="AN140" s="87" t="s">
        <v>50</v>
      </c>
      <c r="AO140" s="87" t="s">
        <v>50</v>
      </c>
      <c r="AP140" s="87" t="str">
        <f t="shared" si="238"/>
        <v/>
      </c>
      <c r="AQ140" s="88" t="str">
        <f t="shared" si="239"/>
        <v/>
      </c>
      <c r="AR140" s="87" t="str">
        <f>IF(Dyn_Insured="","",IF(ISNUMBER(AN140)=FALSE,"n/a",MIN(MAX(AN140-'Layer Comparison'!Excess_Past,0),'Layer Comparison'!Limit_Past)))</f>
        <v/>
      </c>
      <c r="AS140" s="87" t="str">
        <f>IF(Dyn_Insured="","",IF(ISNUMBER(AO140)=FALSE,"n/a",MIN(MAX(AO140-'Layer Comparison'!Excess_Latest,0),'Layer Comparison'!Limit_Latest)))</f>
        <v/>
      </c>
      <c r="AT140" s="87" t="str">
        <f t="shared" si="240"/>
        <v/>
      </c>
      <c r="AU140" s="88" t="str">
        <f t="shared" si="241"/>
        <v/>
      </c>
      <c r="AV140" s="87" t="s">
        <v>50</v>
      </c>
      <c r="AW140" s="87" t="s">
        <v>50</v>
      </c>
      <c r="AX140" s="87" t="str">
        <f t="shared" si="242"/>
        <v/>
      </c>
      <c r="AY140" s="88" t="str">
        <f t="shared" si="243"/>
        <v/>
      </c>
      <c r="AZ140" s="87" t="str">
        <f>IF(Dyn_Insured="","",IF(ISNUMBER(AV140)=FALSE,"n/a",MIN(MAX(AV140-'Layer Comparison'!Excess_Past,0),'Layer Comparison'!Limit_Past)))</f>
        <v/>
      </c>
      <c r="BA140" s="87" t="str">
        <f>IF(Dyn_Insured="","",IF(ISNUMBER(AW140)=FALSE,"n/a",MIN(MAX(AW140-'Layer Comparison'!Excess_Latest,0),'Layer Comparison'!Limit_Latest)))</f>
        <v/>
      </c>
      <c r="BB140" s="87" t="str">
        <f t="shared" si="244"/>
        <v/>
      </c>
      <c r="BC140" s="88" t="str">
        <f t="shared" si="245"/>
        <v/>
      </c>
      <c r="BD140" s="87" t="s">
        <v>50</v>
      </c>
      <c r="BE140" s="87" t="s">
        <v>50</v>
      </c>
      <c r="BF140" s="87" t="str">
        <f t="shared" si="246"/>
        <v/>
      </c>
      <c r="BG140" s="88" t="str">
        <f t="shared" si="247"/>
        <v/>
      </c>
      <c r="BH140" s="87" t="str">
        <f>IF(Dyn_Insured="","",IF(ISNUMBER(BD140)=FALSE,"n/a",MIN(MAX(BD140-'Layer Comparison'!Excess_Past,0),'Layer Comparison'!Limit_Past)))</f>
        <v/>
      </c>
      <c r="BI140" s="87" t="str">
        <f>IF(Dyn_Insured="","",IF(ISNUMBER(BE140)=FALSE,"n/a",MIN(MAX(BE140-'Layer Comparison'!Excess_Latest,0),'Layer Comparison'!Limit_Latest)))</f>
        <v/>
      </c>
      <c r="BJ140" s="87" t="str">
        <f t="shared" si="248"/>
        <v/>
      </c>
      <c r="BK140" s="88" t="str">
        <f t="shared" si="249"/>
        <v/>
      </c>
      <c r="BL140" s="87" t="s">
        <v>50</v>
      </c>
      <c r="BM140" s="87" t="s">
        <v>50</v>
      </c>
      <c r="BN140" s="87" t="str">
        <f t="shared" si="250"/>
        <v/>
      </c>
      <c r="BO140" s="88" t="str">
        <f t="shared" si="251"/>
        <v/>
      </c>
      <c r="BP140" s="87" t="str">
        <f>IF(Dyn_Insured="","",IF(ISNUMBER(BL140)=FALSE,"n/a",MIN(MAX(BL140-'Layer Comparison'!Excess_Past,0),'Layer Comparison'!Limit_Past)))</f>
        <v/>
      </c>
      <c r="BQ140" s="87" t="str">
        <f>IF(Dyn_Insured="","",IF(ISNUMBER(BM140)=FALSE,"n/a",MIN(MAX(BM140-'Layer Comparison'!Excess_Latest,0),'Layer Comparison'!Limit_Latest)))</f>
        <v/>
      </c>
      <c r="BR140" s="87" t="str">
        <f t="shared" si="252"/>
        <v/>
      </c>
      <c r="BS140" s="88" t="str">
        <f t="shared" si="253"/>
        <v/>
      </c>
      <c r="BT140" s="46" t="s">
        <v>13</v>
      </c>
    </row>
    <row r="141" spans="1:72" hidden="1" outlineLevel="1" x14ac:dyDescent="0.25">
      <c r="A141" s="89" t="s">
        <v>54</v>
      </c>
      <c r="B141" s="89">
        <f t="shared" si="219"/>
        <v>0</v>
      </c>
      <c r="C141" s="89">
        <f t="shared" si="220"/>
        <v>0</v>
      </c>
      <c r="D141" s="90">
        <f t="shared" si="254"/>
        <v>0</v>
      </c>
      <c r="E141" s="90">
        <f t="shared" si="254"/>
        <v>0</v>
      </c>
      <c r="F141" s="48" t="s">
        <v>50</v>
      </c>
      <c r="G141" s="38" t="s">
        <v>50</v>
      </c>
      <c r="H141" s="87" t="s">
        <v>50</v>
      </c>
      <c r="I141" s="87" t="s">
        <v>50</v>
      </c>
      <c r="J141" s="87" t="str">
        <f t="shared" si="222"/>
        <v/>
      </c>
      <c r="K141" s="88" t="str">
        <f t="shared" si="223"/>
        <v/>
      </c>
      <c r="L141" s="87" t="str">
        <f>IF(Dyn_Insured="","",IF(ISNUMBER(H141)=FALSE,"n/a",MIN(MAX(H141-'Layer Comparison'!Excess_Past,0),'Layer Comparison'!Limit_Past)))</f>
        <v/>
      </c>
      <c r="M141" s="87" t="str">
        <f>IF(Dyn_Insured="","",IF(ISNUMBER(I141)=FALSE,"n/a",MIN(MAX(I141-'Layer Comparison'!Excess_Latest,0),'Layer Comparison'!Limit_Latest)))</f>
        <v/>
      </c>
      <c r="N141" s="87" t="str">
        <f t="shared" si="224"/>
        <v/>
      </c>
      <c r="O141" s="88" t="str">
        <f t="shared" si="225"/>
        <v/>
      </c>
      <c r="P141" s="87" t="s">
        <v>50</v>
      </c>
      <c r="Q141" s="87" t="s">
        <v>50</v>
      </c>
      <c r="R141" s="87" t="str">
        <f t="shared" si="226"/>
        <v/>
      </c>
      <c r="S141" s="88" t="str">
        <f t="shared" si="227"/>
        <v/>
      </c>
      <c r="T141" s="87" t="str">
        <f>IF(Dyn_Insured="","",IF(ISNUMBER(P141)=FALSE,"n/a",MIN(MAX(P141-'Layer Comparison'!Excess_Past,0),'Layer Comparison'!Limit_Past)))</f>
        <v/>
      </c>
      <c r="U141" s="87" t="str">
        <f>IF(Dyn_Insured="","",IF(ISNUMBER(Q141)=FALSE,"n/a",MIN(MAX(Q141-'Layer Comparison'!Excess_Latest,0),'Layer Comparison'!Limit_Latest)))</f>
        <v/>
      </c>
      <c r="V141" s="87" t="str">
        <f t="shared" si="228"/>
        <v/>
      </c>
      <c r="W141" s="88" t="str">
        <f t="shared" si="229"/>
        <v/>
      </c>
      <c r="X141" s="87" t="s">
        <v>50</v>
      </c>
      <c r="Y141" s="87" t="s">
        <v>50</v>
      </c>
      <c r="Z141" s="87" t="str">
        <f t="shared" si="230"/>
        <v/>
      </c>
      <c r="AA141" s="88" t="str">
        <f t="shared" si="231"/>
        <v/>
      </c>
      <c r="AB141" s="87" t="str">
        <f>IF(Dyn_Insured="","",IF(ISNUMBER(X141)=FALSE,"n/a",MIN(MAX(X141-'Layer Comparison'!Excess_Past,0),'Layer Comparison'!Limit_Past)))</f>
        <v/>
      </c>
      <c r="AC141" s="87" t="str">
        <f>IF(Dyn_Insured="","",IF(ISNUMBER(Y141)=FALSE,"n/a",MIN(MAX(Y141-'Layer Comparison'!Excess_Latest,0),'Layer Comparison'!Limit_Latest)))</f>
        <v/>
      </c>
      <c r="AD141" s="87" t="str">
        <f t="shared" si="232"/>
        <v/>
      </c>
      <c r="AE141" s="88" t="str">
        <f t="shared" si="233"/>
        <v/>
      </c>
      <c r="AF141" s="87" t="s">
        <v>50</v>
      </c>
      <c r="AG141" s="87" t="s">
        <v>50</v>
      </c>
      <c r="AH141" s="87" t="str">
        <f t="shared" si="234"/>
        <v/>
      </c>
      <c r="AI141" s="88" t="str">
        <f t="shared" si="235"/>
        <v/>
      </c>
      <c r="AJ141" s="87" t="str">
        <f>IF(Dyn_Insured="","",IF(ISNUMBER(AF141)=FALSE,"n/a",MIN(MAX(AF141-'Layer Comparison'!Excess_Past,0),'Layer Comparison'!Limit_Past)))</f>
        <v/>
      </c>
      <c r="AK141" s="87" t="str">
        <f>IF(Dyn_Insured="","",IF(ISNUMBER(AG141)=FALSE,"n/a",MIN(MAX(AG141-'Layer Comparison'!Excess_Latest,0),'Layer Comparison'!Limit_Latest)))</f>
        <v/>
      </c>
      <c r="AL141" s="87" t="str">
        <f t="shared" si="236"/>
        <v/>
      </c>
      <c r="AM141" s="88" t="str">
        <f t="shared" si="237"/>
        <v/>
      </c>
      <c r="AN141" s="87" t="s">
        <v>50</v>
      </c>
      <c r="AO141" s="87" t="s">
        <v>50</v>
      </c>
      <c r="AP141" s="87" t="str">
        <f t="shared" si="238"/>
        <v/>
      </c>
      <c r="AQ141" s="88" t="str">
        <f t="shared" si="239"/>
        <v/>
      </c>
      <c r="AR141" s="87" t="str">
        <f>IF(Dyn_Insured="","",IF(ISNUMBER(AN141)=FALSE,"n/a",MIN(MAX(AN141-'Layer Comparison'!Excess_Past,0),'Layer Comparison'!Limit_Past)))</f>
        <v/>
      </c>
      <c r="AS141" s="87" t="str">
        <f>IF(Dyn_Insured="","",IF(ISNUMBER(AO141)=FALSE,"n/a",MIN(MAX(AO141-'Layer Comparison'!Excess_Latest,0),'Layer Comparison'!Limit_Latest)))</f>
        <v/>
      </c>
      <c r="AT141" s="87" t="str">
        <f t="shared" si="240"/>
        <v/>
      </c>
      <c r="AU141" s="88" t="str">
        <f t="shared" si="241"/>
        <v/>
      </c>
      <c r="AV141" s="87" t="s">
        <v>50</v>
      </c>
      <c r="AW141" s="87" t="s">
        <v>50</v>
      </c>
      <c r="AX141" s="87" t="str">
        <f t="shared" si="242"/>
        <v/>
      </c>
      <c r="AY141" s="88" t="str">
        <f t="shared" si="243"/>
        <v/>
      </c>
      <c r="AZ141" s="87" t="str">
        <f>IF(Dyn_Insured="","",IF(ISNUMBER(AV141)=FALSE,"n/a",MIN(MAX(AV141-'Layer Comparison'!Excess_Past,0),'Layer Comparison'!Limit_Past)))</f>
        <v/>
      </c>
      <c r="BA141" s="87" t="str">
        <f>IF(Dyn_Insured="","",IF(ISNUMBER(AW141)=FALSE,"n/a",MIN(MAX(AW141-'Layer Comparison'!Excess_Latest,0),'Layer Comparison'!Limit_Latest)))</f>
        <v/>
      </c>
      <c r="BB141" s="87" t="str">
        <f t="shared" si="244"/>
        <v/>
      </c>
      <c r="BC141" s="88" t="str">
        <f t="shared" si="245"/>
        <v/>
      </c>
      <c r="BD141" s="87" t="s">
        <v>50</v>
      </c>
      <c r="BE141" s="87" t="s">
        <v>50</v>
      </c>
      <c r="BF141" s="87" t="str">
        <f t="shared" si="246"/>
        <v/>
      </c>
      <c r="BG141" s="88" t="str">
        <f t="shared" si="247"/>
        <v/>
      </c>
      <c r="BH141" s="87" t="str">
        <f>IF(Dyn_Insured="","",IF(ISNUMBER(BD141)=FALSE,"n/a",MIN(MAX(BD141-'Layer Comparison'!Excess_Past,0),'Layer Comparison'!Limit_Past)))</f>
        <v/>
      </c>
      <c r="BI141" s="87" t="str">
        <f>IF(Dyn_Insured="","",IF(ISNUMBER(BE141)=FALSE,"n/a",MIN(MAX(BE141-'Layer Comparison'!Excess_Latest,0),'Layer Comparison'!Limit_Latest)))</f>
        <v/>
      </c>
      <c r="BJ141" s="87" t="str">
        <f t="shared" si="248"/>
        <v/>
      </c>
      <c r="BK141" s="88" t="str">
        <f t="shared" si="249"/>
        <v/>
      </c>
      <c r="BL141" s="87" t="s">
        <v>50</v>
      </c>
      <c r="BM141" s="87" t="s">
        <v>50</v>
      </c>
      <c r="BN141" s="87" t="str">
        <f t="shared" si="250"/>
        <v/>
      </c>
      <c r="BO141" s="88" t="str">
        <f t="shared" si="251"/>
        <v/>
      </c>
      <c r="BP141" s="87" t="str">
        <f>IF(Dyn_Insured="","",IF(ISNUMBER(BL141)=FALSE,"n/a",MIN(MAX(BL141-'Layer Comparison'!Excess_Past,0),'Layer Comparison'!Limit_Past)))</f>
        <v/>
      </c>
      <c r="BQ141" s="87" t="str">
        <f>IF(Dyn_Insured="","",IF(ISNUMBER(BM141)=FALSE,"n/a",MIN(MAX(BM141-'Layer Comparison'!Excess_Latest,0),'Layer Comparison'!Limit_Latest)))</f>
        <v/>
      </c>
      <c r="BR141" s="87" t="str">
        <f t="shared" si="252"/>
        <v/>
      </c>
      <c r="BS141" s="88" t="str">
        <f t="shared" si="253"/>
        <v/>
      </c>
      <c r="BT141" s="46" t="s">
        <v>13</v>
      </c>
    </row>
    <row r="142" spans="1:72" hidden="1" outlineLevel="1" x14ac:dyDescent="0.25">
      <c r="A142" s="89" t="s">
        <v>54</v>
      </c>
      <c r="B142" s="89">
        <f t="shared" si="219"/>
        <v>0</v>
      </c>
      <c r="C142" s="89">
        <f t="shared" si="220"/>
        <v>0</v>
      </c>
      <c r="D142" s="90">
        <f t="shared" si="254"/>
        <v>0</v>
      </c>
      <c r="E142" s="90">
        <f t="shared" si="254"/>
        <v>0</v>
      </c>
      <c r="F142" s="48" t="s">
        <v>50</v>
      </c>
      <c r="G142" s="38" t="s">
        <v>50</v>
      </c>
      <c r="H142" s="87" t="s">
        <v>50</v>
      </c>
      <c r="I142" s="87" t="s">
        <v>50</v>
      </c>
      <c r="J142" s="87" t="str">
        <f t="shared" si="222"/>
        <v/>
      </c>
      <c r="K142" s="88" t="str">
        <f t="shared" si="223"/>
        <v/>
      </c>
      <c r="L142" s="87" t="str">
        <f>IF(Dyn_Insured="","",IF(ISNUMBER(H142)=FALSE,"n/a",MIN(MAX(H142-'Layer Comparison'!Excess_Past,0),'Layer Comparison'!Limit_Past)))</f>
        <v/>
      </c>
      <c r="M142" s="87" t="str">
        <f>IF(Dyn_Insured="","",IF(ISNUMBER(I142)=FALSE,"n/a",MIN(MAX(I142-'Layer Comparison'!Excess_Latest,0),'Layer Comparison'!Limit_Latest)))</f>
        <v/>
      </c>
      <c r="N142" s="87" t="str">
        <f t="shared" si="224"/>
        <v/>
      </c>
      <c r="O142" s="88" t="str">
        <f t="shared" si="225"/>
        <v/>
      </c>
      <c r="P142" s="87" t="s">
        <v>50</v>
      </c>
      <c r="Q142" s="87" t="s">
        <v>50</v>
      </c>
      <c r="R142" s="87" t="str">
        <f t="shared" si="226"/>
        <v/>
      </c>
      <c r="S142" s="88" t="str">
        <f t="shared" si="227"/>
        <v/>
      </c>
      <c r="T142" s="87" t="str">
        <f>IF(Dyn_Insured="","",IF(ISNUMBER(P142)=FALSE,"n/a",MIN(MAX(P142-'Layer Comparison'!Excess_Past,0),'Layer Comparison'!Limit_Past)))</f>
        <v/>
      </c>
      <c r="U142" s="87" t="str">
        <f>IF(Dyn_Insured="","",IF(ISNUMBER(Q142)=FALSE,"n/a",MIN(MAX(Q142-'Layer Comparison'!Excess_Latest,0),'Layer Comparison'!Limit_Latest)))</f>
        <v/>
      </c>
      <c r="V142" s="87" t="str">
        <f t="shared" si="228"/>
        <v/>
      </c>
      <c r="W142" s="88" t="str">
        <f t="shared" si="229"/>
        <v/>
      </c>
      <c r="X142" s="87" t="s">
        <v>50</v>
      </c>
      <c r="Y142" s="87" t="s">
        <v>50</v>
      </c>
      <c r="Z142" s="87" t="str">
        <f t="shared" si="230"/>
        <v/>
      </c>
      <c r="AA142" s="88" t="str">
        <f t="shared" si="231"/>
        <v/>
      </c>
      <c r="AB142" s="87" t="str">
        <f>IF(Dyn_Insured="","",IF(ISNUMBER(X142)=FALSE,"n/a",MIN(MAX(X142-'Layer Comparison'!Excess_Past,0),'Layer Comparison'!Limit_Past)))</f>
        <v/>
      </c>
      <c r="AC142" s="87" t="str">
        <f>IF(Dyn_Insured="","",IF(ISNUMBER(Y142)=FALSE,"n/a",MIN(MAX(Y142-'Layer Comparison'!Excess_Latest,0),'Layer Comparison'!Limit_Latest)))</f>
        <v/>
      </c>
      <c r="AD142" s="87" t="str">
        <f t="shared" si="232"/>
        <v/>
      </c>
      <c r="AE142" s="88" t="str">
        <f t="shared" si="233"/>
        <v/>
      </c>
      <c r="AF142" s="87" t="s">
        <v>50</v>
      </c>
      <c r="AG142" s="87" t="s">
        <v>50</v>
      </c>
      <c r="AH142" s="87" t="str">
        <f t="shared" si="234"/>
        <v/>
      </c>
      <c r="AI142" s="88" t="str">
        <f t="shared" si="235"/>
        <v/>
      </c>
      <c r="AJ142" s="87" t="str">
        <f>IF(Dyn_Insured="","",IF(ISNUMBER(AF142)=FALSE,"n/a",MIN(MAX(AF142-'Layer Comparison'!Excess_Past,0),'Layer Comparison'!Limit_Past)))</f>
        <v/>
      </c>
      <c r="AK142" s="87" t="str">
        <f>IF(Dyn_Insured="","",IF(ISNUMBER(AG142)=FALSE,"n/a",MIN(MAX(AG142-'Layer Comparison'!Excess_Latest,0),'Layer Comparison'!Limit_Latest)))</f>
        <v/>
      </c>
      <c r="AL142" s="87" t="str">
        <f t="shared" si="236"/>
        <v/>
      </c>
      <c r="AM142" s="88" t="str">
        <f t="shared" si="237"/>
        <v/>
      </c>
      <c r="AN142" s="87" t="s">
        <v>50</v>
      </c>
      <c r="AO142" s="87" t="s">
        <v>50</v>
      </c>
      <c r="AP142" s="87" t="str">
        <f t="shared" si="238"/>
        <v/>
      </c>
      <c r="AQ142" s="88" t="str">
        <f t="shared" si="239"/>
        <v/>
      </c>
      <c r="AR142" s="87" t="str">
        <f>IF(Dyn_Insured="","",IF(ISNUMBER(AN142)=FALSE,"n/a",MIN(MAX(AN142-'Layer Comparison'!Excess_Past,0),'Layer Comparison'!Limit_Past)))</f>
        <v/>
      </c>
      <c r="AS142" s="87" t="str">
        <f>IF(Dyn_Insured="","",IF(ISNUMBER(AO142)=FALSE,"n/a",MIN(MAX(AO142-'Layer Comparison'!Excess_Latest,0),'Layer Comparison'!Limit_Latest)))</f>
        <v/>
      </c>
      <c r="AT142" s="87" t="str">
        <f t="shared" si="240"/>
        <v/>
      </c>
      <c r="AU142" s="88" t="str">
        <f t="shared" si="241"/>
        <v/>
      </c>
      <c r="AV142" s="87" t="s">
        <v>50</v>
      </c>
      <c r="AW142" s="87" t="s">
        <v>50</v>
      </c>
      <c r="AX142" s="87" t="str">
        <f t="shared" si="242"/>
        <v/>
      </c>
      <c r="AY142" s="88" t="str">
        <f t="shared" si="243"/>
        <v/>
      </c>
      <c r="AZ142" s="87" t="str">
        <f>IF(Dyn_Insured="","",IF(ISNUMBER(AV142)=FALSE,"n/a",MIN(MAX(AV142-'Layer Comparison'!Excess_Past,0),'Layer Comparison'!Limit_Past)))</f>
        <v/>
      </c>
      <c r="BA142" s="87" t="str">
        <f>IF(Dyn_Insured="","",IF(ISNUMBER(AW142)=FALSE,"n/a",MIN(MAX(AW142-'Layer Comparison'!Excess_Latest,0),'Layer Comparison'!Limit_Latest)))</f>
        <v/>
      </c>
      <c r="BB142" s="87" t="str">
        <f t="shared" si="244"/>
        <v/>
      </c>
      <c r="BC142" s="88" t="str">
        <f t="shared" si="245"/>
        <v/>
      </c>
      <c r="BD142" s="87" t="s">
        <v>50</v>
      </c>
      <c r="BE142" s="87" t="s">
        <v>50</v>
      </c>
      <c r="BF142" s="87" t="str">
        <f t="shared" si="246"/>
        <v/>
      </c>
      <c r="BG142" s="88" t="str">
        <f t="shared" si="247"/>
        <v/>
      </c>
      <c r="BH142" s="87" t="str">
        <f>IF(Dyn_Insured="","",IF(ISNUMBER(BD142)=FALSE,"n/a",MIN(MAX(BD142-'Layer Comparison'!Excess_Past,0),'Layer Comparison'!Limit_Past)))</f>
        <v/>
      </c>
      <c r="BI142" s="87" t="str">
        <f>IF(Dyn_Insured="","",IF(ISNUMBER(BE142)=FALSE,"n/a",MIN(MAX(BE142-'Layer Comparison'!Excess_Latest,0),'Layer Comparison'!Limit_Latest)))</f>
        <v/>
      </c>
      <c r="BJ142" s="87" t="str">
        <f t="shared" si="248"/>
        <v/>
      </c>
      <c r="BK142" s="88" t="str">
        <f t="shared" si="249"/>
        <v/>
      </c>
      <c r="BL142" s="87" t="s">
        <v>50</v>
      </c>
      <c r="BM142" s="87" t="s">
        <v>50</v>
      </c>
      <c r="BN142" s="87" t="str">
        <f t="shared" si="250"/>
        <v/>
      </c>
      <c r="BO142" s="88" t="str">
        <f t="shared" si="251"/>
        <v/>
      </c>
      <c r="BP142" s="87" t="str">
        <f>IF(Dyn_Insured="","",IF(ISNUMBER(BL142)=FALSE,"n/a",MIN(MAX(BL142-'Layer Comparison'!Excess_Past,0),'Layer Comparison'!Limit_Past)))</f>
        <v/>
      </c>
      <c r="BQ142" s="87" t="str">
        <f>IF(Dyn_Insured="","",IF(ISNUMBER(BM142)=FALSE,"n/a",MIN(MAX(BM142-'Layer Comparison'!Excess_Latest,0),'Layer Comparison'!Limit_Latest)))</f>
        <v/>
      </c>
      <c r="BR142" s="87" t="str">
        <f t="shared" si="252"/>
        <v/>
      </c>
      <c r="BS142" s="88" t="str">
        <f t="shared" si="253"/>
        <v/>
      </c>
      <c r="BT142" s="46" t="s">
        <v>13</v>
      </c>
    </row>
    <row r="143" spans="1:72" hidden="1" outlineLevel="1" x14ac:dyDescent="0.25">
      <c r="A143" s="89" t="s">
        <v>54</v>
      </c>
      <c r="B143" s="89">
        <f t="shared" si="219"/>
        <v>0</v>
      </c>
      <c r="C143" s="89">
        <f t="shared" si="220"/>
        <v>0</v>
      </c>
      <c r="D143" s="90">
        <f t="shared" si="254"/>
        <v>0</v>
      </c>
      <c r="E143" s="90">
        <f t="shared" si="254"/>
        <v>0</v>
      </c>
      <c r="F143" s="48" t="s">
        <v>50</v>
      </c>
      <c r="G143" s="38" t="s">
        <v>50</v>
      </c>
      <c r="H143" s="87" t="s">
        <v>50</v>
      </c>
      <c r="I143" s="87" t="s">
        <v>50</v>
      </c>
      <c r="J143" s="87" t="str">
        <f t="shared" si="222"/>
        <v/>
      </c>
      <c r="K143" s="88" t="str">
        <f t="shared" si="223"/>
        <v/>
      </c>
      <c r="L143" s="87" t="str">
        <f>IF(Dyn_Insured="","",IF(ISNUMBER(H143)=FALSE,"n/a",MIN(MAX(H143-'Layer Comparison'!Excess_Past,0),'Layer Comparison'!Limit_Past)))</f>
        <v/>
      </c>
      <c r="M143" s="87" t="str">
        <f>IF(Dyn_Insured="","",IF(ISNUMBER(I143)=FALSE,"n/a",MIN(MAX(I143-'Layer Comparison'!Excess_Latest,0),'Layer Comparison'!Limit_Latest)))</f>
        <v/>
      </c>
      <c r="N143" s="87" t="str">
        <f t="shared" si="224"/>
        <v/>
      </c>
      <c r="O143" s="88" t="str">
        <f t="shared" si="225"/>
        <v/>
      </c>
      <c r="P143" s="87" t="s">
        <v>50</v>
      </c>
      <c r="Q143" s="87" t="s">
        <v>50</v>
      </c>
      <c r="R143" s="87" t="str">
        <f t="shared" si="226"/>
        <v/>
      </c>
      <c r="S143" s="88" t="str">
        <f t="shared" si="227"/>
        <v/>
      </c>
      <c r="T143" s="87" t="str">
        <f>IF(Dyn_Insured="","",IF(ISNUMBER(P143)=FALSE,"n/a",MIN(MAX(P143-'Layer Comparison'!Excess_Past,0),'Layer Comparison'!Limit_Past)))</f>
        <v/>
      </c>
      <c r="U143" s="87" t="str">
        <f>IF(Dyn_Insured="","",IF(ISNUMBER(Q143)=FALSE,"n/a",MIN(MAX(Q143-'Layer Comparison'!Excess_Latest,0),'Layer Comparison'!Limit_Latest)))</f>
        <v/>
      </c>
      <c r="V143" s="87" t="str">
        <f t="shared" si="228"/>
        <v/>
      </c>
      <c r="W143" s="88" t="str">
        <f t="shared" si="229"/>
        <v/>
      </c>
      <c r="X143" s="87" t="s">
        <v>50</v>
      </c>
      <c r="Y143" s="87" t="s">
        <v>50</v>
      </c>
      <c r="Z143" s="87" t="str">
        <f t="shared" si="230"/>
        <v/>
      </c>
      <c r="AA143" s="88" t="str">
        <f t="shared" si="231"/>
        <v/>
      </c>
      <c r="AB143" s="87" t="str">
        <f>IF(Dyn_Insured="","",IF(ISNUMBER(X143)=FALSE,"n/a",MIN(MAX(X143-'Layer Comparison'!Excess_Past,0),'Layer Comparison'!Limit_Past)))</f>
        <v/>
      </c>
      <c r="AC143" s="87" t="str">
        <f>IF(Dyn_Insured="","",IF(ISNUMBER(Y143)=FALSE,"n/a",MIN(MAX(Y143-'Layer Comparison'!Excess_Latest,0),'Layer Comparison'!Limit_Latest)))</f>
        <v/>
      </c>
      <c r="AD143" s="87" t="str">
        <f t="shared" si="232"/>
        <v/>
      </c>
      <c r="AE143" s="88" t="str">
        <f t="shared" si="233"/>
        <v/>
      </c>
      <c r="AF143" s="87" t="s">
        <v>50</v>
      </c>
      <c r="AG143" s="87" t="s">
        <v>50</v>
      </c>
      <c r="AH143" s="87" t="str">
        <f t="shared" si="234"/>
        <v/>
      </c>
      <c r="AI143" s="88" t="str">
        <f t="shared" si="235"/>
        <v/>
      </c>
      <c r="AJ143" s="87" t="str">
        <f>IF(Dyn_Insured="","",IF(ISNUMBER(AF143)=FALSE,"n/a",MIN(MAX(AF143-'Layer Comparison'!Excess_Past,0),'Layer Comparison'!Limit_Past)))</f>
        <v/>
      </c>
      <c r="AK143" s="87" t="str">
        <f>IF(Dyn_Insured="","",IF(ISNUMBER(AG143)=FALSE,"n/a",MIN(MAX(AG143-'Layer Comparison'!Excess_Latest,0),'Layer Comparison'!Limit_Latest)))</f>
        <v/>
      </c>
      <c r="AL143" s="87" t="str">
        <f t="shared" si="236"/>
        <v/>
      </c>
      <c r="AM143" s="88" t="str">
        <f t="shared" si="237"/>
        <v/>
      </c>
      <c r="AN143" s="87" t="s">
        <v>50</v>
      </c>
      <c r="AO143" s="87" t="s">
        <v>50</v>
      </c>
      <c r="AP143" s="87" t="str">
        <f t="shared" si="238"/>
        <v/>
      </c>
      <c r="AQ143" s="88" t="str">
        <f t="shared" si="239"/>
        <v/>
      </c>
      <c r="AR143" s="87" t="str">
        <f>IF(Dyn_Insured="","",IF(ISNUMBER(AN143)=FALSE,"n/a",MIN(MAX(AN143-'Layer Comparison'!Excess_Past,0),'Layer Comparison'!Limit_Past)))</f>
        <v/>
      </c>
      <c r="AS143" s="87" t="str">
        <f>IF(Dyn_Insured="","",IF(ISNUMBER(AO143)=FALSE,"n/a",MIN(MAX(AO143-'Layer Comparison'!Excess_Latest,0),'Layer Comparison'!Limit_Latest)))</f>
        <v/>
      </c>
      <c r="AT143" s="87" t="str">
        <f t="shared" si="240"/>
        <v/>
      </c>
      <c r="AU143" s="88" t="str">
        <f t="shared" si="241"/>
        <v/>
      </c>
      <c r="AV143" s="87" t="s">
        <v>50</v>
      </c>
      <c r="AW143" s="87" t="s">
        <v>50</v>
      </c>
      <c r="AX143" s="87" t="str">
        <f t="shared" si="242"/>
        <v/>
      </c>
      <c r="AY143" s="88" t="str">
        <f t="shared" si="243"/>
        <v/>
      </c>
      <c r="AZ143" s="87" t="str">
        <f>IF(Dyn_Insured="","",IF(ISNUMBER(AV143)=FALSE,"n/a",MIN(MAX(AV143-'Layer Comparison'!Excess_Past,0),'Layer Comparison'!Limit_Past)))</f>
        <v/>
      </c>
      <c r="BA143" s="87" t="str">
        <f>IF(Dyn_Insured="","",IF(ISNUMBER(AW143)=FALSE,"n/a",MIN(MAX(AW143-'Layer Comparison'!Excess_Latest,0),'Layer Comparison'!Limit_Latest)))</f>
        <v/>
      </c>
      <c r="BB143" s="87" t="str">
        <f t="shared" si="244"/>
        <v/>
      </c>
      <c r="BC143" s="88" t="str">
        <f t="shared" si="245"/>
        <v/>
      </c>
      <c r="BD143" s="87" t="s">
        <v>50</v>
      </c>
      <c r="BE143" s="87" t="s">
        <v>50</v>
      </c>
      <c r="BF143" s="87" t="str">
        <f t="shared" si="246"/>
        <v/>
      </c>
      <c r="BG143" s="88" t="str">
        <f t="shared" si="247"/>
        <v/>
      </c>
      <c r="BH143" s="87" t="str">
        <f>IF(Dyn_Insured="","",IF(ISNUMBER(BD143)=FALSE,"n/a",MIN(MAX(BD143-'Layer Comparison'!Excess_Past,0),'Layer Comparison'!Limit_Past)))</f>
        <v/>
      </c>
      <c r="BI143" s="87" t="str">
        <f>IF(Dyn_Insured="","",IF(ISNUMBER(BE143)=FALSE,"n/a",MIN(MAX(BE143-'Layer Comparison'!Excess_Latest,0),'Layer Comparison'!Limit_Latest)))</f>
        <v/>
      </c>
      <c r="BJ143" s="87" t="str">
        <f t="shared" si="248"/>
        <v/>
      </c>
      <c r="BK143" s="88" t="str">
        <f t="shared" si="249"/>
        <v/>
      </c>
      <c r="BL143" s="87" t="s">
        <v>50</v>
      </c>
      <c r="BM143" s="87" t="s">
        <v>50</v>
      </c>
      <c r="BN143" s="87" t="str">
        <f t="shared" si="250"/>
        <v/>
      </c>
      <c r="BO143" s="88" t="str">
        <f t="shared" si="251"/>
        <v/>
      </c>
      <c r="BP143" s="87" t="str">
        <f>IF(Dyn_Insured="","",IF(ISNUMBER(BL143)=FALSE,"n/a",MIN(MAX(BL143-'Layer Comparison'!Excess_Past,0),'Layer Comparison'!Limit_Past)))</f>
        <v/>
      </c>
      <c r="BQ143" s="87" t="str">
        <f>IF(Dyn_Insured="","",IF(ISNUMBER(BM143)=FALSE,"n/a",MIN(MAX(BM143-'Layer Comparison'!Excess_Latest,0),'Layer Comparison'!Limit_Latest)))</f>
        <v/>
      </c>
      <c r="BR143" s="87" t="str">
        <f t="shared" si="252"/>
        <v/>
      </c>
      <c r="BS143" s="88" t="str">
        <f t="shared" si="253"/>
        <v/>
      </c>
      <c r="BT143" s="46" t="s">
        <v>13</v>
      </c>
    </row>
    <row r="144" spans="1:72" hidden="1" outlineLevel="1" x14ac:dyDescent="0.25">
      <c r="A144" s="89" t="s">
        <v>54</v>
      </c>
      <c r="B144" s="89">
        <f t="shared" si="219"/>
        <v>0</v>
      </c>
      <c r="C144" s="89">
        <f t="shared" si="220"/>
        <v>0</v>
      </c>
      <c r="D144" s="90">
        <f t="shared" si="254"/>
        <v>0</v>
      </c>
      <c r="E144" s="90">
        <f t="shared" si="254"/>
        <v>0</v>
      </c>
      <c r="F144" s="48" t="s">
        <v>50</v>
      </c>
      <c r="G144" s="38" t="s">
        <v>50</v>
      </c>
      <c r="H144" s="87" t="s">
        <v>50</v>
      </c>
      <c r="I144" s="87" t="s">
        <v>50</v>
      </c>
      <c r="J144" s="87" t="str">
        <f t="shared" si="222"/>
        <v/>
      </c>
      <c r="K144" s="88" t="str">
        <f t="shared" si="223"/>
        <v/>
      </c>
      <c r="L144" s="87" t="str">
        <f>IF(Dyn_Insured="","",IF(ISNUMBER(H144)=FALSE,"n/a",MIN(MAX(H144-'Layer Comparison'!Excess_Past,0),'Layer Comparison'!Limit_Past)))</f>
        <v/>
      </c>
      <c r="M144" s="87" t="str">
        <f>IF(Dyn_Insured="","",IF(ISNUMBER(I144)=FALSE,"n/a",MIN(MAX(I144-'Layer Comparison'!Excess_Latest,0),'Layer Comparison'!Limit_Latest)))</f>
        <v/>
      </c>
      <c r="N144" s="87" t="str">
        <f t="shared" si="224"/>
        <v/>
      </c>
      <c r="O144" s="88" t="str">
        <f t="shared" si="225"/>
        <v/>
      </c>
      <c r="P144" s="87" t="s">
        <v>50</v>
      </c>
      <c r="Q144" s="87" t="s">
        <v>50</v>
      </c>
      <c r="R144" s="87" t="str">
        <f t="shared" si="226"/>
        <v/>
      </c>
      <c r="S144" s="88" t="str">
        <f t="shared" si="227"/>
        <v/>
      </c>
      <c r="T144" s="87" t="str">
        <f>IF(Dyn_Insured="","",IF(ISNUMBER(P144)=FALSE,"n/a",MIN(MAX(P144-'Layer Comparison'!Excess_Past,0),'Layer Comparison'!Limit_Past)))</f>
        <v/>
      </c>
      <c r="U144" s="87" t="str">
        <f>IF(Dyn_Insured="","",IF(ISNUMBER(Q144)=FALSE,"n/a",MIN(MAX(Q144-'Layer Comparison'!Excess_Latest,0),'Layer Comparison'!Limit_Latest)))</f>
        <v/>
      </c>
      <c r="V144" s="87" t="str">
        <f t="shared" si="228"/>
        <v/>
      </c>
      <c r="W144" s="88" t="str">
        <f t="shared" si="229"/>
        <v/>
      </c>
      <c r="X144" s="87" t="s">
        <v>50</v>
      </c>
      <c r="Y144" s="87" t="s">
        <v>50</v>
      </c>
      <c r="Z144" s="87" t="str">
        <f t="shared" si="230"/>
        <v/>
      </c>
      <c r="AA144" s="88" t="str">
        <f t="shared" si="231"/>
        <v/>
      </c>
      <c r="AB144" s="87" t="str">
        <f>IF(Dyn_Insured="","",IF(ISNUMBER(X144)=FALSE,"n/a",MIN(MAX(X144-'Layer Comparison'!Excess_Past,0),'Layer Comparison'!Limit_Past)))</f>
        <v/>
      </c>
      <c r="AC144" s="87" t="str">
        <f>IF(Dyn_Insured="","",IF(ISNUMBER(Y144)=FALSE,"n/a",MIN(MAX(Y144-'Layer Comparison'!Excess_Latest,0),'Layer Comparison'!Limit_Latest)))</f>
        <v/>
      </c>
      <c r="AD144" s="87" t="str">
        <f t="shared" si="232"/>
        <v/>
      </c>
      <c r="AE144" s="88" t="str">
        <f t="shared" si="233"/>
        <v/>
      </c>
      <c r="AF144" s="87" t="s">
        <v>50</v>
      </c>
      <c r="AG144" s="87" t="s">
        <v>50</v>
      </c>
      <c r="AH144" s="87" t="str">
        <f t="shared" si="234"/>
        <v/>
      </c>
      <c r="AI144" s="88" t="str">
        <f t="shared" si="235"/>
        <v/>
      </c>
      <c r="AJ144" s="87" t="str">
        <f>IF(Dyn_Insured="","",IF(ISNUMBER(AF144)=FALSE,"n/a",MIN(MAX(AF144-'Layer Comparison'!Excess_Past,0),'Layer Comparison'!Limit_Past)))</f>
        <v/>
      </c>
      <c r="AK144" s="87" t="str">
        <f>IF(Dyn_Insured="","",IF(ISNUMBER(AG144)=FALSE,"n/a",MIN(MAX(AG144-'Layer Comparison'!Excess_Latest,0),'Layer Comparison'!Limit_Latest)))</f>
        <v/>
      </c>
      <c r="AL144" s="87" t="str">
        <f t="shared" si="236"/>
        <v/>
      </c>
      <c r="AM144" s="88" t="str">
        <f t="shared" si="237"/>
        <v/>
      </c>
      <c r="AN144" s="87" t="s">
        <v>50</v>
      </c>
      <c r="AO144" s="87" t="s">
        <v>50</v>
      </c>
      <c r="AP144" s="87" t="str">
        <f t="shared" si="238"/>
        <v/>
      </c>
      <c r="AQ144" s="88" t="str">
        <f t="shared" si="239"/>
        <v/>
      </c>
      <c r="AR144" s="87" t="str">
        <f>IF(Dyn_Insured="","",IF(ISNUMBER(AN144)=FALSE,"n/a",MIN(MAX(AN144-'Layer Comparison'!Excess_Past,0),'Layer Comparison'!Limit_Past)))</f>
        <v/>
      </c>
      <c r="AS144" s="87" t="str">
        <f>IF(Dyn_Insured="","",IF(ISNUMBER(AO144)=FALSE,"n/a",MIN(MAX(AO144-'Layer Comparison'!Excess_Latest,0),'Layer Comparison'!Limit_Latest)))</f>
        <v/>
      </c>
      <c r="AT144" s="87" t="str">
        <f t="shared" si="240"/>
        <v/>
      </c>
      <c r="AU144" s="88" t="str">
        <f t="shared" si="241"/>
        <v/>
      </c>
      <c r="AV144" s="87" t="s">
        <v>50</v>
      </c>
      <c r="AW144" s="87" t="s">
        <v>50</v>
      </c>
      <c r="AX144" s="87" t="str">
        <f t="shared" si="242"/>
        <v/>
      </c>
      <c r="AY144" s="88" t="str">
        <f t="shared" si="243"/>
        <v/>
      </c>
      <c r="AZ144" s="87" t="str">
        <f>IF(Dyn_Insured="","",IF(ISNUMBER(AV144)=FALSE,"n/a",MIN(MAX(AV144-'Layer Comparison'!Excess_Past,0),'Layer Comparison'!Limit_Past)))</f>
        <v/>
      </c>
      <c r="BA144" s="87" t="str">
        <f>IF(Dyn_Insured="","",IF(ISNUMBER(AW144)=FALSE,"n/a",MIN(MAX(AW144-'Layer Comparison'!Excess_Latest,0),'Layer Comparison'!Limit_Latest)))</f>
        <v/>
      </c>
      <c r="BB144" s="87" t="str">
        <f t="shared" si="244"/>
        <v/>
      </c>
      <c r="BC144" s="88" t="str">
        <f t="shared" si="245"/>
        <v/>
      </c>
      <c r="BD144" s="87" t="s">
        <v>50</v>
      </c>
      <c r="BE144" s="87" t="s">
        <v>50</v>
      </c>
      <c r="BF144" s="87" t="str">
        <f t="shared" si="246"/>
        <v/>
      </c>
      <c r="BG144" s="88" t="str">
        <f t="shared" si="247"/>
        <v/>
      </c>
      <c r="BH144" s="87" t="str">
        <f>IF(Dyn_Insured="","",IF(ISNUMBER(BD144)=FALSE,"n/a",MIN(MAX(BD144-'Layer Comparison'!Excess_Past,0),'Layer Comparison'!Limit_Past)))</f>
        <v/>
      </c>
      <c r="BI144" s="87" t="str">
        <f>IF(Dyn_Insured="","",IF(ISNUMBER(BE144)=FALSE,"n/a",MIN(MAX(BE144-'Layer Comparison'!Excess_Latest,0),'Layer Comparison'!Limit_Latest)))</f>
        <v/>
      </c>
      <c r="BJ144" s="87" t="str">
        <f t="shared" si="248"/>
        <v/>
      </c>
      <c r="BK144" s="88" t="str">
        <f t="shared" si="249"/>
        <v/>
      </c>
      <c r="BL144" s="87" t="s">
        <v>50</v>
      </c>
      <c r="BM144" s="87" t="s">
        <v>50</v>
      </c>
      <c r="BN144" s="87" t="str">
        <f t="shared" si="250"/>
        <v/>
      </c>
      <c r="BO144" s="88" t="str">
        <f t="shared" si="251"/>
        <v/>
      </c>
      <c r="BP144" s="87" t="str">
        <f>IF(Dyn_Insured="","",IF(ISNUMBER(BL144)=FALSE,"n/a",MIN(MAX(BL144-'Layer Comparison'!Excess_Past,0),'Layer Comparison'!Limit_Past)))</f>
        <v/>
      </c>
      <c r="BQ144" s="87" t="str">
        <f>IF(Dyn_Insured="","",IF(ISNUMBER(BM144)=FALSE,"n/a",MIN(MAX(BM144-'Layer Comparison'!Excess_Latest,0),'Layer Comparison'!Limit_Latest)))</f>
        <v/>
      </c>
      <c r="BR144" s="87" t="str">
        <f t="shared" si="252"/>
        <v/>
      </c>
      <c r="BS144" s="88" t="str">
        <f t="shared" si="253"/>
        <v/>
      </c>
      <c r="BT144" s="46" t="s">
        <v>13</v>
      </c>
    </row>
    <row r="145" spans="1:72" hidden="1" outlineLevel="1" x14ac:dyDescent="0.25">
      <c r="A145" s="89" t="s">
        <v>54</v>
      </c>
      <c r="B145" s="89">
        <f t="shared" si="219"/>
        <v>0</v>
      </c>
      <c r="C145" s="89">
        <f t="shared" si="220"/>
        <v>0</v>
      </c>
      <c r="D145" s="90">
        <f t="shared" si="254"/>
        <v>0</v>
      </c>
      <c r="E145" s="90">
        <f t="shared" si="254"/>
        <v>0</v>
      </c>
      <c r="F145" s="48" t="s">
        <v>50</v>
      </c>
      <c r="G145" s="38" t="s">
        <v>50</v>
      </c>
      <c r="H145" s="87" t="s">
        <v>50</v>
      </c>
      <c r="I145" s="87" t="s">
        <v>50</v>
      </c>
      <c r="J145" s="87" t="str">
        <f t="shared" ref="J145:J162" si="255">IF(Dyn_Insured="","",IF(ISNUMBER(I145)=FALSE,0,I145)-IF(ISNUMBER(H145)=FALSE,0,H145))</f>
        <v/>
      </c>
      <c r="K145" s="88" t="str">
        <f t="shared" si="223"/>
        <v/>
      </c>
      <c r="L145" s="87" t="str">
        <f>IF(Dyn_Insured="","",IF(ISNUMBER(H145)=FALSE,"n/a",MIN(MAX(H145-'Layer Comparison'!Excess_Past,0),'Layer Comparison'!Limit_Past)))</f>
        <v/>
      </c>
      <c r="M145" s="87" t="str">
        <f>IF(Dyn_Insured="","",IF(ISNUMBER(I145)=FALSE,"n/a",MIN(MAX(I145-'Layer Comparison'!Excess_Latest,0),'Layer Comparison'!Limit_Latest)))</f>
        <v/>
      </c>
      <c r="N145" s="87" t="str">
        <f t="shared" ref="N145:N162" si="256">IF(Dyn_Insured="","",IF(ISNUMBER(M145)=FALSE,0,M145)-IF(ISNUMBER(L145)=FALSE,0,L145))</f>
        <v/>
      </c>
      <c r="O145" s="88" t="str">
        <f t="shared" si="225"/>
        <v/>
      </c>
      <c r="P145" s="87" t="s">
        <v>50</v>
      </c>
      <c r="Q145" s="87" t="s">
        <v>50</v>
      </c>
      <c r="R145" s="87" t="str">
        <f t="shared" ref="R145:R162" si="257">IF(Dyn_Insured="","",IF(ISNUMBER(Q145)=FALSE,0,Q145)-IF(ISNUMBER(P145)=FALSE,0,P145))</f>
        <v/>
      </c>
      <c r="S145" s="88" t="str">
        <f t="shared" si="227"/>
        <v/>
      </c>
      <c r="T145" s="87" t="str">
        <f>IF(Dyn_Insured="","",IF(ISNUMBER(P145)=FALSE,"n/a",MIN(MAX(P145-'Layer Comparison'!Excess_Past,0),'Layer Comparison'!Limit_Past)))</f>
        <v/>
      </c>
      <c r="U145" s="87" t="str">
        <f>IF(Dyn_Insured="","",IF(ISNUMBER(Q145)=FALSE,"n/a",MIN(MAX(Q145-'Layer Comparison'!Excess_Latest,0),'Layer Comparison'!Limit_Latest)))</f>
        <v/>
      </c>
      <c r="V145" s="87" t="str">
        <f t="shared" ref="V145:V162" si="258">IF(Dyn_Insured="","",IF(ISNUMBER(U145)=FALSE,0,U145)-IF(ISNUMBER(T145)=FALSE,0,T145))</f>
        <v/>
      </c>
      <c r="W145" s="88" t="str">
        <f t="shared" si="229"/>
        <v/>
      </c>
      <c r="X145" s="87" t="s">
        <v>50</v>
      </c>
      <c r="Y145" s="87" t="s">
        <v>50</v>
      </c>
      <c r="Z145" s="87" t="str">
        <f t="shared" ref="Z145:Z162" si="259">IF(Dyn_Insured="","",IF(ISNUMBER(Y145)=FALSE,0,Y145)-IF(ISNUMBER(X145)=FALSE,0,X145))</f>
        <v/>
      </c>
      <c r="AA145" s="88" t="str">
        <f t="shared" si="231"/>
        <v/>
      </c>
      <c r="AB145" s="87" t="str">
        <f>IF(Dyn_Insured="","",IF(ISNUMBER(X145)=FALSE,"n/a",MIN(MAX(X145-'Layer Comparison'!Excess_Past,0),'Layer Comparison'!Limit_Past)))</f>
        <v/>
      </c>
      <c r="AC145" s="87" t="str">
        <f>IF(Dyn_Insured="","",IF(ISNUMBER(Y145)=FALSE,"n/a",MIN(MAX(Y145-'Layer Comparison'!Excess_Latest,0),'Layer Comparison'!Limit_Latest)))</f>
        <v/>
      </c>
      <c r="AD145" s="87" t="str">
        <f t="shared" ref="AD145:AD162" si="260">IF(Dyn_Insured="","",IF(ISNUMBER(AC145)=FALSE,0,AC145)-IF(ISNUMBER(AB145)=FALSE,0,AB145))</f>
        <v/>
      </c>
      <c r="AE145" s="88" t="str">
        <f t="shared" si="233"/>
        <v/>
      </c>
      <c r="AF145" s="87" t="s">
        <v>50</v>
      </c>
      <c r="AG145" s="87" t="s">
        <v>50</v>
      </c>
      <c r="AH145" s="87" t="str">
        <f t="shared" ref="AH145:AH162" si="261">IF(Dyn_Insured="","",IF(ISNUMBER(AG145)=FALSE,0,AG145)-IF(ISNUMBER(AF145)=FALSE,0,AF145))</f>
        <v/>
      </c>
      <c r="AI145" s="88" t="str">
        <f t="shared" si="235"/>
        <v/>
      </c>
      <c r="AJ145" s="87" t="str">
        <f>IF(Dyn_Insured="","",IF(ISNUMBER(AF145)=FALSE,"n/a",MIN(MAX(AF145-'Layer Comparison'!Excess_Past,0),'Layer Comparison'!Limit_Past)))</f>
        <v/>
      </c>
      <c r="AK145" s="87" t="str">
        <f>IF(Dyn_Insured="","",IF(ISNUMBER(AG145)=FALSE,"n/a",MIN(MAX(AG145-'Layer Comparison'!Excess_Latest,0),'Layer Comparison'!Limit_Latest)))</f>
        <v/>
      </c>
      <c r="AL145" s="87" t="str">
        <f t="shared" ref="AL145:AL162" si="262">IF(Dyn_Insured="","",IF(ISNUMBER(AK145)=FALSE,0,AK145)-IF(ISNUMBER(AJ145)=FALSE,0,AJ145))</f>
        <v/>
      </c>
      <c r="AM145" s="88" t="str">
        <f t="shared" si="237"/>
        <v/>
      </c>
      <c r="AN145" s="87" t="s">
        <v>50</v>
      </c>
      <c r="AO145" s="87" t="s">
        <v>50</v>
      </c>
      <c r="AP145" s="87" t="str">
        <f t="shared" ref="AP145:AP162" si="263">IF(Dyn_Insured="","",IF(ISNUMBER(AO145)=FALSE,0,AO145)-IF(ISNUMBER(AN145)=FALSE,0,AN145))</f>
        <v/>
      </c>
      <c r="AQ145" s="88" t="str">
        <f t="shared" si="239"/>
        <v/>
      </c>
      <c r="AR145" s="87" t="str">
        <f>IF(Dyn_Insured="","",IF(ISNUMBER(AN145)=FALSE,"n/a",MIN(MAX(AN145-'Layer Comparison'!Excess_Past,0),'Layer Comparison'!Limit_Past)))</f>
        <v/>
      </c>
      <c r="AS145" s="87" t="str">
        <f>IF(Dyn_Insured="","",IF(ISNUMBER(AO145)=FALSE,"n/a",MIN(MAX(AO145-'Layer Comparison'!Excess_Latest,0),'Layer Comparison'!Limit_Latest)))</f>
        <v/>
      </c>
      <c r="AT145" s="87" t="str">
        <f t="shared" ref="AT145:AT162" si="264">IF(Dyn_Insured="","",IF(ISNUMBER(AS145)=FALSE,0,AS145)-IF(ISNUMBER(AR145)=FALSE,0,AR145))</f>
        <v/>
      </c>
      <c r="AU145" s="88" t="str">
        <f t="shared" si="241"/>
        <v/>
      </c>
      <c r="AV145" s="87" t="s">
        <v>50</v>
      </c>
      <c r="AW145" s="87" t="s">
        <v>50</v>
      </c>
      <c r="AX145" s="87" t="str">
        <f t="shared" ref="AX145:AX162" si="265">IF(Dyn_Insured="","",IF(ISNUMBER(AW145)=FALSE,0,AW145)-IF(ISNUMBER(AV145)=FALSE,0,AV145))</f>
        <v/>
      </c>
      <c r="AY145" s="88" t="str">
        <f t="shared" si="243"/>
        <v/>
      </c>
      <c r="AZ145" s="87" t="str">
        <f>IF(Dyn_Insured="","",IF(ISNUMBER(AV145)=FALSE,"n/a",MIN(MAX(AV145-'Layer Comparison'!Excess_Past,0),'Layer Comparison'!Limit_Past)))</f>
        <v/>
      </c>
      <c r="BA145" s="87" t="str">
        <f>IF(Dyn_Insured="","",IF(ISNUMBER(AW145)=FALSE,"n/a",MIN(MAX(AW145-'Layer Comparison'!Excess_Latest,0),'Layer Comparison'!Limit_Latest)))</f>
        <v/>
      </c>
      <c r="BB145" s="87" t="str">
        <f t="shared" ref="BB145:BB162" si="266">IF(Dyn_Insured="","",IF(ISNUMBER(BA145)=FALSE,0,BA145)-IF(ISNUMBER(AZ145)=FALSE,0,AZ145))</f>
        <v/>
      </c>
      <c r="BC145" s="88" t="str">
        <f t="shared" si="245"/>
        <v/>
      </c>
      <c r="BD145" s="87" t="s">
        <v>50</v>
      </c>
      <c r="BE145" s="87" t="s">
        <v>50</v>
      </c>
      <c r="BF145" s="87" t="str">
        <f t="shared" ref="BF145:BF162" si="267">IF(Dyn_Insured="","",IF(ISNUMBER(BE145)=FALSE,0,BE145)-IF(ISNUMBER(BD145)=FALSE,0,BD145))</f>
        <v/>
      </c>
      <c r="BG145" s="88" t="str">
        <f t="shared" si="247"/>
        <v/>
      </c>
      <c r="BH145" s="87" t="str">
        <f>IF(Dyn_Insured="","",IF(ISNUMBER(BD145)=FALSE,"n/a",MIN(MAX(BD145-'Layer Comparison'!Excess_Past,0),'Layer Comparison'!Limit_Past)))</f>
        <v/>
      </c>
      <c r="BI145" s="87" t="str">
        <f>IF(Dyn_Insured="","",IF(ISNUMBER(BE145)=FALSE,"n/a",MIN(MAX(BE145-'Layer Comparison'!Excess_Latest,0),'Layer Comparison'!Limit_Latest)))</f>
        <v/>
      </c>
      <c r="BJ145" s="87" t="str">
        <f t="shared" ref="BJ145:BJ162" si="268">IF(Dyn_Insured="","",IF(ISNUMBER(BI145)=FALSE,0,BI145)-IF(ISNUMBER(BH145)=FALSE,0,BH145))</f>
        <v/>
      </c>
      <c r="BK145" s="88" t="str">
        <f t="shared" si="249"/>
        <v/>
      </c>
      <c r="BL145" s="87" t="s">
        <v>50</v>
      </c>
      <c r="BM145" s="87" t="s">
        <v>50</v>
      </c>
      <c r="BN145" s="87" t="str">
        <f t="shared" ref="BN145:BN162" si="269">IF(Dyn_Insured="","",IF(ISNUMBER(BM145)=FALSE,0,BM145)-IF(ISNUMBER(BL145)=FALSE,0,BL145))</f>
        <v/>
      </c>
      <c r="BO145" s="88" t="str">
        <f t="shared" si="251"/>
        <v/>
      </c>
      <c r="BP145" s="87" t="str">
        <f>IF(Dyn_Insured="","",IF(ISNUMBER(BL145)=FALSE,"n/a",MIN(MAX(BL145-'Layer Comparison'!Excess_Past,0),'Layer Comparison'!Limit_Past)))</f>
        <v/>
      </c>
      <c r="BQ145" s="87" t="str">
        <f>IF(Dyn_Insured="","",IF(ISNUMBER(BM145)=FALSE,"n/a",MIN(MAX(BM145-'Layer Comparison'!Excess_Latest,0),'Layer Comparison'!Limit_Latest)))</f>
        <v/>
      </c>
      <c r="BR145" s="87" t="str">
        <f t="shared" ref="BR145:BR162" si="270">IF(Dyn_Insured="","",IF(ISNUMBER(BQ145)=FALSE,0,BQ145)-IF(ISNUMBER(BP145)=FALSE,0,BP145))</f>
        <v/>
      </c>
      <c r="BS145" s="88" t="str">
        <f t="shared" si="253"/>
        <v/>
      </c>
      <c r="BT145" s="46" t="s">
        <v>13</v>
      </c>
    </row>
    <row r="146" spans="1:72" hidden="1" outlineLevel="1" x14ac:dyDescent="0.25">
      <c r="A146" s="89" t="s">
        <v>54</v>
      </c>
      <c r="B146" s="89">
        <f t="shared" si="219"/>
        <v>0</v>
      </c>
      <c r="C146" s="89">
        <f t="shared" si="220"/>
        <v>0</v>
      </c>
      <c r="D146" s="90">
        <f t="shared" si="254"/>
        <v>0</v>
      </c>
      <c r="E146" s="90">
        <f t="shared" si="254"/>
        <v>0</v>
      </c>
      <c r="F146" s="48" t="s">
        <v>50</v>
      </c>
      <c r="G146" s="38" t="s">
        <v>50</v>
      </c>
      <c r="H146" s="87" t="s">
        <v>50</v>
      </c>
      <c r="I146" s="87" t="s">
        <v>50</v>
      </c>
      <c r="J146" s="87" t="str">
        <f t="shared" si="255"/>
        <v/>
      </c>
      <c r="K146" s="88" t="str">
        <f t="shared" si="223"/>
        <v/>
      </c>
      <c r="L146" s="87" t="str">
        <f>IF(Dyn_Insured="","",IF(ISNUMBER(H146)=FALSE,"n/a",MIN(MAX(H146-'Layer Comparison'!Excess_Past,0),'Layer Comparison'!Limit_Past)))</f>
        <v/>
      </c>
      <c r="M146" s="87" t="str">
        <f>IF(Dyn_Insured="","",IF(ISNUMBER(I146)=FALSE,"n/a",MIN(MAX(I146-'Layer Comparison'!Excess_Latest,0),'Layer Comparison'!Limit_Latest)))</f>
        <v/>
      </c>
      <c r="N146" s="87" t="str">
        <f t="shared" si="256"/>
        <v/>
      </c>
      <c r="O146" s="88" t="str">
        <f t="shared" si="225"/>
        <v/>
      </c>
      <c r="P146" s="87" t="s">
        <v>50</v>
      </c>
      <c r="Q146" s="87" t="s">
        <v>50</v>
      </c>
      <c r="R146" s="87" t="str">
        <f t="shared" si="257"/>
        <v/>
      </c>
      <c r="S146" s="88" t="str">
        <f t="shared" si="227"/>
        <v/>
      </c>
      <c r="T146" s="87" t="str">
        <f>IF(Dyn_Insured="","",IF(ISNUMBER(P146)=FALSE,"n/a",MIN(MAX(P146-'Layer Comparison'!Excess_Past,0),'Layer Comparison'!Limit_Past)))</f>
        <v/>
      </c>
      <c r="U146" s="87" t="str">
        <f>IF(Dyn_Insured="","",IF(ISNUMBER(Q146)=FALSE,"n/a",MIN(MAX(Q146-'Layer Comparison'!Excess_Latest,0),'Layer Comparison'!Limit_Latest)))</f>
        <v/>
      </c>
      <c r="V146" s="87" t="str">
        <f t="shared" si="258"/>
        <v/>
      </c>
      <c r="W146" s="88" t="str">
        <f t="shared" si="229"/>
        <v/>
      </c>
      <c r="X146" s="87" t="s">
        <v>50</v>
      </c>
      <c r="Y146" s="87" t="s">
        <v>50</v>
      </c>
      <c r="Z146" s="87" t="str">
        <f t="shared" si="259"/>
        <v/>
      </c>
      <c r="AA146" s="88" t="str">
        <f t="shared" si="231"/>
        <v/>
      </c>
      <c r="AB146" s="87" t="str">
        <f>IF(Dyn_Insured="","",IF(ISNUMBER(X146)=FALSE,"n/a",MIN(MAX(X146-'Layer Comparison'!Excess_Past,0),'Layer Comparison'!Limit_Past)))</f>
        <v/>
      </c>
      <c r="AC146" s="87" t="str">
        <f>IF(Dyn_Insured="","",IF(ISNUMBER(Y146)=FALSE,"n/a",MIN(MAX(Y146-'Layer Comparison'!Excess_Latest,0),'Layer Comparison'!Limit_Latest)))</f>
        <v/>
      </c>
      <c r="AD146" s="87" t="str">
        <f t="shared" si="260"/>
        <v/>
      </c>
      <c r="AE146" s="88" t="str">
        <f t="shared" si="233"/>
        <v/>
      </c>
      <c r="AF146" s="87" t="s">
        <v>50</v>
      </c>
      <c r="AG146" s="87" t="s">
        <v>50</v>
      </c>
      <c r="AH146" s="87" t="str">
        <f t="shared" si="261"/>
        <v/>
      </c>
      <c r="AI146" s="88" t="str">
        <f t="shared" si="235"/>
        <v/>
      </c>
      <c r="AJ146" s="87" t="str">
        <f>IF(Dyn_Insured="","",IF(ISNUMBER(AF146)=FALSE,"n/a",MIN(MAX(AF146-'Layer Comparison'!Excess_Past,0),'Layer Comparison'!Limit_Past)))</f>
        <v/>
      </c>
      <c r="AK146" s="87" t="str">
        <f>IF(Dyn_Insured="","",IF(ISNUMBER(AG146)=FALSE,"n/a",MIN(MAX(AG146-'Layer Comparison'!Excess_Latest,0),'Layer Comparison'!Limit_Latest)))</f>
        <v/>
      </c>
      <c r="AL146" s="87" t="str">
        <f t="shared" si="262"/>
        <v/>
      </c>
      <c r="AM146" s="88" t="str">
        <f t="shared" si="237"/>
        <v/>
      </c>
      <c r="AN146" s="87" t="s">
        <v>50</v>
      </c>
      <c r="AO146" s="87" t="s">
        <v>50</v>
      </c>
      <c r="AP146" s="87" t="str">
        <f t="shared" si="263"/>
        <v/>
      </c>
      <c r="AQ146" s="88" t="str">
        <f t="shared" si="239"/>
        <v/>
      </c>
      <c r="AR146" s="87" t="str">
        <f>IF(Dyn_Insured="","",IF(ISNUMBER(AN146)=FALSE,"n/a",MIN(MAX(AN146-'Layer Comparison'!Excess_Past,0),'Layer Comparison'!Limit_Past)))</f>
        <v/>
      </c>
      <c r="AS146" s="87" t="str">
        <f>IF(Dyn_Insured="","",IF(ISNUMBER(AO146)=FALSE,"n/a",MIN(MAX(AO146-'Layer Comparison'!Excess_Latest,0),'Layer Comparison'!Limit_Latest)))</f>
        <v/>
      </c>
      <c r="AT146" s="87" t="str">
        <f t="shared" si="264"/>
        <v/>
      </c>
      <c r="AU146" s="88" t="str">
        <f t="shared" si="241"/>
        <v/>
      </c>
      <c r="AV146" s="87" t="s">
        <v>50</v>
      </c>
      <c r="AW146" s="87" t="s">
        <v>50</v>
      </c>
      <c r="AX146" s="87" t="str">
        <f t="shared" si="265"/>
        <v/>
      </c>
      <c r="AY146" s="88" t="str">
        <f t="shared" si="243"/>
        <v/>
      </c>
      <c r="AZ146" s="87" t="str">
        <f>IF(Dyn_Insured="","",IF(ISNUMBER(AV146)=FALSE,"n/a",MIN(MAX(AV146-'Layer Comparison'!Excess_Past,0),'Layer Comparison'!Limit_Past)))</f>
        <v/>
      </c>
      <c r="BA146" s="87" t="str">
        <f>IF(Dyn_Insured="","",IF(ISNUMBER(AW146)=FALSE,"n/a",MIN(MAX(AW146-'Layer Comparison'!Excess_Latest,0),'Layer Comparison'!Limit_Latest)))</f>
        <v/>
      </c>
      <c r="BB146" s="87" t="str">
        <f t="shared" si="266"/>
        <v/>
      </c>
      <c r="BC146" s="88" t="str">
        <f t="shared" si="245"/>
        <v/>
      </c>
      <c r="BD146" s="87" t="s">
        <v>50</v>
      </c>
      <c r="BE146" s="87" t="s">
        <v>50</v>
      </c>
      <c r="BF146" s="87" t="str">
        <f t="shared" si="267"/>
        <v/>
      </c>
      <c r="BG146" s="88" t="str">
        <f t="shared" si="247"/>
        <v/>
      </c>
      <c r="BH146" s="87" t="str">
        <f>IF(Dyn_Insured="","",IF(ISNUMBER(BD146)=FALSE,"n/a",MIN(MAX(BD146-'Layer Comparison'!Excess_Past,0),'Layer Comparison'!Limit_Past)))</f>
        <v/>
      </c>
      <c r="BI146" s="87" t="str">
        <f>IF(Dyn_Insured="","",IF(ISNUMBER(BE146)=FALSE,"n/a",MIN(MAX(BE146-'Layer Comparison'!Excess_Latest,0),'Layer Comparison'!Limit_Latest)))</f>
        <v/>
      </c>
      <c r="BJ146" s="87" t="str">
        <f t="shared" si="268"/>
        <v/>
      </c>
      <c r="BK146" s="88" t="str">
        <f t="shared" si="249"/>
        <v/>
      </c>
      <c r="BL146" s="87" t="s">
        <v>50</v>
      </c>
      <c r="BM146" s="87" t="s">
        <v>50</v>
      </c>
      <c r="BN146" s="87" t="str">
        <f t="shared" si="269"/>
        <v/>
      </c>
      <c r="BO146" s="88" t="str">
        <f t="shared" si="251"/>
        <v/>
      </c>
      <c r="BP146" s="87" t="str">
        <f>IF(Dyn_Insured="","",IF(ISNUMBER(BL146)=FALSE,"n/a",MIN(MAX(BL146-'Layer Comparison'!Excess_Past,0),'Layer Comparison'!Limit_Past)))</f>
        <v/>
      </c>
      <c r="BQ146" s="87" t="str">
        <f>IF(Dyn_Insured="","",IF(ISNUMBER(BM146)=FALSE,"n/a",MIN(MAX(BM146-'Layer Comparison'!Excess_Latest,0),'Layer Comparison'!Limit_Latest)))</f>
        <v/>
      </c>
      <c r="BR146" s="87" t="str">
        <f t="shared" si="270"/>
        <v/>
      </c>
      <c r="BS146" s="88" t="str">
        <f t="shared" si="253"/>
        <v/>
      </c>
      <c r="BT146" s="46" t="s">
        <v>13</v>
      </c>
    </row>
    <row r="147" spans="1:72" hidden="1" outlineLevel="1" x14ac:dyDescent="0.25">
      <c r="A147" s="89" t="s">
        <v>54</v>
      </c>
      <c r="B147" s="89">
        <f t="shared" si="219"/>
        <v>0</v>
      </c>
      <c r="C147" s="89">
        <f t="shared" si="220"/>
        <v>0</v>
      </c>
      <c r="D147" s="90">
        <f t="shared" si="254"/>
        <v>0</v>
      </c>
      <c r="E147" s="90">
        <f t="shared" si="254"/>
        <v>0</v>
      </c>
      <c r="F147" s="48" t="s">
        <v>50</v>
      </c>
      <c r="G147" s="38" t="s">
        <v>50</v>
      </c>
      <c r="H147" s="87" t="s">
        <v>50</v>
      </c>
      <c r="I147" s="87" t="s">
        <v>50</v>
      </c>
      <c r="J147" s="87" t="str">
        <f t="shared" si="255"/>
        <v/>
      </c>
      <c r="K147" s="88" t="str">
        <f t="shared" si="223"/>
        <v/>
      </c>
      <c r="L147" s="87" t="str">
        <f>IF(Dyn_Insured="","",IF(ISNUMBER(H147)=FALSE,"n/a",MIN(MAX(H147-'Layer Comparison'!Excess_Past,0),'Layer Comparison'!Limit_Past)))</f>
        <v/>
      </c>
      <c r="M147" s="87" t="str">
        <f>IF(Dyn_Insured="","",IF(ISNUMBER(I147)=FALSE,"n/a",MIN(MAX(I147-'Layer Comparison'!Excess_Latest,0),'Layer Comparison'!Limit_Latest)))</f>
        <v/>
      </c>
      <c r="N147" s="87" t="str">
        <f t="shared" si="256"/>
        <v/>
      </c>
      <c r="O147" s="88" t="str">
        <f t="shared" si="225"/>
        <v/>
      </c>
      <c r="P147" s="87" t="s">
        <v>50</v>
      </c>
      <c r="Q147" s="87" t="s">
        <v>50</v>
      </c>
      <c r="R147" s="87" t="str">
        <f t="shared" si="257"/>
        <v/>
      </c>
      <c r="S147" s="88" t="str">
        <f t="shared" si="227"/>
        <v/>
      </c>
      <c r="T147" s="87" t="str">
        <f>IF(Dyn_Insured="","",IF(ISNUMBER(P147)=FALSE,"n/a",MIN(MAX(P147-'Layer Comparison'!Excess_Past,0),'Layer Comparison'!Limit_Past)))</f>
        <v/>
      </c>
      <c r="U147" s="87" t="str">
        <f>IF(Dyn_Insured="","",IF(ISNUMBER(Q147)=FALSE,"n/a",MIN(MAX(Q147-'Layer Comparison'!Excess_Latest,0),'Layer Comparison'!Limit_Latest)))</f>
        <v/>
      </c>
      <c r="V147" s="87" t="str">
        <f t="shared" si="258"/>
        <v/>
      </c>
      <c r="W147" s="88" t="str">
        <f t="shared" si="229"/>
        <v/>
      </c>
      <c r="X147" s="87" t="s">
        <v>50</v>
      </c>
      <c r="Y147" s="87" t="s">
        <v>50</v>
      </c>
      <c r="Z147" s="87" t="str">
        <f t="shared" si="259"/>
        <v/>
      </c>
      <c r="AA147" s="88" t="str">
        <f t="shared" si="231"/>
        <v/>
      </c>
      <c r="AB147" s="87" t="str">
        <f>IF(Dyn_Insured="","",IF(ISNUMBER(X147)=FALSE,"n/a",MIN(MAX(X147-'Layer Comparison'!Excess_Past,0),'Layer Comparison'!Limit_Past)))</f>
        <v/>
      </c>
      <c r="AC147" s="87" t="str">
        <f>IF(Dyn_Insured="","",IF(ISNUMBER(Y147)=FALSE,"n/a",MIN(MAX(Y147-'Layer Comparison'!Excess_Latest,0),'Layer Comparison'!Limit_Latest)))</f>
        <v/>
      </c>
      <c r="AD147" s="87" t="str">
        <f t="shared" si="260"/>
        <v/>
      </c>
      <c r="AE147" s="88" t="str">
        <f t="shared" si="233"/>
        <v/>
      </c>
      <c r="AF147" s="87" t="s">
        <v>50</v>
      </c>
      <c r="AG147" s="87" t="s">
        <v>50</v>
      </c>
      <c r="AH147" s="87" t="str">
        <f t="shared" si="261"/>
        <v/>
      </c>
      <c r="AI147" s="88" t="str">
        <f t="shared" si="235"/>
        <v/>
      </c>
      <c r="AJ147" s="87" t="str">
        <f>IF(Dyn_Insured="","",IF(ISNUMBER(AF147)=FALSE,"n/a",MIN(MAX(AF147-'Layer Comparison'!Excess_Past,0),'Layer Comparison'!Limit_Past)))</f>
        <v/>
      </c>
      <c r="AK147" s="87" t="str">
        <f>IF(Dyn_Insured="","",IF(ISNUMBER(AG147)=FALSE,"n/a",MIN(MAX(AG147-'Layer Comparison'!Excess_Latest,0),'Layer Comparison'!Limit_Latest)))</f>
        <v/>
      </c>
      <c r="AL147" s="87" t="str">
        <f t="shared" si="262"/>
        <v/>
      </c>
      <c r="AM147" s="88" t="str">
        <f t="shared" si="237"/>
        <v/>
      </c>
      <c r="AN147" s="87" t="s">
        <v>50</v>
      </c>
      <c r="AO147" s="87" t="s">
        <v>50</v>
      </c>
      <c r="AP147" s="87" t="str">
        <f t="shared" si="263"/>
        <v/>
      </c>
      <c r="AQ147" s="88" t="str">
        <f t="shared" si="239"/>
        <v/>
      </c>
      <c r="AR147" s="87" t="str">
        <f>IF(Dyn_Insured="","",IF(ISNUMBER(AN147)=FALSE,"n/a",MIN(MAX(AN147-'Layer Comparison'!Excess_Past,0),'Layer Comparison'!Limit_Past)))</f>
        <v/>
      </c>
      <c r="AS147" s="87" t="str">
        <f>IF(Dyn_Insured="","",IF(ISNUMBER(AO147)=FALSE,"n/a",MIN(MAX(AO147-'Layer Comparison'!Excess_Latest,0),'Layer Comparison'!Limit_Latest)))</f>
        <v/>
      </c>
      <c r="AT147" s="87" t="str">
        <f t="shared" si="264"/>
        <v/>
      </c>
      <c r="AU147" s="88" t="str">
        <f t="shared" si="241"/>
        <v/>
      </c>
      <c r="AV147" s="87" t="s">
        <v>50</v>
      </c>
      <c r="AW147" s="87" t="s">
        <v>50</v>
      </c>
      <c r="AX147" s="87" t="str">
        <f t="shared" si="265"/>
        <v/>
      </c>
      <c r="AY147" s="88" t="str">
        <f t="shared" si="243"/>
        <v/>
      </c>
      <c r="AZ147" s="87" t="str">
        <f>IF(Dyn_Insured="","",IF(ISNUMBER(AV147)=FALSE,"n/a",MIN(MAX(AV147-'Layer Comparison'!Excess_Past,0),'Layer Comparison'!Limit_Past)))</f>
        <v/>
      </c>
      <c r="BA147" s="87" t="str">
        <f>IF(Dyn_Insured="","",IF(ISNUMBER(AW147)=FALSE,"n/a",MIN(MAX(AW147-'Layer Comparison'!Excess_Latest,0),'Layer Comparison'!Limit_Latest)))</f>
        <v/>
      </c>
      <c r="BB147" s="87" t="str">
        <f t="shared" si="266"/>
        <v/>
      </c>
      <c r="BC147" s="88" t="str">
        <f t="shared" si="245"/>
        <v/>
      </c>
      <c r="BD147" s="87" t="s">
        <v>50</v>
      </c>
      <c r="BE147" s="87" t="s">
        <v>50</v>
      </c>
      <c r="BF147" s="87" t="str">
        <f t="shared" si="267"/>
        <v/>
      </c>
      <c r="BG147" s="88" t="str">
        <f t="shared" si="247"/>
        <v/>
      </c>
      <c r="BH147" s="87" t="str">
        <f>IF(Dyn_Insured="","",IF(ISNUMBER(BD147)=FALSE,"n/a",MIN(MAX(BD147-'Layer Comparison'!Excess_Past,0),'Layer Comparison'!Limit_Past)))</f>
        <v/>
      </c>
      <c r="BI147" s="87" t="str">
        <f>IF(Dyn_Insured="","",IF(ISNUMBER(BE147)=FALSE,"n/a",MIN(MAX(BE147-'Layer Comparison'!Excess_Latest,0),'Layer Comparison'!Limit_Latest)))</f>
        <v/>
      </c>
      <c r="BJ147" s="87" t="str">
        <f t="shared" si="268"/>
        <v/>
      </c>
      <c r="BK147" s="88" t="str">
        <f t="shared" si="249"/>
        <v/>
      </c>
      <c r="BL147" s="87" t="s">
        <v>50</v>
      </c>
      <c r="BM147" s="87" t="s">
        <v>50</v>
      </c>
      <c r="BN147" s="87" t="str">
        <f t="shared" si="269"/>
        <v/>
      </c>
      <c r="BO147" s="88" t="str">
        <f t="shared" si="251"/>
        <v/>
      </c>
      <c r="BP147" s="87" t="str">
        <f>IF(Dyn_Insured="","",IF(ISNUMBER(BL147)=FALSE,"n/a",MIN(MAX(BL147-'Layer Comparison'!Excess_Past,0),'Layer Comparison'!Limit_Past)))</f>
        <v/>
      </c>
      <c r="BQ147" s="87" t="str">
        <f>IF(Dyn_Insured="","",IF(ISNUMBER(BM147)=FALSE,"n/a",MIN(MAX(BM147-'Layer Comparison'!Excess_Latest,0),'Layer Comparison'!Limit_Latest)))</f>
        <v/>
      </c>
      <c r="BR147" s="87" t="str">
        <f t="shared" si="270"/>
        <v/>
      </c>
      <c r="BS147" s="88" t="str">
        <f t="shared" si="253"/>
        <v/>
      </c>
      <c r="BT147" s="46" t="s">
        <v>13</v>
      </c>
    </row>
    <row r="148" spans="1:72" hidden="1" outlineLevel="1" x14ac:dyDescent="0.25">
      <c r="A148" s="89" t="s">
        <v>54</v>
      </c>
      <c r="B148" s="89">
        <f t="shared" si="219"/>
        <v>0</v>
      </c>
      <c r="C148" s="89">
        <f t="shared" si="220"/>
        <v>0</v>
      </c>
      <c r="D148" s="90">
        <f t="shared" si="254"/>
        <v>0</v>
      </c>
      <c r="E148" s="90">
        <f t="shared" si="254"/>
        <v>0</v>
      </c>
      <c r="F148" s="48" t="s">
        <v>50</v>
      </c>
      <c r="G148" s="38" t="s">
        <v>50</v>
      </c>
      <c r="H148" s="87" t="s">
        <v>50</v>
      </c>
      <c r="I148" s="87" t="s">
        <v>50</v>
      </c>
      <c r="J148" s="87" t="str">
        <f t="shared" si="255"/>
        <v/>
      </c>
      <c r="K148" s="88" t="str">
        <f t="shared" si="223"/>
        <v/>
      </c>
      <c r="L148" s="87" t="str">
        <f>IF(Dyn_Insured="","",IF(ISNUMBER(H148)=FALSE,"n/a",MIN(MAX(H148-'Layer Comparison'!Excess_Past,0),'Layer Comparison'!Limit_Past)))</f>
        <v/>
      </c>
      <c r="M148" s="87" t="str">
        <f>IF(Dyn_Insured="","",IF(ISNUMBER(I148)=FALSE,"n/a",MIN(MAX(I148-'Layer Comparison'!Excess_Latest,0),'Layer Comparison'!Limit_Latest)))</f>
        <v/>
      </c>
      <c r="N148" s="87" t="str">
        <f t="shared" si="256"/>
        <v/>
      </c>
      <c r="O148" s="88" t="str">
        <f t="shared" si="225"/>
        <v/>
      </c>
      <c r="P148" s="87" t="s">
        <v>50</v>
      </c>
      <c r="Q148" s="87" t="s">
        <v>50</v>
      </c>
      <c r="R148" s="87" t="str">
        <f t="shared" si="257"/>
        <v/>
      </c>
      <c r="S148" s="88" t="str">
        <f t="shared" si="227"/>
        <v/>
      </c>
      <c r="T148" s="87" t="str">
        <f>IF(Dyn_Insured="","",IF(ISNUMBER(P148)=FALSE,"n/a",MIN(MAX(P148-'Layer Comparison'!Excess_Past,0),'Layer Comparison'!Limit_Past)))</f>
        <v/>
      </c>
      <c r="U148" s="87" t="str">
        <f>IF(Dyn_Insured="","",IF(ISNUMBER(Q148)=FALSE,"n/a",MIN(MAX(Q148-'Layer Comparison'!Excess_Latest,0),'Layer Comparison'!Limit_Latest)))</f>
        <v/>
      </c>
      <c r="V148" s="87" t="str">
        <f t="shared" si="258"/>
        <v/>
      </c>
      <c r="W148" s="88" t="str">
        <f t="shared" si="229"/>
        <v/>
      </c>
      <c r="X148" s="87" t="s">
        <v>50</v>
      </c>
      <c r="Y148" s="87" t="s">
        <v>50</v>
      </c>
      <c r="Z148" s="87" t="str">
        <f t="shared" si="259"/>
        <v/>
      </c>
      <c r="AA148" s="88" t="str">
        <f t="shared" si="231"/>
        <v/>
      </c>
      <c r="AB148" s="87" t="str">
        <f>IF(Dyn_Insured="","",IF(ISNUMBER(X148)=FALSE,"n/a",MIN(MAX(X148-'Layer Comparison'!Excess_Past,0),'Layer Comparison'!Limit_Past)))</f>
        <v/>
      </c>
      <c r="AC148" s="87" t="str">
        <f>IF(Dyn_Insured="","",IF(ISNUMBER(Y148)=FALSE,"n/a",MIN(MAX(Y148-'Layer Comparison'!Excess_Latest,0),'Layer Comparison'!Limit_Latest)))</f>
        <v/>
      </c>
      <c r="AD148" s="87" t="str">
        <f t="shared" si="260"/>
        <v/>
      </c>
      <c r="AE148" s="88" t="str">
        <f t="shared" si="233"/>
        <v/>
      </c>
      <c r="AF148" s="87" t="s">
        <v>50</v>
      </c>
      <c r="AG148" s="87" t="s">
        <v>50</v>
      </c>
      <c r="AH148" s="87" t="str">
        <f t="shared" si="261"/>
        <v/>
      </c>
      <c r="AI148" s="88" t="str">
        <f t="shared" si="235"/>
        <v/>
      </c>
      <c r="AJ148" s="87" t="str">
        <f>IF(Dyn_Insured="","",IF(ISNUMBER(AF148)=FALSE,"n/a",MIN(MAX(AF148-'Layer Comparison'!Excess_Past,0),'Layer Comparison'!Limit_Past)))</f>
        <v/>
      </c>
      <c r="AK148" s="87" t="str">
        <f>IF(Dyn_Insured="","",IF(ISNUMBER(AG148)=FALSE,"n/a",MIN(MAX(AG148-'Layer Comparison'!Excess_Latest,0),'Layer Comparison'!Limit_Latest)))</f>
        <v/>
      </c>
      <c r="AL148" s="87" t="str">
        <f t="shared" si="262"/>
        <v/>
      </c>
      <c r="AM148" s="88" t="str">
        <f t="shared" si="237"/>
        <v/>
      </c>
      <c r="AN148" s="87" t="s">
        <v>50</v>
      </c>
      <c r="AO148" s="87" t="s">
        <v>50</v>
      </c>
      <c r="AP148" s="87" t="str">
        <f t="shared" si="263"/>
        <v/>
      </c>
      <c r="AQ148" s="88" t="str">
        <f t="shared" si="239"/>
        <v/>
      </c>
      <c r="AR148" s="87" t="str">
        <f>IF(Dyn_Insured="","",IF(ISNUMBER(AN148)=FALSE,"n/a",MIN(MAX(AN148-'Layer Comparison'!Excess_Past,0),'Layer Comparison'!Limit_Past)))</f>
        <v/>
      </c>
      <c r="AS148" s="87" t="str">
        <f>IF(Dyn_Insured="","",IF(ISNUMBER(AO148)=FALSE,"n/a",MIN(MAX(AO148-'Layer Comparison'!Excess_Latest,0),'Layer Comparison'!Limit_Latest)))</f>
        <v/>
      </c>
      <c r="AT148" s="87" t="str">
        <f t="shared" si="264"/>
        <v/>
      </c>
      <c r="AU148" s="88" t="str">
        <f t="shared" si="241"/>
        <v/>
      </c>
      <c r="AV148" s="87" t="s">
        <v>50</v>
      </c>
      <c r="AW148" s="87" t="s">
        <v>50</v>
      </c>
      <c r="AX148" s="87" t="str">
        <f t="shared" si="265"/>
        <v/>
      </c>
      <c r="AY148" s="88" t="str">
        <f t="shared" si="243"/>
        <v/>
      </c>
      <c r="AZ148" s="87" t="str">
        <f>IF(Dyn_Insured="","",IF(ISNUMBER(AV148)=FALSE,"n/a",MIN(MAX(AV148-'Layer Comparison'!Excess_Past,0),'Layer Comparison'!Limit_Past)))</f>
        <v/>
      </c>
      <c r="BA148" s="87" t="str">
        <f>IF(Dyn_Insured="","",IF(ISNUMBER(AW148)=FALSE,"n/a",MIN(MAX(AW148-'Layer Comparison'!Excess_Latest,0),'Layer Comparison'!Limit_Latest)))</f>
        <v/>
      </c>
      <c r="BB148" s="87" t="str">
        <f t="shared" si="266"/>
        <v/>
      </c>
      <c r="BC148" s="88" t="str">
        <f t="shared" si="245"/>
        <v/>
      </c>
      <c r="BD148" s="87" t="s">
        <v>50</v>
      </c>
      <c r="BE148" s="87" t="s">
        <v>50</v>
      </c>
      <c r="BF148" s="87" t="str">
        <f t="shared" si="267"/>
        <v/>
      </c>
      <c r="BG148" s="88" t="str">
        <f t="shared" si="247"/>
        <v/>
      </c>
      <c r="BH148" s="87" t="str">
        <f>IF(Dyn_Insured="","",IF(ISNUMBER(BD148)=FALSE,"n/a",MIN(MAX(BD148-'Layer Comparison'!Excess_Past,0),'Layer Comparison'!Limit_Past)))</f>
        <v/>
      </c>
      <c r="BI148" s="87" t="str">
        <f>IF(Dyn_Insured="","",IF(ISNUMBER(BE148)=FALSE,"n/a",MIN(MAX(BE148-'Layer Comparison'!Excess_Latest,0),'Layer Comparison'!Limit_Latest)))</f>
        <v/>
      </c>
      <c r="BJ148" s="87" t="str">
        <f t="shared" si="268"/>
        <v/>
      </c>
      <c r="BK148" s="88" t="str">
        <f t="shared" si="249"/>
        <v/>
      </c>
      <c r="BL148" s="87" t="s">
        <v>50</v>
      </c>
      <c r="BM148" s="87" t="s">
        <v>50</v>
      </c>
      <c r="BN148" s="87" t="str">
        <f t="shared" si="269"/>
        <v/>
      </c>
      <c r="BO148" s="88" t="str">
        <f t="shared" si="251"/>
        <v/>
      </c>
      <c r="BP148" s="87" t="str">
        <f>IF(Dyn_Insured="","",IF(ISNUMBER(BL148)=FALSE,"n/a",MIN(MAX(BL148-'Layer Comparison'!Excess_Past,0),'Layer Comparison'!Limit_Past)))</f>
        <v/>
      </c>
      <c r="BQ148" s="87" t="str">
        <f>IF(Dyn_Insured="","",IF(ISNUMBER(BM148)=FALSE,"n/a",MIN(MAX(BM148-'Layer Comparison'!Excess_Latest,0),'Layer Comparison'!Limit_Latest)))</f>
        <v/>
      </c>
      <c r="BR148" s="87" t="str">
        <f t="shared" si="270"/>
        <v/>
      </c>
      <c r="BS148" s="88" t="str">
        <f t="shared" si="253"/>
        <v/>
      </c>
      <c r="BT148" s="46" t="s">
        <v>13</v>
      </c>
    </row>
    <row r="149" spans="1:72" hidden="1" outlineLevel="1" x14ac:dyDescent="0.25">
      <c r="A149" s="89" t="s">
        <v>54</v>
      </c>
      <c r="B149" s="89">
        <f t="shared" si="219"/>
        <v>0</v>
      </c>
      <c r="C149" s="89">
        <f t="shared" si="220"/>
        <v>0</v>
      </c>
      <c r="D149" s="90">
        <f t="shared" si="254"/>
        <v>0</v>
      </c>
      <c r="E149" s="90">
        <f t="shared" si="254"/>
        <v>0</v>
      </c>
      <c r="F149" s="48" t="s">
        <v>50</v>
      </c>
      <c r="G149" s="38" t="s">
        <v>50</v>
      </c>
      <c r="H149" s="87" t="s">
        <v>50</v>
      </c>
      <c r="I149" s="87" t="s">
        <v>50</v>
      </c>
      <c r="J149" s="87" t="str">
        <f t="shared" si="255"/>
        <v/>
      </c>
      <c r="K149" s="88" t="str">
        <f t="shared" si="223"/>
        <v/>
      </c>
      <c r="L149" s="87" t="str">
        <f>IF(Dyn_Insured="","",IF(ISNUMBER(H149)=FALSE,"n/a",MIN(MAX(H149-'Layer Comparison'!Excess_Past,0),'Layer Comparison'!Limit_Past)))</f>
        <v/>
      </c>
      <c r="M149" s="87" t="str">
        <f>IF(Dyn_Insured="","",IF(ISNUMBER(I149)=FALSE,"n/a",MIN(MAX(I149-'Layer Comparison'!Excess_Latest,0),'Layer Comparison'!Limit_Latest)))</f>
        <v/>
      </c>
      <c r="N149" s="87" t="str">
        <f t="shared" si="256"/>
        <v/>
      </c>
      <c r="O149" s="88" t="str">
        <f t="shared" si="225"/>
        <v/>
      </c>
      <c r="P149" s="87" t="s">
        <v>50</v>
      </c>
      <c r="Q149" s="87" t="s">
        <v>50</v>
      </c>
      <c r="R149" s="87" t="str">
        <f t="shared" si="257"/>
        <v/>
      </c>
      <c r="S149" s="88" t="str">
        <f t="shared" si="227"/>
        <v/>
      </c>
      <c r="T149" s="87" t="str">
        <f>IF(Dyn_Insured="","",IF(ISNUMBER(P149)=FALSE,"n/a",MIN(MAX(P149-'Layer Comparison'!Excess_Past,0),'Layer Comparison'!Limit_Past)))</f>
        <v/>
      </c>
      <c r="U149" s="87" t="str">
        <f>IF(Dyn_Insured="","",IF(ISNUMBER(Q149)=FALSE,"n/a",MIN(MAX(Q149-'Layer Comparison'!Excess_Latest,0),'Layer Comparison'!Limit_Latest)))</f>
        <v/>
      </c>
      <c r="V149" s="87" t="str">
        <f t="shared" si="258"/>
        <v/>
      </c>
      <c r="W149" s="88" t="str">
        <f t="shared" si="229"/>
        <v/>
      </c>
      <c r="X149" s="87" t="s">
        <v>50</v>
      </c>
      <c r="Y149" s="87" t="s">
        <v>50</v>
      </c>
      <c r="Z149" s="87" t="str">
        <f t="shared" si="259"/>
        <v/>
      </c>
      <c r="AA149" s="88" t="str">
        <f t="shared" si="231"/>
        <v/>
      </c>
      <c r="AB149" s="87" t="str">
        <f>IF(Dyn_Insured="","",IF(ISNUMBER(X149)=FALSE,"n/a",MIN(MAX(X149-'Layer Comparison'!Excess_Past,0),'Layer Comparison'!Limit_Past)))</f>
        <v/>
      </c>
      <c r="AC149" s="87" t="str">
        <f>IF(Dyn_Insured="","",IF(ISNUMBER(Y149)=FALSE,"n/a",MIN(MAX(Y149-'Layer Comparison'!Excess_Latest,0),'Layer Comparison'!Limit_Latest)))</f>
        <v/>
      </c>
      <c r="AD149" s="87" t="str">
        <f t="shared" si="260"/>
        <v/>
      </c>
      <c r="AE149" s="88" t="str">
        <f t="shared" si="233"/>
        <v/>
      </c>
      <c r="AF149" s="87" t="s">
        <v>50</v>
      </c>
      <c r="AG149" s="87" t="s">
        <v>50</v>
      </c>
      <c r="AH149" s="87" t="str">
        <f t="shared" si="261"/>
        <v/>
      </c>
      <c r="AI149" s="88" t="str">
        <f t="shared" si="235"/>
        <v/>
      </c>
      <c r="AJ149" s="87" t="str">
        <f>IF(Dyn_Insured="","",IF(ISNUMBER(AF149)=FALSE,"n/a",MIN(MAX(AF149-'Layer Comparison'!Excess_Past,0),'Layer Comparison'!Limit_Past)))</f>
        <v/>
      </c>
      <c r="AK149" s="87" t="str">
        <f>IF(Dyn_Insured="","",IF(ISNUMBER(AG149)=FALSE,"n/a",MIN(MAX(AG149-'Layer Comparison'!Excess_Latest,0),'Layer Comparison'!Limit_Latest)))</f>
        <v/>
      </c>
      <c r="AL149" s="87" t="str">
        <f t="shared" si="262"/>
        <v/>
      </c>
      <c r="AM149" s="88" t="str">
        <f t="shared" si="237"/>
        <v/>
      </c>
      <c r="AN149" s="87" t="s">
        <v>50</v>
      </c>
      <c r="AO149" s="87" t="s">
        <v>50</v>
      </c>
      <c r="AP149" s="87" t="str">
        <f t="shared" si="263"/>
        <v/>
      </c>
      <c r="AQ149" s="88" t="str">
        <f t="shared" si="239"/>
        <v/>
      </c>
      <c r="AR149" s="87" t="str">
        <f>IF(Dyn_Insured="","",IF(ISNUMBER(AN149)=FALSE,"n/a",MIN(MAX(AN149-'Layer Comparison'!Excess_Past,0),'Layer Comparison'!Limit_Past)))</f>
        <v/>
      </c>
      <c r="AS149" s="87" t="str">
        <f>IF(Dyn_Insured="","",IF(ISNUMBER(AO149)=FALSE,"n/a",MIN(MAX(AO149-'Layer Comparison'!Excess_Latest,0),'Layer Comparison'!Limit_Latest)))</f>
        <v/>
      </c>
      <c r="AT149" s="87" t="str">
        <f t="shared" si="264"/>
        <v/>
      </c>
      <c r="AU149" s="88" t="str">
        <f t="shared" si="241"/>
        <v/>
      </c>
      <c r="AV149" s="87" t="s">
        <v>50</v>
      </c>
      <c r="AW149" s="87" t="s">
        <v>50</v>
      </c>
      <c r="AX149" s="87" t="str">
        <f t="shared" si="265"/>
        <v/>
      </c>
      <c r="AY149" s="88" t="str">
        <f t="shared" si="243"/>
        <v/>
      </c>
      <c r="AZ149" s="87" t="str">
        <f>IF(Dyn_Insured="","",IF(ISNUMBER(AV149)=FALSE,"n/a",MIN(MAX(AV149-'Layer Comparison'!Excess_Past,0),'Layer Comparison'!Limit_Past)))</f>
        <v/>
      </c>
      <c r="BA149" s="87" t="str">
        <f>IF(Dyn_Insured="","",IF(ISNUMBER(AW149)=FALSE,"n/a",MIN(MAX(AW149-'Layer Comparison'!Excess_Latest,0),'Layer Comparison'!Limit_Latest)))</f>
        <v/>
      </c>
      <c r="BB149" s="87" t="str">
        <f t="shared" si="266"/>
        <v/>
      </c>
      <c r="BC149" s="88" t="str">
        <f t="shared" si="245"/>
        <v/>
      </c>
      <c r="BD149" s="87" t="s">
        <v>50</v>
      </c>
      <c r="BE149" s="87" t="s">
        <v>50</v>
      </c>
      <c r="BF149" s="87" t="str">
        <f t="shared" si="267"/>
        <v/>
      </c>
      <c r="BG149" s="88" t="str">
        <f t="shared" si="247"/>
        <v/>
      </c>
      <c r="BH149" s="87" t="str">
        <f>IF(Dyn_Insured="","",IF(ISNUMBER(BD149)=FALSE,"n/a",MIN(MAX(BD149-'Layer Comparison'!Excess_Past,0),'Layer Comparison'!Limit_Past)))</f>
        <v/>
      </c>
      <c r="BI149" s="87" t="str">
        <f>IF(Dyn_Insured="","",IF(ISNUMBER(BE149)=FALSE,"n/a",MIN(MAX(BE149-'Layer Comparison'!Excess_Latest,0),'Layer Comparison'!Limit_Latest)))</f>
        <v/>
      </c>
      <c r="BJ149" s="87" t="str">
        <f t="shared" si="268"/>
        <v/>
      </c>
      <c r="BK149" s="88" t="str">
        <f t="shared" si="249"/>
        <v/>
      </c>
      <c r="BL149" s="87" t="s">
        <v>50</v>
      </c>
      <c r="BM149" s="87" t="s">
        <v>50</v>
      </c>
      <c r="BN149" s="87" t="str">
        <f t="shared" si="269"/>
        <v/>
      </c>
      <c r="BO149" s="88" t="str">
        <f t="shared" si="251"/>
        <v/>
      </c>
      <c r="BP149" s="87" t="str">
        <f>IF(Dyn_Insured="","",IF(ISNUMBER(BL149)=FALSE,"n/a",MIN(MAX(BL149-'Layer Comparison'!Excess_Past,0),'Layer Comparison'!Limit_Past)))</f>
        <v/>
      </c>
      <c r="BQ149" s="87" t="str">
        <f>IF(Dyn_Insured="","",IF(ISNUMBER(BM149)=FALSE,"n/a",MIN(MAX(BM149-'Layer Comparison'!Excess_Latest,0),'Layer Comparison'!Limit_Latest)))</f>
        <v/>
      </c>
      <c r="BR149" s="87" t="str">
        <f t="shared" si="270"/>
        <v/>
      </c>
      <c r="BS149" s="88" t="str">
        <f t="shared" si="253"/>
        <v/>
      </c>
      <c r="BT149" s="46" t="s">
        <v>13</v>
      </c>
    </row>
    <row r="150" spans="1:72" hidden="1" outlineLevel="1" x14ac:dyDescent="0.25">
      <c r="A150" s="89" t="s">
        <v>54</v>
      </c>
      <c r="B150" s="89">
        <f t="shared" si="219"/>
        <v>0</v>
      </c>
      <c r="C150" s="89">
        <f t="shared" si="220"/>
        <v>0</v>
      </c>
      <c r="D150" s="90">
        <f t="shared" si="254"/>
        <v>0</v>
      </c>
      <c r="E150" s="90">
        <f t="shared" si="254"/>
        <v>0</v>
      </c>
      <c r="F150" s="48" t="s">
        <v>50</v>
      </c>
      <c r="G150" s="38" t="s">
        <v>50</v>
      </c>
      <c r="H150" s="87" t="s">
        <v>50</v>
      </c>
      <c r="I150" s="87" t="s">
        <v>50</v>
      </c>
      <c r="J150" s="87" t="str">
        <f t="shared" si="255"/>
        <v/>
      </c>
      <c r="K150" s="88" t="str">
        <f t="shared" si="223"/>
        <v/>
      </c>
      <c r="L150" s="87" t="str">
        <f>IF(Dyn_Insured="","",IF(ISNUMBER(H150)=FALSE,"n/a",MIN(MAX(H150-'Layer Comparison'!Excess_Past,0),'Layer Comparison'!Limit_Past)))</f>
        <v/>
      </c>
      <c r="M150" s="87" t="str">
        <f>IF(Dyn_Insured="","",IF(ISNUMBER(I150)=FALSE,"n/a",MIN(MAX(I150-'Layer Comparison'!Excess_Latest,0),'Layer Comparison'!Limit_Latest)))</f>
        <v/>
      </c>
      <c r="N150" s="87" t="str">
        <f t="shared" si="256"/>
        <v/>
      </c>
      <c r="O150" s="88" t="str">
        <f t="shared" si="225"/>
        <v/>
      </c>
      <c r="P150" s="87" t="s">
        <v>50</v>
      </c>
      <c r="Q150" s="87" t="s">
        <v>50</v>
      </c>
      <c r="R150" s="87" t="str">
        <f t="shared" si="257"/>
        <v/>
      </c>
      <c r="S150" s="88" t="str">
        <f t="shared" si="227"/>
        <v/>
      </c>
      <c r="T150" s="87" t="str">
        <f>IF(Dyn_Insured="","",IF(ISNUMBER(P150)=FALSE,"n/a",MIN(MAX(P150-'Layer Comparison'!Excess_Past,0),'Layer Comparison'!Limit_Past)))</f>
        <v/>
      </c>
      <c r="U150" s="87" t="str">
        <f>IF(Dyn_Insured="","",IF(ISNUMBER(Q150)=FALSE,"n/a",MIN(MAX(Q150-'Layer Comparison'!Excess_Latest,0),'Layer Comparison'!Limit_Latest)))</f>
        <v/>
      </c>
      <c r="V150" s="87" t="str">
        <f t="shared" si="258"/>
        <v/>
      </c>
      <c r="W150" s="88" t="str">
        <f t="shared" si="229"/>
        <v/>
      </c>
      <c r="X150" s="87" t="s">
        <v>50</v>
      </c>
      <c r="Y150" s="87" t="s">
        <v>50</v>
      </c>
      <c r="Z150" s="87" t="str">
        <f t="shared" si="259"/>
        <v/>
      </c>
      <c r="AA150" s="88" t="str">
        <f t="shared" si="231"/>
        <v/>
      </c>
      <c r="AB150" s="87" t="str">
        <f>IF(Dyn_Insured="","",IF(ISNUMBER(X150)=FALSE,"n/a",MIN(MAX(X150-'Layer Comparison'!Excess_Past,0),'Layer Comparison'!Limit_Past)))</f>
        <v/>
      </c>
      <c r="AC150" s="87" t="str">
        <f>IF(Dyn_Insured="","",IF(ISNUMBER(Y150)=FALSE,"n/a",MIN(MAX(Y150-'Layer Comparison'!Excess_Latest,0),'Layer Comparison'!Limit_Latest)))</f>
        <v/>
      </c>
      <c r="AD150" s="87" t="str">
        <f t="shared" si="260"/>
        <v/>
      </c>
      <c r="AE150" s="88" t="str">
        <f t="shared" si="233"/>
        <v/>
      </c>
      <c r="AF150" s="87" t="s">
        <v>50</v>
      </c>
      <c r="AG150" s="87" t="s">
        <v>50</v>
      </c>
      <c r="AH150" s="87" t="str">
        <f t="shared" si="261"/>
        <v/>
      </c>
      <c r="AI150" s="88" t="str">
        <f t="shared" si="235"/>
        <v/>
      </c>
      <c r="AJ150" s="87" t="str">
        <f>IF(Dyn_Insured="","",IF(ISNUMBER(AF150)=FALSE,"n/a",MIN(MAX(AF150-'Layer Comparison'!Excess_Past,0),'Layer Comparison'!Limit_Past)))</f>
        <v/>
      </c>
      <c r="AK150" s="87" t="str">
        <f>IF(Dyn_Insured="","",IF(ISNUMBER(AG150)=FALSE,"n/a",MIN(MAX(AG150-'Layer Comparison'!Excess_Latest,0),'Layer Comparison'!Limit_Latest)))</f>
        <v/>
      </c>
      <c r="AL150" s="87" t="str">
        <f t="shared" si="262"/>
        <v/>
      </c>
      <c r="AM150" s="88" t="str">
        <f t="shared" si="237"/>
        <v/>
      </c>
      <c r="AN150" s="87" t="s">
        <v>50</v>
      </c>
      <c r="AO150" s="87" t="s">
        <v>50</v>
      </c>
      <c r="AP150" s="87" t="str">
        <f t="shared" si="263"/>
        <v/>
      </c>
      <c r="AQ150" s="88" t="str">
        <f t="shared" si="239"/>
        <v/>
      </c>
      <c r="AR150" s="87" t="str">
        <f>IF(Dyn_Insured="","",IF(ISNUMBER(AN150)=FALSE,"n/a",MIN(MAX(AN150-'Layer Comparison'!Excess_Past,0),'Layer Comparison'!Limit_Past)))</f>
        <v/>
      </c>
      <c r="AS150" s="87" t="str">
        <f>IF(Dyn_Insured="","",IF(ISNUMBER(AO150)=FALSE,"n/a",MIN(MAX(AO150-'Layer Comparison'!Excess_Latest,0),'Layer Comparison'!Limit_Latest)))</f>
        <v/>
      </c>
      <c r="AT150" s="87" t="str">
        <f t="shared" si="264"/>
        <v/>
      </c>
      <c r="AU150" s="88" t="str">
        <f t="shared" si="241"/>
        <v/>
      </c>
      <c r="AV150" s="87" t="s">
        <v>50</v>
      </c>
      <c r="AW150" s="87" t="s">
        <v>50</v>
      </c>
      <c r="AX150" s="87" t="str">
        <f t="shared" si="265"/>
        <v/>
      </c>
      <c r="AY150" s="88" t="str">
        <f t="shared" si="243"/>
        <v/>
      </c>
      <c r="AZ150" s="87" t="str">
        <f>IF(Dyn_Insured="","",IF(ISNUMBER(AV150)=FALSE,"n/a",MIN(MAX(AV150-'Layer Comparison'!Excess_Past,0),'Layer Comparison'!Limit_Past)))</f>
        <v/>
      </c>
      <c r="BA150" s="87" t="str">
        <f>IF(Dyn_Insured="","",IF(ISNUMBER(AW150)=FALSE,"n/a",MIN(MAX(AW150-'Layer Comparison'!Excess_Latest,0),'Layer Comparison'!Limit_Latest)))</f>
        <v/>
      </c>
      <c r="BB150" s="87" t="str">
        <f t="shared" si="266"/>
        <v/>
      </c>
      <c r="BC150" s="88" t="str">
        <f t="shared" si="245"/>
        <v/>
      </c>
      <c r="BD150" s="87" t="s">
        <v>50</v>
      </c>
      <c r="BE150" s="87" t="s">
        <v>50</v>
      </c>
      <c r="BF150" s="87" t="str">
        <f t="shared" si="267"/>
        <v/>
      </c>
      <c r="BG150" s="88" t="str">
        <f t="shared" si="247"/>
        <v/>
      </c>
      <c r="BH150" s="87" t="str">
        <f>IF(Dyn_Insured="","",IF(ISNUMBER(BD150)=FALSE,"n/a",MIN(MAX(BD150-'Layer Comparison'!Excess_Past,0),'Layer Comparison'!Limit_Past)))</f>
        <v/>
      </c>
      <c r="BI150" s="87" t="str">
        <f>IF(Dyn_Insured="","",IF(ISNUMBER(BE150)=FALSE,"n/a",MIN(MAX(BE150-'Layer Comparison'!Excess_Latest,0),'Layer Comparison'!Limit_Latest)))</f>
        <v/>
      </c>
      <c r="BJ150" s="87" t="str">
        <f t="shared" si="268"/>
        <v/>
      </c>
      <c r="BK150" s="88" t="str">
        <f t="shared" si="249"/>
        <v/>
      </c>
      <c r="BL150" s="87" t="s">
        <v>50</v>
      </c>
      <c r="BM150" s="87" t="s">
        <v>50</v>
      </c>
      <c r="BN150" s="87" t="str">
        <f t="shared" si="269"/>
        <v/>
      </c>
      <c r="BO150" s="88" t="str">
        <f t="shared" si="251"/>
        <v/>
      </c>
      <c r="BP150" s="87" t="str">
        <f>IF(Dyn_Insured="","",IF(ISNUMBER(BL150)=FALSE,"n/a",MIN(MAX(BL150-'Layer Comparison'!Excess_Past,0),'Layer Comparison'!Limit_Past)))</f>
        <v/>
      </c>
      <c r="BQ150" s="87" t="str">
        <f>IF(Dyn_Insured="","",IF(ISNUMBER(BM150)=FALSE,"n/a",MIN(MAX(BM150-'Layer Comparison'!Excess_Latest,0),'Layer Comparison'!Limit_Latest)))</f>
        <v/>
      </c>
      <c r="BR150" s="87" t="str">
        <f t="shared" si="270"/>
        <v/>
      </c>
      <c r="BS150" s="88" t="str">
        <f t="shared" si="253"/>
        <v/>
      </c>
      <c r="BT150" s="46" t="s">
        <v>13</v>
      </c>
    </row>
    <row r="151" spans="1:72" hidden="1" outlineLevel="1" x14ac:dyDescent="0.25">
      <c r="A151" s="89" t="s">
        <v>54</v>
      </c>
      <c r="B151" s="89">
        <f t="shared" si="219"/>
        <v>0</v>
      </c>
      <c r="C151" s="89">
        <f t="shared" si="220"/>
        <v>0</v>
      </c>
      <c r="D151" s="90">
        <f t="shared" si="254"/>
        <v>0</v>
      </c>
      <c r="E151" s="90">
        <f t="shared" si="254"/>
        <v>0</v>
      </c>
      <c r="F151" s="48" t="s">
        <v>50</v>
      </c>
      <c r="G151" s="38" t="s">
        <v>50</v>
      </c>
      <c r="H151" s="87" t="s">
        <v>50</v>
      </c>
      <c r="I151" s="87" t="s">
        <v>50</v>
      </c>
      <c r="J151" s="87" t="str">
        <f t="shared" si="255"/>
        <v/>
      </c>
      <c r="K151" s="88" t="str">
        <f t="shared" si="223"/>
        <v/>
      </c>
      <c r="L151" s="87" t="str">
        <f>IF(Dyn_Insured="","",IF(ISNUMBER(H151)=FALSE,"n/a",MIN(MAX(H151-'Layer Comparison'!Excess_Past,0),'Layer Comparison'!Limit_Past)))</f>
        <v/>
      </c>
      <c r="M151" s="87" t="str">
        <f>IF(Dyn_Insured="","",IF(ISNUMBER(I151)=FALSE,"n/a",MIN(MAX(I151-'Layer Comparison'!Excess_Latest,0),'Layer Comparison'!Limit_Latest)))</f>
        <v/>
      </c>
      <c r="N151" s="87" t="str">
        <f t="shared" si="256"/>
        <v/>
      </c>
      <c r="O151" s="88" t="str">
        <f t="shared" si="225"/>
        <v/>
      </c>
      <c r="P151" s="87" t="s">
        <v>50</v>
      </c>
      <c r="Q151" s="87" t="s">
        <v>50</v>
      </c>
      <c r="R151" s="87" t="str">
        <f t="shared" si="257"/>
        <v/>
      </c>
      <c r="S151" s="88" t="str">
        <f t="shared" si="227"/>
        <v/>
      </c>
      <c r="T151" s="87" t="str">
        <f>IF(Dyn_Insured="","",IF(ISNUMBER(P151)=FALSE,"n/a",MIN(MAX(P151-'Layer Comparison'!Excess_Past,0),'Layer Comparison'!Limit_Past)))</f>
        <v/>
      </c>
      <c r="U151" s="87" t="str">
        <f>IF(Dyn_Insured="","",IF(ISNUMBER(Q151)=FALSE,"n/a",MIN(MAX(Q151-'Layer Comparison'!Excess_Latest,0),'Layer Comparison'!Limit_Latest)))</f>
        <v/>
      </c>
      <c r="V151" s="87" t="str">
        <f t="shared" si="258"/>
        <v/>
      </c>
      <c r="W151" s="88" t="str">
        <f t="shared" si="229"/>
        <v/>
      </c>
      <c r="X151" s="87" t="s">
        <v>50</v>
      </c>
      <c r="Y151" s="87" t="s">
        <v>50</v>
      </c>
      <c r="Z151" s="87" t="str">
        <f t="shared" si="259"/>
        <v/>
      </c>
      <c r="AA151" s="88" t="str">
        <f t="shared" si="231"/>
        <v/>
      </c>
      <c r="AB151" s="87" t="str">
        <f>IF(Dyn_Insured="","",IF(ISNUMBER(X151)=FALSE,"n/a",MIN(MAX(X151-'Layer Comparison'!Excess_Past,0),'Layer Comparison'!Limit_Past)))</f>
        <v/>
      </c>
      <c r="AC151" s="87" t="str">
        <f>IF(Dyn_Insured="","",IF(ISNUMBER(Y151)=FALSE,"n/a",MIN(MAX(Y151-'Layer Comparison'!Excess_Latest,0),'Layer Comparison'!Limit_Latest)))</f>
        <v/>
      </c>
      <c r="AD151" s="87" t="str">
        <f t="shared" si="260"/>
        <v/>
      </c>
      <c r="AE151" s="88" t="str">
        <f t="shared" si="233"/>
        <v/>
      </c>
      <c r="AF151" s="87" t="s">
        <v>50</v>
      </c>
      <c r="AG151" s="87" t="s">
        <v>50</v>
      </c>
      <c r="AH151" s="87" t="str">
        <f t="shared" si="261"/>
        <v/>
      </c>
      <c r="AI151" s="88" t="str">
        <f t="shared" si="235"/>
        <v/>
      </c>
      <c r="AJ151" s="87" t="str">
        <f>IF(Dyn_Insured="","",IF(ISNUMBER(AF151)=FALSE,"n/a",MIN(MAX(AF151-'Layer Comparison'!Excess_Past,0),'Layer Comparison'!Limit_Past)))</f>
        <v/>
      </c>
      <c r="AK151" s="87" t="str">
        <f>IF(Dyn_Insured="","",IF(ISNUMBER(AG151)=FALSE,"n/a",MIN(MAX(AG151-'Layer Comparison'!Excess_Latest,0),'Layer Comparison'!Limit_Latest)))</f>
        <v/>
      </c>
      <c r="AL151" s="87" t="str">
        <f t="shared" si="262"/>
        <v/>
      </c>
      <c r="AM151" s="88" t="str">
        <f t="shared" si="237"/>
        <v/>
      </c>
      <c r="AN151" s="87" t="s">
        <v>50</v>
      </c>
      <c r="AO151" s="87" t="s">
        <v>50</v>
      </c>
      <c r="AP151" s="87" t="str">
        <f t="shared" si="263"/>
        <v/>
      </c>
      <c r="AQ151" s="88" t="str">
        <f t="shared" si="239"/>
        <v/>
      </c>
      <c r="AR151" s="87" t="str">
        <f>IF(Dyn_Insured="","",IF(ISNUMBER(AN151)=FALSE,"n/a",MIN(MAX(AN151-'Layer Comparison'!Excess_Past,0),'Layer Comparison'!Limit_Past)))</f>
        <v/>
      </c>
      <c r="AS151" s="87" t="str">
        <f>IF(Dyn_Insured="","",IF(ISNUMBER(AO151)=FALSE,"n/a",MIN(MAX(AO151-'Layer Comparison'!Excess_Latest,0),'Layer Comparison'!Limit_Latest)))</f>
        <v/>
      </c>
      <c r="AT151" s="87" t="str">
        <f t="shared" si="264"/>
        <v/>
      </c>
      <c r="AU151" s="88" t="str">
        <f t="shared" si="241"/>
        <v/>
      </c>
      <c r="AV151" s="87" t="s">
        <v>50</v>
      </c>
      <c r="AW151" s="87" t="s">
        <v>50</v>
      </c>
      <c r="AX151" s="87" t="str">
        <f t="shared" si="265"/>
        <v/>
      </c>
      <c r="AY151" s="88" t="str">
        <f t="shared" si="243"/>
        <v/>
      </c>
      <c r="AZ151" s="87" t="str">
        <f>IF(Dyn_Insured="","",IF(ISNUMBER(AV151)=FALSE,"n/a",MIN(MAX(AV151-'Layer Comparison'!Excess_Past,0),'Layer Comparison'!Limit_Past)))</f>
        <v/>
      </c>
      <c r="BA151" s="87" t="str">
        <f>IF(Dyn_Insured="","",IF(ISNUMBER(AW151)=FALSE,"n/a",MIN(MAX(AW151-'Layer Comparison'!Excess_Latest,0),'Layer Comparison'!Limit_Latest)))</f>
        <v/>
      </c>
      <c r="BB151" s="87" t="str">
        <f t="shared" si="266"/>
        <v/>
      </c>
      <c r="BC151" s="88" t="str">
        <f t="shared" si="245"/>
        <v/>
      </c>
      <c r="BD151" s="87" t="s">
        <v>50</v>
      </c>
      <c r="BE151" s="87" t="s">
        <v>50</v>
      </c>
      <c r="BF151" s="87" t="str">
        <f t="shared" si="267"/>
        <v/>
      </c>
      <c r="BG151" s="88" t="str">
        <f t="shared" si="247"/>
        <v/>
      </c>
      <c r="BH151" s="87" t="str">
        <f>IF(Dyn_Insured="","",IF(ISNUMBER(BD151)=FALSE,"n/a",MIN(MAX(BD151-'Layer Comparison'!Excess_Past,0),'Layer Comparison'!Limit_Past)))</f>
        <v/>
      </c>
      <c r="BI151" s="87" t="str">
        <f>IF(Dyn_Insured="","",IF(ISNUMBER(BE151)=FALSE,"n/a",MIN(MAX(BE151-'Layer Comparison'!Excess_Latest,0),'Layer Comparison'!Limit_Latest)))</f>
        <v/>
      </c>
      <c r="BJ151" s="87" t="str">
        <f t="shared" si="268"/>
        <v/>
      </c>
      <c r="BK151" s="88" t="str">
        <f t="shared" si="249"/>
        <v/>
      </c>
      <c r="BL151" s="87" t="s">
        <v>50</v>
      </c>
      <c r="BM151" s="87" t="s">
        <v>50</v>
      </c>
      <c r="BN151" s="87" t="str">
        <f t="shared" si="269"/>
        <v/>
      </c>
      <c r="BO151" s="88" t="str">
        <f t="shared" si="251"/>
        <v/>
      </c>
      <c r="BP151" s="87" t="str">
        <f>IF(Dyn_Insured="","",IF(ISNUMBER(BL151)=FALSE,"n/a",MIN(MAX(BL151-'Layer Comparison'!Excess_Past,0),'Layer Comparison'!Limit_Past)))</f>
        <v/>
      </c>
      <c r="BQ151" s="87" t="str">
        <f>IF(Dyn_Insured="","",IF(ISNUMBER(BM151)=FALSE,"n/a",MIN(MAX(BM151-'Layer Comparison'!Excess_Latest,0),'Layer Comparison'!Limit_Latest)))</f>
        <v/>
      </c>
      <c r="BR151" s="87" t="str">
        <f t="shared" si="270"/>
        <v/>
      </c>
      <c r="BS151" s="88" t="str">
        <f t="shared" si="253"/>
        <v/>
      </c>
      <c r="BT151" s="46" t="s">
        <v>13</v>
      </c>
    </row>
    <row r="152" spans="1:72" hidden="1" outlineLevel="1" x14ac:dyDescent="0.25">
      <c r="A152" s="89" t="s">
        <v>54</v>
      </c>
      <c r="B152" s="89">
        <f t="shared" si="219"/>
        <v>0</v>
      </c>
      <c r="C152" s="89">
        <f t="shared" si="220"/>
        <v>0</v>
      </c>
      <c r="D152" s="90">
        <f t="shared" si="254"/>
        <v>0</v>
      </c>
      <c r="E152" s="90">
        <f t="shared" si="254"/>
        <v>0</v>
      </c>
      <c r="F152" s="48" t="s">
        <v>50</v>
      </c>
      <c r="G152" s="38" t="s">
        <v>50</v>
      </c>
      <c r="H152" s="87" t="s">
        <v>50</v>
      </c>
      <c r="I152" s="87" t="s">
        <v>50</v>
      </c>
      <c r="J152" s="87" t="str">
        <f t="shared" si="255"/>
        <v/>
      </c>
      <c r="K152" s="88" t="str">
        <f t="shared" si="223"/>
        <v/>
      </c>
      <c r="L152" s="87" t="str">
        <f>IF(Dyn_Insured="","",IF(ISNUMBER(H152)=FALSE,"n/a",MIN(MAX(H152-'Layer Comparison'!Excess_Past,0),'Layer Comparison'!Limit_Past)))</f>
        <v/>
      </c>
      <c r="M152" s="87" t="str">
        <f>IF(Dyn_Insured="","",IF(ISNUMBER(I152)=FALSE,"n/a",MIN(MAX(I152-'Layer Comparison'!Excess_Latest,0),'Layer Comparison'!Limit_Latest)))</f>
        <v/>
      </c>
      <c r="N152" s="87" t="str">
        <f t="shared" si="256"/>
        <v/>
      </c>
      <c r="O152" s="88" t="str">
        <f t="shared" si="225"/>
        <v/>
      </c>
      <c r="P152" s="87" t="s">
        <v>50</v>
      </c>
      <c r="Q152" s="87" t="s">
        <v>50</v>
      </c>
      <c r="R152" s="87" t="str">
        <f t="shared" si="257"/>
        <v/>
      </c>
      <c r="S152" s="88" t="str">
        <f t="shared" si="227"/>
        <v/>
      </c>
      <c r="T152" s="87" t="str">
        <f>IF(Dyn_Insured="","",IF(ISNUMBER(P152)=FALSE,"n/a",MIN(MAX(P152-'Layer Comparison'!Excess_Past,0),'Layer Comparison'!Limit_Past)))</f>
        <v/>
      </c>
      <c r="U152" s="87" t="str">
        <f>IF(Dyn_Insured="","",IF(ISNUMBER(Q152)=FALSE,"n/a",MIN(MAX(Q152-'Layer Comparison'!Excess_Latest,0),'Layer Comparison'!Limit_Latest)))</f>
        <v/>
      </c>
      <c r="V152" s="87" t="str">
        <f t="shared" si="258"/>
        <v/>
      </c>
      <c r="W152" s="88" t="str">
        <f t="shared" si="229"/>
        <v/>
      </c>
      <c r="X152" s="87" t="s">
        <v>50</v>
      </c>
      <c r="Y152" s="87" t="s">
        <v>50</v>
      </c>
      <c r="Z152" s="87" t="str">
        <f t="shared" si="259"/>
        <v/>
      </c>
      <c r="AA152" s="88" t="str">
        <f t="shared" si="231"/>
        <v/>
      </c>
      <c r="AB152" s="87" t="str">
        <f>IF(Dyn_Insured="","",IF(ISNUMBER(X152)=FALSE,"n/a",MIN(MAX(X152-'Layer Comparison'!Excess_Past,0),'Layer Comparison'!Limit_Past)))</f>
        <v/>
      </c>
      <c r="AC152" s="87" t="str">
        <f>IF(Dyn_Insured="","",IF(ISNUMBER(Y152)=FALSE,"n/a",MIN(MAX(Y152-'Layer Comparison'!Excess_Latest,0),'Layer Comparison'!Limit_Latest)))</f>
        <v/>
      </c>
      <c r="AD152" s="87" t="str">
        <f t="shared" si="260"/>
        <v/>
      </c>
      <c r="AE152" s="88" t="str">
        <f t="shared" si="233"/>
        <v/>
      </c>
      <c r="AF152" s="87" t="s">
        <v>50</v>
      </c>
      <c r="AG152" s="87" t="s">
        <v>50</v>
      </c>
      <c r="AH152" s="87" t="str">
        <f t="shared" si="261"/>
        <v/>
      </c>
      <c r="AI152" s="88" t="str">
        <f t="shared" si="235"/>
        <v/>
      </c>
      <c r="AJ152" s="87" t="str">
        <f>IF(Dyn_Insured="","",IF(ISNUMBER(AF152)=FALSE,"n/a",MIN(MAX(AF152-'Layer Comparison'!Excess_Past,0),'Layer Comparison'!Limit_Past)))</f>
        <v/>
      </c>
      <c r="AK152" s="87" t="str">
        <f>IF(Dyn_Insured="","",IF(ISNUMBER(AG152)=FALSE,"n/a",MIN(MAX(AG152-'Layer Comparison'!Excess_Latest,0),'Layer Comparison'!Limit_Latest)))</f>
        <v/>
      </c>
      <c r="AL152" s="87" t="str">
        <f t="shared" si="262"/>
        <v/>
      </c>
      <c r="AM152" s="88" t="str">
        <f t="shared" si="237"/>
        <v/>
      </c>
      <c r="AN152" s="87" t="s">
        <v>50</v>
      </c>
      <c r="AO152" s="87" t="s">
        <v>50</v>
      </c>
      <c r="AP152" s="87" t="str">
        <f t="shared" si="263"/>
        <v/>
      </c>
      <c r="AQ152" s="88" t="str">
        <f t="shared" si="239"/>
        <v/>
      </c>
      <c r="AR152" s="87" t="str">
        <f>IF(Dyn_Insured="","",IF(ISNUMBER(AN152)=FALSE,"n/a",MIN(MAX(AN152-'Layer Comparison'!Excess_Past,0),'Layer Comparison'!Limit_Past)))</f>
        <v/>
      </c>
      <c r="AS152" s="87" t="str">
        <f>IF(Dyn_Insured="","",IF(ISNUMBER(AO152)=FALSE,"n/a",MIN(MAX(AO152-'Layer Comparison'!Excess_Latest,0),'Layer Comparison'!Limit_Latest)))</f>
        <v/>
      </c>
      <c r="AT152" s="87" t="str">
        <f t="shared" si="264"/>
        <v/>
      </c>
      <c r="AU152" s="88" t="str">
        <f t="shared" si="241"/>
        <v/>
      </c>
      <c r="AV152" s="87" t="s">
        <v>50</v>
      </c>
      <c r="AW152" s="87" t="s">
        <v>50</v>
      </c>
      <c r="AX152" s="87" t="str">
        <f t="shared" si="265"/>
        <v/>
      </c>
      <c r="AY152" s="88" t="str">
        <f t="shared" si="243"/>
        <v/>
      </c>
      <c r="AZ152" s="87" t="str">
        <f>IF(Dyn_Insured="","",IF(ISNUMBER(AV152)=FALSE,"n/a",MIN(MAX(AV152-'Layer Comparison'!Excess_Past,0),'Layer Comparison'!Limit_Past)))</f>
        <v/>
      </c>
      <c r="BA152" s="87" t="str">
        <f>IF(Dyn_Insured="","",IF(ISNUMBER(AW152)=FALSE,"n/a",MIN(MAX(AW152-'Layer Comparison'!Excess_Latest,0),'Layer Comparison'!Limit_Latest)))</f>
        <v/>
      </c>
      <c r="BB152" s="87" t="str">
        <f t="shared" si="266"/>
        <v/>
      </c>
      <c r="BC152" s="88" t="str">
        <f t="shared" si="245"/>
        <v/>
      </c>
      <c r="BD152" s="87" t="s">
        <v>50</v>
      </c>
      <c r="BE152" s="87" t="s">
        <v>50</v>
      </c>
      <c r="BF152" s="87" t="str">
        <f t="shared" si="267"/>
        <v/>
      </c>
      <c r="BG152" s="88" t="str">
        <f t="shared" si="247"/>
        <v/>
      </c>
      <c r="BH152" s="87" t="str">
        <f>IF(Dyn_Insured="","",IF(ISNUMBER(BD152)=FALSE,"n/a",MIN(MAX(BD152-'Layer Comparison'!Excess_Past,0),'Layer Comparison'!Limit_Past)))</f>
        <v/>
      </c>
      <c r="BI152" s="87" t="str">
        <f>IF(Dyn_Insured="","",IF(ISNUMBER(BE152)=FALSE,"n/a",MIN(MAX(BE152-'Layer Comparison'!Excess_Latest,0),'Layer Comparison'!Limit_Latest)))</f>
        <v/>
      </c>
      <c r="BJ152" s="87" t="str">
        <f t="shared" si="268"/>
        <v/>
      </c>
      <c r="BK152" s="88" t="str">
        <f t="shared" si="249"/>
        <v/>
      </c>
      <c r="BL152" s="87" t="s">
        <v>50</v>
      </c>
      <c r="BM152" s="87" t="s">
        <v>50</v>
      </c>
      <c r="BN152" s="87" t="str">
        <f t="shared" si="269"/>
        <v/>
      </c>
      <c r="BO152" s="88" t="str">
        <f t="shared" si="251"/>
        <v/>
      </c>
      <c r="BP152" s="87" t="str">
        <f>IF(Dyn_Insured="","",IF(ISNUMBER(BL152)=FALSE,"n/a",MIN(MAX(BL152-'Layer Comparison'!Excess_Past,0),'Layer Comparison'!Limit_Past)))</f>
        <v/>
      </c>
      <c r="BQ152" s="87" t="str">
        <f>IF(Dyn_Insured="","",IF(ISNUMBER(BM152)=FALSE,"n/a",MIN(MAX(BM152-'Layer Comparison'!Excess_Latest,0),'Layer Comparison'!Limit_Latest)))</f>
        <v/>
      </c>
      <c r="BR152" s="87" t="str">
        <f t="shared" si="270"/>
        <v/>
      </c>
      <c r="BS152" s="88" t="str">
        <f t="shared" si="253"/>
        <v/>
      </c>
      <c r="BT152" s="46" t="s">
        <v>13</v>
      </c>
    </row>
    <row r="153" spans="1:72" hidden="1" outlineLevel="1" x14ac:dyDescent="0.25">
      <c r="A153" s="89" t="s">
        <v>54</v>
      </c>
      <c r="B153" s="89">
        <f t="shared" si="219"/>
        <v>0</v>
      </c>
      <c r="C153" s="89">
        <f t="shared" si="220"/>
        <v>0</v>
      </c>
      <c r="D153" s="90">
        <f t="shared" ref="D153:E162" si="271">IF(SUMIFS($F153:$BO153,$F$9:$BO$9,D$9,$F$10:$BO$10,D$10)&gt;0,1,0)</f>
        <v>0</v>
      </c>
      <c r="E153" s="90">
        <f t="shared" si="271"/>
        <v>0</v>
      </c>
      <c r="F153" s="48" t="s">
        <v>50</v>
      </c>
      <c r="G153" s="38" t="s">
        <v>50</v>
      </c>
      <c r="H153" s="87" t="s">
        <v>50</v>
      </c>
      <c r="I153" s="87" t="s">
        <v>50</v>
      </c>
      <c r="J153" s="87" t="str">
        <f t="shared" si="255"/>
        <v/>
      </c>
      <c r="K153" s="88" t="str">
        <f t="shared" si="223"/>
        <v/>
      </c>
      <c r="L153" s="87" t="str">
        <f>IF(Dyn_Insured="","",IF(ISNUMBER(H153)=FALSE,"n/a",MIN(MAX(H153-'Layer Comparison'!Excess_Past,0),'Layer Comparison'!Limit_Past)))</f>
        <v/>
      </c>
      <c r="M153" s="87" t="str">
        <f>IF(Dyn_Insured="","",IF(ISNUMBER(I153)=FALSE,"n/a",MIN(MAX(I153-'Layer Comparison'!Excess_Latest,0),'Layer Comparison'!Limit_Latest)))</f>
        <v/>
      </c>
      <c r="N153" s="87" t="str">
        <f t="shared" si="256"/>
        <v/>
      </c>
      <c r="O153" s="88" t="str">
        <f t="shared" si="225"/>
        <v/>
      </c>
      <c r="P153" s="87" t="s">
        <v>50</v>
      </c>
      <c r="Q153" s="87" t="s">
        <v>50</v>
      </c>
      <c r="R153" s="87" t="str">
        <f t="shared" si="257"/>
        <v/>
      </c>
      <c r="S153" s="88" t="str">
        <f t="shared" si="227"/>
        <v/>
      </c>
      <c r="T153" s="87" t="str">
        <f>IF(Dyn_Insured="","",IF(ISNUMBER(P153)=FALSE,"n/a",MIN(MAX(P153-'Layer Comparison'!Excess_Past,0),'Layer Comparison'!Limit_Past)))</f>
        <v/>
      </c>
      <c r="U153" s="87" t="str">
        <f>IF(Dyn_Insured="","",IF(ISNUMBER(Q153)=FALSE,"n/a",MIN(MAX(Q153-'Layer Comparison'!Excess_Latest,0),'Layer Comparison'!Limit_Latest)))</f>
        <v/>
      </c>
      <c r="V153" s="87" t="str">
        <f t="shared" si="258"/>
        <v/>
      </c>
      <c r="W153" s="88" t="str">
        <f t="shared" si="229"/>
        <v/>
      </c>
      <c r="X153" s="87" t="s">
        <v>50</v>
      </c>
      <c r="Y153" s="87" t="s">
        <v>50</v>
      </c>
      <c r="Z153" s="87" t="str">
        <f t="shared" si="259"/>
        <v/>
      </c>
      <c r="AA153" s="88" t="str">
        <f t="shared" si="231"/>
        <v/>
      </c>
      <c r="AB153" s="87" t="str">
        <f>IF(Dyn_Insured="","",IF(ISNUMBER(X153)=FALSE,"n/a",MIN(MAX(X153-'Layer Comparison'!Excess_Past,0),'Layer Comparison'!Limit_Past)))</f>
        <v/>
      </c>
      <c r="AC153" s="87" t="str">
        <f>IF(Dyn_Insured="","",IF(ISNUMBER(Y153)=FALSE,"n/a",MIN(MAX(Y153-'Layer Comparison'!Excess_Latest,0),'Layer Comparison'!Limit_Latest)))</f>
        <v/>
      </c>
      <c r="AD153" s="87" t="str">
        <f t="shared" si="260"/>
        <v/>
      </c>
      <c r="AE153" s="88" t="str">
        <f t="shared" si="233"/>
        <v/>
      </c>
      <c r="AF153" s="87" t="s">
        <v>50</v>
      </c>
      <c r="AG153" s="87" t="s">
        <v>50</v>
      </c>
      <c r="AH153" s="87" t="str">
        <f t="shared" si="261"/>
        <v/>
      </c>
      <c r="AI153" s="88" t="str">
        <f t="shared" si="235"/>
        <v/>
      </c>
      <c r="AJ153" s="87" t="str">
        <f>IF(Dyn_Insured="","",IF(ISNUMBER(AF153)=FALSE,"n/a",MIN(MAX(AF153-'Layer Comparison'!Excess_Past,0),'Layer Comparison'!Limit_Past)))</f>
        <v/>
      </c>
      <c r="AK153" s="87" t="str">
        <f>IF(Dyn_Insured="","",IF(ISNUMBER(AG153)=FALSE,"n/a",MIN(MAX(AG153-'Layer Comparison'!Excess_Latest,0),'Layer Comparison'!Limit_Latest)))</f>
        <v/>
      </c>
      <c r="AL153" s="87" t="str">
        <f t="shared" si="262"/>
        <v/>
      </c>
      <c r="AM153" s="88" t="str">
        <f t="shared" si="237"/>
        <v/>
      </c>
      <c r="AN153" s="87" t="s">
        <v>50</v>
      </c>
      <c r="AO153" s="87" t="s">
        <v>50</v>
      </c>
      <c r="AP153" s="87" t="str">
        <f t="shared" si="263"/>
        <v/>
      </c>
      <c r="AQ153" s="88" t="str">
        <f t="shared" si="239"/>
        <v/>
      </c>
      <c r="AR153" s="87" t="str">
        <f>IF(Dyn_Insured="","",IF(ISNUMBER(AN153)=FALSE,"n/a",MIN(MAX(AN153-'Layer Comparison'!Excess_Past,0),'Layer Comparison'!Limit_Past)))</f>
        <v/>
      </c>
      <c r="AS153" s="87" t="str">
        <f>IF(Dyn_Insured="","",IF(ISNUMBER(AO153)=FALSE,"n/a",MIN(MAX(AO153-'Layer Comparison'!Excess_Latest,0),'Layer Comparison'!Limit_Latest)))</f>
        <v/>
      </c>
      <c r="AT153" s="87" t="str">
        <f t="shared" si="264"/>
        <v/>
      </c>
      <c r="AU153" s="88" t="str">
        <f t="shared" si="241"/>
        <v/>
      </c>
      <c r="AV153" s="87" t="s">
        <v>50</v>
      </c>
      <c r="AW153" s="87" t="s">
        <v>50</v>
      </c>
      <c r="AX153" s="87" t="str">
        <f t="shared" si="265"/>
        <v/>
      </c>
      <c r="AY153" s="88" t="str">
        <f t="shared" si="243"/>
        <v/>
      </c>
      <c r="AZ153" s="87" t="str">
        <f>IF(Dyn_Insured="","",IF(ISNUMBER(AV153)=FALSE,"n/a",MIN(MAX(AV153-'Layer Comparison'!Excess_Past,0),'Layer Comparison'!Limit_Past)))</f>
        <v/>
      </c>
      <c r="BA153" s="87" t="str">
        <f>IF(Dyn_Insured="","",IF(ISNUMBER(AW153)=FALSE,"n/a",MIN(MAX(AW153-'Layer Comparison'!Excess_Latest,0),'Layer Comparison'!Limit_Latest)))</f>
        <v/>
      </c>
      <c r="BB153" s="87" t="str">
        <f t="shared" si="266"/>
        <v/>
      </c>
      <c r="BC153" s="88" t="str">
        <f t="shared" si="245"/>
        <v/>
      </c>
      <c r="BD153" s="87" t="s">
        <v>50</v>
      </c>
      <c r="BE153" s="87" t="s">
        <v>50</v>
      </c>
      <c r="BF153" s="87" t="str">
        <f t="shared" si="267"/>
        <v/>
      </c>
      <c r="BG153" s="88" t="str">
        <f t="shared" si="247"/>
        <v/>
      </c>
      <c r="BH153" s="87" t="str">
        <f>IF(Dyn_Insured="","",IF(ISNUMBER(BD153)=FALSE,"n/a",MIN(MAX(BD153-'Layer Comparison'!Excess_Past,0),'Layer Comparison'!Limit_Past)))</f>
        <v/>
      </c>
      <c r="BI153" s="87" t="str">
        <f>IF(Dyn_Insured="","",IF(ISNUMBER(BE153)=FALSE,"n/a",MIN(MAX(BE153-'Layer Comparison'!Excess_Latest,0),'Layer Comparison'!Limit_Latest)))</f>
        <v/>
      </c>
      <c r="BJ153" s="87" t="str">
        <f t="shared" si="268"/>
        <v/>
      </c>
      <c r="BK153" s="88" t="str">
        <f t="shared" si="249"/>
        <v/>
      </c>
      <c r="BL153" s="87" t="s">
        <v>50</v>
      </c>
      <c r="BM153" s="87" t="s">
        <v>50</v>
      </c>
      <c r="BN153" s="87" t="str">
        <f t="shared" si="269"/>
        <v/>
      </c>
      <c r="BO153" s="88" t="str">
        <f t="shared" si="251"/>
        <v/>
      </c>
      <c r="BP153" s="87" t="str">
        <f>IF(Dyn_Insured="","",IF(ISNUMBER(BL153)=FALSE,"n/a",MIN(MAX(BL153-'Layer Comparison'!Excess_Past,0),'Layer Comparison'!Limit_Past)))</f>
        <v/>
      </c>
      <c r="BQ153" s="87" t="str">
        <f>IF(Dyn_Insured="","",IF(ISNUMBER(BM153)=FALSE,"n/a",MIN(MAX(BM153-'Layer Comparison'!Excess_Latest,0),'Layer Comparison'!Limit_Latest)))</f>
        <v/>
      </c>
      <c r="BR153" s="87" t="str">
        <f t="shared" si="270"/>
        <v/>
      </c>
      <c r="BS153" s="88" t="str">
        <f t="shared" si="253"/>
        <v/>
      </c>
      <c r="BT153" s="46" t="s">
        <v>13</v>
      </c>
    </row>
    <row r="154" spans="1:72" hidden="1" outlineLevel="1" x14ac:dyDescent="0.25">
      <c r="A154" s="89" t="s">
        <v>54</v>
      </c>
      <c r="B154" s="89">
        <f t="shared" si="219"/>
        <v>0</v>
      </c>
      <c r="C154" s="89">
        <f t="shared" si="220"/>
        <v>0</v>
      </c>
      <c r="D154" s="90">
        <f t="shared" si="271"/>
        <v>0</v>
      </c>
      <c r="E154" s="90">
        <f t="shared" si="271"/>
        <v>0</v>
      </c>
      <c r="F154" s="48" t="s">
        <v>50</v>
      </c>
      <c r="G154" s="38" t="s">
        <v>50</v>
      </c>
      <c r="H154" s="87" t="s">
        <v>50</v>
      </c>
      <c r="I154" s="87" t="s">
        <v>50</v>
      </c>
      <c r="J154" s="87" t="str">
        <f t="shared" si="255"/>
        <v/>
      </c>
      <c r="K154" s="88" t="str">
        <f t="shared" si="223"/>
        <v/>
      </c>
      <c r="L154" s="87" t="str">
        <f>IF(Dyn_Insured="","",IF(ISNUMBER(H154)=FALSE,"n/a",MIN(MAX(H154-'Layer Comparison'!Excess_Past,0),'Layer Comparison'!Limit_Past)))</f>
        <v/>
      </c>
      <c r="M154" s="87" t="str">
        <f>IF(Dyn_Insured="","",IF(ISNUMBER(I154)=FALSE,"n/a",MIN(MAX(I154-'Layer Comparison'!Excess_Latest,0),'Layer Comparison'!Limit_Latest)))</f>
        <v/>
      </c>
      <c r="N154" s="87" t="str">
        <f t="shared" si="256"/>
        <v/>
      </c>
      <c r="O154" s="88" t="str">
        <f t="shared" si="225"/>
        <v/>
      </c>
      <c r="P154" s="87" t="s">
        <v>50</v>
      </c>
      <c r="Q154" s="87" t="s">
        <v>50</v>
      </c>
      <c r="R154" s="87" t="str">
        <f t="shared" si="257"/>
        <v/>
      </c>
      <c r="S154" s="88" t="str">
        <f t="shared" si="227"/>
        <v/>
      </c>
      <c r="T154" s="87" t="str">
        <f>IF(Dyn_Insured="","",IF(ISNUMBER(P154)=FALSE,"n/a",MIN(MAX(P154-'Layer Comparison'!Excess_Past,0),'Layer Comparison'!Limit_Past)))</f>
        <v/>
      </c>
      <c r="U154" s="87" t="str">
        <f>IF(Dyn_Insured="","",IF(ISNUMBER(Q154)=FALSE,"n/a",MIN(MAX(Q154-'Layer Comparison'!Excess_Latest,0),'Layer Comparison'!Limit_Latest)))</f>
        <v/>
      </c>
      <c r="V154" s="87" t="str">
        <f t="shared" si="258"/>
        <v/>
      </c>
      <c r="W154" s="88" t="str">
        <f t="shared" si="229"/>
        <v/>
      </c>
      <c r="X154" s="87" t="s">
        <v>50</v>
      </c>
      <c r="Y154" s="87" t="s">
        <v>50</v>
      </c>
      <c r="Z154" s="87" t="str">
        <f t="shared" si="259"/>
        <v/>
      </c>
      <c r="AA154" s="88" t="str">
        <f t="shared" si="231"/>
        <v/>
      </c>
      <c r="AB154" s="87" t="str">
        <f>IF(Dyn_Insured="","",IF(ISNUMBER(X154)=FALSE,"n/a",MIN(MAX(X154-'Layer Comparison'!Excess_Past,0),'Layer Comparison'!Limit_Past)))</f>
        <v/>
      </c>
      <c r="AC154" s="87" t="str">
        <f>IF(Dyn_Insured="","",IF(ISNUMBER(Y154)=FALSE,"n/a",MIN(MAX(Y154-'Layer Comparison'!Excess_Latest,0),'Layer Comparison'!Limit_Latest)))</f>
        <v/>
      </c>
      <c r="AD154" s="87" t="str">
        <f t="shared" si="260"/>
        <v/>
      </c>
      <c r="AE154" s="88" t="str">
        <f t="shared" si="233"/>
        <v/>
      </c>
      <c r="AF154" s="87" t="s">
        <v>50</v>
      </c>
      <c r="AG154" s="87" t="s">
        <v>50</v>
      </c>
      <c r="AH154" s="87" t="str">
        <f t="shared" si="261"/>
        <v/>
      </c>
      <c r="AI154" s="88" t="str">
        <f t="shared" si="235"/>
        <v/>
      </c>
      <c r="AJ154" s="87" t="str">
        <f>IF(Dyn_Insured="","",IF(ISNUMBER(AF154)=FALSE,"n/a",MIN(MAX(AF154-'Layer Comparison'!Excess_Past,0),'Layer Comparison'!Limit_Past)))</f>
        <v/>
      </c>
      <c r="AK154" s="87" t="str">
        <f>IF(Dyn_Insured="","",IF(ISNUMBER(AG154)=FALSE,"n/a",MIN(MAX(AG154-'Layer Comparison'!Excess_Latest,0),'Layer Comparison'!Limit_Latest)))</f>
        <v/>
      </c>
      <c r="AL154" s="87" t="str">
        <f t="shared" si="262"/>
        <v/>
      </c>
      <c r="AM154" s="88" t="str">
        <f t="shared" si="237"/>
        <v/>
      </c>
      <c r="AN154" s="87" t="s">
        <v>50</v>
      </c>
      <c r="AO154" s="87" t="s">
        <v>50</v>
      </c>
      <c r="AP154" s="87" t="str">
        <f t="shared" si="263"/>
        <v/>
      </c>
      <c r="AQ154" s="88" t="str">
        <f t="shared" si="239"/>
        <v/>
      </c>
      <c r="AR154" s="87" t="str">
        <f>IF(Dyn_Insured="","",IF(ISNUMBER(AN154)=FALSE,"n/a",MIN(MAX(AN154-'Layer Comparison'!Excess_Past,0),'Layer Comparison'!Limit_Past)))</f>
        <v/>
      </c>
      <c r="AS154" s="87" t="str">
        <f>IF(Dyn_Insured="","",IF(ISNUMBER(AO154)=FALSE,"n/a",MIN(MAX(AO154-'Layer Comparison'!Excess_Latest,0),'Layer Comparison'!Limit_Latest)))</f>
        <v/>
      </c>
      <c r="AT154" s="87" t="str">
        <f t="shared" si="264"/>
        <v/>
      </c>
      <c r="AU154" s="88" t="str">
        <f t="shared" si="241"/>
        <v/>
      </c>
      <c r="AV154" s="87" t="s">
        <v>50</v>
      </c>
      <c r="AW154" s="87" t="s">
        <v>50</v>
      </c>
      <c r="AX154" s="87" t="str">
        <f t="shared" si="265"/>
        <v/>
      </c>
      <c r="AY154" s="88" t="str">
        <f t="shared" si="243"/>
        <v/>
      </c>
      <c r="AZ154" s="87" t="str">
        <f>IF(Dyn_Insured="","",IF(ISNUMBER(AV154)=FALSE,"n/a",MIN(MAX(AV154-'Layer Comparison'!Excess_Past,0),'Layer Comparison'!Limit_Past)))</f>
        <v/>
      </c>
      <c r="BA154" s="87" t="str">
        <f>IF(Dyn_Insured="","",IF(ISNUMBER(AW154)=FALSE,"n/a",MIN(MAX(AW154-'Layer Comparison'!Excess_Latest,0),'Layer Comparison'!Limit_Latest)))</f>
        <v/>
      </c>
      <c r="BB154" s="87" t="str">
        <f t="shared" si="266"/>
        <v/>
      </c>
      <c r="BC154" s="88" t="str">
        <f t="shared" si="245"/>
        <v/>
      </c>
      <c r="BD154" s="87" t="s">
        <v>50</v>
      </c>
      <c r="BE154" s="87" t="s">
        <v>50</v>
      </c>
      <c r="BF154" s="87" t="str">
        <f t="shared" si="267"/>
        <v/>
      </c>
      <c r="BG154" s="88" t="str">
        <f t="shared" si="247"/>
        <v/>
      </c>
      <c r="BH154" s="87" t="str">
        <f>IF(Dyn_Insured="","",IF(ISNUMBER(BD154)=FALSE,"n/a",MIN(MAX(BD154-'Layer Comparison'!Excess_Past,0),'Layer Comparison'!Limit_Past)))</f>
        <v/>
      </c>
      <c r="BI154" s="87" t="str">
        <f>IF(Dyn_Insured="","",IF(ISNUMBER(BE154)=FALSE,"n/a",MIN(MAX(BE154-'Layer Comparison'!Excess_Latest,0),'Layer Comparison'!Limit_Latest)))</f>
        <v/>
      </c>
      <c r="BJ154" s="87" t="str">
        <f t="shared" si="268"/>
        <v/>
      </c>
      <c r="BK154" s="88" t="str">
        <f t="shared" si="249"/>
        <v/>
      </c>
      <c r="BL154" s="87" t="s">
        <v>50</v>
      </c>
      <c r="BM154" s="87" t="s">
        <v>50</v>
      </c>
      <c r="BN154" s="87" t="str">
        <f t="shared" si="269"/>
        <v/>
      </c>
      <c r="BO154" s="88" t="str">
        <f t="shared" si="251"/>
        <v/>
      </c>
      <c r="BP154" s="87" t="str">
        <f>IF(Dyn_Insured="","",IF(ISNUMBER(BL154)=FALSE,"n/a",MIN(MAX(BL154-'Layer Comparison'!Excess_Past,0),'Layer Comparison'!Limit_Past)))</f>
        <v/>
      </c>
      <c r="BQ154" s="87" t="str">
        <f>IF(Dyn_Insured="","",IF(ISNUMBER(BM154)=FALSE,"n/a",MIN(MAX(BM154-'Layer Comparison'!Excess_Latest,0),'Layer Comparison'!Limit_Latest)))</f>
        <v/>
      </c>
      <c r="BR154" s="87" t="str">
        <f t="shared" si="270"/>
        <v/>
      </c>
      <c r="BS154" s="88" t="str">
        <f t="shared" si="253"/>
        <v/>
      </c>
      <c r="BT154" s="46" t="s">
        <v>13</v>
      </c>
    </row>
    <row r="155" spans="1:72" hidden="1" outlineLevel="1" x14ac:dyDescent="0.25">
      <c r="A155" s="89" t="s">
        <v>54</v>
      </c>
      <c r="B155" s="89">
        <f t="shared" si="219"/>
        <v>0</v>
      </c>
      <c r="C155" s="89">
        <f t="shared" si="220"/>
        <v>0</v>
      </c>
      <c r="D155" s="90">
        <f t="shared" si="271"/>
        <v>0</v>
      </c>
      <c r="E155" s="90">
        <f t="shared" si="271"/>
        <v>0</v>
      </c>
      <c r="F155" s="48" t="s">
        <v>50</v>
      </c>
      <c r="G155" s="38" t="s">
        <v>50</v>
      </c>
      <c r="H155" s="87" t="s">
        <v>50</v>
      </c>
      <c r="I155" s="87" t="s">
        <v>50</v>
      </c>
      <c r="J155" s="87" t="str">
        <f t="shared" si="255"/>
        <v/>
      </c>
      <c r="K155" s="88" t="str">
        <f t="shared" si="223"/>
        <v/>
      </c>
      <c r="L155" s="87" t="str">
        <f>IF(Dyn_Insured="","",IF(ISNUMBER(H155)=FALSE,"n/a",MIN(MAX(H155-'Layer Comparison'!Excess_Past,0),'Layer Comparison'!Limit_Past)))</f>
        <v/>
      </c>
      <c r="M155" s="87" t="str">
        <f>IF(Dyn_Insured="","",IF(ISNUMBER(I155)=FALSE,"n/a",MIN(MAX(I155-'Layer Comparison'!Excess_Latest,0),'Layer Comparison'!Limit_Latest)))</f>
        <v/>
      </c>
      <c r="N155" s="87" t="str">
        <f t="shared" si="256"/>
        <v/>
      </c>
      <c r="O155" s="88" t="str">
        <f t="shared" si="225"/>
        <v/>
      </c>
      <c r="P155" s="87" t="s">
        <v>50</v>
      </c>
      <c r="Q155" s="87" t="s">
        <v>50</v>
      </c>
      <c r="R155" s="87" t="str">
        <f t="shared" si="257"/>
        <v/>
      </c>
      <c r="S155" s="88" t="str">
        <f t="shared" si="227"/>
        <v/>
      </c>
      <c r="T155" s="87" t="str">
        <f>IF(Dyn_Insured="","",IF(ISNUMBER(P155)=FALSE,"n/a",MIN(MAX(P155-'Layer Comparison'!Excess_Past,0),'Layer Comparison'!Limit_Past)))</f>
        <v/>
      </c>
      <c r="U155" s="87" t="str">
        <f>IF(Dyn_Insured="","",IF(ISNUMBER(Q155)=FALSE,"n/a",MIN(MAX(Q155-'Layer Comparison'!Excess_Latest,0),'Layer Comparison'!Limit_Latest)))</f>
        <v/>
      </c>
      <c r="V155" s="87" t="str">
        <f t="shared" si="258"/>
        <v/>
      </c>
      <c r="W155" s="88" t="str">
        <f t="shared" si="229"/>
        <v/>
      </c>
      <c r="X155" s="87" t="s">
        <v>50</v>
      </c>
      <c r="Y155" s="87" t="s">
        <v>50</v>
      </c>
      <c r="Z155" s="87" t="str">
        <f t="shared" si="259"/>
        <v/>
      </c>
      <c r="AA155" s="88" t="str">
        <f t="shared" si="231"/>
        <v/>
      </c>
      <c r="AB155" s="87" t="str">
        <f>IF(Dyn_Insured="","",IF(ISNUMBER(X155)=FALSE,"n/a",MIN(MAX(X155-'Layer Comparison'!Excess_Past,0),'Layer Comparison'!Limit_Past)))</f>
        <v/>
      </c>
      <c r="AC155" s="87" t="str">
        <f>IF(Dyn_Insured="","",IF(ISNUMBER(Y155)=FALSE,"n/a",MIN(MAX(Y155-'Layer Comparison'!Excess_Latest,0),'Layer Comparison'!Limit_Latest)))</f>
        <v/>
      </c>
      <c r="AD155" s="87" t="str">
        <f t="shared" si="260"/>
        <v/>
      </c>
      <c r="AE155" s="88" t="str">
        <f t="shared" si="233"/>
        <v/>
      </c>
      <c r="AF155" s="87" t="s">
        <v>50</v>
      </c>
      <c r="AG155" s="87" t="s">
        <v>50</v>
      </c>
      <c r="AH155" s="87" t="str">
        <f t="shared" si="261"/>
        <v/>
      </c>
      <c r="AI155" s="88" t="str">
        <f t="shared" si="235"/>
        <v/>
      </c>
      <c r="AJ155" s="87" t="str">
        <f>IF(Dyn_Insured="","",IF(ISNUMBER(AF155)=FALSE,"n/a",MIN(MAX(AF155-'Layer Comparison'!Excess_Past,0),'Layer Comparison'!Limit_Past)))</f>
        <v/>
      </c>
      <c r="AK155" s="87" t="str">
        <f>IF(Dyn_Insured="","",IF(ISNUMBER(AG155)=FALSE,"n/a",MIN(MAX(AG155-'Layer Comparison'!Excess_Latest,0),'Layer Comparison'!Limit_Latest)))</f>
        <v/>
      </c>
      <c r="AL155" s="87" t="str">
        <f t="shared" si="262"/>
        <v/>
      </c>
      <c r="AM155" s="88" t="str">
        <f t="shared" si="237"/>
        <v/>
      </c>
      <c r="AN155" s="87" t="s">
        <v>50</v>
      </c>
      <c r="AO155" s="87" t="s">
        <v>50</v>
      </c>
      <c r="AP155" s="87" t="str">
        <f t="shared" si="263"/>
        <v/>
      </c>
      <c r="AQ155" s="88" t="str">
        <f t="shared" si="239"/>
        <v/>
      </c>
      <c r="AR155" s="87" t="str">
        <f>IF(Dyn_Insured="","",IF(ISNUMBER(AN155)=FALSE,"n/a",MIN(MAX(AN155-'Layer Comparison'!Excess_Past,0),'Layer Comparison'!Limit_Past)))</f>
        <v/>
      </c>
      <c r="AS155" s="87" t="str">
        <f>IF(Dyn_Insured="","",IF(ISNUMBER(AO155)=FALSE,"n/a",MIN(MAX(AO155-'Layer Comparison'!Excess_Latest,0),'Layer Comparison'!Limit_Latest)))</f>
        <v/>
      </c>
      <c r="AT155" s="87" t="str">
        <f t="shared" si="264"/>
        <v/>
      </c>
      <c r="AU155" s="88" t="str">
        <f t="shared" si="241"/>
        <v/>
      </c>
      <c r="AV155" s="87" t="s">
        <v>50</v>
      </c>
      <c r="AW155" s="87" t="s">
        <v>50</v>
      </c>
      <c r="AX155" s="87" t="str">
        <f t="shared" si="265"/>
        <v/>
      </c>
      <c r="AY155" s="88" t="str">
        <f t="shared" si="243"/>
        <v/>
      </c>
      <c r="AZ155" s="87" t="str">
        <f>IF(Dyn_Insured="","",IF(ISNUMBER(AV155)=FALSE,"n/a",MIN(MAX(AV155-'Layer Comparison'!Excess_Past,0),'Layer Comparison'!Limit_Past)))</f>
        <v/>
      </c>
      <c r="BA155" s="87" t="str">
        <f>IF(Dyn_Insured="","",IF(ISNUMBER(AW155)=FALSE,"n/a",MIN(MAX(AW155-'Layer Comparison'!Excess_Latest,0),'Layer Comparison'!Limit_Latest)))</f>
        <v/>
      </c>
      <c r="BB155" s="87" t="str">
        <f t="shared" si="266"/>
        <v/>
      </c>
      <c r="BC155" s="88" t="str">
        <f t="shared" si="245"/>
        <v/>
      </c>
      <c r="BD155" s="87" t="s">
        <v>50</v>
      </c>
      <c r="BE155" s="87" t="s">
        <v>50</v>
      </c>
      <c r="BF155" s="87" t="str">
        <f t="shared" si="267"/>
        <v/>
      </c>
      <c r="BG155" s="88" t="str">
        <f t="shared" si="247"/>
        <v/>
      </c>
      <c r="BH155" s="87" t="str">
        <f>IF(Dyn_Insured="","",IF(ISNUMBER(BD155)=FALSE,"n/a",MIN(MAX(BD155-'Layer Comparison'!Excess_Past,0),'Layer Comparison'!Limit_Past)))</f>
        <v/>
      </c>
      <c r="BI155" s="87" t="str">
        <f>IF(Dyn_Insured="","",IF(ISNUMBER(BE155)=FALSE,"n/a",MIN(MAX(BE155-'Layer Comparison'!Excess_Latest,0),'Layer Comparison'!Limit_Latest)))</f>
        <v/>
      </c>
      <c r="BJ155" s="87" t="str">
        <f t="shared" si="268"/>
        <v/>
      </c>
      <c r="BK155" s="88" t="str">
        <f t="shared" si="249"/>
        <v/>
      </c>
      <c r="BL155" s="87" t="s">
        <v>50</v>
      </c>
      <c r="BM155" s="87" t="s">
        <v>50</v>
      </c>
      <c r="BN155" s="87" t="str">
        <f t="shared" si="269"/>
        <v/>
      </c>
      <c r="BO155" s="88" t="str">
        <f t="shared" si="251"/>
        <v/>
      </c>
      <c r="BP155" s="87" t="str">
        <f>IF(Dyn_Insured="","",IF(ISNUMBER(BL155)=FALSE,"n/a",MIN(MAX(BL155-'Layer Comparison'!Excess_Past,0),'Layer Comparison'!Limit_Past)))</f>
        <v/>
      </c>
      <c r="BQ155" s="87" t="str">
        <f>IF(Dyn_Insured="","",IF(ISNUMBER(BM155)=FALSE,"n/a",MIN(MAX(BM155-'Layer Comparison'!Excess_Latest,0),'Layer Comparison'!Limit_Latest)))</f>
        <v/>
      </c>
      <c r="BR155" s="87" t="str">
        <f t="shared" si="270"/>
        <v/>
      </c>
      <c r="BS155" s="88" t="str">
        <f t="shared" si="253"/>
        <v/>
      </c>
      <c r="BT155" s="46" t="s">
        <v>13</v>
      </c>
    </row>
    <row r="156" spans="1:72" hidden="1" outlineLevel="1" x14ac:dyDescent="0.25">
      <c r="A156" s="89" t="s">
        <v>54</v>
      </c>
      <c r="B156" s="89">
        <f t="shared" si="219"/>
        <v>0</v>
      </c>
      <c r="C156" s="89">
        <f t="shared" si="220"/>
        <v>0</v>
      </c>
      <c r="D156" s="90">
        <f t="shared" si="271"/>
        <v>0</v>
      </c>
      <c r="E156" s="90">
        <f t="shared" si="271"/>
        <v>0</v>
      </c>
      <c r="F156" s="48" t="s">
        <v>50</v>
      </c>
      <c r="G156" s="38" t="s">
        <v>50</v>
      </c>
      <c r="H156" s="87" t="s">
        <v>50</v>
      </c>
      <c r="I156" s="87" t="s">
        <v>50</v>
      </c>
      <c r="J156" s="87" t="str">
        <f t="shared" si="255"/>
        <v/>
      </c>
      <c r="K156" s="88" t="str">
        <f t="shared" si="223"/>
        <v/>
      </c>
      <c r="L156" s="87" t="str">
        <f>IF(Dyn_Insured="","",IF(ISNUMBER(H156)=FALSE,"n/a",MIN(MAX(H156-'Layer Comparison'!Excess_Past,0),'Layer Comparison'!Limit_Past)))</f>
        <v/>
      </c>
      <c r="M156" s="87" t="str">
        <f>IF(Dyn_Insured="","",IF(ISNUMBER(I156)=FALSE,"n/a",MIN(MAX(I156-'Layer Comparison'!Excess_Latest,0),'Layer Comparison'!Limit_Latest)))</f>
        <v/>
      </c>
      <c r="N156" s="87" t="str">
        <f t="shared" si="256"/>
        <v/>
      </c>
      <c r="O156" s="88" t="str">
        <f t="shared" si="225"/>
        <v/>
      </c>
      <c r="P156" s="87" t="s">
        <v>50</v>
      </c>
      <c r="Q156" s="87" t="s">
        <v>50</v>
      </c>
      <c r="R156" s="87" t="str">
        <f t="shared" si="257"/>
        <v/>
      </c>
      <c r="S156" s="88" t="str">
        <f t="shared" si="227"/>
        <v/>
      </c>
      <c r="T156" s="87" t="str">
        <f>IF(Dyn_Insured="","",IF(ISNUMBER(P156)=FALSE,"n/a",MIN(MAX(P156-'Layer Comparison'!Excess_Past,0),'Layer Comparison'!Limit_Past)))</f>
        <v/>
      </c>
      <c r="U156" s="87" t="str">
        <f>IF(Dyn_Insured="","",IF(ISNUMBER(Q156)=FALSE,"n/a",MIN(MAX(Q156-'Layer Comparison'!Excess_Latest,0),'Layer Comparison'!Limit_Latest)))</f>
        <v/>
      </c>
      <c r="V156" s="87" t="str">
        <f t="shared" si="258"/>
        <v/>
      </c>
      <c r="W156" s="88" t="str">
        <f t="shared" si="229"/>
        <v/>
      </c>
      <c r="X156" s="87" t="s">
        <v>50</v>
      </c>
      <c r="Y156" s="87" t="s">
        <v>50</v>
      </c>
      <c r="Z156" s="87" t="str">
        <f t="shared" si="259"/>
        <v/>
      </c>
      <c r="AA156" s="88" t="str">
        <f t="shared" si="231"/>
        <v/>
      </c>
      <c r="AB156" s="87" t="str">
        <f>IF(Dyn_Insured="","",IF(ISNUMBER(X156)=FALSE,"n/a",MIN(MAX(X156-'Layer Comparison'!Excess_Past,0),'Layer Comparison'!Limit_Past)))</f>
        <v/>
      </c>
      <c r="AC156" s="87" t="str">
        <f>IF(Dyn_Insured="","",IF(ISNUMBER(Y156)=FALSE,"n/a",MIN(MAX(Y156-'Layer Comparison'!Excess_Latest,0),'Layer Comparison'!Limit_Latest)))</f>
        <v/>
      </c>
      <c r="AD156" s="87" t="str">
        <f t="shared" si="260"/>
        <v/>
      </c>
      <c r="AE156" s="88" t="str">
        <f t="shared" si="233"/>
        <v/>
      </c>
      <c r="AF156" s="87" t="s">
        <v>50</v>
      </c>
      <c r="AG156" s="87" t="s">
        <v>50</v>
      </c>
      <c r="AH156" s="87" t="str">
        <f t="shared" si="261"/>
        <v/>
      </c>
      <c r="AI156" s="88" t="str">
        <f t="shared" si="235"/>
        <v/>
      </c>
      <c r="AJ156" s="87" t="str">
        <f>IF(Dyn_Insured="","",IF(ISNUMBER(AF156)=FALSE,"n/a",MIN(MAX(AF156-'Layer Comparison'!Excess_Past,0),'Layer Comparison'!Limit_Past)))</f>
        <v/>
      </c>
      <c r="AK156" s="87" t="str">
        <f>IF(Dyn_Insured="","",IF(ISNUMBER(AG156)=FALSE,"n/a",MIN(MAX(AG156-'Layer Comparison'!Excess_Latest,0),'Layer Comparison'!Limit_Latest)))</f>
        <v/>
      </c>
      <c r="AL156" s="87" t="str">
        <f t="shared" si="262"/>
        <v/>
      </c>
      <c r="AM156" s="88" t="str">
        <f t="shared" si="237"/>
        <v/>
      </c>
      <c r="AN156" s="87" t="s">
        <v>50</v>
      </c>
      <c r="AO156" s="87" t="s">
        <v>50</v>
      </c>
      <c r="AP156" s="87" t="str">
        <f t="shared" si="263"/>
        <v/>
      </c>
      <c r="AQ156" s="88" t="str">
        <f t="shared" si="239"/>
        <v/>
      </c>
      <c r="AR156" s="87" t="str">
        <f>IF(Dyn_Insured="","",IF(ISNUMBER(AN156)=FALSE,"n/a",MIN(MAX(AN156-'Layer Comparison'!Excess_Past,0),'Layer Comparison'!Limit_Past)))</f>
        <v/>
      </c>
      <c r="AS156" s="87" t="str">
        <f>IF(Dyn_Insured="","",IF(ISNUMBER(AO156)=FALSE,"n/a",MIN(MAX(AO156-'Layer Comparison'!Excess_Latest,0),'Layer Comparison'!Limit_Latest)))</f>
        <v/>
      </c>
      <c r="AT156" s="87" t="str">
        <f t="shared" si="264"/>
        <v/>
      </c>
      <c r="AU156" s="88" t="str">
        <f t="shared" si="241"/>
        <v/>
      </c>
      <c r="AV156" s="87" t="s">
        <v>50</v>
      </c>
      <c r="AW156" s="87" t="s">
        <v>50</v>
      </c>
      <c r="AX156" s="87" t="str">
        <f t="shared" si="265"/>
        <v/>
      </c>
      <c r="AY156" s="88" t="str">
        <f t="shared" si="243"/>
        <v/>
      </c>
      <c r="AZ156" s="87" t="str">
        <f>IF(Dyn_Insured="","",IF(ISNUMBER(AV156)=FALSE,"n/a",MIN(MAX(AV156-'Layer Comparison'!Excess_Past,0),'Layer Comparison'!Limit_Past)))</f>
        <v/>
      </c>
      <c r="BA156" s="87" t="str">
        <f>IF(Dyn_Insured="","",IF(ISNUMBER(AW156)=FALSE,"n/a",MIN(MAX(AW156-'Layer Comparison'!Excess_Latest,0),'Layer Comparison'!Limit_Latest)))</f>
        <v/>
      </c>
      <c r="BB156" s="87" t="str">
        <f t="shared" si="266"/>
        <v/>
      </c>
      <c r="BC156" s="88" t="str">
        <f t="shared" si="245"/>
        <v/>
      </c>
      <c r="BD156" s="87" t="s">
        <v>50</v>
      </c>
      <c r="BE156" s="87" t="s">
        <v>50</v>
      </c>
      <c r="BF156" s="87" t="str">
        <f t="shared" si="267"/>
        <v/>
      </c>
      <c r="BG156" s="88" t="str">
        <f t="shared" si="247"/>
        <v/>
      </c>
      <c r="BH156" s="87" t="str">
        <f>IF(Dyn_Insured="","",IF(ISNUMBER(BD156)=FALSE,"n/a",MIN(MAX(BD156-'Layer Comparison'!Excess_Past,0),'Layer Comparison'!Limit_Past)))</f>
        <v/>
      </c>
      <c r="BI156" s="87" t="str">
        <f>IF(Dyn_Insured="","",IF(ISNUMBER(BE156)=FALSE,"n/a",MIN(MAX(BE156-'Layer Comparison'!Excess_Latest,0),'Layer Comparison'!Limit_Latest)))</f>
        <v/>
      </c>
      <c r="BJ156" s="87" t="str">
        <f t="shared" si="268"/>
        <v/>
      </c>
      <c r="BK156" s="88" t="str">
        <f t="shared" si="249"/>
        <v/>
      </c>
      <c r="BL156" s="87" t="s">
        <v>50</v>
      </c>
      <c r="BM156" s="87" t="s">
        <v>50</v>
      </c>
      <c r="BN156" s="87" t="str">
        <f t="shared" si="269"/>
        <v/>
      </c>
      <c r="BO156" s="88" t="str">
        <f t="shared" si="251"/>
        <v/>
      </c>
      <c r="BP156" s="87" t="str">
        <f>IF(Dyn_Insured="","",IF(ISNUMBER(BL156)=FALSE,"n/a",MIN(MAX(BL156-'Layer Comparison'!Excess_Past,0),'Layer Comparison'!Limit_Past)))</f>
        <v/>
      </c>
      <c r="BQ156" s="87" t="str">
        <f>IF(Dyn_Insured="","",IF(ISNUMBER(BM156)=FALSE,"n/a",MIN(MAX(BM156-'Layer Comparison'!Excess_Latest,0),'Layer Comparison'!Limit_Latest)))</f>
        <v/>
      </c>
      <c r="BR156" s="87" t="str">
        <f t="shared" si="270"/>
        <v/>
      </c>
      <c r="BS156" s="88" t="str">
        <f t="shared" si="253"/>
        <v/>
      </c>
      <c r="BT156" s="46" t="s">
        <v>13</v>
      </c>
    </row>
    <row r="157" spans="1:72" hidden="1" outlineLevel="1" x14ac:dyDescent="0.25">
      <c r="A157" s="89" t="s">
        <v>54</v>
      </c>
      <c r="B157" s="89">
        <f t="shared" si="219"/>
        <v>0</v>
      </c>
      <c r="C157" s="89">
        <f t="shared" si="220"/>
        <v>0</v>
      </c>
      <c r="D157" s="90">
        <f t="shared" si="271"/>
        <v>0</v>
      </c>
      <c r="E157" s="90">
        <f t="shared" si="271"/>
        <v>0</v>
      </c>
      <c r="F157" s="48" t="s">
        <v>50</v>
      </c>
      <c r="G157" s="38" t="s">
        <v>50</v>
      </c>
      <c r="H157" s="87" t="s">
        <v>50</v>
      </c>
      <c r="I157" s="87" t="s">
        <v>50</v>
      </c>
      <c r="J157" s="87" t="str">
        <f t="shared" si="255"/>
        <v/>
      </c>
      <c r="K157" s="88" t="str">
        <f t="shared" si="223"/>
        <v/>
      </c>
      <c r="L157" s="87" t="str">
        <f>IF(Dyn_Insured="","",IF(ISNUMBER(H157)=FALSE,"n/a",MIN(MAX(H157-'Layer Comparison'!Excess_Past,0),'Layer Comparison'!Limit_Past)))</f>
        <v/>
      </c>
      <c r="M157" s="87" t="str">
        <f>IF(Dyn_Insured="","",IF(ISNUMBER(I157)=FALSE,"n/a",MIN(MAX(I157-'Layer Comparison'!Excess_Latest,0),'Layer Comparison'!Limit_Latest)))</f>
        <v/>
      </c>
      <c r="N157" s="87" t="str">
        <f t="shared" si="256"/>
        <v/>
      </c>
      <c r="O157" s="88" t="str">
        <f t="shared" si="225"/>
        <v/>
      </c>
      <c r="P157" s="87" t="s">
        <v>50</v>
      </c>
      <c r="Q157" s="87" t="s">
        <v>50</v>
      </c>
      <c r="R157" s="87" t="str">
        <f t="shared" si="257"/>
        <v/>
      </c>
      <c r="S157" s="88" t="str">
        <f t="shared" si="227"/>
        <v/>
      </c>
      <c r="T157" s="87" t="str">
        <f>IF(Dyn_Insured="","",IF(ISNUMBER(P157)=FALSE,"n/a",MIN(MAX(P157-'Layer Comparison'!Excess_Past,0),'Layer Comparison'!Limit_Past)))</f>
        <v/>
      </c>
      <c r="U157" s="87" t="str">
        <f>IF(Dyn_Insured="","",IF(ISNUMBER(Q157)=FALSE,"n/a",MIN(MAX(Q157-'Layer Comparison'!Excess_Latest,0),'Layer Comparison'!Limit_Latest)))</f>
        <v/>
      </c>
      <c r="V157" s="87" t="str">
        <f t="shared" si="258"/>
        <v/>
      </c>
      <c r="W157" s="88" t="str">
        <f t="shared" si="229"/>
        <v/>
      </c>
      <c r="X157" s="87" t="s">
        <v>50</v>
      </c>
      <c r="Y157" s="87" t="s">
        <v>50</v>
      </c>
      <c r="Z157" s="87" t="str">
        <f t="shared" si="259"/>
        <v/>
      </c>
      <c r="AA157" s="88" t="str">
        <f t="shared" si="231"/>
        <v/>
      </c>
      <c r="AB157" s="87" t="str">
        <f>IF(Dyn_Insured="","",IF(ISNUMBER(X157)=FALSE,"n/a",MIN(MAX(X157-'Layer Comparison'!Excess_Past,0),'Layer Comparison'!Limit_Past)))</f>
        <v/>
      </c>
      <c r="AC157" s="87" t="str">
        <f>IF(Dyn_Insured="","",IF(ISNUMBER(Y157)=FALSE,"n/a",MIN(MAX(Y157-'Layer Comparison'!Excess_Latest,0),'Layer Comparison'!Limit_Latest)))</f>
        <v/>
      </c>
      <c r="AD157" s="87" t="str">
        <f t="shared" si="260"/>
        <v/>
      </c>
      <c r="AE157" s="88" t="str">
        <f t="shared" si="233"/>
        <v/>
      </c>
      <c r="AF157" s="87" t="s">
        <v>50</v>
      </c>
      <c r="AG157" s="87" t="s">
        <v>50</v>
      </c>
      <c r="AH157" s="87" t="str">
        <f t="shared" si="261"/>
        <v/>
      </c>
      <c r="AI157" s="88" t="str">
        <f t="shared" si="235"/>
        <v/>
      </c>
      <c r="AJ157" s="87" t="str">
        <f>IF(Dyn_Insured="","",IF(ISNUMBER(AF157)=FALSE,"n/a",MIN(MAX(AF157-'Layer Comparison'!Excess_Past,0),'Layer Comparison'!Limit_Past)))</f>
        <v/>
      </c>
      <c r="AK157" s="87" t="str">
        <f>IF(Dyn_Insured="","",IF(ISNUMBER(AG157)=FALSE,"n/a",MIN(MAX(AG157-'Layer Comparison'!Excess_Latest,0),'Layer Comparison'!Limit_Latest)))</f>
        <v/>
      </c>
      <c r="AL157" s="87" t="str">
        <f t="shared" si="262"/>
        <v/>
      </c>
      <c r="AM157" s="88" t="str">
        <f t="shared" si="237"/>
        <v/>
      </c>
      <c r="AN157" s="87" t="s">
        <v>50</v>
      </c>
      <c r="AO157" s="87" t="s">
        <v>50</v>
      </c>
      <c r="AP157" s="87" t="str">
        <f t="shared" si="263"/>
        <v/>
      </c>
      <c r="AQ157" s="88" t="str">
        <f t="shared" si="239"/>
        <v/>
      </c>
      <c r="AR157" s="87" t="str">
        <f>IF(Dyn_Insured="","",IF(ISNUMBER(AN157)=FALSE,"n/a",MIN(MAX(AN157-'Layer Comparison'!Excess_Past,0),'Layer Comparison'!Limit_Past)))</f>
        <v/>
      </c>
      <c r="AS157" s="87" t="str">
        <f>IF(Dyn_Insured="","",IF(ISNUMBER(AO157)=FALSE,"n/a",MIN(MAX(AO157-'Layer Comparison'!Excess_Latest,0),'Layer Comparison'!Limit_Latest)))</f>
        <v/>
      </c>
      <c r="AT157" s="87" t="str">
        <f t="shared" si="264"/>
        <v/>
      </c>
      <c r="AU157" s="88" t="str">
        <f t="shared" si="241"/>
        <v/>
      </c>
      <c r="AV157" s="87" t="s">
        <v>50</v>
      </c>
      <c r="AW157" s="87" t="s">
        <v>50</v>
      </c>
      <c r="AX157" s="87" t="str">
        <f t="shared" si="265"/>
        <v/>
      </c>
      <c r="AY157" s="88" t="str">
        <f t="shared" si="243"/>
        <v/>
      </c>
      <c r="AZ157" s="87" t="str">
        <f>IF(Dyn_Insured="","",IF(ISNUMBER(AV157)=FALSE,"n/a",MIN(MAX(AV157-'Layer Comparison'!Excess_Past,0),'Layer Comparison'!Limit_Past)))</f>
        <v/>
      </c>
      <c r="BA157" s="87" t="str">
        <f>IF(Dyn_Insured="","",IF(ISNUMBER(AW157)=FALSE,"n/a",MIN(MAX(AW157-'Layer Comparison'!Excess_Latest,0),'Layer Comparison'!Limit_Latest)))</f>
        <v/>
      </c>
      <c r="BB157" s="87" t="str">
        <f t="shared" si="266"/>
        <v/>
      </c>
      <c r="BC157" s="88" t="str">
        <f t="shared" si="245"/>
        <v/>
      </c>
      <c r="BD157" s="87" t="s">
        <v>50</v>
      </c>
      <c r="BE157" s="87" t="s">
        <v>50</v>
      </c>
      <c r="BF157" s="87" t="str">
        <f t="shared" si="267"/>
        <v/>
      </c>
      <c r="BG157" s="88" t="str">
        <f t="shared" si="247"/>
        <v/>
      </c>
      <c r="BH157" s="87" t="str">
        <f>IF(Dyn_Insured="","",IF(ISNUMBER(BD157)=FALSE,"n/a",MIN(MAX(BD157-'Layer Comparison'!Excess_Past,0),'Layer Comparison'!Limit_Past)))</f>
        <v/>
      </c>
      <c r="BI157" s="87" t="str">
        <f>IF(Dyn_Insured="","",IF(ISNUMBER(BE157)=FALSE,"n/a",MIN(MAX(BE157-'Layer Comparison'!Excess_Latest,0),'Layer Comparison'!Limit_Latest)))</f>
        <v/>
      </c>
      <c r="BJ157" s="87" t="str">
        <f t="shared" si="268"/>
        <v/>
      </c>
      <c r="BK157" s="88" t="str">
        <f t="shared" si="249"/>
        <v/>
      </c>
      <c r="BL157" s="87" t="s">
        <v>50</v>
      </c>
      <c r="BM157" s="87" t="s">
        <v>50</v>
      </c>
      <c r="BN157" s="87" t="str">
        <f t="shared" si="269"/>
        <v/>
      </c>
      <c r="BO157" s="88" t="str">
        <f t="shared" si="251"/>
        <v/>
      </c>
      <c r="BP157" s="87" t="str">
        <f>IF(Dyn_Insured="","",IF(ISNUMBER(BL157)=FALSE,"n/a",MIN(MAX(BL157-'Layer Comparison'!Excess_Past,0),'Layer Comparison'!Limit_Past)))</f>
        <v/>
      </c>
      <c r="BQ157" s="87" t="str">
        <f>IF(Dyn_Insured="","",IF(ISNUMBER(BM157)=FALSE,"n/a",MIN(MAX(BM157-'Layer Comparison'!Excess_Latest,0),'Layer Comparison'!Limit_Latest)))</f>
        <v/>
      </c>
      <c r="BR157" s="87" t="str">
        <f t="shared" si="270"/>
        <v/>
      </c>
      <c r="BS157" s="88" t="str">
        <f t="shared" si="253"/>
        <v/>
      </c>
      <c r="BT157" s="46" t="s">
        <v>13</v>
      </c>
    </row>
    <row r="158" spans="1:72" hidden="1" outlineLevel="1" x14ac:dyDescent="0.25">
      <c r="A158" s="89" t="s">
        <v>54</v>
      </c>
      <c r="B158" s="89">
        <f t="shared" si="219"/>
        <v>0</v>
      </c>
      <c r="C158" s="89">
        <f t="shared" si="220"/>
        <v>0</v>
      </c>
      <c r="D158" s="90">
        <f t="shared" si="271"/>
        <v>0</v>
      </c>
      <c r="E158" s="90">
        <f t="shared" si="271"/>
        <v>0</v>
      </c>
      <c r="F158" s="48" t="s">
        <v>50</v>
      </c>
      <c r="G158" s="38" t="s">
        <v>50</v>
      </c>
      <c r="H158" s="87" t="s">
        <v>50</v>
      </c>
      <c r="I158" s="87" t="s">
        <v>50</v>
      </c>
      <c r="J158" s="87" t="str">
        <f t="shared" si="255"/>
        <v/>
      </c>
      <c r="K158" s="88" t="str">
        <f t="shared" si="223"/>
        <v/>
      </c>
      <c r="L158" s="87" t="str">
        <f>IF(Dyn_Insured="","",IF(ISNUMBER(H158)=FALSE,"n/a",MIN(MAX(H158-'Layer Comparison'!Excess_Past,0),'Layer Comparison'!Limit_Past)))</f>
        <v/>
      </c>
      <c r="M158" s="87" t="str">
        <f>IF(Dyn_Insured="","",IF(ISNUMBER(I158)=FALSE,"n/a",MIN(MAX(I158-'Layer Comparison'!Excess_Latest,0),'Layer Comparison'!Limit_Latest)))</f>
        <v/>
      </c>
      <c r="N158" s="87" t="str">
        <f t="shared" si="256"/>
        <v/>
      </c>
      <c r="O158" s="88" t="str">
        <f t="shared" si="225"/>
        <v/>
      </c>
      <c r="P158" s="87" t="s">
        <v>50</v>
      </c>
      <c r="Q158" s="87" t="s">
        <v>50</v>
      </c>
      <c r="R158" s="87" t="str">
        <f t="shared" si="257"/>
        <v/>
      </c>
      <c r="S158" s="88" t="str">
        <f t="shared" si="227"/>
        <v/>
      </c>
      <c r="T158" s="87" t="str">
        <f>IF(Dyn_Insured="","",IF(ISNUMBER(P158)=FALSE,"n/a",MIN(MAX(P158-'Layer Comparison'!Excess_Past,0),'Layer Comparison'!Limit_Past)))</f>
        <v/>
      </c>
      <c r="U158" s="87" t="str">
        <f>IF(Dyn_Insured="","",IF(ISNUMBER(Q158)=FALSE,"n/a",MIN(MAX(Q158-'Layer Comparison'!Excess_Latest,0),'Layer Comparison'!Limit_Latest)))</f>
        <v/>
      </c>
      <c r="V158" s="87" t="str">
        <f t="shared" si="258"/>
        <v/>
      </c>
      <c r="W158" s="88" t="str">
        <f t="shared" si="229"/>
        <v/>
      </c>
      <c r="X158" s="87" t="s">
        <v>50</v>
      </c>
      <c r="Y158" s="87" t="s">
        <v>50</v>
      </c>
      <c r="Z158" s="87" t="str">
        <f t="shared" si="259"/>
        <v/>
      </c>
      <c r="AA158" s="88" t="str">
        <f t="shared" si="231"/>
        <v/>
      </c>
      <c r="AB158" s="87" t="str">
        <f>IF(Dyn_Insured="","",IF(ISNUMBER(X158)=FALSE,"n/a",MIN(MAX(X158-'Layer Comparison'!Excess_Past,0),'Layer Comparison'!Limit_Past)))</f>
        <v/>
      </c>
      <c r="AC158" s="87" t="str">
        <f>IF(Dyn_Insured="","",IF(ISNUMBER(Y158)=FALSE,"n/a",MIN(MAX(Y158-'Layer Comparison'!Excess_Latest,0),'Layer Comparison'!Limit_Latest)))</f>
        <v/>
      </c>
      <c r="AD158" s="87" t="str">
        <f t="shared" si="260"/>
        <v/>
      </c>
      <c r="AE158" s="88" t="str">
        <f t="shared" si="233"/>
        <v/>
      </c>
      <c r="AF158" s="87" t="s">
        <v>50</v>
      </c>
      <c r="AG158" s="87" t="s">
        <v>50</v>
      </c>
      <c r="AH158" s="87" t="str">
        <f t="shared" si="261"/>
        <v/>
      </c>
      <c r="AI158" s="88" t="str">
        <f t="shared" si="235"/>
        <v/>
      </c>
      <c r="AJ158" s="87" t="str">
        <f>IF(Dyn_Insured="","",IF(ISNUMBER(AF158)=FALSE,"n/a",MIN(MAX(AF158-'Layer Comparison'!Excess_Past,0),'Layer Comparison'!Limit_Past)))</f>
        <v/>
      </c>
      <c r="AK158" s="87" t="str">
        <f>IF(Dyn_Insured="","",IF(ISNUMBER(AG158)=FALSE,"n/a",MIN(MAX(AG158-'Layer Comparison'!Excess_Latest,0),'Layer Comparison'!Limit_Latest)))</f>
        <v/>
      </c>
      <c r="AL158" s="87" t="str">
        <f t="shared" si="262"/>
        <v/>
      </c>
      <c r="AM158" s="88" t="str">
        <f t="shared" si="237"/>
        <v/>
      </c>
      <c r="AN158" s="87" t="s">
        <v>50</v>
      </c>
      <c r="AO158" s="87" t="s">
        <v>50</v>
      </c>
      <c r="AP158" s="87" t="str">
        <f t="shared" si="263"/>
        <v/>
      </c>
      <c r="AQ158" s="88" t="str">
        <f t="shared" si="239"/>
        <v/>
      </c>
      <c r="AR158" s="87" t="str">
        <f>IF(Dyn_Insured="","",IF(ISNUMBER(AN158)=FALSE,"n/a",MIN(MAX(AN158-'Layer Comparison'!Excess_Past,0),'Layer Comparison'!Limit_Past)))</f>
        <v/>
      </c>
      <c r="AS158" s="87" t="str">
        <f>IF(Dyn_Insured="","",IF(ISNUMBER(AO158)=FALSE,"n/a",MIN(MAX(AO158-'Layer Comparison'!Excess_Latest,0),'Layer Comparison'!Limit_Latest)))</f>
        <v/>
      </c>
      <c r="AT158" s="87" t="str">
        <f t="shared" si="264"/>
        <v/>
      </c>
      <c r="AU158" s="88" t="str">
        <f t="shared" si="241"/>
        <v/>
      </c>
      <c r="AV158" s="87" t="s">
        <v>50</v>
      </c>
      <c r="AW158" s="87" t="s">
        <v>50</v>
      </c>
      <c r="AX158" s="87" t="str">
        <f t="shared" si="265"/>
        <v/>
      </c>
      <c r="AY158" s="88" t="str">
        <f t="shared" si="243"/>
        <v/>
      </c>
      <c r="AZ158" s="87" t="str">
        <f>IF(Dyn_Insured="","",IF(ISNUMBER(AV158)=FALSE,"n/a",MIN(MAX(AV158-'Layer Comparison'!Excess_Past,0),'Layer Comparison'!Limit_Past)))</f>
        <v/>
      </c>
      <c r="BA158" s="87" t="str">
        <f>IF(Dyn_Insured="","",IF(ISNUMBER(AW158)=FALSE,"n/a",MIN(MAX(AW158-'Layer Comparison'!Excess_Latest,0),'Layer Comparison'!Limit_Latest)))</f>
        <v/>
      </c>
      <c r="BB158" s="87" t="str">
        <f t="shared" si="266"/>
        <v/>
      </c>
      <c r="BC158" s="88" t="str">
        <f t="shared" si="245"/>
        <v/>
      </c>
      <c r="BD158" s="87" t="s">
        <v>50</v>
      </c>
      <c r="BE158" s="87" t="s">
        <v>50</v>
      </c>
      <c r="BF158" s="87" t="str">
        <f t="shared" si="267"/>
        <v/>
      </c>
      <c r="BG158" s="88" t="str">
        <f t="shared" si="247"/>
        <v/>
      </c>
      <c r="BH158" s="87" t="str">
        <f>IF(Dyn_Insured="","",IF(ISNUMBER(BD158)=FALSE,"n/a",MIN(MAX(BD158-'Layer Comparison'!Excess_Past,0),'Layer Comparison'!Limit_Past)))</f>
        <v/>
      </c>
      <c r="BI158" s="87" t="str">
        <f>IF(Dyn_Insured="","",IF(ISNUMBER(BE158)=FALSE,"n/a",MIN(MAX(BE158-'Layer Comparison'!Excess_Latest,0),'Layer Comparison'!Limit_Latest)))</f>
        <v/>
      </c>
      <c r="BJ158" s="87" t="str">
        <f t="shared" si="268"/>
        <v/>
      </c>
      <c r="BK158" s="88" t="str">
        <f t="shared" si="249"/>
        <v/>
      </c>
      <c r="BL158" s="87" t="s">
        <v>50</v>
      </c>
      <c r="BM158" s="87" t="s">
        <v>50</v>
      </c>
      <c r="BN158" s="87" t="str">
        <f t="shared" si="269"/>
        <v/>
      </c>
      <c r="BO158" s="88" t="str">
        <f t="shared" si="251"/>
        <v/>
      </c>
      <c r="BP158" s="87" t="str">
        <f>IF(Dyn_Insured="","",IF(ISNUMBER(BL158)=FALSE,"n/a",MIN(MAX(BL158-'Layer Comparison'!Excess_Past,0),'Layer Comparison'!Limit_Past)))</f>
        <v/>
      </c>
      <c r="BQ158" s="87" t="str">
        <f>IF(Dyn_Insured="","",IF(ISNUMBER(BM158)=FALSE,"n/a",MIN(MAX(BM158-'Layer Comparison'!Excess_Latest,0),'Layer Comparison'!Limit_Latest)))</f>
        <v/>
      </c>
      <c r="BR158" s="87" t="str">
        <f t="shared" si="270"/>
        <v/>
      </c>
      <c r="BS158" s="88" t="str">
        <f t="shared" si="253"/>
        <v/>
      </c>
      <c r="BT158" s="46" t="s">
        <v>13</v>
      </c>
    </row>
    <row r="159" spans="1:72" hidden="1" outlineLevel="1" x14ac:dyDescent="0.25">
      <c r="A159" s="89" t="s">
        <v>54</v>
      </c>
      <c r="B159" s="89">
        <f t="shared" si="219"/>
        <v>0</v>
      </c>
      <c r="C159" s="89">
        <f t="shared" si="220"/>
        <v>0</v>
      </c>
      <c r="D159" s="90">
        <f t="shared" si="271"/>
        <v>0</v>
      </c>
      <c r="E159" s="90">
        <f t="shared" si="271"/>
        <v>0</v>
      </c>
      <c r="F159" s="48" t="s">
        <v>50</v>
      </c>
      <c r="G159" s="38" t="s">
        <v>50</v>
      </c>
      <c r="H159" s="87" t="s">
        <v>50</v>
      </c>
      <c r="I159" s="87" t="s">
        <v>50</v>
      </c>
      <c r="J159" s="87" t="str">
        <f t="shared" si="255"/>
        <v/>
      </c>
      <c r="K159" s="88" t="str">
        <f t="shared" si="223"/>
        <v/>
      </c>
      <c r="L159" s="87" t="str">
        <f>IF(Dyn_Insured="","",IF(ISNUMBER(H159)=FALSE,"n/a",MIN(MAX(H159-'Layer Comparison'!Excess_Past,0),'Layer Comparison'!Limit_Past)))</f>
        <v/>
      </c>
      <c r="M159" s="87" t="str">
        <f>IF(Dyn_Insured="","",IF(ISNUMBER(I159)=FALSE,"n/a",MIN(MAX(I159-'Layer Comparison'!Excess_Latest,0),'Layer Comparison'!Limit_Latest)))</f>
        <v/>
      </c>
      <c r="N159" s="87" t="str">
        <f t="shared" si="256"/>
        <v/>
      </c>
      <c r="O159" s="88" t="str">
        <f t="shared" si="225"/>
        <v/>
      </c>
      <c r="P159" s="87" t="s">
        <v>50</v>
      </c>
      <c r="Q159" s="87" t="s">
        <v>50</v>
      </c>
      <c r="R159" s="87" t="str">
        <f t="shared" si="257"/>
        <v/>
      </c>
      <c r="S159" s="88" t="str">
        <f t="shared" si="227"/>
        <v/>
      </c>
      <c r="T159" s="87" t="str">
        <f>IF(Dyn_Insured="","",IF(ISNUMBER(P159)=FALSE,"n/a",MIN(MAX(P159-'Layer Comparison'!Excess_Past,0),'Layer Comparison'!Limit_Past)))</f>
        <v/>
      </c>
      <c r="U159" s="87" t="str">
        <f>IF(Dyn_Insured="","",IF(ISNUMBER(Q159)=FALSE,"n/a",MIN(MAX(Q159-'Layer Comparison'!Excess_Latest,0),'Layer Comparison'!Limit_Latest)))</f>
        <v/>
      </c>
      <c r="V159" s="87" t="str">
        <f t="shared" si="258"/>
        <v/>
      </c>
      <c r="W159" s="88" t="str">
        <f t="shared" si="229"/>
        <v/>
      </c>
      <c r="X159" s="87" t="s">
        <v>50</v>
      </c>
      <c r="Y159" s="87" t="s">
        <v>50</v>
      </c>
      <c r="Z159" s="87" t="str">
        <f t="shared" si="259"/>
        <v/>
      </c>
      <c r="AA159" s="88" t="str">
        <f t="shared" si="231"/>
        <v/>
      </c>
      <c r="AB159" s="87" t="str">
        <f>IF(Dyn_Insured="","",IF(ISNUMBER(X159)=FALSE,"n/a",MIN(MAX(X159-'Layer Comparison'!Excess_Past,0),'Layer Comparison'!Limit_Past)))</f>
        <v/>
      </c>
      <c r="AC159" s="87" t="str">
        <f>IF(Dyn_Insured="","",IF(ISNUMBER(Y159)=FALSE,"n/a",MIN(MAX(Y159-'Layer Comparison'!Excess_Latest,0),'Layer Comparison'!Limit_Latest)))</f>
        <v/>
      </c>
      <c r="AD159" s="87" t="str">
        <f t="shared" si="260"/>
        <v/>
      </c>
      <c r="AE159" s="88" t="str">
        <f t="shared" si="233"/>
        <v/>
      </c>
      <c r="AF159" s="87" t="s">
        <v>50</v>
      </c>
      <c r="AG159" s="87" t="s">
        <v>50</v>
      </c>
      <c r="AH159" s="87" t="str">
        <f t="shared" si="261"/>
        <v/>
      </c>
      <c r="AI159" s="88" t="str">
        <f t="shared" si="235"/>
        <v/>
      </c>
      <c r="AJ159" s="87" t="str">
        <f>IF(Dyn_Insured="","",IF(ISNUMBER(AF159)=FALSE,"n/a",MIN(MAX(AF159-'Layer Comparison'!Excess_Past,0),'Layer Comparison'!Limit_Past)))</f>
        <v/>
      </c>
      <c r="AK159" s="87" t="str">
        <f>IF(Dyn_Insured="","",IF(ISNUMBER(AG159)=FALSE,"n/a",MIN(MAX(AG159-'Layer Comparison'!Excess_Latest,0),'Layer Comparison'!Limit_Latest)))</f>
        <v/>
      </c>
      <c r="AL159" s="87" t="str">
        <f t="shared" si="262"/>
        <v/>
      </c>
      <c r="AM159" s="88" t="str">
        <f t="shared" si="237"/>
        <v/>
      </c>
      <c r="AN159" s="87" t="s">
        <v>50</v>
      </c>
      <c r="AO159" s="87" t="s">
        <v>50</v>
      </c>
      <c r="AP159" s="87" t="str">
        <f t="shared" si="263"/>
        <v/>
      </c>
      <c r="AQ159" s="88" t="str">
        <f t="shared" si="239"/>
        <v/>
      </c>
      <c r="AR159" s="87" t="str">
        <f>IF(Dyn_Insured="","",IF(ISNUMBER(AN159)=FALSE,"n/a",MIN(MAX(AN159-'Layer Comparison'!Excess_Past,0),'Layer Comparison'!Limit_Past)))</f>
        <v/>
      </c>
      <c r="AS159" s="87" t="str">
        <f>IF(Dyn_Insured="","",IF(ISNUMBER(AO159)=FALSE,"n/a",MIN(MAX(AO159-'Layer Comparison'!Excess_Latest,0),'Layer Comparison'!Limit_Latest)))</f>
        <v/>
      </c>
      <c r="AT159" s="87" t="str">
        <f t="shared" si="264"/>
        <v/>
      </c>
      <c r="AU159" s="88" t="str">
        <f t="shared" si="241"/>
        <v/>
      </c>
      <c r="AV159" s="87" t="s">
        <v>50</v>
      </c>
      <c r="AW159" s="87" t="s">
        <v>50</v>
      </c>
      <c r="AX159" s="87" t="str">
        <f t="shared" si="265"/>
        <v/>
      </c>
      <c r="AY159" s="88" t="str">
        <f t="shared" si="243"/>
        <v/>
      </c>
      <c r="AZ159" s="87" t="str">
        <f>IF(Dyn_Insured="","",IF(ISNUMBER(AV159)=FALSE,"n/a",MIN(MAX(AV159-'Layer Comparison'!Excess_Past,0),'Layer Comparison'!Limit_Past)))</f>
        <v/>
      </c>
      <c r="BA159" s="87" t="str">
        <f>IF(Dyn_Insured="","",IF(ISNUMBER(AW159)=FALSE,"n/a",MIN(MAX(AW159-'Layer Comparison'!Excess_Latest,0),'Layer Comparison'!Limit_Latest)))</f>
        <v/>
      </c>
      <c r="BB159" s="87" t="str">
        <f t="shared" si="266"/>
        <v/>
      </c>
      <c r="BC159" s="88" t="str">
        <f t="shared" si="245"/>
        <v/>
      </c>
      <c r="BD159" s="87" t="s">
        <v>50</v>
      </c>
      <c r="BE159" s="87" t="s">
        <v>50</v>
      </c>
      <c r="BF159" s="87" t="str">
        <f t="shared" si="267"/>
        <v/>
      </c>
      <c r="BG159" s="88" t="str">
        <f t="shared" si="247"/>
        <v/>
      </c>
      <c r="BH159" s="87" t="str">
        <f>IF(Dyn_Insured="","",IF(ISNUMBER(BD159)=FALSE,"n/a",MIN(MAX(BD159-'Layer Comparison'!Excess_Past,0),'Layer Comparison'!Limit_Past)))</f>
        <v/>
      </c>
      <c r="BI159" s="87" t="str">
        <f>IF(Dyn_Insured="","",IF(ISNUMBER(BE159)=FALSE,"n/a",MIN(MAX(BE159-'Layer Comparison'!Excess_Latest,0),'Layer Comparison'!Limit_Latest)))</f>
        <v/>
      </c>
      <c r="BJ159" s="87" t="str">
        <f t="shared" si="268"/>
        <v/>
      </c>
      <c r="BK159" s="88" t="str">
        <f t="shared" si="249"/>
        <v/>
      </c>
      <c r="BL159" s="87" t="s">
        <v>50</v>
      </c>
      <c r="BM159" s="87" t="s">
        <v>50</v>
      </c>
      <c r="BN159" s="87" t="str">
        <f t="shared" si="269"/>
        <v/>
      </c>
      <c r="BO159" s="88" t="str">
        <f t="shared" si="251"/>
        <v/>
      </c>
      <c r="BP159" s="87" t="str">
        <f>IF(Dyn_Insured="","",IF(ISNUMBER(BL159)=FALSE,"n/a",MIN(MAX(BL159-'Layer Comparison'!Excess_Past,0),'Layer Comparison'!Limit_Past)))</f>
        <v/>
      </c>
      <c r="BQ159" s="87" t="str">
        <f>IF(Dyn_Insured="","",IF(ISNUMBER(BM159)=FALSE,"n/a",MIN(MAX(BM159-'Layer Comparison'!Excess_Latest,0),'Layer Comparison'!Limit_Latest)))</f>
        <v/>
      </c>
      <c r="BR159" s="87" t="str">
        <f t="shared" si="270"/>
        <v/>
      </c>
      <c r="BS159" s="88" t="str">
        <f t="shared" si="253"/>
        <v/>
      </c>
      <c r="BT159" s="46" t="s">
        <v>13</v>
      </c>
    </row>
    <row r="160" spans="1:72" hidden="1" outlineLevel="1" x14ac:dyDescent="0.25">
      <c r="A160" s="89" t="s">
        <v>54</v>
      </c>
      <c r="B160" s="89">
        <f t="shared" si="219"/>
        <v>0</v>
      </c>
      <c r="C160" s="89">
        <f t="shared" si="220"/>
        <v>0</v>
      </c>
      <c r="D160" s="90">
        <f t="shared" si="271"/>
        <v>0</v>
      </c>
      <c r="E160" s="90">
        <f t="shared" si="271"/>
        <v>0</v>
      </c>
      <c r="F160" s="48" t="s">
        <v>50</v>
      </c>
      <c r="G160" s="38" t="s">
        <v>50</v>
      </c>
      <c r="H160" s="87" t="s">
        <v>50</v>
      </c>
      <c r="I160" s="87" t="s">
        <v>50</v>
      </c>
      <c r="J160" s="87" t="str">
        <f t="shared" si="255"/>
        <v/>
      </c>
      <c r="K160" s="88" t="str">
        <f t="shared" si="223"/>
        <v/>
      </c>
      <c r="L160" s="87" t="str">
        <f>IF(Dyn_Insured="","",IF(ISNUMBER(H160)=FALSE,"n/a",MIN(MAX(H160-'Layer Comparison'!Excess_Past,0),'Layer Comparison'!Limit_Past)))</f>
        <v/>
      </c>
      <c r="M160" s="87" t="str">
        <f>IF(Dyn_Insured="","",IF(ISNUMBER(I160)=FALSE,"n/a",MIN(MAX(I160-'Layer Comparison'!Excess_Latest,0),'Layer Comparison'!Limit_Latest)))</f>
        <v/>
      </c>
      <c r="N160" s="87" t="str">
        <f t="shared" si="256"/>
        <v/>
      </c>
      <c r="O160" s="88" t="str">
        <f t="shared" si="225"/>
        <v/>
      </c>
      <c r="P160" s="87" t="s">
        <v>50</v>
      </c>
      <c r="Q160" s="87" t="s">
        <v>50</v>
      </c>
      <c r="R160" s="87" t="str">
        <f t="shared" si="257"/>
        <v/>
      </c>
      <c r="S160" s="88" t="str">
        <f t="shared" si="227"/>
        <v/>
      </c>
      <c r="T160" s="87" t="str">
        <f>IF(Dyn_Insured="","",IF(ISNUMBER(P160)=FALSE,"n/a",MIN(MAX(P160-'Layer Comparison'!Excess_Past,0),'Layer Comparison'!Limit_Past)))</f>
        <v/>
      </c>
      <c r="U160" s="87" t="str">
        <f>IF(Dyn_Insured="","",IF(ISNUMBER(Q160)=FALSE,"n/a",MIN(MAX(Q160-'Layer Comparison'!Excess_Latest,0),'Layer Comparison'!Limit_Latest)))</f>
        <v/>
      </c>
      <c r="V160" s="87" t="str">
        <f t="shared" si="258"/>
        <v/>
      </c>
      <c r="W160" s="88" t="str">
        <f t="shared" si="229"/>
        <v/>
      </c>
      <c r="X160" s="87" t="s">
        <v>50</v>
      </c>
      <c r="Y160" s="87" t="s">
        <v>50</v>
      </c>
      <c r="Z160" s="87" t="str">
        <f t="shared" si="259"/>
        <v/>
      </c>
      <c r="AA160" s="88" t="str">
        <f t="shared" si="231"/>
        <v/>
      </c>
      <c r="AB160" s="87" t="str">
        <f>IF(Dyn_Insured="","",IF(ISNUMBER(X160)=FALSE,"n/a",MIN(MAX(X160-'Layer Comparison'!Excess_Past,0),'Layer Comparison'!Limit_Past)))</f>
        <v/>
      </c>
      <c r="AC160" s="87" t="str">
        <f>IF(Dyn_Insured="","",IF(ISNUMBER(Y160)=FALSE,"n/a",MIN(MAX(Y160-'Layer Comparison'!Excess_Latest,0),'Layer Comparison'!Limit_Latest)))</f>
        <v/>
      </c>
      <c r="AD160" s="87" t="str">
        <f t="shared" si="260"/>
        <v/>
      </c>
      <c r="AE160" s="88" t="str">
        <f t="shared" si="233"/>
        <v/>
      </c>
      <c r="AF160" s="87" t="s">
        <v>50</v>
      </c>
      <c r="AG160" s="87" t="s">
        <v>50</v>
      </c>
      <c r="AH160" s="87" t="str">
        <f t="shared" si="261"/>
        <v/>
      </c>
      <c r="AI160" s="88" t="str">
        <f t="shared" si="235"/>
        <v/>
      </c>
      <c r="AJ160" s="87" t="str">
        <f>IF(Dyn_Insured="","",IF(ISNUMBER(AF160)=FALSE,"n/a",MIN(MAX(AF160-'Layer Comparison'!Excess_Past,0),'Layer Comparison'!Limit_Past)))</f>
        <v/>
      </c>
      <c r="AK160" s="87" t="str">
        <f>IF(Dyn_Insured="","",IF(ISNUMBER(AG160)=FALSE,"n/a",MIN(MAX(AG160-'Layer Comparison'!Excess_Latest,0),'Layer Comparison'!Limit_Latest)))</f>
        <v/>
      </c>
      <c r="AL160" s="87" t="str">
        <f t="shared" si="262"/>
        <v/>
      </c>
      <c r="AM160" s="88" t="str">
        <f t="shared" si="237"/>
        <v/>
      </c>
      <c r="AN160" s="87" t="s">
        <v>50</v>
      </c>
      <c r="AO160" s="87" t="s">
        <v>50</v>
      </c>
      <c r="AP160" s="87" t="str">
        <f t="shared" si="263"/>
        <v/>
      </c>
      <c r="AQ160" s="88" t="str">
        <f t="shared" si="239"/>
        <v/>
      </c>
      <c r="AR160" s="87" t="str">
        <f>IF(Dyn_Insured="","",IF(ISNUMBER(AN160)=FALSE,"n/a",MIN(MAX(AN160-'Layer Comparison'!Excess_Past,0),'Layer Comparison'!Limit_Past)))</f>
        <v/>
      </c>
      <c r="AS160" s="87" t="str">
        <f>IF(Dyn_Insured="","",IF(ISNUMBER(AO160)=FALSE,"n/a",MIN(MAX(AO160-'Layer Comparison'!Excess_Latest,0),'Layer Comparison'!Limit_Latest)))</f>
        <v/>
      </c>
      <c r="AT160" s="87" t="str">
        <f t="shared" si="264"/>
        <v/>
      </c>
      <c r="AU160" s="88" t="str">
        <f t="shared" si="241"/>
        <v/>
      </c>
      <c r="AV160" s="87" t="s">
        <v>50</v>
      </c>
      <c r="AW160" s="87" t="s">
        <v>50</v>
      </c>
      <c r="AX160" s="87" t="str">
        <f t="shared" si="265"/>
        <v/>
      </c>
      <c r="AY160" s="88" t="str">
        <f t="shared" si="243"/>
        <v/>
      </c>
      <c r="AZ160" s="87" t="str">
        <f>IF(Dyn_Insured="","",IF(ISNUMBER(AV160)=FALSE,"n/a",MIN(MAX(AV160-'Layer Comparison'!Excess_Past,0),'Layer Comparison'!Limit_Past)))</f>
        <v/>
      </c>
      <c r="BA160" s="87" t="str">
        <f>IF(Dyn_Insured="","",IF(ISNUMBER(AW160)=FALSE,"n/a",MIN(MAX(AW160-'Layer Comparison'!Excess_Latest,0),'Layer Comparison'!Limit_Latest)))</f>
        <v/>
      </c>
      <c r="BB160" s="87" t="str">
        <f t="shared" si="266"/>
        <v/>
      </c>
      <c r="BC160" s="88" t="str">
        <f t="shared" si="245"/>
        <v/>
      </c>
      <c r="BD160" s="87" t="s">
        <v>50</v>
      </c>
      <c r="BE160" s="87" t="s">
        <v>50</v>
      </c>
      <c r="BF160" s="87" t="str">
        <f t="shared" si="267"/>
        <v/>
      </c>
      <c r="BG160" s="88" t="str">
        <f t="shared" si="247"/>
        <v/>
      </c>
      <c r="BH160" s="87" t="str">
        <f>IF(Dyn_Insured="","",IF(ISNUMBER(BD160)=FALSE,"n/a",MIN(MAX(BD160-'Layer Comparison'!Excess_Past,0),'Layer Comparison'!Limit_Past)))</f>
        <v/>
      </c>
      <c r="BI160" s="87" t="str">
        <f>IF(Dyn_Insured="","",IF(ISNUMBER(BE160)=FALSE,"n/a",MIN(MAX(BE160-'Layer Comparison'!Excess_Latest,0),'Layer Comparison'!Limit_Latest)))</f>
        <v/>
      </c>
      <c r="BJ160" s="87" t="str">
        <f t="shared" si="268"/>
        <v/>
      </c>
      <c r="BK160" s="88" t="str">
        <f t="shared" si="249"/>
        <v/>
      </c>
      <c r="BL160" s="87" t="s">
        <v>50</v>
      </c>
      <c r="BM160" s="87" t="s">
        <v>50</v>
      </c>
      <c r="BN160" s="87" t="str">
        <f t="shared" si="269"/>
        <v/>
      </c>
      <c r="BO160" s="88" t="str">
        <f t="shared" si="251"/>
        <v/>
      </c>
      <c r="BP160" s="87" t="str">
        <f>IF(Dyn_Insured="","",IF(ISNUMBER(BL160)=FALSE,"n/a",MIN(MAX(BL160-'Layer Comparison'!Excess_Past,0),'Layer Comparison'!Limit_Past)))</f>
        <v/>
      </c>
      <c r="BQ160" s="87" t="str">
        <f>IF(Dyn_Insured="","",IF(ISNUMBER(BM160)=FALSE,"n/a",MIN(MAX(BM160-'Layer Comparison'!Excess_Latest,0),'Layer Comparison'!Limit_Latest)))</f>
        <v/>
      </c>
      <c r="BR160" s="87" t="str">
        <f t="shared" si="270"/>
        <v/>
      </c>
      <c r="BS160" s="88" t="str">
        <f t="shared" si="253"/>
        <v/>
      </c>
      <c r="BT160" s="46" t="s">
        <v>13</v>
      </c>
    </row>
    <row r="161" spans="1:72" hidden="1" outlineLevel="1" x14ac:dyDescent="0.25">
      <c r="A161" s="89" t="s">
        <v>54</v>
      </c>
      <c r="B161" s="89">
        <f t="shared" si="219"/>
        <v>0</v>
      </c>
      <c r="C161" s="89">
        <f t="shared" si="220"/>
        <v>0</v>
      </c>
      <c r="D161" s="90">
        <f t="shared" si="271"/>
        <v>0</v>
      </c>
      <c r="E161" s="90">
        <f t="shared" si="271"/>
        <v>0</v>
      </c>
      <c r="F161" s="48" t="s">
        <v>50</v>
      </c>
      <c r="G161" s="38" t="s">
        <v>50</v>
      </c>
      <c r="H161" s="87" t="s">
        <v>50</v>
      </c>
      <c r="I161" s="87" t="s">
        <v>50</v>
      </c>
      <c r="J161" s="87" t="str">
        <f t="shared" si="255"/>
        <v/>
      </c>
      <c r="K161" s="88" t="str">
        <f t="shared" si="223"/>
        <v/>
      </c>
      <c r="L161" s="87" t="str">
        <f>IF(Dyn_Insured="","",IF(ISNUMBER(H161)=FALSE,"n/a",MIN(MAX(H161-'Layer Comparison'!Excess_Past,0),'Layer Comparison'!Limit_Past)))</f>
        <v/>
      </c>
      <c r="M161" s="87" t="str">
        <f>IF(Dyn_Insured="","",IF(ISNUMBER(I161)=FALSE,"n/a",MIN(MAX(I161-'Layer Comparison'!Excess_Latest,0),'Layer Comparison'!Limit_Latest)))</f>
        <v/>
      </c>
      <c r="N161" s="87" t="str">
        <f t="shared" si="256"/>
        <v/>
      </c>
      <c r="O161" s="88" t="str">
        <f t="shared" si="225"/>
        <v/>
      </c>
      <c r="P161" s="87" t="s">
        <v>50</v>
      </c>
      <c r="Q161" s="87" t="s">
        <v>50</v>
      </c>
      <c r="R161" s="87" t="str">
        <f t="shared" si="257"/>
        <v/>
      </c>
      <c r="S161" s="88" t="str">
        <f t="shared" si="227"/>
        <v/>
      </c>
      <c r="T161" s="87" t="str">
        <f>IF(Dyn_Insured="","",IF(ISNUMBER(P161)=FALSE,"n/a",MIN(MAX(P161-'Layer Comparison'!Excess_Past,0),'Layer Comparison'!Limit_Past)))</f>
        <v/>
      </c>
      <c r="U161" s="87" t="str">
        <f>IF(Dyn_Insured="","",IF(ISNUMBER(Q161)=FALSE,"n/a",MIN(MAX(Q161-'Layer Comparison'!Excess_Latest,0),'Layer Comparison'!Limit_Latest)))</f>
        <v/>
      </c>
      <c r="V161" s="87" t="str">
        <f t="shared" si="258"/>
        <v/>
      </c>
      <c r="W161" s="88" t="str">
        <f t="shared" si="229"/>
        <v/>
      </c>
      <c r="X161" s="87" t="s">
        <v>50</v>
      </c>
      <c r="Y161" s="87" t="s">
        <v>50</v>
      </c>
      <c r="Z161" s="87" t="str">
        <f t="shared" si="259"/>
        <v/>
      </c>
      <c r="AA161" s="88" t="str">
        <f t="shared" si="231"/>
        <v/>
      </c>
      <c r="AB161" s="87" t="str">
        <f>IF(Dyn_Insured="","",IF(ISNUMBER(X161)=FALSE,"n/a",MIN(MAX(X161-'Layer Comparison'!Excess_Past,0),'Layer Comparison'!Limit_Past)))</f>
        <v/>
      </c>
      <c r="AC161" s="87" t="str">
        <f>IF(Dyn_Insured="","",IF(ISNUMBER(Y161)=FALSE,"n/a",MIN(MAX(Y161-'Layer Comparison'!Excess_Latest,0),'Layer Comparison'!Limit_Latest)))</f>
        <v/>
      </c>
      <c r="AD161" s="87" t="str">
        <f t="shared" si="260"/>
        <v/>
      </c>
      <c r="AE161" s="88" t="str">
        <f t="shared" si="233"/>
        <v/>
      </c>
      <c r="AF161" s="87" t="s">
        <v>50</v>
      </c>
      <c r="AG161" s="87" t="s">
        <v>50</v>
      </c>
      <c r="AH161" s="87" t="str">
        <f t="shared" si="261"/>
        <v/>
      </c>
      <c r="AI161" s="88" t="str">
        <f t="shared" si="235"/>
        <v/>
      </c>
      <c r="AJ161" s="87" t="str">
        <f>IF(Dyn_Insured="","",IF(ISNUMBER(AF161)=FALSE,"n/a",MIN(MAX(AF161-'Layer Comparison'!Excess_Past,0),'Layer Comparison'!Limit_Past)))</f>
        <v/>
      </c>
      <c r="AK161" s="87" t="str">
        <f>IF(Dyn_Insured="","",IF(ISNUMBER(AG161)=FALSE,"n/a",MIN(MAX(AG161-'Layer Comparison'!Excess_Latest,0),'Layer Comparison'!Limit_Latest)))</f>
        <v/>
      </c>
      <c r="AL161" s="87" t="str">
        <f t="shared" si="262"/>
        <v/>
      </c>
      <c r="AM161" s="88" t="str">
        <f t="shared" si="237"/>
        <v/>
      </c>
      <c r="AN161" s="87" t="s">
        <v>50</v>
      </c>
      <c r="AO161" s="87" t="s">
        <v>50</v>
      </c>
      <c r="AP161" s="87" t="str">
        <f t="shared" si="263"/>
        <v/>
      </c>
      <c r="AQ161" s="88" t="str">
        <f t="shared" si="239"/>
        <v/>
      </c>
      <c r="AR161" s="87" t="str">
        <f>IF(Dyn_Insured="","",IF(ISNUMBER(AN161)=FALSE,"n/a",MIN(MAX(AN161-'Layer Comparison'!Excess_Past,0),'Layer Comparison'!Limit_Past)))</f>
        <v/>
      </c>
      <c r="AS161" s="87" t="str">
        <f>IF(Dyn_Insured="","",IF(ISNUMBER(AO161)=FALSE,"n/a",MIN(MAX(AO161-'Layer Comparison'!Excess_Latest,0),'Layer Comparison'!Limit_Latest)))</f>
        <v/>
      </c>
      <c r="AT161" s="87" t="str">
        <f t="shared" si="264"/>
        <v/>
      </c>
      <c r="AU161" s="88" t="str">
        <f t="shared" si="241"/>
        <v/>
      </c>
      <c r="AV161" s="87" t="s">
        <v>50</v>
      </c>
      <c r="AW161" s="87" t="s">
        <v>50</v>
      </c>
      <c r="AX161" s="87" t="str">
        <f t="shared" si="265"/>
        <v/>
      </c>
      <c r="AY161" s="88" t="str">
        <f t="shared" si="243"/>
        <v/>
      </c>
      <c r="AZ161" s="87" t="str">
        <f>IF(Dyn_Insured="","",IF(ISNUMBER(AV161)=FALSE,"n/a",MIN(MAX(AV161-'Layer Comparison'!Excess_Past,0),'Layer Comparison'!Limit_Past)))</f>
        <v/>
      </c>
      <c r="BA161" s="87" t="str">
        <f>IF(Dyn_Insured="","",IF(ISNUMBER(AW161)=FALSE,"n/a",MIN(MAX(AW161-'Layer Comparison'!Excess_Latest,0),'Layer Comparison'!Limit_Latest)))</f>
        <v/>
      </c>
      <c r="BB161" s="87" t="str">
        <f t="shared" si="266"/>
        <v/>
      </c>
      <c r="BC161" s="88" t="str">
        <f t="shared" si="245"/>
        <v/>
      </c>
      <c r="BD161" s="87" t="s">
        <v>50</v>
      </c>
      <c r="BE161" s="87" t="s">
        <v>50</v>
      </c>
      <c r="BF161" s="87" t="str">
        <f t="shared" si="267"/>
        <v/>
      </c>
      <c r="BG161" s="88" t="str">
        <f t="shared" si="247"/>
        <v/>
      </c>
      <c r="BH161" s="87" t="str">
        <f>IF(Dyn_Insured="","",IF(ISNUMBER(BD161)=FALSE,"n/a",MIN(MAX(BD161-'Layer Comparison'!Excess_Past,0),'Layer Comparison'!Limit_Past)))</f>
        <v/>
      </c>
      <c r="BI161" s="87" t="str">
        <f>IF(Dyn_Insured="","",IF(ISNUMBER(BE161)=FALSE,"n/a",MIN(MAX(BE161-'Layer Comparison'!Excess_Latest,0),'Layer Comparison'!Limit_Latest)))</f>
        <v/>
      </c>
      <c r="BJ161" s="87" t="str">
        <f t="shared" si="268"/>
        <v/>
      </c>
      <c r="BK161" s="88" t="str">
        <f t="shared" si="249"/>
        <v/>
      </c>
      <c r="BL161" s="87" t="s">
        <v>50</v>
      </c>
      <c r="BM161" s="87" t="s">
        <v>50</v>
      </c>
      <c r="BN161" s="87" t="str">
        <f t="shared" si="269"/>
        <v/>
      </c>
      <c r="BO161" s="88" t="str">
        <f t="shared" si="251"/>
        <v/>
      </c>
      <c r="BP161" s="87" t="str">
        <f>IF(Dyn_Insured="","",IF(ISNUMBER(BL161)=FALSE,"n/a",MIN(MAX(BL161-'Layer Comparison'!Excess_Past,0),'Layer Comparison'!Limit_Past)))</f>
        <v/>
      </c>
      <c r="BQ161" s="87" t="str">
        <f>IF(Dyn_Insured="","",IF(ISNUMBER(BM161)=FALSE,"n/a",MIN(MAX(BM161-'Layer Comparison'!Excess_Latest,0),'Layer Comparison'!Limit_Latest)))</f>
        <v/>
      </c>
      <c r="BR161" s="87" t="str">
        <f t="shared" si="270"/>
        <v/>
      </c>
      <c r="BS161" s="88" t="str">
        <f t="shared" si="253"/>
        <v/>
      </c>
      <c r="BT161" s="46" t="s">
        <v>13</v>
      </c>
    </row>
    <row r="162" spans="1:72" hidden="1" outlineLevel="1" x14ac:dyDescent="0.25">
      <c r="A162" s="89" t="s">
        <v>54</v>
      </c>
      <c r="B162" s="89">
        <f t="shared" si="219"/>
        <v>0</v>
      </c>
      <c r="C162" s="89">
        <f t="shared" si="220"/>
        <v>0</v>
      </c>
      <c r="D162" s="90">
        <f t="shared" si="271"/>
        <v>0</v>
      </c>
      <c r="E162" s="90">
        <f t="shared" si="271"/>
        <v>0</v>
      </c>
      <c r="F162" s="48" t="s">
        <v>50</v>
      </c>
      <c r="G162" s="38" t="s">
        <v>50</v>
      </c>
      <c r="H162" s="87" t="s">
        <v>50</v>
      </c>
      <c r="I162" s="87" t="s">
        <v>50</v>
      </c>
      <c r="J162" s="87" t="str">
        <f t="shared" si="255"/>
        <v/>
      </c>
      <c r="K162" s="88" t="str">
        <f t="shared" si="223"/>
        <v/>
      </c>
      <c r="L162" s="87" t="str">
        <f>IF(Dyn_Insured="","",IF(ISNUMBER(H162)=FALSE,"n/a",MIN(MAX(H162-'Layer Comparison'!Excess_Past,0),'Layer Comparison'!Limit_Past)))</f>
        <v/>
      </c>
      <c r="M162" s="87" t="str">
        <f>IF(Dyn_Insured="","",IF(ISNUMBER(I162)=FALSE,"n/a",MIN(MAX(I162-'Layer Comparison'!Excess_Latest,0),'Layer Comparison'!Limit_Latest)))</f>
        <v/>
      </c>
      <c r="N162" s="87" t="str">
        <f t="shared" si="256"/>
        <v/>
      </c>
      <c r="O162" s="88" t="str">
        <f t="shared" si="225"/>
        <v/>
      </c>
      <c r="P162" s="87" t="s">
        <v>50</v>
      </c>
      <c r="Q162" s="87" t="s">
        <v>50</v>
      </c>
      <c r="R162" s="87" t="str">
        <f t="shared" si="257"/>
        <v/>
      </c>
      <c r="S162" s="88" t="str">
        <f t="shared" si="227"/>
        <v/>
      </c>
      <c r="T162" s="87" t="str">
        <f>IF(Dyn_Insured="","",IF(ISNUMBER(P162)=FALSE,"n/a",MIN(MAX(P162-'Layer Comparison'!Excess_Past,0),'Layer Comparison'!Limit_Past)))</f>
        <v/>
      </c>
      <c r="U162" s="87" t="str">
        <f>IF(Dyn_Insured="","",IF(ISNUMBER(Q162)=FALSE,"n/a",MIN(MAX(Q162-'Layer Comparison'!Excess_Latest,0),'Layer Comparison'!Limit_Latest)))</f>
        <v/>
      </c>
      <c r="V162" s="87" t="str">
        <f t="shared" si="258"/>
        <v/>
      </c>
      <c r="W162" s="88" t="str">
        <f t="shared" si="229"/>
        <v/>
      </c>
      <c r="X162" s="87" t="s">
        <v>50</v>
      </c>
      <c r="Y162" s="87" t="s">
        <v>50</v>
      </c>
      <c r="Z162" s="87" t="str">
        <f t="shared" si="259"/>
        <v/>
      </c>
      <c r="AA162" s="88" t="str">
        <f t="shared" si="231"/>
        <v/>
      </c>
      <c r="AB162" s="87" t="str">
        <f>IF(Dyn_Insured="","",IF(ISNUMBER(X162)=FALSE,"n/a",MIN(MAX(X162-'Layer Comparison'!Excess_Past,0),'Layer Comparison'!Limit_Past)))</f>
        <v/>
      </c>
      <c r="AC162" s="87" t="str">
        <f>IF(Dyn_Insured="","",IF(ISNUMBER(Y162)=FALSE,"n/a",MIN(MAX(Y162-'Layer Comparison'!Excess_Latest,0),'Layer Comparison'!Limit_Latest)))</f>
        <v/>
      </c>
      <c r="AD162" s="87" t="str">
        <f t="shared" si="260"/>
        <v/>
      </c>
      <c r="AE162" s="88" t="str">
        <f t="shared" si="233"/>
        <v/>
      </c>
      <c r="AF162" s="87" t="s">
        <v>50</v>
      </c>
      <c r="AG162" s="87" t="s">
        <v>50</v>
      </c>
      <c r="AH162" s="87" t="str">
        <f t="shared" si="261"/>
        <v/>
      </c>
      <c r="AI162" s="88" t="str">
        <f t="shared" si="235"/>
        <v/>
      </c>
      <c r="AJ162" s="87" t="str">
        <f>IF(Dyn_Insured="","",IF(ISNUMBER(AF162)=FALSE,"n/a",MIN(MAX(AF162-'Layer Comparison'!Excess_Past,0),'Layer Comparison'!Limit_Past)))</f>
        <v/>
      </c>
      <c r="AK162" s="87" t="str">
        <f>IF(Dyn_Insured="","",IF(ISNUMBER(AG162)=FALSE,"n/a",MIN(MAX(AG162-'Layer Comparison'!Excess_Latest,0),'Layer Comparison'!Limit_Latest)))</f>
        <v/>
      </c>
      <c r="AL162" s="87" t="str">
        <f t="shared" si="262"/>
        <v/>
      </c>
      <c r="AM162" s="88" t="str">
        <f t="shared" si="237"/>
        <v/>
      </c>
      <c r="AN162" s="87" t="s">
        <v>50</v>
      </c>
      <c r="AO162" s="87" t="s">
        <v>50</v>
      </c>
      <c r="AP162" s="87" t="str">
        <f t="shared" si="263"/>
        <v/>
      </c>
      <c r="AQ162" s="88" t="str">
        <f t="shared" si="239"/>
        <v/>
      </c>
      <c r="AR162" s="87" t="str">
        <f>IF(Dyn_Insured="","",IF(ISNUMBER(AN162)=FALSE,"n/a",MIN(MAX(AN162-'Layer Comparison'!Excess_Past,0),'Layer Comparison'!Limit_Past)))</f>
        <v/>
      </c>
      <c r="AS162" s="87" t="str">
        <f>IF(Dyn_Insured="","",IF(ISNUMBER(AO162)=FALSE,"n/a",MIN(MAX(AO162-'Layer Comparison'!Excess_Latest,0),'Layer Comparison'!Limit_Latest)))</f>
        <v/>
      </c>
      <c r="AT162" s="87" t="str">
        <f t="shared" si="264"/>
        <v/>
      </c>
      <c r="AU162" s="88" t="str">
        <f t="shared" si="241"/>
        <v/>
      </c>
      <c r="AV162" s="87" t="s">
        <v>50</v>
      </c>
      <c r="AW162" s="87" t="s">
        <v>50</v>
      </c>
      <c r="AX162" s="87" t="str">
        <f t="shared" si="265"/>
        <v/>
      </c>
      <c r="AY162" s="88" t="str">
        <f t="shared" si="243"/>
        <v/>
      </c>
      <c r="AZ162" s="87" t="str">
        <f>IF(Dyn_Insured="","",IF(ISNUMBER(AV162)=FALSE,"n/a",MIN(MAX(AV162-'Layer Comparison'!Excess_Past,0),'Layer Comparison'!Limit_Past)))</f>
        <v/>
      </c>
      <c r="BA162" s="87" t="str">
        <f>IF(Dyn_Insured="","",IF(ISNUMBER(AW162)=FALSE,"n/a",MIN(MAX(AW162-'Layer Comparison'!Excess_Latest,0),'Layer Comparison'!Limit_Latest)))</f>
        <v/>
      </c>
      <c r="BB162" s="87" t="str">
        <f t="shared" si="266"/>
        <v/>
      </c>
      <c r="BC162" s="88" t="str">
        <f t="shared" si="245"/>
        <v/>
      </c>
      <c r="BD162" s="87" t="s">
        <v>50</v>
      </c>
      <c r="BE162" s="87" t="s">
        <v>50</v>
      </c>
      <c r="BF162" s="87" t="str">
        <f t="shared" si="267"/>
        <v/>
      </c>
      <c r="BG162" s="88" t="str">
        <f t="shared" si="247"/>
        <v/>
      </c>
      <c r="BH162" s="87" t="str">
        <f>IF(Dyn_Insured="","",IF(ISNUMBER(BD162)=FALSE,"n/a",MIN(MAX(BD162-'Layer Comparison'!Excess_Past,0),'Layer Comparison'!Limit_Past)))</f>
        <v/>
      </c>
      <c r="BI162" s="87" t="str">
        <f>IF(Dyn_Insured="","",IF(ISNUMBER(BE162)=FALSE,"n/a",MIN(MAX(BE162-'Layer Comparison'!Excess_Latest,0),'Layer Comparison'!Limit_Latest)))</f>
        <v/>
      </c>
      <c r="BJ162" s="87" t="str">
        <f t="shared" si="268"/>
        <v/>
      </c>
      <c r="BK162" s="88" t="str">
        <f t="shared" si="249"/>
        <v/>
      </c>
      <c r="BL162" s="87" t="s">
        <v>50</v>
      </c>
      <c r="BM162" s="87" t="s">
        <v>50</v>
      </c>
      <c r="BN162" s="87" t="str">
        <f t="shared" si="269"/>
        <v/>
      </c>
      <c r="BO162" s="88" t="str">
        <f t="shared" si="251"/>
        <v/>
      </c>
      <c r="BP162" s="87" t="str">
        <f>IF(Dyn_Insured="","",IF(ISNUMBER(BL162)=FALSE,"n/a",MIN(MAX(BL162-'Layer Comparison'!Excess_Past,0),'Layer Comparison'!Limit_Past)))</f>
        <v/>
      </c>
      <c r="BQ162" s="87" t="str">
        <f>IF(Dyn_Insured="","",IF(ISNUMBER(BM162)=FALSE,"n/a",MIN(MAX(BM162-'Layer Comparison'!Excess_Latest,0),'Layer Comparison'!Limit_Latest)))</f>
        <v/>
      </c>
      <c r="BR162" s="87" t="str">
        <f t="shared" si="270"/>
        <v/>
      </c>
      <c r="BS162" s="88" t="str">
        <f t="shared" si="253"/>
        <v/>
      </c>
      <c r="BT162" s="46" t="s">
        <v>13</v>
      </c>
    </row>
    <row r="163" spans="1:72" ht="13.8" collapsed="1" thickBot="1" x14ac:dyDescent="0.3">
      <c r="A163" s="91" t="s">
        <v>14</v>
      </c>
      <c r="B163" s="91"/>
      <c r="C163" s="91"/>
      <c r="D163" s="92"/>
      <c r="E163" s="92"/>
      <c r="F163" s="93"/>
      <c r="G163" s="94"/>
      <c r="H163" s="131"/>
      <c r="I163" s="131"/>
      <c r="J163" s="131"/>
      <c r="K163" s="94"/>
      <c r="L163" s="131"/>
      <c r="M163" s="131"/>
      <c r="N163" s="131"/>
      <c r="O163" s="94"/>
      <c r="P163" s="131"/>
      <c r="Q163" s="131"/>
      <c r="R163" s="131"/>
      <c r="S163" s="94"/>
      <c r="T163" s="131"/>
      <c r="U163" s="131"/>
      <c r="V163" s="131"/>
      <c r="W163" s="94"/>
      <c r="X163" s="131"/>
      <c r="Y163" s="131"/>
      <c r="Z163" s="131"/>
      <c r="AA163" s="94"/>
      <c r="AB163" s="131"/>
      <c r="AC163" s="131"/>
      <c r="AD163" s="131"/>
      <c r="AE163" s="94"/>
      <c r="AF163" s="131"/>
      <c r="AG163" s="131"/>
      <c r="AH163" s="131"/>
      <c r="AI163" s="94"/>
      <c r="AJ163" s="131"/>
      <c r="AK163" s="131"/>
      <c r="AL163" s="131"/>
      <c r="AM163" s="94"/>
      <c r="AN163" s="131"/>
      <c r="AO163" s="131"/>
      <c r="AP163" s="131"/>
      <c r="AQ163" s="94"/>
      <c r="AR163" s="131"/>
      <c r="AS163" s="131"/>
      <c r="AT163" s="131"/>
      <c r="AU163" s="94"/>
      <c r="AV163" s="131"/>
      <c r="AW163" s="131"/>
      <c r="AX163" s="131"/>
      <c r="AY163" s="94"/>
      <c r="AZ163" s="131"/>
      <c r="BA163" s="131"/>
      <c r="BB163" s="131"/>
      <c r="BC163" s="94"/>
      <c r="BD163" s="131"/>
      <c r="BE163" s="131"/>
      <c r="BF163" s="131"/>
      <c r="BG163" s="94"/>
      <c r="BH163" s="131"/>
      <c r="BI163" s="131"/>
      <c r="BJ163" s="131"/>
      <c r="BK163" s="94"/>
      <c r="BL163" s="131"/>
      <c r="BM163" s="131"/>
      <c r="BN163" s="131"/>
      <c r="BO163" s="94"/>
      <c r="BP163" s="131"/>
      <c r="BQ163" s="131"/>
      <c r="BR163" s="131"/>
      <c r="BS163" s="94"/>
      <c r="BT163" s="97"/>
    </row>
    <row r="164" spans="1:72" x14ac:dyDescent="0.25">
      <c r="A164" s="98" t="s">
        <v>15</v>
      </c>
      <c r="B164" s="98"/>
      <c r="C164" s="98"/>
      <c r="D164" s="99"/>
      <c r="E164" s="99"/>
      <c r="F164" s="99" t="str">
        <f>$F$95</f>
        <v>Total</v>
      </c>
      <c r="G164" s="100" t="s">
        <v>36</v>
      </c>
      <c r="H164" s="99">
        <f ca="1">SUBTOTAL(9,H$113:OFFSET(H164,-1,0))</f>
        <v>46278454.270500004</v>
      </c>
      <c r="I164" s="99">
        <f ca="1">SUBTOTAL(9,I$113:OFFSET(I164,-1,0))</f>
        <v>32479291.827499997</v>
      </c>
      <c r="J164" s="99">
        <f t="shared" ref="J164:J169" ca="1" si="272">SUM(I164,-H164)</f>
        <v>-13799162.443000007</v>
      </c>
      <c r="K164" s="101">
        <f t="shared" ref="K164:K170" ca="1" si="273">SUM(J164)</f>
        <v>-13799162.443000007</v>
      </c>
      <c r="L164" s="99">
        <f ca="1">SUBTOTAL(9,L$113:OFFSET(L164,-1,0))</f>
        <v>0</v>
      </c>
      <c r="M164" s="99">
        <f ca="1">SUBTOTAL(9,M$113:OFFSET(M164,-1,0))</f>
        <v>0</v>
      </c>
      <c r="N164" s="99">
        <f t="shared" ref="N164:N169" ca="1" si="274">SUM(M164,-L164)</f>
        <v>0</v>
      </c>
      <c r="O164" s="101">
        <f t="shared" ref="O164:O169" ca="1" si="275">SUM(N164)</f>
        <v>0</v>
      </c>
      <c r="P164" s="99">
        <f ca="1">SUBTOTAL(9,P$113:OFFSET(P164,-1,0))</f>
        <v>179008463.23830003</v>
      </c>
      <c r="Q164" s="99">
        <f ca="1">SUBTOTAL(9,Q$113:OFFSET(Q164,-1,0))</f>
        <v>153473705.56020004</v>
      </c>
      <c r="R164" s="99">
        <f t="shared" ref="R164:R169" ca="1" si="276">SUM(Q164,-P164)</f>
        <v>-25534757.67809999</v>
      </c>
      <c r="S164" s="101">
        <f t="shared" ref="S164:S170" ca="1" si="277">SUM(R164)</f>
        <v>-25534757.67809999</v>
      </c>
      <c r="T164" s="99">
        <f ca="1">SUBTOTAL(9,T$113:OFFSET(T164,-1,0))</f>
        <v>6390574.0620999988</v>
      </c>
      <c r="U164" s="99">
        <f ca="1">SUBTOTAL(9,U$113:OFFSET(U164,-1,0))</f>
        <v>0</v>
      </c>
      <c r="V164" s="99">
        <f t="shared" ref="V164:V169" ca="1" si="278">SUM(U164,-T164)</f>
        <v>-6390574.0620999988</v>
      </c>
      <c r="W164" s="101">
        <f t="shared" ref="W164:W169" ca="1" si="279">SUM(V164)</f>
        <v>-6390574.0620999988</v>
      </c>
      <c r="X164" s="99">
        <f ca="1">SUBTOTAL(9,X$113:OFFSET(X164,-1,0))</f>
        <v>336639976.96969998</v>
      </c>
      <c r="Y164" s="99">
        <f ca="1">SUBTOTAL(9,Y$113:OFFSET(Y164,-1,0))</f>
        <v>296015999.76090002</v>
      </c>
      <c r="Z164" s="99">
        <f t="shared" ref="Z164:Z169" ca="1" si="280">SUM(Y164,-X164)</f>
        <v>-40623977.208799958</v>
      </c>
      <c r="AA164" s="101">
        <f t="shared" ref="AA164:AA170" ca="1" si="281">SUM(Z164)</f>
        <v>-40623977.208799958</v>
      </c>
      <c r="AB164" s="99">
        <f ca="1">SUBTOTAL(9,AB$113:OFFSET(AB164,-1,0))</f>
        <v>126639976.96969996</v>
      </c>
      <c r="AC164" s="99">
        <f ca="1">SUBTOTAL(9,AC$113:OFFSET(AC164,-1,0))</f>
        <v>86015999.760899991</v>
      </c>
      <c r="AD164" s="99">
        <f t="shared" ref="AD164:AD169" ca="1" si="282">SUM(AC164,-AB164)</f>
        <v>-40623977.208799973</v>
      </c>
      <c r="AE164" s="101">
        <f t="shared" ref="AE164:AE169" ca="1" si="283">SUM(AD164)</f>
        <v>-40623977.208799973</v>
      </c>
      <c r="AF164" s="99">
        <f ca="1">SUBTOTAL(9,AF$113:OFFSET(AF164,-1,0))</f>
        <v>491854045.38819999</v>
      </c>
      <c r="AG164" s="99">
        <f ca="1">SUBTOTAL(9,AG$113:OFFSET(AG164,-1,0))</f>
        <v>438353719.60499996</v>
      </c>
      <c r="AH164" s="99">
        <f t="shared" ref="AH164:AH169" ca="1" si="284">SUM(AG164,-AF164)</f>
        <v>-53500325.783200026</v>
      </c>
      <c r="AI164" s="101">
        <f t="shared" ref="AI164:AI170" ca="1" si="285">SUM(AH164)</f>
        <v>-53500325.783200026</v>
      </c>
      <c r="AJ164" s="99">
        <f ca="1">SUBTOTAL(9,AJ$113:OFFSET(AJ164,-1,0))</f>
        <v>281854045.38820004</v>
      </c>
      <c r="AK164" s="99">
        <f ca="1">SUBTOTAL(9,AK$113:OFFSET(AK164,-1,0))</f>
        <v>228353719.60500002</v>
      </c>
      <c r="AL164" s="99">
        <f t="shared" ref="AL164:AL169" ca="1" si="286">SUM(AK164,-AJ164)</f>
        <v>-53500325.783200026</v>
      </c>
      <c r="AM164" s="101">
        <f t="shared" ref="AM164:AM169" ca="1" si="287">SUM(AL164)</f>
        <v>-53500325.783200026</v>
      </c>
      <c r="AN164" s="99">
        <f ca="1">SUBTOTAL(9,AN$113:OFFSET(AN164,-1,0))</f>
        <v>785020068.21259999</v>
      </c>
      <c r="AO164" s="99">
        <f ca="1">SUBTOTAL(9,AO$113:OFFSET(AO164,-1,0))</f>
        <v>733400872.04439986</v>
      </c>
      <c r="AP164" s="99">
        <f t="shared" ref="AP164:AP169" ca="1" si="288">SUM(AO164,-AN164)</f>
        <v>-51619196.168200135</v>
      </c>
      <c r="AQ164" s="101">
        <f t="shared" ref="AQ164:AQ170" ca="1" si="289">SUM(AP164)</f>
        <v>-51619196.168200135</v>
      </c>
      <c r="AR164" s="99">
        <f ca="1">SUBTOTAL(9,AR$113:OFFSET(AR164,-1,0))</f>
        <v>575020068.21259999</v>
      </c>
      <c r="AS164" s="99">
        <f ca="1">SUBTOTAL(9,AS$113:OFFSET(AS164,-1,0))</f>
        <v>523400872.04440004</v>
      </c>
      <c r="AT164" s="99">
        <f t="shared" ref="AT164:AT169" ca="1" si="290">SUM(AS164,-AR164)</f>
        <v>-51619196.168199956</v>
      </c>
      <c r="AU164" s="101">
        <f t="shared" ref="AU164:AU169" ca="1" si="291">SUM(AT164)</f>
        <v>-51619196.168199956</v>
      </c>
      <c r="AV164" s="99">
        <f ca="1">SUBTOTAL(9,AV$113:OFFSET(AV164,-1,0))</f>
        <v>949392383.72360003</v>
      </c>
      <c r="AW164" s="99">
        <f ca="1">SUBTOTAL(9,AW$113:OFFSET(AW164,-1,0))</f>
        <v>897444086.96260011</v>
      </c>
      <c r="AX164" s="99">
        <f t="shared" ref="AX164:AX169" ca="1" si="292">SUM(AW164,-AV164)</f>
        <v>-51948296.760999918</v>
      </c>
      <c r="AY164" s="101">
        <f t="shared" ref="AY164:AY170" ca="1" si="293">SUM(AX164)</f>
        <v>-51948296.760999918</v>
      </c>
      <c r="AZ164" s="99">
        <f ca="1">SUBTOTAL(9,AZ$113:OFFSET(AZ164,-1,0))</f>
        <v>739392383.72360003</v>
      </c>
      <c r="BA164" s="99">
        <f ca="1">SUBTOTAL(9,BA$113:OFFSET(BA164,-1,0))</f>
        <v>687444086.96260011</v>
      </c>
      <c r="BB164" s="99">
        <f t="shared" ref="BB164:BB169" ca="1" si="294">SUM(BA164,-AZ164)</f>
        <v>-51948296.760999918</v>
      </c>
      <c r="BC164" s="101">
        <f t="shared" ref="BC164:BC169" ca="1" si="295">SUM(BB164)</f>
        <v>-51948296.760999918</v>
      </c>
      <c r="BD164" s="99">
        <f ca="1">SUBTOTAL(9,BD$113:OFFSET(BD164,-1,0))</f>
        <v>983355264.68879998</v>
      </c>
      <c r="BE164" s="99">
        <f ca="1">SUBTOTAL(9,BE$113:OFFSET(BE164,-1,0))</f>
        <v>929261688.54180014</v>
      </c>
      <c r="BF164" s="99">
        <f t="shared" ref="BF164:BF169" ca="1" si="296">SUM(BE164,-BD164)</f>
        <v>-54093576.146999836</v>
      </c>
      <c r="BG164" s="101">
        <f t="shared" ref="BG164:BG170" ca="1" si="297">SUM(BF164)</f>
        <v>-54093576.146999836</v>
      </c>
      <c r="BH164" s="99">
        <f ca="1">SUBTOTAL(9,BH$113:OFFSET(BH164,-1,0))</f>
        <v>773355264.68879998</v>
      </c>
      <c r="BI164" s="99">
        <f ca="1">SUBTOTAL(9,BI$113:OFFSET(BI164,-1,0))</f>
        <v>719261688.54180014</v>
      </c>
      <c r="BJ164" s="99">
        <f t="shared" ref="BJ164:BJ169" ca="1" si="298">SUM(BI164,-BH164)</f>
        <v>-54093576.146999836</v>
      </c>
      <c r="BK164" s="101">
        <f t="shared" ref="BK164:BK169" ca="1" si="299">SUM(BJ164)</f>
        <v>-54093576.146999836</v>
      </c>
      <c r="BL164" s="99">
        <f ca="1">SUBTOTAL(9,BL$113:OFFSET(BL164,-1,0))</f>
        <v>983355264.68879998</v>
      </c>
      <c r="BM164" s="99">
        <f ca="1">SUBTOTAL(9,BM$113:OFFSET(BM164,-1,0))</f>
        <v>929261688.54180026</v>
      </c>
      <c r="BN164" s="99">
        <f t="shared" ref="BN164:BN169" ca="1" si="300">SUM(BM164,-BL164)</f>
        <v>-54093576.146999717</v>
      </c>
      <c r="BO164" s="101">
        <f t="shared" ref="BO164:BO170" ca="1" si="301">SUM(BN164)</f>
        <v>-54093576.146999717</v>
      </c>
      <c r="BP164" s="99">
        <f ca="1">SUBTOTAL(9,BP$113:OFFSET(BP164,-1,0))</f>
        <v>773355264.68879998</v>
      </c>
      <c r="BQ164" s="99">
        <f ca="1">SUBTOTAL(9,BQ$113:OFFSET(BQ164,-1,0))</f>
        <v>719261688.54180002</v>
      </c>
      <c r="BR164" s="99">
        <f t="shared" ref="BR164:BR169" ca="1" si="302">SUM(BQ164,-BP164)</f>
        <v>-54093576.146999955</v>
      </c>
      <c r="BS164" s="101">
        <f t="shared" ref="BS164:BS169" ca="1" si="303">SUM(BR164)</f>
        <v>-54093576.146999955</v>
      </c>
    </row>
    <row r="165" spans="1:72" x14ac:dyDescent="0.25">
      <c r="A165" s="98" t="s">
        <v>15</v>
      </c>
      <c r="B165" s="98"/>
      <c r="C165" s="98"/>
      <c r="D165" s="102"/>
      <c r="E165" s="102"/>
      <c r="F165" s="102" t="str">
        <f>$F$96</f>
        <v>Max</v>
      </c>
      <c r="G165" s="103" t="s">
        <v>36</v>
      </c>
      <c r="H165" s="102">
        <f ca="1">SUBTOTAL(4,H$113:OFFSET(H164,-1,0))</f>
        <v>5539095.8702999996</v>
      </c>
      <c r="I165" s="102">
        <f ca="1">SUBTOTAL(4,I$113:OFFSET(I164,-1,0))</f>
        <v>3383672.8585000001</v>
      </c>
      <c r="J165" s="102">
        <f t="shared" ca="1" si="272"/>
        <v>-2155423.0117999995</v>
      </c>
      <c r="K165" s="104">
        <f t="shared" ca="1" si="273"/>
        <v>-2155423.0117999995</v>
      </c>
      <c r="L165" s="102">
        <f ca="1">SUBTOTAL(4,L$113:OFFSET(L164,-1,0))</f>
        <v>0</v>
      </c>
      <c r="M165" s="102">
        <f ca="1">SUBTOTAL(4,M$113:OFFSET(M164,-1,0))</f>
        <v>0</v>
      </c>
      <c r="N165" s="102">
        <f t="shared" ca="1" si="274"/>
        <v>0</v>
      </c>
      <c r="O165" s="104">
        <f t="shared" ca="1" si="275"/>
        <v>0</v>
      </c>
      <c r="P165" s="102">
        <f ca="1">SUBTOTAL(4,P$113:OFFSET(P164,-1,0))</f>
        <v>16786950.971000001</v>
      </c>
      <c r="Q165" s="102">
        <f ca="1">SUBTOTAL(4,Q$113:OFFSET(Q164,-1,0))</f>
        <v>13146815.426500004</v>
      </c>
      <c r="R165" s="102">
        <f t="shared" ca="1" si="276"/>
        <v>-3640135.544499997</v>
      </c>
      <c r="S165" s="104">
        <f t="shared" ca="1" si="277"/>
        <v>-3640135.544499997</v>
      </c>
      <c r="T165" s="102">
        <f ca="1">SUBTOTAL(4,T$113:OFFSET(T164,-1,0))</f>
        <v>1786950.9710000008</v>
      </c>
      <c r="U165" s="102">
        <f ca="1">SUBTOTAL(4,U$113:OFFSET(U164,-1,0))</f>
        <v>0</v>
      </c>
      <c r="V165" s="102">
        <f t="shared" ca="1" si="278"/>
        <v>-1786950.9710000008</v>
      </c>
      <c r="W165" s="104">
        <f t="shared" ca="1" si="279"/>
        <v>-1786950.9710000008</v>
      </c>
      <c r="X165" s="102">
        <f ca="1">SUBTOTAL(4,X$113:OFFSET(X164,-1,0))</f>
        <v>31570205.544199996</v>
      </c>
      <c r="Y165" s="102">
        <f ca="1">SUBTOTAL(4,Y$113:OFFSET(Y164,-1,0))</f>
        <v>26326587.470100001</v>
      </c>
      <c r="Z165" s="102">
        <f t="shared" ca="1" si="280"/>
        <v>-5243618.0740999952</v>
      </c>
      <c r="AA165" s="104">
        <f t="shared" ca="1" si="281"/>
        <v>-5243618.0740999952</v>
      </c>
      <c r="AB165" s="102">
        <f ca="1">SUBTOTAL(4,AB$113:OFFSET(AB164,-1,0))</f>
        <v>16570205.544199996</v>
      </c>
      <c r="AC165" s="102">
        <f ca="1">SUBTOTAL(4,AC$113:OFFSET(AC164,-1,0))</f>
        <v>11326587.470100001</v>
      </c>
      <c r="AD165" s="102">
        <f t="shared" ca="1" si="282"/>
        <v>-5243618.0740999952</v>
      </c>
      <c r="AE165" s="104">
        <f t="shared" ca="1" si="283"/>
        <v>-5243618.0740999952</v>
      </c>
      <c r="AF165" s="102">
        <f ca="1">SUBTOTAL(4,AF$113:OFFSET(AF164,-1,0))</f>
        <v>44950433.717400007</v>
      </c>
      <c r="AG165" s="102">
        <f ca="1">SUBTOTAL(4,AG$113:OFFSET(AG164,-1,0))</f>
        <v>40181276.232600003</v>
      </c>
      <c r="AH165" s="102">
        <f t="shared" ca="1" si="284"/>
        <v>-4769157.4848000035</v>
      </c>
      <c r="AI165" s="104">
        <f t="shared" ca="1" si="285"/>
        <v>-4769157.4848000035</v>
      </c>
      <c r="AJ165" s="102">
        <f ca="1">SUBTOTAL(4,AJ$113:OFFSET(AJ164,-1,0))</f>
        <v>29950433.717400007</v>
      </c>
      <c r="AK165" s="102">
        <f ca="1">SUBTOTAL(4,AK$113:OFFSET(AK164,-1,0))</f>
        <v>25181276.232600003</v>
      </c>
      <c r="AL165" s="102">
        <f t="shared" ca="1" si="286"/>
        <v>-4769157.4848000035</v>
      </c>
      <c r="AM165" s="104">
        <f t="shared" ca="1" si="287"/>
        <v>-4769157.4848000035</v>
      </c>
      <c r="AN165" s="102">
        <f ca="1">SUBTOTAL(4,AN$113:OFFSET(AN164,-1,0))</f>
        <v>74066745.4067</v>
      </c>
      <c r="AO165" s="102">
        <f ca="1">SUBTOTAL(4,AO$113:OFFSET(AO164,-1,0))</f>
        <v>68765150.45540002</v>
      </c>
      <c r="AP165" s="102">
        <f t="shared" ca="1" si="288"/>
        <v>-5301594.9512999803</v>
      </c>
      <c r="AQ165" s="104">
        <f t="shared" ca="1" si="289"/>
        <v>-5301594.9512999803</v>
      </c>
      <c r="AR165" s="102">
        <f ca="1">SUBTOTAL(4,AR$113:OFFSET(AR164,-1,0))</f>
        <v>59066745.4067</v>
      </c>
      <c r="AS165" s="102">
        <f ca="1">SUBTOTAL(4,AS$113:OFFSET(AS164,-1,0))</f>
        <v>53765150.45540002</v>
      </c>
      <c r="AT165" s="102">
        <f t="shared" ca="1" si="290"/>
        <v>-5301594.9512999803</v>
      </c>
      <c r="AU165" s="104">
        <f t="shared" ca="1" si="291"/>
        <v>-5301594.9512999803</v>
      </c>
      <c r="AV165" s="102">
        <f ca="1">SUBTOTAL(4,AV$113:OFFSET(AV164,-1,0))</f>
        <v>104872788.1085</v>
      </c>
      <c r="AW165" s="102">
        <f ca="1">SUBTOTAL(4,AW$113:OFFSET(AW164,-1,0))</f>
        <v>96168711.744299993</v>
      </c>
      <c r="AX165" s="102">
        <f t="shared" ca="1" si="292"/>
        <v>-8704076.3642000109</v>
      </c>
      <c r="AY165" s="104">
        <f t="shared" ca="1" si="293"/>
        <v>-8704076.3642000109</v>
      </c>
      <c r="AZ165" s="102">
        <f ca="1">SUBTOTAL(4,AZ$113:OFFSET(AZ164,-1,0))</f>
        <v>89872788.108500004</v>
      </c>
      <c r="BA165" s="102">
        <f ca="1">SUBTOTAL(4,BA$113:OFFSET(BA164,-1,0))</f>
        <v>81168711.744299993</v>
      </c>
      <c r="BB165" s="102">
        <f t="shared" ca="1" si="294"/>
        <v>-8704076.3642000109</v>
      </c>
      <c r="BC165" s="104">
        <f t="shared" ca="1" si="295"/>
        <v>-8704076.3642000109</v>
      </c>
      <c r="BD165" s="102">
        <f ca="1">SUBTOTAL(4,BD$113:OFFSET(BD164,-1,0))</f>
        <v>117957086.03780001</v>
      </c>
      <c r="BE165" s="102">
        <f ca="1">SUBTOTAL(4,BE$113:OFFSET(BE164,-1,0))</f>
        <v>106882691.68019998</v>
      </c>
      <c r="BF165" s="102">
        <f t="shared" ca="1" si="296"/>
        <v>-11074394.357600033</v>
      </c>
      <c r="BG165" s="104">
        <f t="shared" ca="1" si="297"/>
        <v>-11074394.357600033</v>
      </c>
      <c r="BH165" s="102">
        <f ca="1">SUBTOTAL(4,BH$113:OFFSET(BH164,-1,0))</f>
        <v>102957086.03780001</v>
      </c>
      <c r="BI165" s="102">
        <f ca="1">SUBTOTAL(4,BI$113:OFFSET(BI164,-1,0))</f>
        <v>91882691.680199981</v>
      </c>
      <c r="BJ165" s="102">
        <f t="shared" ca="1" si="298"/>
        <v>-11074394.357600033</v>
      </c>
      <c r="BK165" s="104">
        <f t="shared" ca="1" si="299"/>
        <v>-11074394.357600033</v>
      </c>
      <c r="BL165" s="102">
        <f ca="1">SUBTOTAL(4,BL$113:OFFSET(BL164,-1,0))</f>
        <v>117957086.03780001</v>
      </c>
      <c r="BM165" s="102">
        <f ca="1">SUBTOTAL(4,BM$113:OFFSET(BM164,-1,0))</f>
        <v>106882691.68019998</v>
      </c>
      <c r="BN165" s="102">
        <f t="shared" ca="1" si="300"/>
        <v>-11074394.357600033</v>
      </c>
      <c r="BO165" s="104">
        <f t="shared" ca="1" si="301"/>
        <v>-11074394.357600033</v>
      </c>
      <c r="BP165" s="102">
        <f ca="1">SUBTOTAL(4,BP$113:OFFSET(BP164,-1,0))</f>
        <v>102957086.03780001</v>
      </c>
      <c r="BQ165" s="102">
        <f ca="1">SUBTOTAL(4,BQ$113:OFFSET(BQ164,-1,0))</f>
        <v>91882691.680199981</v>
      </c>
      <c r="BR165" s="102">
        <f t="shared" ca="1" si="302"/>
        <v>-11074394.357600033</v>
      </c>
      <c r="BS165" s="104">
        <f t="shared" ca="1" si="303"/>
        <v>-11074394.357600033</v>
      </c>
    </row>
    <row r="166" spans="1:72" hidden="1" outlineLevel="1" x14ac:dyDescent="0.25">
      <c r="A166" s="105" t="s">
        <v>19</v>
      </c>
      <c r="B166" s="105"/>
      <c r="C166" s="105"/>
      <c r="D166" s="102"/>
      <c r="E166" s="102"/>
      <c r="F166" s="102" t="str">
        <f>$F$97</f>
        <v>Min</v>
      </c>
      <c r="G166" s="103" t="s">
        <v>36</v>
      </c>
      <c r="H166" s="102">
        <f ca="1">SUBTOTAL(5,H$113:OFFSET(H164,-1,0))</f>
        <v>1465546.5102000001</v>
      </c>
      <c r="I166" s="102">
        <f ca="1">SUBTOTAL(5,I$113:OFFSET(I164,-1,0))</f>
        <v>873665.2527999999</v>
      </c>
      <c r="J166" s="102">
        <f t="shared" ca="1" si="272"/>
        <v>-591881.25740000024</v>
      </c>
      <c r="K166" s="104">
        <f t="shared" ca="1" si="273"/>
        <v>-591881.25740000024</v>
      </c>
      <c r="L166" s="102">
        <f ca="1">SUBTOTAL(5,L$113:OFFSET(L164,-1,0))</f>
        <v>0</v>
      </c>
      <c r="M166" s="102">
        <f ca="1">SUBTOTAL(5,M$113:OFFSET(M164,-1,0))</f>
        <v>0</v>
      </c>
      <c r="N166" s="102">
        <f t="shared" ca="1" si="274"/>
        <v>0</v>
      </c>
      <c r="O166" s="104">
        <f t="shared" ca="1" si="275"/>
        <v>0</v>
      </c>
      <c r="P166" s="102">
        <f ca="1">SUBTOTAL(5,P$113:OFFSET(P164,-1,0))</f>
        <v>8439302.0966999996</v>
      </c>
      <c r="Q166" s="102">
        <f ca="1">SUBTOTAL(5,Q$113:OFFSET(Q164,-1,0))</f>
        <v>8273767.2612000015</v>
      </c>
      <c r="R166" s="102">
        <f t="shared" ca="1" si="276"/>
        <v>-165534.83549999818</v>
      </c>
      <c r="S166" s="104">
        <f t="shared" ca="1" si="277"/>
        <v>-165534.83549999818</v>
      </c>
      <c r="T166" s="102">
        <f ca="1">SUBTOTAL(5,T$113:OFFSET(T164,-1,0))</f>
        <v>0</v>
      </c>
      <c r="U166" s="102">
        <f ca="1">SUBTOTAL(5,U$113:OFFSET(U164,-1,0))</f>
        <v>0</v>
      </c>
      <c r="V166" s="102">
        <f t="shared" ca="1" si="278"/>
        <v>0</v>
      </c>
      <c r="W166" s="104">
        <f t="shared" ca="1" si="279"/>
        <v>0</v>
      </c>
      <c r="X166" s="102">
        <f ca="1">SUBTOTAL(5,X$113:OFFSET(X164,-1,0))</f>
        <v>17112648.807599999</v>
      </c>
      <c r="Y166" s="102">
        <f ca="1">SUBTOTAL(5,Y$113:OFFSET(Y164,-1,0))</f>
        <v>16200562.172</v>
      </c>
      <c r="Z166" s="102">
        <f t="shared" ca="1" si="280"/>
        <v>-912086.63559999876</v>
      </c>
      <c r="AA166" s="104">
        <f t="shared" ca="1" si="281"/>
        <v>-912086.63559999876</v>
      </c>
      <c r="AB166" s="102">
        <f ca="1">SUBTOTAL(5,AB$113:OFFSET(AB164,-1,0))</f>
        <v>2112648.807599999</v>
      </c>
      <c r="AC166" s="102">
        <f ca="1">SUBTOTAL(5,AC$113:OFFSET(AC164,-1,0))</f>
        <v>1200562.1720000003</v>
      </c>
      <c r="AD166" s="102">
        <f t="shared" ca="1" si="282"/>
        <v>-912086.63559999876</v>
      </c>
      <c r="AE166" s="104">
        <f t="shared" ca="1" si="283"/>
        <v>-912086.63559999876</v>
      </c>
      <c r="AF166" s="102">
        <f ca="1">SUBTOTAL(5,AF$113:OFFSET(AF164,-1,0))</f>
        <v>26275206.732899997</v>
      </c>
      <c r="AG166" s="102">
        <f ca="1">SUBTOTAL(5,AG$113:OFFSET(AG164,-1,0))</f>
        <v>22913184.617100004</v>
      </c>
      <c r="AH166" s="102">
        <f t="shared" ca="1" si="284"/>
        <v>-3362022.1157999933</v>
      </c>
      <c r="AI166" s="104">
        <f t="shared" ca="1" si="285"/>
        <v>-3362022.1157999933</v>
      </c>
      <c r="AJ166" s="102">
        <f ca="1">SUBTOTAL(5,AJ$113:OFFSET(AJ164,-1,0))</f>
        <v>11275206.732899997</v>
      </c>
      <c r="AK166" s="102">
        <f ca="1">SUBTOTAL(5,AK$113:OFFSET(AK164,-1,0))</f>
        <v>7913184.6171000041</v>
      </c>
      <c r="AL166" s="102">
        <f t="shared" ca="1" si="286"/>
        <v>-3362022.1157999933</v>
      </c>
      <c r="AM166" s="104">
        <f t="shared" ca="1" si="287"/>
        <v>-3362022.1157999933</v>
      </c>
      <c r="AN166" s="102">
        <f ca="1">SUBTOTAL(5,AN$113:OFFSET(AN164,-1,0))</f>
        <v>36626141.717899993</v>
      </c>
      <c r="AO166" s="102">
        <f ca="1">SUBTOTAL(5,AO$113:OFFSET(AO164,-1,0))</f>
        <v>40103227.658899993</v>
      </c>
      <c r="AP166" s="102">
        <f t="shared" ca="1" si="288"/>
        <v>3477085.9409999996</v>
      </c>
      <c r="AQ166" s="104">
        <f t="shared" ca="1" si="289"/>
        <v>3477085.9409999996</v>
      </c>
      <c r="AR166" s="102">
        <f ca="1">SUBTOTAL(5,AR$113:OFFSET(AR164,-1,0))</f>
        <v>21626141.717899993</v>
      </c>
      <c r="AS166" s="102">
        <f ca="1">SUBTOTAL(5,AS$113:OFFSET(AS164,-1,0))</f>
        <v>25103227.658899993</v>
      </c>
      <c r="AT166" s="102">
        <f t="shared" ca="1" si="290"/>
        <v>3477085.9409999996</v>
      </c>
      <c r="AU166" s="104">
        <f t="shared" ca="1" si="291"/>
        <v>3477085.9409999996</v>
      </c>
      <c r="AV166" s="102">
        <f ca="1">SUBTOTAL(5,AV$113:OFFSET(AV164,-1,0))</f>
        <v>36626141.717900001</v>
      </c>
      <c r="AW166" s="102">
        <f ca="1">SUBTOTAL(5,AW$113:OFFSET(AW164,-1,0))</f>
        <v>40342464.883299999</v>
      </c>
      <c r="AX166" s="102">
        <f t="shared" ca="1" si="292"/>
        <v>3716323.1653999984</v>
      </c>
      <c r="AY166" s="104">
        <f t="shared" ca="1" si="293"/>
        <v>3716323.1653999984</v>
      </c>
      <c r="AZ166" s="102">
        <f ca="1">SUBTOTAL(5,AZ$113:OFFSET(AZ164,-1,0))</f>
        <v>21626141.717900001</v>
      </c>
      <c r="BA166" s="102">
        <f ca="1">SUBTOTAL(5,BA$113:OFFSET(BA164,-1,0))</f>
        <v>25342464.883299999</v>
      </c>
      <c r="BB166" s="102">
        <f t="shared" ca="1" si="294"/>
        <v>3716323.1653999984</v>
      </c>
      <c r="BC166" s="104">
        <f t="shared" ca="1" si="295"/>
        <v>3716323.1653999984</v>
      </c>
      <c r="BD166" s="102">
        <f ca="1">SUBTOTAL(5,BD$113:OFFSET(BD164,-1,0))</f>
        <v>36626141.717900001</v>
      </c>
      <c r="BE166" s="102">
        <f ca="1">SUBTOTAL(5,BE$113:OFFSET(BE164,-1,0))</f>
        <v>40342464.883299999</v>
      </c>
      <c r="BF166" s="102">
        <f t="shared" ca="1" si="296"/>
        <v>3716323.1653999984</v>
      </c>
      <c r="BG166" s="104">
        <f t="shared" ca="1" si="297"/>
        <v>3716323.1653999984</v>
      </c>
      <c r="BH166" s="102">
        <f ca="1">SUBTOTAL(5,BH$113:OFFSET(BH164,-1,0))</f>
        <v>21626141.717900001</v>
      </c>
      <c r="BI166" s="102">
        <f ca="1">SUBTOTAL(5,BI$113:OFFSET(BI164,-1,0))</f>
        <v>25342464.883299999</v>
      </c>
      <c r="BJ166" s="102">
        <f t="shared" ca="1" si="298"/>
        <v>3716323.1653999984</v>
      </c>
      <c r="BK166" s="104">
        <f t="shared" ca="1" si="299"/>
        <v>3716323.1653999984</v>
      </c>
      <c r="BL166" s="102">
        <f ca="1">SUBTOTAL(5,BL$113:OFFSET(BL164,-1,0))</f>
        <v>36626141.717900001</v>
      </c>
      <c r="BM166" s="102">
        <f ca="1">SUBTOTAL(5,BM$113:OFFSET(BM164,-1,0))</f>
        <v>40342464.883299991</v>
      </c>
      <c r="BN166" s="102">
        <f t="shared" ca="1" si="300"/>
        <v>3716323.165399991</v>
      </c>
      <c r="BO166" s="104">
        <f t="shared" ca="1" si="301"/>
        <v>3716323.165399991</v>
      </c>
      <c r="BP166" s="102">
        <f ca="1">SUBTOTAL(5,BP$113:OFFSET(BP164,-1,0))</f>
        <v>21626141.717900001</v>
      </c>
      <c r="BQ166" s="102">
        <f ca="1">SUBTOTAL(5,BQ$113:OFFSET(BQ164,-1,0))</f>
        <v>25342464.883299991</v>
      </c>
      <c r="BR166" s="102">
        <f t="shared" ca="1" si="302"/>
        <v>3716323.165399991</v>
      </c>
      <c r="BS166" s="104">
        <f t="shared" ca="1" si="303"/>
        <v>3716323.165399991</v>
      </c>
    </row>
    <row r="167" spans="1:72" collapsed="1" x14ac:dyDescent="0.25">
      <c r="A167" s="105" t="s">
        <v>19</v>
      </c>
      <c r="B167" s="105"/>
      <c r="C167" s="105"/>
      <c r="D167" s="102"/>
      <c r="E167" s="106" t="s">
        <v>21</v>
      </c>
      <c r="F167" s="102" t="str">
        <f>$F$98</f>
        <v>Min (&gt;0)</v>
      </c>
      <c r="G167" s="103" t="s">
        <v>36</v>
      </c>
      <c r="H167" s="102">
        <f t="array" aca="1" ref="H167" ca="1">MIN(IF(H$113:OFFSET(H164,-1,0)&gt;0,IF(SUBTOTAL(109,OFFSET(H$113:OFFSET(H164,-1,0),ROW(H$113:OFFSET(H164,-1,0))-MIN(ROW(H$113:OFFSET(H164,-1,0))),0,1))&gt;0,H$113:OFFSET(H164,-1,0))))</f>
        <v>1465546.5102000001</v>
      </c>
      <c r="I167" s="102">
        <f t="array" aca="1" ref="I167" ca="1">MIN(IF(I$113:OFFSET(I164,-1,0)&gt;0,IF(SUBTOTAL(109,OFFSET(I$113:OFFSET(I164,-1,0),ROW(I$113:OFFSET(I164,-1,0))-MIN(ROW(I$113:OFFSET(I164,-1,0))),0,1))&gt;0,I$113:OFFSET(I164,-1,0))))</f>
        <v>873665.2527999999</v>
      </c>
      <c r="J167" s="102">
        <f t="shared" ca="1" si="272"/>
        <v>-591881.25740000024</v>
      </c>
      <c r="K167" s="104">
        <f t="shared" ca="1" si="273"/>
        <v>-591881.25740000024</v>
      </c>
      <c r="L167" s="102">
        <f t="array" aca="1" ref="L167" ca="1">MIN(IF(L$113:OFFSET(L164,-1,0)&gt;0,IF(SUBTOTAL(109,OFFSET(L$113:OFFSET(L164,-1,0),ROW(L$113:OFFSET(L164,-1,0))-MIN(ROW(L$113:OFFSET(L164,-1,0))),0,1))&gt;0,L$113:OFFSET(L164,-1,0))))</f>
        <v>0</v>
      </c>
      <c r="M167" s="102">
        <f t="array" aca="1" ref="M167" ca="1">MIN(IF(M$113:OFFSET(M164,-1,0)&gt;0,IF(SUBTOTAL(109,OFFSET(M$113:OFFSET(M164,-1,0),ROW(M$113:OFFSET(M164,-1,0))-MIN(ROW(M$113:OFFSET(M164,-1,0))),0,1))&gt;0,M$113:OFFSET(M164,-1,0))))</f>
        <v>0</v>
      </c>
      <c r="N167" s="102">
        <f t="shared" ca="1" si="274"/>
        <v>0</v>
      </c>
      <c r="O167" s="104">
        <f t="shared" ca="1" si="275"/>
        <v>0</v>
      </c>
      <c r="P167" s="102">
        <f t="array" aca="1" ref="P167" ca="1">MIN(IF(P$113:OFFSET(P164,-1,0)&gt;0,IF(SUBTOTAL(109,OFFSET(P$113:OFFSET(P164,-1,0),ROW(P$113:OFFSET(P164,-1,0))-MIN(ROW(P$113:OFFSET(P164,-1,0))),0,1))&gt;0,P$113:OFFSET(P164,-1,0))))</f>
        <v>8439302.0966999996</v>
      </c>
      <c r="Q167" s="102">
        <f t="array" aca="1" ref="Q167" ca="1">MIN(IF(Q$113:OFFSET(Q164,-1,0)&gt;0,IF(SUBTOTAL(109,OFFSET(Q$113:OFFSET(Q164,-1,0),ROW(Q$113:OFFSET(Q164,-1,0))-MIN(ROW(Q$113:OFFSET(Q164,-1,0))),0,1))&gt;0,Q$113:OFFSET(Q164,-1,0))))</f>
        <v>8273767.2612000015</v>
      </c>
      <c r="R167" s="102">
        <f t="shared" ca="1" si="276"/>
        <v>-165534.83549999818</v>
      </c>
      <c r="S167" s="104">
        <f t="shared" ca="1" si="277"/>
        <v>-165534.83549999818</v>
      </c>
      <c r="T167" s="102">
        <f t="array" aca="1" ref="T167" ca="1">MIN(IF(T$113:OFFSET(T164,-1,0)&gt;0,IF(SUBTOTAL(109,OFFSET(T$113:OFFSET(T164,-1,0),ROW(T$113:OFFSET(T164,-1,0))-MIN(ROW(T$113:OFFSET(T164,-1,0))),0,1))&gt;0,T$113:OFFSET(T164,-1,0))))</f>
        <v>1071626.8367999997</v>
      </c>
      <c r="U167" s="102">
        <f t="array" aca="1" ref="U167" ca="1">MIN(IF(U$113:OFFSET(U164,-1,0)&gt;0,IF(SUBTOTAL(109,OFFSET(U$113:OFFSET(U164,-1,0),ROW(U$113:OFFSET(U164,-1,0))-MIN(ROW(U$113:OFFSET(U164,-1,0))),0,1))&gt;0,U$113:OFFSET(U164,-1,0))))</f>
        <v>0</v>
      </c>
      <c r="V167" s="102">
        <f t="shared" ca="1" si="278"/>
        <v>-1071626.8367999997</v>
      </c>
      <c r="W167" s="104">
        <f t="shared" ca="1" si="279"/>
        <v>-1071626.8367999997</v>
      </c>
      <c r="X167" s="102">
        <f t="array" aca="1" ref="X167" ca="1">MIN(IF(X$113:OFFSET(X164,-1,0)&gt;0,IF(SUBTOTAL(109,OFFSET(X$113:OFFSET(X164,-1,0),ROW(X$113:OFFSET(X164,-1,0))-MIN(ROW(X$113:OFFSET(X164,-1,0))),0,1))&gt;0,X$113:OFFSET(X164,-1,0))))</f>
        <v>17112648.807599999</v>
      </c>
      <c r="Y167" s="102">
        <f t="array" aca="1" ref="Y167" ca="1">MIN(IF(Y$113:OFFSET(Y164,-1,0)&gt;0,IF(SUBTOTAL(109,OFFSET(Y$113:OFFSET(Y164,-1,0),ROW(Y$113:OFFSET(Y164,-1,0))-MIN(ROW(Y$113:OFFSET(Y164,-1,0))),0,1))&gt;0,Y$113:OFFSET(Y164,-1,0))))</f>
        <v>16200562.172</v>
      </c>
      <c r="Z167" s="102">
        <f t="shared" ca="1" si="280"/>
        <v>-912086.63559999876</v>
      </c>
      <c r="AA167" s="104">
        <f t="shared" ca="1" si="281"/>
        <v>-912086.63559999876</v>
      </c>
      <c r="AB167" s="102">
        <f t="array" aca="1" ref="AB167" ca="1">MIN(IF(AB$113:OFFSET(AB164,-1,0)&gt;0,IF(SUBTOTAL(109,OFFSET(AB$113:OFFSET(AB164,-1,0),ROW(AB$113:OFFSET(AB164,-1,0))-MIN(ROW(AB$113:OFFSET(AB164,-1,0))),0,1))&gt;0,AB$113:OFFSET(AB164,-1,0))))</f>
        <v>2112648.807599999</v>
      </c>
      <c r="AC167" s="102">
        <f t="array" aca="1" ref="AC167" ca="1">MIN(IF(AC$113:OFFSET(AC164,-1,0)&gt;0,IF(SUBTOTAL(109,OFFSET(AC$113:OFFSET(AC164,-1,0),ROW(AC$113:OFFSET(AC164,-1,0))-MIN(ROW(AC$113:OFFSET(AC164,-1,0))),0,1))&gt;0,AC$113:OFFSET(AC164,-1,0))))</f>
        <v>1200562.1720000003</v>
      </c>
      <c r="AD167" s="102">
        <f t="shared" ca="1" si="282"/>
        <v>-912086.63559999876</v>
      </c>
      <c r="AE167" s="104">
        <f t="shared" ca="1" si="283"/>
        <v>-912086.63559999876</v>
      </c>
      <c r="AF167" s="102">
        <f t="array" aca="1" ref="AF167" ca="1">MIN(IF(AF$113:OFFSET(AF164,-1,0)&gt;0,IF(SUBTOTAL(109,OFFSET(AF$113:OFFSET(AF164,-1,0),ROW(AF$113:OFFSET(AF164,-1,0))-MIN(ROW(AF$113:OFFSET(AF164,-1,0))),0,1))&gt;0,AF$113:OFFSET(AF164,-1,0))))</f>
        <v>26275206.732899997</v>
      </c>
      <c r="AG167" s="102">
        <f t="array" aca="1" ref="AG167" ca="1">MIN(IF(AG$113:OFFSET(AG164,-1,0)&gt;0,IF(SUBTOTAL(109,OFFSET(AG$113:OFFSET(AG164,-1,0),ROW(AG$113:OFFSET(AG164,-1,0))-MIN(ROW(AG$113:OFFSET(AG164,-1,0))),0,1))&gt;0,AG$113:OFFSET(AG164,-1,0))))</f>
        <v>22913184.617100004</v>
      </c>
      <c r="AH167" s="102">
        <f t="shared" ca="1" si="284"/>
        <v>-3362022.1157999933</v>
      </c>
      <c r="AI167" s="104">
        <f t="shared" ca="1" si="285"/>
        <v>-3362022.1157999933</v>
      </c>
      <c r="AJ167" s="102">
        <f t="array" aca="1" ref="AJ167" ca="1">MIN(IF(AJ$113:OFFSET(AJ164,-1,0)&gt;0,IF(SUBTOTAL(109,OFFSET(AJ$113:OFFSET(AJ164,-1,0),ROW(AJ$113:OFFSET(AJ164,-1,0))-MIN(ROW(AJ$113:OFFSET(AJ164,-1,0))),0,1))&gt;0,AJ$113:OFFSET(AJ164,-1,0))))</f>
        <v>11275206.732899997</v>
      </c>
      <c r="AK167" s="102">
        <f t="array" aca="1" ref="AK167" ca="1">MIN(IF(AK$113:OFFSET(AK164,-1,0)&gt;0,IF(SUBTOTAL(109,OFFSET(AK$113:OFFSET(AK164,-1,0),ROW(AK$113:OFFSET(AK164,-1,0))-MIN(ROW(AK$113:OFFSET(AK164,-1,0))),0,1))&gt;0,AK$113:OFFSET(AK164,-1,0))))</f>
        <v>7913184.6171000041</v>
      </c>
      <c r="AL167" s="102">
        <f t="shared" ca="1" si="286"/>
        <v>-3362022.1157999933</v>
      </c>
      <c r="AM167" s="104">
        <f t="shared" ca="1" si="287"/>
        <v>-3362022.1157999933</v>
      </c>
      <c r="AN167" s="102">
        <f t="array" aca="1" ref="AN167" ca="1">MIN(IF(AN$113:OFFSET(AN164,-1,0)&gt;0,IF(SUBTOTAL(109,OFFSET(AN$113:OFFSET(AN164,-1,0),ROW(AN$113:OFFSET(AN164,-1,0))-MIN(ROW(AN$113:OFFSET(AN164,-1,0))),0,1))&gt;0,AN$113:OFFSET(AN164,-1,0))))</f>
        <v>36626141.717899993</v>
      </c>
      <c r="AO167" s="102">
        <f t="array" aca="1" ref="AO167" ca="1">MIN(IF(AO$113:OFFSET(AO164,-1,0)&gt;0,IF(SUBTOTAL(109,OFFSET(AO$113:OFFSET(AO164,-1,0),ROW(AO$113:OFFSET(AO164,-1,0))-MIN(ROW(AO$113:OFFSET(AO164,-1,0))),0,1))&gt;0,AO$113:OFFSET(AO164,-1,0))))</f>
        <v>40103227.658899993</v>
      </c>
      <c r="AP167" s="102">
        <f t="shared" ca="1" si="288"/>
        <v>3477085.9409999996</v>
      </c>
      <c r="AQ167" s="104">
        <f t="shared" ca="1" si="289"/>
        <v>3477085.9409999996</v>
      </c>
      <c r="AR167" s="102">
        <f t="array" aca="1" ref="AR167" ca="1">MIN(IF(AR$113:OFFSET(AR164,-1,0)&gt;0,IF(SUBTOTAL(109,OFFSET(AR$113:OFFSET(AR164,-1,0),ROW(AR$113:OFFSET(AR164,-1,0))-MIN(ROW(AR$113:OFFSET(AR164,-1,0))),0,1))&gt;0,AR$113:OFFSET(AR164,-1,0))))</f>
        <v>21626141.717899993</v>
      </c>
      <c r="AS167" s="102">
        <f t="array" aca="1" ref="AS167" ca="1">MIN(IF(AS$113:OFFSET(AS164,-1,0)&gt;0,IF(SUBTOTAL(109,OFFSET(AS$113:OFFSET(AS164,-1,0),ROW(AS$113:OFFSET(AS164,-1,0))-MIN(ROW(AS$113:OFFSET(AS164,-1,0))),0,1))&gt;0,AS$113:OFFSET(AS164,-1,0))))</f>
        <v>25103227.658899993</v>
      </c>
      <c r="AT167" s="102">
        <f t="shared" ca="1" si="290"/>
        <v>3477085.9409999996</v>
      </c>
      <c r="AU167" s="104">
        <f t="shared" ca="1" si="291"/>
        <v>3477085.9409999996</v>
      </c>
      <c r="AV167" s="102">
        <f t="array" aca="1" ref="AV167" ca="1">MIN(IF(AV$113:OFFSET(AV164,-1,0)&gt;0,IF(SUBTOTAL(109,OFFSET(AV$113:OFFSET(AV164,-1,0),ROW(AV$113:OFFSET(AV164,-1,0))-MIN(ROW(AV$113:OFFSET(AV164,-1,0))),0,1))&gt;0,AV$113:OFFSET(AV164,-1,0))))</f>
        <v>36626141.717900001</v>
      </c>
      <c r="AW167" s="102">
        <f t="array" aca="1" ref="AW167" ca="1">MIN(IF(AW$113:OFFSET(AW164,-1,0)&gt;0,IF(SUBTOTAL(109,OFFSET(AW$113:OFFSET(AW164,-1,0),ROW(AW$113:OFFSET(AW164,-1,0))-MIN(ROW(AW$113:OFFSET(AW164,-1,0))),0,1))&gt;0,AW$113:OFFSET(AW164,-1,0))))</f>
        <v>40342464.883299999</v>
      </c>
      <c r="AX167" s="102">
        <f t="shared" ca="1" si="292"/>
        <v>3716323.1653999984</v>
      </c>
      <c r="AY167" s="104">
        <f t="shared" ca="1" si="293"/>
        <v>3716323.1653999984</v>
      </c>
      <c r="AZ167" s="102">
        <f t="array" aca="1" ref="AZ167" ca="1">MIN(IF(AZ$113:OFFSET(AZ164,-1,0)&gt;0,IF(SUBTOTAL(109,OFFSET(AZ$113:OFFSET(AZ164,-1,0),ROW(AZ$113:OFFSET(AZ164,-1,0))-MIN(ROW(AZ$113:OFFSET(AZ164,-1,0))),0,1))&gt;0,AZ$113:OFFSET(AZ164,-1,0))))</f>
        <v>21626141.717900001</v>
      </c>
      <c r="BA167" s="102">
        <f t="array" aca="1" ref="BA167" ca="1">MIN(IF(BA$113:OFFSET(BA164,-1,0)&gt;0,IF(SUBTOTAL(109,OFFSET(BA$113:OFFSET(BA164,-1,0),ROW(BA$113:OFFSET(BA164,-1,0))-MIN(ROW(BA$113:OFFSET(BA164,-1,0))),0,1))&gt;0,BA$113:OFFSET(BA164,-1,0))))</f>
        <v>25342464.883299999</v>
      </c>
      <c r="BB167" s="102">
        <f t="shared" ca="1" si="294"/>
        <v>3716323.1653999984</v>
      </c>
      <c r="BC167" s="104">
        <f t="shared" ca="1" si="295"/>
        <v>3716323.1653999984</v>
      </c>
      <c r="BD167" s="102">
        <f t="array" aca="1" ref="BD167" ca="1">MIN(IF(BD$113:OFFSET(BD164,-1,0)&gt;0,IF(SUBTOTAL(109,OFFSET(BD$113:OFFSET(BD164,-1,0),ROW(BD$113:OFFSET(BD164,-1,0))-MIN(ROW(BD$113:OFFSET(BD164,-1,0))),0,1))&gt;0,BD$113:OFFSET(BD164,-1,0))))</f>
        <v>36626141.717900001</v>
      </c>
      <c r="BE167" s="102">
        <f t="array" aca="1" ref="BE167" ca="1">MIN(IF(BE$113:OFFSET(BE164,-1,0)&gt;0,IF(SUBTOTAL(109,OFFSET(BE$113:OFFSET(BE164,-1,0),ROW(BE$113:OFFSET(BE164,-1,0))-MIN(ROW(BE$113:OFFSET(BE164,-1,0))),0,1))&gt;0,BE$113:OFFSET(BE164,-1,0))))</f>
        <v>40342464.883299999</v>
      </c>
      <c r="BF167" s="102">
        <f t="shared" ca="1" si="296"/>
        <v>3716323.1653999984</v>
      </c>
      <c r="BG167" s="104">
        <f t="shared" ca="1" si="297"/>
        <v>3716323.1653999984</v>
      </c>
      <c r="BH167" s="102">
        <f t="array" aca="1" ref="BH167" ca="1">MIN(IF(BH$113:OFFSET(BH164,-1,0)&gt;0,IF(SUBTOTAL(109,OFFSET(BH$113:OFFSET(BH164,-1,0),ROW(BH$113:OFFSET(BH164,-1,0))-MIN(ROW(BH$113:OFFSET(BH164,-1,0))),0,1))&gt;0,BH$113:OFFSET(BH164,-1,0))))</f>
        <v>21626141.717900001</v>
      </c>
      <c r="BI167" s="102">
        <f t="array" aca="1" ref="BI167" ca="1">MIN(IF(BI$113:OFFSET(BI164,-1,0)&gt;0,IF(SUBTOTAL(109,OFFSET(BI$113:OFFSET(BI164,-1,0),ROW(BI$113:OFFSET(BI164,-1,0))-MIN(ROW(BI$113:OFFSET(BI164,-1,0))),0,1))&gt;0,BI$113:OFFSET(BI164,-1,0))))</f>
        <v>25342464.883299999</v>
      </c>
      <c r="BJ167" s="102">
        <f t="shared" ca="1" si="298"/>
        <v>3716323.1653999984</v>
      </c>
      <c r="BK167" s="104">
        <f t="shared" ca="1" si="299"/>
        <v>3716323.1653999984</v>
      </c>
      <c r="BL167" s="102">
        <f t="array" aca="1" ref="BL167" ca="1">MIN(IF(BL$113:OFFSET(BL164,-1,0)&gt;0,IF(SUBTOTAL(109,OFFSET(BL$113:OFFSET(BL164,-1,0),ROW(BL$113:OFFSET(BL164,-1,0))-MIN(ROW(BL$113:OFFSET(BL164,-1,0))),0,1))&gt;0,BL$113:OFFSET(BL164,-1,0))))</f>
        <v>36626141.717900001</v>
      </c>
      <c r="BM167" s="102">
        <f t="array" aca="1" ref="BM167" ca="1">MIN(IF(BM$113:OFFSET(BM164,-1,0)&gt;0,IF(SUBTOTAL(109,OFFSET(BM$113:OFFSET(BM164,-1,0),ROW(BM$113:OFFSET(BM164,-1,0))-MIN(ROW(BM$113:OFFSET(BM164,-1,0))),0,1))&gt;0,BM$113:OFFSET(BM164,-1,0))))</f>
        <v>40342464.883299991</v>
      </c>
      <c r="BN167" s="102">
        <f t="shared" ca="1" si="300"/>
        <v>3716323.165399991</v>
      </c>
      <c r="BO167" s="104">
        <f t="shared" ca="1" si="301"/>
        <v>3716323.165399991</v>
      </c>
      <c r="BP167" s="102">
        <f t="array" aca="1" ref="BP167" ca="1">MIN(IF(BP$113:OFFSET(BP164,-1,0)&gt;0,IF(SUBTOTAL(109,OFFSET(BP$113:OFFSET(BP164,-1,0),ROW(BP$113:OFFSET(BP164,-1,0))-MIN(ROW(BP$113:OFFSET(BP164,-1,0))),0,1))&gt;0,BP$113:OFFSET(BP164,-1,0))))</f>
        <v>21626141.717900001</v>
      </c>
      <c r="BQ167" s="102">
        <f t="array" aca="1" ref="BQ167" ca="1">MIN(IF(BQ$113:OFFSET(BQ164,-1,0)&gt;0,IF(SUBTOTAL(109,OFFSET(BQ$113:OFFSET(BQ164,-1,0),ROW(BQ$113:OFFSET(BQ164,-1,0))-MIN(ROW(BQ$113:OFFSET(BQ164,-1,0))),0,1))&gt;0,BQ$113:OFFSET(BQ164,-1,0))))</f>
        <v>25342464.883299991</v>
      </c>
      <c r="BR167" s="102">
        <f t="shared" ca="1" si="302"/>
        <v>3716323.165399991</v>
      </c>
      <c r="BS167" s="104">
        <f t="shared" ca="1" si="303"/>
        <v>3716323.165399991</v>
      </c>
    </row>
    <row r="168" spans="1:72" x14ac:dyDescent="0.25">
      <c r="A168" s="98" t="s">
        <v>15</v>
      </c>
      <c r="B168" s="107"/>
      <c r="C168" s="107"/>
      <c r="D168" s="102"/>
      <c r="E168" s="106" t="s">
        <v>21</v>
      </c>
      <c r="F168" s="102" t="str">
        <f>$F$99</f>
        <v>Count (&gt;0)</v>
      </c>
      <c r="G168" s="103" t="s">
        <v>36</v>
      </c>
      <c r="H168" s="108">
        <f t="array" aca="1" ref="H168" ca="1">COUNT(IF(H$113:OFFSET(H164,-1,0)&gt;0,IF(SUBTOTAL(109,OFFSET(H$113:OFFSET(H164,-1,0),ROW(H$113:OFFSET(H164,-1,0))-MIN(ROW(H$113:OFFSET(H164,-1,0))),0,1))&gt;0,H$113:OFFSET(H164,-1,0))))</f>
        <v>14</v>
      </c>
      <c r="I168" s="108">
        <f t="array" aca="1" ref="I168" ca="1">COUNT(IF(I$113:OFFSET(I164,-1,0)&gt;0,IF(SUBTOTAL(109,OFFSET(I$113:OFFSET(I164,-1,0),ROW(I$113:OFFSET(I164,-1,0))-MIN(ROW(I$113:OFFSET(I164,-1,0))),0,1))&gt;0,I$113:OFFSET(I164,-1,0))))</f>
        <v>14</v>
      </c>
      <c r="J168" s="102">
        <f t="shared" ca="1" si="272"/>
        <v>0</v>
      </c>
      <c r="K168" s="104">
        <f t="shared" ca="1" si="273"/>
        <v>0</v>
      </c>
      <c r="L168" s="108">
        <f t="array" aca="1" ref="L168" ca="1">COUNT(IF(L$113:OFFSET(L164,-1,0)&gt;0,IF(SUBTOTAL(109,OFFSET(L$113:OFFSET(L164,-1,0),ROW(L$113:OFFSET(L164,-1,0))-MIN(ROW(L$113:OFFSET(L164,-1,0))),0,1))&gt;0,L$113:OFFSET(L164,-1,0))))</f>
        <v>0</v>
      </c>
      <c r="M168" s="108">
        <f t="array" aca="1" ref="M168" ca="1">COUNT(IF(M$113:OFFSET(M164,-1,0)&gt;0,IF(SUBTOTAL(109,OFFSET(M$113:OFFSET(M164,-1,0),ROW(M$113:OFFSET(M164,-1,0))-MIN(ROW(M$113:OFFSET(M164,-1,0))),0,1))&gt;0,M$113:OFFSET(M164,-1,0))))</f>
        <v>0</v>
      </c>
      <c r="N168" s="102">
        <f t="shared" ca="1" si="274"/>
        <v>0</v>
      </c>
      <c r="O168" s="104">
        <f t="shared" ca="1" si="275"/>
        <v>0</v>
      </c>
      <c r="P168" s="108">
        <f t="array" aca="1" ref="P168" ca="1">COUNT(IF(P$113:OFFSET(P164,-1,0)&gt;0,IF(SUBTOTAL(109,OFFSET(P$113:OFFSET(P164,-1,0),ROW(P$113:OFFSET(P164,-1,0))-MIN(ROW(P$113:OFFSET(P164,-1,0))),0,1))&gt;0,P$113:OFFSET(P164,-1,0))))</f>
        <v>14</v>
      </c>
      <c r="Q168" s="108">
        <f t="array" aca="1" ref="Q168" ca="1">COUNT(IF(Q$113:OFFSET(Q164,-1,0)&gt;0,IF(SUBTOTAL(109,OFFSET(Q$113:OFFSET(Q164,-1,0),ROW(Q$113:OFFSET(Q164,-1,0))-MIN(ROW(Q$113:OFFSET(Q164,-1,0))),0,1))&gt;0,Q$113:OFFSET(Q164,-1,0))))</f>
        <v>14</v>
      </c>
      <c r="R168" s="102">
        <f t="shared" ca="1" si="276"/>
        <v>0</v>
      </c>
      <c r="S168" s="104">
        <f t="shared" ca="1" si="277"/>
        <v>0</v>
      </c>
      <c r="T168" s="108">
        <f t="array" aca="1" ref="T168" ca="1">COUNT(IF(T$113:OFFSET(T164,-1,0)&gt;0,IF(SUBTOTAL(109,OFFSET(T$113:OFFSET(T164,-1,0),ROW(T$113:OFFSET(T164,-1,0))-MIN(ROW(T$113:OFFSET(T164,-1,0))),0,1))&gt;0,T$113:OFFSET(T164,-1,0))))</f>
        <v>4</v>
      </c>
      <c r="U168" s="108">
        <f t="array" aca="1" ref="U168" ca="1">COUNT(IF(U$113:OFFSET(U164,-1,0)&gt;0,IF(SUBTOTAL(109,OFFSET(U$113:OFFSET(U164,-1,0),ROW(U$113:OFFSET(U164,-1,0))-MIN(ROW(U$113:OFFSET(U164,-1,0))),0,1))&gt;0,U$113:OFFSET(U164,-1,0))))</f>
        <v>0</v>
      </c>
      <c r="V168" s="102">
        <f t="shared" ca="1" si="278"/>
        <v>-4</v>
      </c>
      <c r="W168" s="104">
        <f t="shared" ca="1" si="279"/>
        <v>-4</v>
      </c>
      <c r="X168" s="108">
        <f t="array" aca="1" ref="X168" ca="1">COUNT(IF(X$113:OFFSET(X164,-1,0)&gt;0,IF(SUBTOTAL(109,OFFSET(X$113:OFFSET(X164,-1,0),ROW(X$113:OFFSET(X164,-1,0))-MIN(ROW(X$113:OFFSET(X164,-1,0))),0,1))&gt;0,X$113:OFFSET(X164,-1,0))))</f>
        <v>14</v>
      </c>
      <c r="Y168" s="108">
        <f t="array" aca="1" ref="Y168" ca="1">COUNT(IF(Y$113:OFFSET(Y164,-1,0)&gt;0,IF(SUBTOTAL(109,OFFSET(Y$113:OFFSET(Y164,-1,0),ROW(Y$113:OFFSET(Y164,-1,0))-MIN(ROW(Y$113:OFFSET(Y164,-1,0))),0,1))&gt;0,Y$113:OFFSET(Y164,-1,0))))</f>
        <v>14</v>
      </c>
      <c r="Z168" s="102">
        <f t="shared" ca="1" si="280"/>
        <v>0</v>
      </c>
      <c r="AA168" s="104">
        <f t="shared" ca="1" si="281"/>
        <v>0</v>
      </c>
      <c r="AB168" s="108">
        <f t="array" aca="1" ref="AB168" ca="1">COUNT(IF(AB$113:OFFSET(AB164,-1,0)&gt;0,IF(SUBTOTAL(109,OFFSET(AB$113:OFFSET(AB164,-1,0),ROW(AB$113:OFFSET(AB164,-1,0))-MIN(ROW(AB$113:OFFSET(AB164,-1,0))),0,1))&gt;0,AB$113:OFFSET(AB164,-1,0))))</f>
        <v>14</v>
      </c>
      <c r="AC168" s="108">
        <f t="array" aca="1" ref="AC168" ca="1">COUNT(IF(AC$113:OFFSET(AC164,-1,0)&gt;0,IF(SUBTOTAL(109,OFFSET(AC$113:OFFSET(AC164,-1,0),ROW(AC$113:OFFSET(AC164,-1,0))-MIN(ROW(AC$113:OFFSET(AC164,-1,0))),0,1))&gt;0,AC$113:OFFSET(AC164,-1,0))))</f>
        <v>14</v>
      </c>
      <c r="AD168" s="102">
        <f t="shared" ca="1" si="282"/>
        <v>0</v>
      </c>
      <c r="AE168" s="104">
        <f t="shared" ca="1" si="283"/>
        <v>0</v>
      </c>
      <c r="AF168" s="108">
        <f t="array" aca="1" ref="AF168" ca="1">COUNT(IF(AF$113:OFFSET(AF164,-1,0)&gt;0,IF(SUBTOTAL(109,OFFSET(AF$113:OFFSET(AF164,-1,0),ROW(AF$113:OFFSET(AF164,-1,0))-MIN(ROW(AF$113:OFFSET(AF164,-1,0))),0,1))&gt;0,AF$113:OFFSET(AF164,-1,0))))</f>
        <v>14</v>
      </c>
      <c r="AG168" s="108">
        <f t="array" aca="1" ref="AG168" ca="1">COUNT(IF(AG$113:OFFSET(AG164,-1,0)&gt;0,IF(SUBTOTAL(109,OFFSET(AG$113:OFFSET(AG164,-1,0),ROW(AG$113:OFFSET(AG164,-1,0))-MIN(ROW(AG$113:OFFSET(AG164,-1,0))),0,1))&gt;0,AG$113:OFFSET(AG164,-1,0))))</f>
        <v>14</v>
      </c>
      <c r="AH168" s="102">
        <f t="shared" ca="1" si="284"/>
        <v>0</v>
      </c>
      <c r="AI168" s="104">
        <f t="shared" ca="1" si="285"/>
        <v>0</v>
      </c>
      <c r="AJ168" s="108">
        <f t="array" aca="1" ref="AJ168" ca="1">COUNT(IF(AJ$113:OFFSET(AJ164,-1,0)&gt;0,IF(SUBTOTAL(109,OFFSET(AJ$113:OFFSET(AJ164,-1,0),ROW(AJ$113:OFFSET(AJ164,-1,0))-MIN(ROW(AJ$113:OFFSET(AJ164,-1,0))),0,1))&gt;0,AJ$113:OFFSET(AJ164,-1,0))))</f>
        <v>14</v>
      </c>
      <c r="AK168" s="108">
        <f t="array" aca="1" ref="AK168" ca="1">COUNT(IF(AK$113:OFFSET(AK164,-1,0)&gt;0,IF(SUBTOTAL(109,OFFSET(AK$113:OFFSET(AK164,-1,0),ROW(AK$113:OFFSET(AK164,-1,0))-MIN(ROW(AK$113:OFFSET(AK164,-1,0))),0,1))&gt;0,AK$113:OFFSET(AK164,-1,0))))</f>
        <v>14</v>
      </c>
      <c r="AL168" s="102">
        <f t="shared" ca="1" si="286"/>
        <v>0</v>
      </c>
      <c r="AM168" s="104">
        <f t="shared" ca="1" si="287"/>
        <v>0</v>
      </c>
      <c r="AN168" s="108">
        <f t="array" aca="1" ref="AN168" ca="1">COUNT(IF(AN$113:OFFSET(AN164,-1,0)&gt;0,IF(SUBTOTAL(109,OFFSET(AN$113:OFFSET(AN164,-1,0),ROW(AN$113:OFFSET(AN164,-1,0))-MIN(ROW(AN$113:OFFSET(AN164,-1,0))),0,1))&gt;0,AN$113:OFFSET(AN164,-1,0))))</f>
        <v>14</v>
      </c>
      <c r="AO168" s="108">
        <f t="array" aca="1" ref="AO168" ca="1">COUNT(IF(AO$113:OFFSET(AO164,-1,0)&gt;0,IF(SUBTOTAL(109,OFFSET(AO$113:OFFSET(AO164,-1,0),ROW(AO$113:OFFSET(AO164,-1,0))-MIN(ROW(AO$113:OFFSET(AO164,-1,0))),0,1))&gt;0,AO$113:OFFSET(AO164,-1,0))))</f>
        <v>14</v>
      </c>
      <c r="AP168" s="102">
        <f t="shared" ca="1" si="288"/>
        <v>0</v>
      </c>
      <c r="AQ168" s="104">
        <f t="shared" ca="1" si="289"/>
        <v>0</v>
      </c>
      <c r="AR168" s="108">
        <f t="array" aca="1" ref="AR168" ca="1">COUNT(IF(AR$113:OFFSET(AR164,-1,0)&gt;0,IF(SUBTOTAL(109,OFFSET(AR$113:OFFSET(AR164,-1,0),ROW(AR$113:OFFSET(AR164,-1,0))-MIN(ROW(AR$113:OFFSET(AR164,-1,0))),0,1))&gt;0,AR$113:OFFSET(AR164,-1,0))))</f>
        <v>14</v>
      </c>
      <c r="AS168" s="108">
        <f t="array" aca="1" ref="AS168" ca="1">COUNT(IF(AS$113:OFFSET(AS164,-1,0)&gt;0,IF(SUBTOTAL(109,OFFSET(AS$113:OFFSET(AS164,-1,0),ROW(AS$113:OFFSET(AS164,-1,0))-MIN(ROW(AS$113:OFFSET(AS164,-1,0))),0,1))&gt;0,AS$113:OFFSET(AS164,-1,0))))</f>
        <v>14</v>
      </c>
      <c r="AT168" s="102">
        <f t="shared" ca="1" si="290"/>
        <v>0</v>
      </c>
      <c r="AU168" s="104">
        <f t="shared" ca="1" si="291"/>
        <v>0</v>
      </c>
      <c r="AV168" s="108">
        <f t="array" aca="1" ref="AV168" ca="1">COUNT(IF(AV$113:OFFSET(AV164,-1,0)&gt;0,IF(SUBTOTAL(109,OFFSET(AV$113:OFFSET(AV164,-1,0),ROW(AV$113:OFFSET(AV164,-1,0))-MIN(ROW(AV$113:OFFSET(AV164,-1,0))),0,1))&gt;0,AV$113:OFFSET(AV164,-1,0))))</f>
        <v>14</v>
      </c>
      <c r="AW168" s="108">
        <f t="array" aca="1" ref="AW168" ca="1">COUNT(IF(AW$113:OFFSET(AW164,-1,0)&gt;0,IF(SUBTOTAL(109,OFFSET(AW$113:OFFSET(AW164,-1,0),ROW(AW$113:OFFSET(AW164,-1,0))-MIN(ROW(AW$113:OFFSET(AW164,-1,0))),0,1))&gt;0,AW$113:OFFSET(AW164,-1,0))))</f>
        <v>14</v>
      </c>
      <c r="AX168" s="102">
        <f t="shared" ca="1" si="292"/>
        <v>0</v>
      </c>
      <c r="AY168" s="104">
        <f t="shared" ca="1" si="293"/>
        <v>0</v>
      </c>
      <c r="AZ168" s="108">
        <f t="array" aca="1" ref="AZ168" ca="1">COUNT(IF(AZ$113:OFFSET(AZ164,-1,0)&gt;0,IF(SUBTOTAL(109,OFFSET(AZ$113:OFFSET(AZ164,-1,0),ROW(AZ$113:OFFSET(AZ164,-1,0))-MIN(ROW(AZ$113:OFFSET(AZ164,-1,0))),0,1))&gt;0,AZ$113:OFFSET(AZ164,-1,0))))</f>
        <v>14</v>
      </c>
      <c r="BA168" s="108">
        <f t="array" aca="1" ref="BA168" ca="1">COUNT(IF(BA$113:OFFSET(BA164,-1,0)&gt;0,IF(SUBTOTAL(109,OFFSET(BA$113:OFFSET(BA164,-1,0),ROW(BA$113:OFFSET(BA164,-1,0))-MIN(ROW(BA$113:OFFSET(BA164,-1,0))),0,1))&gt;0,BA$113:OFFSET(BA164,-1,0))))</f>
        <v>14</v>
      </c>
      <c r="BB168" s="102">
        <f t="shared" ca="1" si="294"/>
        <v>0</v>
      </c>
      <c r="BC168" s="104">
        <f t="shared" ca="1" si="295"/>
        <v>0</v>
      </c>
      <c r="BD168" s="108">
        <f t="array" aca="1" ref="BD168" ca="1">COUNT(IF(BD$113:OFFSET(BD164,-1,0)&gt;0,IF(SUBTOTAL(109,OFFSET(BD$113:OFFSET(BD164,-1,0),ROW(BD$113:OFFSET(BD164,-1,0))-MIN(ROW(BD$113:OFFSET(BD164,-1,0))),0,1))&gt;0,BD$113:OFFSET(BD164,-1,0))))</f>
        <v>14</v>
      </c>
      <c r="BE168" s="108">
        <f t="array" aca="1" ref="BE168" ca="1">COUNT(IF(BE$113:OFFSET(BE164,-1,0)&gt;0,IF(SUBTOTAL(109,OFFSET(BE$113:OFFSET(BE164,-1,0),ROW(BE$113:OFFSET(BE164,-1,0))-MIN(ROW(BE$113:OFFSET(BE164,-1,0))),0,1))&gt;0,BE$113:OFFSET(BE164,-1,0))))</f>
        <v>14</v>
      </c>
      <c r="BF168" s="102">
        <f t="shared" ca="1" si="296"/>
        <v>0</v>
      </c>
      <c r="BG168" s="104">
        <f t="shared" ca="1" si="297"/>
        <v>0</v>
      </c>
      <c r="BH168" s="108">
        <f t="array" aca="1" ref="BH168" ca="1">COUNT(IF(BH$113:OFFSET(BH164,-1,0)&gt;0,IF(SUBTOTAL(109,OFFSET(BH$113:OFFSET(BH164,-1,0),ROW(BH$113:OFFSET(BH164,-1,0))-MIN(ROW(BH$113:OFFSET(BH164,-1,0))),0,1))&gt;0,BH$113:OFFSET(BH164,-1,0))))</f>
        <v>14</v>
      </c>
      <c r="BI168" s="108">
        <f t="array" aca="1" ref="BI168" ca="1">COUNT(IF(BI$113:OFFSET(BI164,-1,0)&gt;0,IF(SUBTOTAL(109,OFFSET(BI$113:OFFSET(BI164,-1,0),ROW(BI$113:OFFSET(BI164,-1,0))-MIN(ROW(BI$113:OFFSET(BI164,-1,0))),0,1))&gt;0,BI$113:OFFSET(BI164,-1,0))))</f>
        <v>14</v>
      </c>
      <c r="BJ168" s="102">
        <f t="shared" ca="1" si="298"/>
        <v>0</v>
      </c>
      <c r="BK168" s="104">
        <f t="shared" ca="1" si="299"/>
        <v>0</v>
      </c>
      <c r="BL168" s="108">
        <f t="array" aca="1" ref="BL168" ca="1">COUNT(IF(BL$113:OFFSET(BL164,-1,0)&gt;0,IF(SUBTOTAL(109,OFFSET(BL$113:OFFSET(BL164,-1,0),ROW(BL$113:OFFSET(BL164,-1,0))-MIN(ROW(BL$113:OFFSET(BL164,-1,0))),0,1))&gt;0,BL$113:OFFSET(BL164,-1,0))))</f>
        <v>14</v>
      </c>
      <c r="BM168" s="108">
        <f t="array" aca="1" ref="BM168" ca="1">COUNT(IF(BM$113:OFFSET(BM164,-1,0)&gt;0,IF(SUBTOTAL(109,OFFSET(BM$113:OFFSET(BM164,-1,0),ROW(BM$113:OFFSET(BM164,-1,0))-MIN(ROW(BM$113:OFFSET(BM164,-1,0))),0,1))&gt;0,BM$113:OFFSET(BM164,-1,0))))</f>
        <v>14</v>
      </c>
      <c r="BN168" s="102">
        <f t="shared" ca="1" si="300"/>
        <v>0</v>
      </c>
      <c r="BO168" s="104">
        <f t="shared" ca="1" si="301"/>
        <v>0</v>
      </c>
      <c r="BP168" s="108">
        <f t="array" aca="1" ref="BP168" ca="1">COUNT(IF(BP$113:OFFSET(BP164,-1,0)&gt;0,IF(SUBTOTAL(109,OFFSET(BP$113:OFFSET(BP164,-1,0),ROW(BP$113:OFFSET(BP164,-1,0))-MIN(ROW(BP$113:OFFSET(BP164,-1,0))),0,1))&gt;0,BP$113:OFFSET(BP164,-1,0))))</f>
        <v>14</v>
      </c>
      <c r="BQ168" s="108">
        <f t="array" aca="1" ref="BQ168" ca="1">COUNT(IF(BQ$113:OFFSET(BQ164,-1,0)&gt;0,IF(SUBTOTAL(109,OFFSET(BQ$113:OFFSET(BQ164,-1,0),ROW(BQ$113:OFFSET(BQ164,-1,0))-MIN(ROW(BQ$113:OFFSET(BQ164,-1,0))),0,1))&gt;0,BQ$113:OFFSET(BQ164,-1,0))))</f>
        <v>14</v>
      </c>
      <c r="BR168" s="102">
        <f t="shared" ca="1" si="302"/>
        <v>0</v>
      </c>
      <c r="BS168" s="104">
        <f t="shared" ca="1" si="303"/>
        <v>0</v>
      </c>
    </row>
    <row r="169" spans="1:72" x14ac:dyDescent="0.25">
      <c r="A169" s="98" t="s">
        <v>15</v>
      </c>
      <c r="B169" s="98"/>
      <c r="C169" s="98"/>
      <c r="D169" s="109"/>
      <c r="E169" s="109"/>
      <c r="F169" s="109" t="str">
        <f>$F$100</f>
        <v>Average</v>
      </c>
      <c r="G169" s="110" t="s">
        <v>36</v>
      </c>
      <c r="H169" s="109">
        <f ca="1">IF(H168=0,0,H164/H168)</f>
        <v>3305603.8764642859</v>
      </c>
      <c r="I169" s="109">
        <f ca="1">IF(I168=0,0,I164/I168)</f>
        <v>2319949.4162499998</v>
      </c>
      <c r="J169" s="109">
        <f t="shared" ca="1" si="272"/>
        <v>-985654.46021428611</v>
      </c>
      <c r="K169" s="111">
        <f t="shared" ca="1" si="273"/>
        <v>-985654.46021428611</v>
      </c>
      <c r="L169" s="109">
        <f ca="1">IF(L168=0,0,L164/L168)</f>
        <v>0</v>
      </c>
      <c r="M169" s="109">
        <f ca="1">IF(M168=0,0,M164/M168)</f>
        <v>0</v>
      </c>
      <c r="N169" s="109">
        <f t="shared" ca="1" si="274"/>
        <v>0</v>
      </c>
      <c r="O169" s="111">
        <f t="shared" ca="1" si="275"/>
        <v>0</v>
      </c>
      <c r="P169" s="109">
        <f t="shared" ref="P169:Q169" ca="1" si="304">IF(P168=0,0,P164/P168)</f>
        <v>12786318.802735716</v>
      </c>
      <c r="Q169" s="109">
        <f t="shared" ca="1" si="304"/>
        <v>10962407.540014287</v>
      </c>
      <c r="R169" s="109">
        <f t="shared" ca="1" si="276"/>
        <v>-1823911.2627214286</v>
      </c>
      <c r="S169" s="111">
        <f t="shared" ca="1" si="277"/>
        <v>-1823911.2627214286</v>
      </c>
      <c r="T169" s="109">
        <f t="shared" ref="T169:U169" ca="1" si="305">IF(T168=0,0,T164/T168)</f>
        <v>1597643.5155249997</v>
      </c>
      <c r="U169" s="109">
        <f t="shared" ca="1" si="305"/>
        <v>0</v>
      </c>
      <c r="V169" s="109">
        <f t="shared" ca="1" si="278"/>
        <v>-1597643.5155249997</v>
      </c>
      <c r="W169" s="111">
        <f t="shared" ca="1" si="279"/>
        <v>-1597643.5155249997</v>
      </c>
      <c r="X169" s="109">
        <f t="shared" ref="X169:Y169" ca="1" si="306">IF(X168=0,0,X164/X168)</f>
        <v>24045712.640692856</v>
      </c>
      <c r="Y169" s="109">
        <f t="shared" ca="1" si="306"/>
        <v>21143999.982921429</v>
      </c>
      <c r="Z169" s="109">
        <f t="shared" ca="1" si="280"/>
        <v>-2901712.6577714272</v>
      </c>
      <c r="AA169" s="111">
        <f t="shared" ca="1" si="281"/>
        <v>-2901712.6577714272</v>
      </c>
      <c r="AB169" s="109">
        <f t="shared" ref="AB169:AC169" ca="1" si="307">IF(AB168=0,0,AB164/AB168)</f>
        <v>9045712.6406928543</v>
      </c>
      <c r="AC169" s="109">
        <f t="shared" ca="1" si="307"/>
        <v>6143999.982921428</v>
      </c>
      <c r="AD169" s="109">
        <f t="shared" ca="1" si="282"/>
        <v>-2901712.6577714263</v>
      </c>
      <c r="AE169" s="111">
        <f t="shared" ca="1" si="283"/>
        <v>-2901712.6577714263</v>
      </c>
      <c r="AF169" s="109">
        <f t="shared" ref="AF169:AG169" ca="1" si="308">IF(AF168=0,0,AF164/AF168)</f>
        <v>35132431.813442856</v>
      </c>
      <c r="AG169" s="109">
        <f t="shared" ca="1" si="308"/>
        <v>31310979.971785713</v>
      </c>
      <c r="AH169" s="109">
        <f t="shared" ca="1" si="284"/>
        <v>-3821451.8416571431</v>
      </c>
      <c r="AI169" s="111">
        <f t="shared" ca="1" si="285"/>
        <v>-3821451.8416571431</v>
      </c>
      <c r="AJ169" s="109">
        <f t="shared" ref="AJ169:AK169" ca="1" si="309">IF(AJ168=0,0,AJ164/AJ168)</f>
        <v>20132431.81344286</v>
      </c>
      <c r="AK169" s="109">
        <f t="shared" ca="1" si="309"/>
        <v>16310979.971785715</v>
      </c>
      <c r="AL169" s="109">
        <f t="shared" ca="1" si="286"/>
        <v>-3821451.8416571449</v>
      </c>
      <c r="AM169" s="111">
        <f t="shared" ca="1" si="287"/>
        <v>-3821451.8416571449</v>
      </c>
      <c r="AN169" s="109">
        <f t="shared" ref="AN169:AO169" ca="1" si="310">IF(AN168=0,0,AN164/AN168)</f>
        <v>56072862.015185714</v>
      </c>
      <c r="AO169" s="109">
        <f t="shared" ca="1" si="310"/>
        <v>52385776.574599989</v>
      </c>
      <c r="AP169" s="109">
        <f t="shared" ca="1" si="288"/>
        <v>-3687085.440585725</v>
      </c>
      <c r="AQ169" s="111">
        <f t="shared" ca="1" si="289"/>
        <v>-3687085.440585725</v>
      </c>
      <c r="AR169" s="109">
        <f t="shared" ref="AR169:AS169" ca="1" si="311">IF(AR168=0,0,AR164/AR168)</f>
        <v>41072862.015185714</v>
      </c>
      <c r="AS169" s="109">
        <f t="shared" ca="1" si="311"/>
        <v>37385776.574600004</v>
      </c>
      <c r="AT169" s="109">
        <f t="shared" ca="1" si="290"/>
        <v>-3687085.4405857101</v>
      </c>
      <c r="AU169" s="111">
        <f t="shared" ca="1" si="291"/>
        <v>-3687085.4405857101</v>
      </c>
      <c r="AV169" s="109">
        <f t="shared" ref="AV169:AW169" ca="1" si="312">IF(AV168=0,0,AV164/AV168)</f>
        <v>67813741.694542855</v>
      </c>
      <c r="AW169" s="109">
        <f t="shared" ca="1" si="312"/>
        <v>64103149.068757154</v>
      </c>
      <c r="AX169" s="109">
        <f t="shared" ca="1" si="292"/>
        <v>-3710592.625785701</v>
      </c>
      <c r="AY169" s="111">
        <f t="shared" ca="1" si="293"/>
        <v>-3710592.625785701</v>
      </c>
      <c r="AZ169" s="109">
        <f t="shared" ref="AZ169:BA169" ca="1" si="313">IF(AZ168=0,0,AZ164/AZ168)</f>
        <v>52813741.694542862</v>
      </c>
      <c r="BA169" s="109">
        <f t="shared" ca="1" si="313"/>
        <v>49103149.068757154</v>
      </c>
      <c r="BB169" s="109">
        <f t="shared" ca="1" si="294"/>
        <v>-3710592.6257857084</v>
      </c>
      <c r="BC169" s="111">
        <f t="shared" ca="1" si="295"/>
        <v>-3710592.6257857084</v>
      </c>
      <c r="BD169" s="109">
        <f t="shared" ref="BD169:BE169" ca="1" si="314">IF(BD168=0,0,BD164/BD168)</f>
        <v>70239661.763485715</v>
      </c>
      <c r="BE169" s="109">
        <f t="shared" ca="1" si="314"/>
        <v>66375834.895842865</v>
      </c>
      <c r="BF169" s="109">
        <f t="shared" ca="1" si="296"/>
        <v>-3863826.8676428497</v>
      </c>
      <c r="BG169" s="111">
        <f t="shared" ca="1" si="297"/>
        <v>-3863826.8676428497</v>
      </c>
      <c r="BH169" s="109">
        <f t="shared" ref="BH169:BI169" ca="1" si="315">IF(BH168=0,0,BH164/BH168)</f>
        <v>55239661.763485715</v>
      </c>
      <c r="BI169" s="109">
        <f t="shared" ca="1" si="315"/>
        <v>51375834.895842865</v>
      </c>
      <c r="BJ169" s="109">
        <f t="shared" ca="1" si="298"/>
        <v>-3863826.8676428497</v>
      </c>
      <c r="BK169" s="111">
        <f t="shared" ca="1" si="299"/>
        <v>-3863826.8676428497</v>
      </c>
      <c r="BL169" s="109">
        <f t="shared" ref="BL169:BM169" ca="1" si="316">IF(BL168=0,0,BL164/BL168)</f>
        <v>70239661.763485715</v>
      </c>
      <c r="BM169" s="109">
        <f t="shared" ca="1" si="316"/>
        <v>66375834.895842873</v>
      </c>
      <c r="BN169" s="109">
        <f t="shared" ca="1" si="300"/>
        <v>-3863826.8676428422</v>
      </c>
      <c r="BO169" s="111">
        <f t="shared" ca="1" si="301"/>
        <v>-3863826.8676428422</v>
      </c>
      <c r="BP169" s="109">
        <f t="shared" ref="BP169:BQ169" ca="1" si="317">IF(BP168=0,0,BP164/BP168)</f>
        <v>55239661.763485715</v>
      </c>
      <c r="BQ169" s="109">
        <f t="shared" ca="1" si="317"/>
        <v>51375834.895842858</v>
      </c>
      <c r="BR169" s="109">
        <f t="shared" ca="1" si="302"/>
        <v>-3863826.8676428571</v>
      </c>
      <c r="BS169" s="111">
        <f t="shared" ca="1" si="303"/>
        <v>-3863826.8676428571</v>
      </c>
    </row>
    <row r="170" spans="1:72" ht="13.8" thickBot="1" x14ac:dyDescent="0.3">
      <c r="A170" s="98" t="s">
        <v>15</v>
      </c>
      <c r="B170" s="98"/>
      <c r="C170" s="98"/>
      <c r="D170" s="112"/>
      <c r="E170" s="112"/>
      <c r="F170" s="112" t="str">
        <f>$F$101</f>
        <v>Average Market Share</v>
      </c>
      <c r="G170" s="113" t="s">
        <v>36</v>
      </c>
      <c r="H170" s="114">
        <f ca="1">IF(H$12=0,0,H169/H$12)</f>
        <v>1.3222415505857144E-2</v>
      </c>
      <c r="I170" s="114">
        <f ca="1">IF(I$12=0,0,I169/I$12)</f>
        <v>9.2797976649999989E-3</v>
      </c>
      <c r="J170" s="115">
        <f ca="1">IFERROR(SUM(I170,-H170),"")</f>
        <v>-3.942617840857145E-3</v>
      </c>
      <c r="K170" s="116">
        <f t="shared" ca="1" si="273"/>
        <v>-3.942617840857145E-3</v>
      </c>
      <c r="L170" s="114"/>
      <c r="M170" s="114"/>
      <c r="N170" s="115"/>
      <c r="O170" s="116"/>
      <c r="P170" s="114">
        <f t="shared" ref="P170:Q170" ca="1" si="318">IF(P$12=0,0,P169/P$12)</f>
        <v>2.5572637605471432E-2</v>
      </c>
      <c r="Q170" s="114">
        <f t="shared" ca="1" si="318"/>
        <v>2.1924815080028574E-2</v>
      </c>
      <c r="R170" s="115">
        <f t="shared" ref="R170" ca="1" si="319">IFERROR(SUM(Q170,-P170),"")</f>
        <v>-3.6478225254428578E-3</v>
      </c>
      <c r="S170" s="116">
        <f t="shared" ca="1" si="277"/>
        <v>-3.6478225254428578E-3</v>
      </c>
      <c r="T170" s="114"/>
      <c r="U170" s="114"/>
      <c r="V170" s="115"/>
      <c r="W170" s="116"/>
      <c r="X170" s="114">
        <f t="shared" ref="X170:Y170" ca="1" si="320">IF(X$12=0,0,X169/X$12)</f>
        <v>3.2060950187590476E-2</v>
      </c>
      <c r="Y170" s="114">
        <f t="shared" ca="1" si="320"/>
        <v>2.8191999977228571E-2</v>
      </c>
      <c r="Z170" s="115">
        <f t="shared" ref="Z170" ca="1" si="321">IFERROR(SUM(Y170,-X170),"")</f>
        <v>-3.8689502103619045E-3</v>
      </c>
      <c r="AA170" s="116">
        <f t="shared" ca="1" si="281"/>
        <v>-3.8689502103619045E-3</v>
      </c>
      <c r="AB170" s="114"/>
      <c r="AC170" s="114"/>
      <c r="AD170" s="115"/>
      <c r="AE170" s="116"/>
      <c r="AF170" s="114">
        <f t="shared" ref="AF170:AG170" ca="1" si="322">IF(AF$12=0,0,AF169/AF$12)</f>
        <v>3.5132431813442853E-2</v>
      </c>
      <c r="AG170" s="114">
        <f t="shared" ca="1" si="322"/>
        <v>3.131097997178571E-2</v>
      </c>
      <c r="AH170" s="115">
        <f t="shared" ref="AH170" ca="1" si="323">IFERROR(SUM(AG170,-AF170),"")</f>
        <v>-3.8214518416571433E-3</v>
      </c>
      <c r="AI170" s="116">
        <f t="shared" ca="1" si="285"/>
        <v>-3.8214518416571433E-3</v>
      </c>
      <c r="AJ170" s="114"/>
      <c r="AK170" s="114"/>
      <c r="AL170" s="115"/>
      <c r="AM170" s="116"/>
      <c r="AN170" s="114">
        <f t="shared" ref="AN170:AO170" ca="1" si="324">IF(AN$12=0,0,AN169/AN$12)</f>
        <v>3.738190801012381E-2</v>
      </c>
      <c r="AO170" s="114">
        <f t="shared" ca="1" si="324"/>
        <v>3.4923851049733327E-2</v>
      </c>
      <c r="AP170" s="115">
        <f t="shared" ref="AP170" ca="1" si="325">IFERROR(SUM(AO170,-AN170),"")</f>
        <v>-2.4580569603904825E-3</v>
      </c>
      <c r="AQ170" s="116">
        <f t="shared" ca="1" si="289"/>
        <v>-2.4580569603904825E-3</v>
      </c>
      <c r="AR170" s="114"/>
      <c r="AS170" s="114"/>
      <c r="AT170" s="115"/>
      <c r="AU170" s="116"/>
      <c r="AV170" s="114">
        <f t="shared" ref="AV170:AW170" ca="1" si="326">IF(AV$12=0,0,AV169/AV$12)</f>
        <v>3.3906870847271425E-2</v>
      </c>
      <c r="AW170" s="114">
        <f t="shared" ca="1" si="326"/>
        <v>3.2051574534378575E-2</v>
      </c>
      <c r="AX170" s="115">
        <f t="shared" ref="AX170" ca="1" si="327">IFERROR(SUM(AW170,-AV170),"")</f>
        <v>-1.8552963128928499E-3</v>
      </c>
      <c r="AY170" s="116">
        <f t="shared" ca="1" si="293"/>
        <v>-1.8552963128928499E-3</v>
      </c>
      <c r="AZ170" s="114"/>
      <c r="BA170" s="114"/>
      <c r="BB170" s="115"/>
      <c r="BC170" s="116"/>
      <c r="BD170" s="114">
        <f t="shared" ref="BD170:BE170" ca="1" si="328">IF(BD$12=0,0,BD169/BD$12)</f>
        <v>2.8095864705394286E-2</v>
      </c>
      <c r="BE170" s="114">
        <f t="shared" ca="1" si="328"/>
        <v>2.6550333958337145E-2</v>
      </c>
      <c r="BF170" s="115">
        <f t="shared" ref="BF170" ca="1" si="329">IFERROR(SUM(BE170,-BD170),"")</f>
        <v>-1.5455307470571417E-3</v>
      </c>
      <c r="BG170" s="116">
        <f t="shared" ca="1" si="297"/>
        <v>-1.5455307470571417E-3</v>
      </c>
      <c r="BH170" s="114"/>
      <c r="BI170" s="114"/>
      <c r="BJ170" s="115"/>
      <c r="BK170" s="116"/>
      <c r="BL170" s="114">
        <f t="shared" ref="BL170:BM170" ca="1" si="330">IF(BL$12=0,0,BL169/BL$12)</f>
        <v>2.3413220587828572E-2</v>
      </c>
      <c r="BM170" s="114">
        <f t="shared" ca="1" si="330"/>
        <v>2.2125278298614291E-2</v>
      </c>
      <c r="BN170" s="115">
        <f t="shared" ref="BN170" ca="1" si="331">IFERROR(SUM(BM170,-BL170),"")</f>
        <v>-1.2879422892142812E-3</v>
      </c>
      <c r="BO170" s="116">
        <f t="shared" ca="1" si="301"/>
        <v>-1.2879422892142812E-3</v>
      </c>
      <c r="BP170" s="114"/>
      <c r="BQ170" s="114"/>
      <c r="BR170" s="115"/>
      <c r="BS170" s="116"/>
    </row>
    <row r="171" spans="1:72" x14ac:dyDescent="0.25">
      <c r="A171" s="98" t="s">
        <v>15</v>
      </c>
      <c r="B171" s="98"/>
      <c r="C171" s="98"/>
      <c r="D171" s="117"/>
      <c r="E171" s="117"/>
      <c r="F171" s="117" t="str">
        <f>$F$102</f>
        <v>Change in average (%)</v>
      </c>
      <c r="G171" s="118" t="s">
        <v>36</v>
      </c>
      <c r="H171" s="119"/>
      <c r="I171" s="119"/>
      <c r="J171" s="120">
        <f ca="1">IF(H169=0,0,SUM(I169/H169,-1))</f>
        <v>-0.29817682246565913</v>
      </c>
      <c r="K171" s="121">
        <f ca="1">J171</f>
        <v>-0.29817682246565913</v>
      </c>
      <c r="L171" s="119"/>
      <c r="M171" s="119"/>
      <c r="N171" s="120">
        <f ca="1">IF(L169=0,0,SUM(M169/L169,-1))</f>
        <v>0</v>
      </c>
      <c r="O171" s="121">
        <f ca="1">N171</f>
        <v>0</v>
      </c>
      <c r="P171" s="119"/>
      <c r="Q171" s="119"/>
      <c r="R171" s="120">
        <f t="shared" ref="R171" ca="1" si="332">IF(P169=0,0,SUM(Q169/P169,-1))</f>
        <v>-0.14264553315620376</v>
      </c>
      <c r="S171" s="121">
        <f t="shared" ref="S171" ca="1" si="333">R171</f>
        <v>-0.14264553315620376</v>
      </c>
      <c r="T171" s="119"/>
      <c r="U171" s="119"/>
      <c r="V171" s="120">
        <f t="shared" ref="V171" ca="1" si="334">IF(T169=0,0,SUM(U169/T169,-1))</f>
        <v>-1</v>
      </c>
      <c r="W171" s="121">
        <f t="shared" ref="W171" ca="1" si="335">V171</f>
        <v>-1</v>
      </c>
      <c r="X171" s="119"/>
      <c r="Y171" s="119"/>
      <c r="Z171" s="120">
        <f t="shared" ref="Z171" ca="1" si="336">IF(X169=0,0,SUM(Y169/X169,-1))</f>
        <v>-0.12067484549660723</v>
      </c>
      <c r="AA171" s="121">
        <f t="shared" ref="AA171" ca="1" si="337">Z171</f>
        <v>-0.12067484549660723</v>
      </c>
      <c r="AB171" s="119"/>
      <c r="AC171" s="119"/>
      <c r="AD171" s="120">
        <f t="shared" ref="AD171" ca="1" si="338">IF(AB169=0,0,SUM(AC169/AB169,-1))</f>
        <v>-0.32078320117287851</v>
      </c>
      <c r="AE171" s="121">
        <f t="shared" ref="AE171" ca="1" si="339">AD171</f>
        <v>-0.32078320117287851</v>
      </c>
      <c r="AF171" s="119"/>
      <c r="AG171" s="119"/>
      <c r="AH171" s="120">
        <f t="shared" ref="AH171" ca="1" si="340">IF(AF169=0,0,SUM(AG169/AF169,-1))</f>
        <v>-0.10877276762250565</v>
      </c>
      <c r="AI171" s="121">
        <f t="shared" ref="AI171" ca="1" si="341">AH171</f>
        <v>-0.10877276762250565</v>
      </c>
      <c r="AJ171" s="119"/>
      <c r="AK171" s="119"/>
      <c r="AL171" s="120">
        <f t="shared" ref="AL171" ca="1" si="342">IF(AJ169=0,0,SUM(AK169/AJ169,-1))</f>
        <v>-0.18981571014712084</v>
      </c>
      <c r="AM171" s="121">
        <f t="shared" ref="AM171" ca="1" si="343">AL171</f>
        <v>-0.18981571014712084</v>
      </c>
      <c r="AN171" s="119"/>
      <c r="AO171" s="119"/>
      <c r="AP171" s="120">
        <f t="shared" ref="AP171" ca="1" si="344">IF(AN169=0,0,SUM(AO169/AN169,-1))</f>
        <v>-6.5755256786913852E-2</v>
      </c>
      <c r="AQ171" s="121">
        <f t="shared" ref="AQ171" ca="1" si="345">AP171</f>
        <v>-6.5755256786913852E-2</v>
      </c>
      <c r="AR171" s="119"/>
      <c r="AS171" s="119"/>
      <c r="AT171" s="120">
        <f t="shared" ref="AT171" ca="1" si="346">IF(AR169=0,0,SUM(AS169/AR169,-1))</f>
        <v>-8.9769382012446552E-2</v>
      </c>
      <c r="AU171" s="121">
        <f t="shared" ref="AU171" ca="1" si="347">AT171</f>
        <v>-8.9769382012446552E-2</v>
      </c>
      <c r="AV171" s="119"/>
      <c r="AW171" s="119"/>
      <c r="AX171" s="120">
        <f t="shared" ref="AX171" ca="1" si="348">IF(AV169=0,0,SUM(AW169/AV169,-1))</f>
        <v>-5.4717414687122323E-2</v>
      </c>
      <c r="AY171" s="121">
        <f t="shared" ref="AY171" ca="1" si="349">AX171</f>
        <v>-5.4717414687122323E-2</v>
      </c>
      <c r="AZ171" s="119"/>
      <c r="BA171" s="119"/>
      <c r="BB171" s="120">
        <f t="shared" ref="BB171" ca="1" si="350">IF(AZ169=0,0,SUM(BA169/AZ169,-1))</f>
        <v>-7.0258090162339637E-2</v>
      </c>
      <c r="BC171" s="121">
        <f t="shared" ref="BC171" ca="1" si="351">BB171</f>
        <v>-7.0258090162339637E-2</v>
      </c>
      <c r="BD171" s="119"/>
      <c r="BE171" s="119"/>
      <c r="BF171" s="120">
        <f t="shared" ref="BF171" ca="1" si="352">IF(BD169=0,0,SUM(BE169/BD169,-1))</f>
        <v>-5.5009189546688098E-2</v>
      </c>
      <c r="BG171" s="121">
        <f t="shared" ref="BG171" ca="1" si="353">BF171</f>
        <v>-5.5009189546688098E-2</v>
      </c>
      <c r="BH171" s="119"/>
      <c r="BI171" s="119"/>
      <c r="BJ171" s="120">
        <f t="shared" ref="BJ171" ca="1" si="354">IF(BH169=0,0,SUM(BI169/BH169,-1))</f>
        <v>-6.9946606193684202E-2</v>
      </c>
      <c r="BK171" s="121">
        <f t="shared" ref="BK171" ca="1" si="355">BJ171</f>
        <v>-6.9946606193684202E-2</v>
      </c>
      <c r="BL171" s="119"/>
      <c r="BM171" s="119"/>
      <c r="BN171" s="120">
        <f t="shared" ref="BN171" ca="1" si="356">IF(BL169=0,0,SUM(BM169/BL169,-1))</f>
        <v>-5.5009189546688098E-2</v>
      </c>
      <c r="BO171" s="121">
        <f t="shared" ref="BO171" ca="1" si="357">BN171</f>
        <v>-5.5009189546688098E-2</v>
      </c>
      <c r="BP171" s="119"/>
      <c r="BQ171" s="119"/>
      <c r="BR171" s="120">
        <f t="shared" ref="BR171" ca="1" si="358">IF(BP169=0,0,SUM(BQ169/BP169,-1))</f>
        <v>-6.9946606193684313E-2</v>
      </c>
      <c r="BS171" s="121">
        <f t="shared" ref="BS171" ca="1" si="359">BR171</f>
        <v>-6.9946606193684313E-2</v>
      </c>
    </row>
    <row r="172" spans="1:72" hidden="1" outlineLevel="1" x14ac:dyDescent="0.25">
      <c r="A172" s="122"/>
      <c r="B172" s="122"/>
      <c r="C172" s="122"/>
      <c r="D172" s="99"/>
      <c r="E172" s="99"/>
      <c r="F172" s="99" t="str">
        <f>$F$103</f>
        <v>#▲ Number Increased</v>
      </c>
      <c r="G172" s="100" t="s">
        <v>36</v>
      </c>
      <c r="H172" s="99"/>
      <c r="I172" s="99"/>
      <c r="J172" s="99">
        <f t="array" aca="1" ref="J172" ca="1">COUNT(IF(J$113:OFFSET(J164,-1,0)&gt;0,IF(SUBTOTAL(109,OFFSET(J$113:OFFSET(J164,-1,0),ROW(J$113:OFFSET(J164,-1,0))-MIN(ROW(J$113:OFFSET(J164,-1,0))),0,1))&gt;0,J$113:OFFSET(J164,-1,0))))</f>
        <v>3</v>
      </c>
      <c r="K172" s="123"/>
      <c r="L172" s="99"/>
      <c r="M172" s="99"/>
      <c r="N172" s="99">
        <f t="array" aca="1" ref="N172" ca="1">COUNT(IF(N$113:OFFSET(N164,-1,0)&gt;0,IF(SUBTOTAL(109,OFFSET(N$113:OFFSET(N164,-1,0),ROW(N$113:OFFSET(N164,-1,0))-MIN(ROW(N$113:OFFSET(N164,-1,0))),0,1))&gt;0,N$113:OFFSET(N164,-1,0))))</f>
        <v>0</v>
      </c>
      <c r="O172" s="123"/>
      <c r="P172" s="99"/>
      <c r="Q172" s="99"/>
      <c r="R172" s="99">
        <f t="array" aca="1" ref="R172" ca="1">COUNT(IF(R$113:OFFSET(R164,-1,0)&gt;0,IF(SUBTOTAL(109,OFFSET(R$113:OFFSET(R164,-1,0),ROW(R$113:OFFSET(R164,-1,0))-MIN(ROW(R$113:OFFSET(R164,-1,0))),0,1))&gt;0,R$113:OFFSET(R164,-1,0))))</f>
        <v>1</v>
      </c>
      <c r="S172" s="123"/>
      <c r="T172" s="99"/>
      <c r="U172" s="99"/>
      <c r="V172" s="99">
        <f t="array" aca="1" ref="V172" ca="1">COUNT(IF(V$113:OFFSET(V164,-1,0)&gt;0,IF(SUBTOTAL(109,OFFSET(V$113:OFFSET(V164,-1,0),ROW(V$113:OFFSET(V164,-1,0))-MIN(ROW(V$113:OFFSET(V164,-1,0))),0,1))&gt;0,V$113:OFFSET(V164,-1,0))))</f>
        <v>0</v>
      </c>
      <c r="W172" s="123"/>
      <c r="X172" s="99"/>
      <c r="Y172" s="99"/>
      <c r="Z172" s="99">
        <f t="array" aca="1" ref="Z172" ca="1">COUNT(IF(Z$113:OFFSET(Z164,-1,0)&gt;0,IF(SUBTOTAL(109,OFFSET(Z$113:OFFSET(Z164,-1,0),ROW(Z$113:OFFSET(Z164,-1,0))-MIN(ROW(Z$113:OFFSET(Z164,-1,0))),0,1))&gt;0,Z$113:OFFSET(Z164,-1,0))))</f>
        <v>3</v>
      </c>
      <c r="AA172" s="123"/>
      <c r="AB172" s="99"/>
      <c r="AC172" s="99"/>
      <c r="AD172" s="99">
        <f t="array" aca="1" ref="AD172" ca="1">COUNT(IF(AD$113:OFFSET(AD164,-1,0)&gt;0,IF(SUBTOTAL(109,OFFSET(AD$113:OFFSET(AD164,-1,0),ROW(AD$113:OFFSET(AD164,-1,0))-MIN(ROW(AD$113:OFFSET(AD164,-1,0))),0,1))&gt;0,AD$113:OFFSET(AD164,-1,0))))</f>
        <v>3</v>
      </c>
      <c r="AE172" s="123"/>
      <c r="AF172" s="99"/>
      <c r="AG172" s="99"/>
      <c r="AH172" s="99">
        <f t="array" aca="1" ref="AH172" ca="1">COUNT(IF(AH$113:OFFSET(AH164,-1,0)&gt;0,IF(SUBTOTAL(109,OFFSET(AH$113:OFFSET(AH164,-1,0),ROW(AH$113:OFFSET(AH164,-1,0))-MIN(ROW(AH$113:OFFSET(AH164,-1,0))),0,1))&gt;0,AH$113:OFFSET(AH164,-1,0))))</f>
        <v>4</v>
      </c>
      <c r="AI172" s="123"/>
      <c r="AJ172" s="99"/>
      <c r="AK172" s="99"/>
      <c r="AL172" s="99">
        <f t="array" aca="1" ref="AL172" ca="1">COUNT(IF(AL$113:OFFSET(AL164,-1,0)&gt;0,IF(SUBTOTAL(109,OFFSET(AL$113:OFFSET(AL164,-1,0),ROW(AL$113:OFFSET(AL164,-1,0))-MIN(ROW(AL$113:OFFSET(AL164,-1,0))),0,1))&gt;0,AL$113:OFFSET(AL164,-1,0))))</f>
        <v>4</v>
      </c>
      <c r="AM172" s="123"/>
      <c r="AN172" s="99"/>
      <c r="AO172" s="99"/>
      <c r="AP172" s="99">
        <f t="array" aca="1" ref="AP172" ca="1">COUNT(IF(AP$113:OFFSET(AP164,-1,0)&gt;0,IF(SUBTOTAL(109,OFFSET(AP$113:OFFSET(AP164,-1,0),ROW(AP$113:OFFSET(AP164,-1,0))-MIN(ROW(AP$113:OFFSET(AP164,-1,0))),0,1))&gt;0,AP$113:OFFSET(AP164,-1,0))))</f>
        <v>5</v>
      </c>
      <c r="AQ172" s="123"/>
      <c r="AR172" s="99"/>
      <c r="AS172" s="99"/>
      <c r="AT172" s="99">
        <f t="array" aca="1" ref="AT172" ca="1">COUNT(IF(AT$113:OFFSET(AT164,-1,0)&gt;0,IF(SUBTOTAL(109,OFFSET(AT$113:OFFSET(AT164,-1,0),ROW(AT$113:OFFSET(AT164,-1,0))-MIN(ROW(AT$113:OFFSET(AT164,-1,0))),0,1))&gt;0,AT$113:OFFSET(AT164,-1,0))))</f>
        <v>5</v>
      </c>
      <c r="AU172" s="123"/>
      <c r="AV172" s="99"/>
      <c r="AW172" s="99"/>
      <c r="AX172" s="99">
        <f t="array" aca="1" ref="AX172" ca="1">COUNT(IF(AX$113:OFFSET(AX164,-1,0)&gt;0,IF(SUBTOTAL(109,OFFSET(AX$113:OFFSET(AX164,-1,0),ROW(AX$113:OFFSET(AX164,-1,0))-MIN(ROW(AX$113:OFFSET(AX164,-1,0))),0,1))&gt;0,AX$113:OFFSET(AX164,-1,0))))</f>
        <v>4</v>
      </c>
      <c r="AY172" s="123"/>
      <c r="AZ172" s="99"/>
      <c r="BA172" s="99"/>
      <c r="BB172" s="99">
        <f t="array" aca="1" ref="BB172" ca="1">COUNT(IF(BB$113:OFFSET(BB164,-1,0)&gt;0,IF(SUBTOTAL(109,OFFSET(BB$113:OFFSET(BB164,-1,0),ROW(BB$113:OFFSET(BB164,-1,0))-MIN(ROW(BB$113:OFFSET(BB164,-1,0))),0,1))&gt;0,BB$113:OFFSET(BB164,-1,0))))</f>
        <v>4</v>
      </c>
      <c r="BC172" s="123"/>
      <c r="BD172" s="99"/>
      <c r="BE172" s="99"/>
      <c r="BF172" s="99">
        <f t="array" aca="1" ref="BF172" ca="1">COUNT(IF(BF$113:OFFSET(BF164,-1,0)&gt;0,IF(SUBTOTAL(109,OFFSET(BF$113:OFFSET(BF164,-1,0),ROW(BF$113:OFFSET(BF164,-1,0))-MIN(ROW(BF$113:OFFSET(BF164,-1,0))),0,1))&gt;0,BF$113:OFFSET(BF164,-1,0))))</f>
        <v>4</v>
      </c>
      <c r="BG172" s="123"/>
      <c r="BH172" s="99"/>
      <c r="BI172" s="99"/>
      <c r="BJ172" s="99">
        <f t="array" aca="1" ref="BJ172" ca="1">COUNT(IF(BJ$113:OFFSET(BJ164,-1,0)&gt;0,IF(SUBTOTAL(109,OFFSET(BJ$113:OFFSET(BJ164,-1,0),ROW(BJ$113:OFFSET(BJ164,-1,0))-MIN(ROW(BJ$113:OFFSET(BJ164,-1,0))),0,1))&gt;0,BJ$113:OFFSET(BJ164,-1,0))))</f>
        <v>4</v>
      </c>
      <c r="BK172" s="123"/>
      <c r="BL172" s="99"/>
      <c r="BM172" s="99"/>
      <c r="BN172" s="99">
        <f t="array" aca="1" ref="BN172" ca="1">COUNT(IF(BN$113:OFFSET(BN164,-1,0)&gt;0,IF(SUBTOTAL(109,OFFSET(BN$113:OFFSET(BN164,-1,0),ROW(BN$113:OFFSET(BN164,-1,0))-MIN(ROW(BN$113:OFFSET(BN164,-1,0))),0,1))&gt;0,BN$113:OFFSET(BN164,-1,0))))</f>
        <v>4</v>
      </c>
      <c r="BO172" s="123"/>
      <c r="BP172" s="99"/>
      <c r="BQ172" s="99"/>
      <c r="BR172" s="99">
        <f t="array" aca="1" ref="BR172" ca="1">COUNT(IF(BR$113:OFFSET(BR164,-1,0)&gt;0,IF(SUBTOTAL(109,OFFSET(BR$113:OFFSET(BR164,-1,0),ROW(BR$113:OFFSET(BR164,-1,0))-MIN(ROW(BR$113:OFFSET(BR164,-1,0))),0,1))&gt;0,BR$113:OFFSET(BR164,-1,0))))</f>
        <v>4</v>
      </c>
      <c r="BS172" s="123"/>
    </row>
    <row r="173" spans="1:72" hidden="1" outlineLevel="1" x14ac:dyDescent="0.25">
      <c r="A173" s="122"/>
      <c r="B173" s="122"/>
      <c r="C173" s="122"/>
      <c r="D173" s="102"/>
      <c r="E173" s="102"/>
      <c r="F173" s="102" t="str">
        <f>$F$104</f>
        <v>Σ▲ Total Increased</v>
      </c>
      <c r="G173" s="103" t="s">
        <v>36</v>
      </c>
      <c r="H173" s="102"/>
      <c r="I173" s="102"/>
      <c r="J173" s="102">
        <f t="array" aca="1" ref="J173" ca="1">SUM(IF(J$113:OFFSET(J164,-1,0)&gt;0,IF(SUBTOTAL(109,OFFSET(J$113:OFFSET(J164,-1,0),ROW(J$113:OFFSET(J164,-1,0))-MIN(ROW(J$113:OFFSET(J164,-1,0))),0,1))&gt;0,J$113:OFFSET(J164,-1,0))))</f>
        <v>688127.54619999998</v>
      </c>
      <c r="K173" s="124"/>
      <c r="L173" s="102"/>
      <c r="M173" s="102"/>
      <c r="N173" s="102">
        <f t="array" aca="1" ref="N173" ca="1">SUM(IF(N$113:OFFSET(N164,-1,0)&gt;0,IF(SUBTOTAL(109,OFFSET(N$113:OFFSET(N164,-1,0),ROW(N$113:OFFSET(N164,-1,0))-MIN(ROW(N$113:OFFSET(N164,-1,0))),0,1))&gt;0,N$113:OFFSET(N164,-1,0))))</f>
        <v>0</v>
      </c>
      <c r="O173" s="124"/>
      <c r="P173" s="102"/>
      <c r="Q173" s="102"/>
      <c r="R173" s="102">
        <f t="array" aca="1" ref="R173" ca="1">SUM(IF(R$113:OFFSET(R164,-1,0)&gt;0,IF(SUBTOTAL(109,OFFSET(R$113:OFFSET(R164,-1,0),ROW(R$113:OFFSET(R164,-1,0))-MIN(ROW(R$113:OFFSET(R164,-1,0))),0,1))&gt;0,R$113:OFFSET(R164,-1,0))))</f>
        <v>1315541.1183000002</v>
      </c>
      <c r="S173" s="124"/>
      <c r="T173" s="102"/>
      <c r="U173" s="102"/>
      <c r="V173" s="102">
        <f t="array" aca="1" ref="V173" ca="1">SUM(IF(V$113:OFFSET(V164,-1,0)&gt;0,IF(SUBTOTAL(109,OFFSET(V$113:OFFSET(V164,-1,0),ROW(V$113:OFFSET(V164,-1,0))-MIN(ROW(V$113:OFFSET(V164,-1,0))),0,1))&gt;0,V$113:OFFSET(V164,-1,0))))</f>
        <v>0</v>
      </c>
      <c r="W173" s="124"/>
      <c r="X173" s="102"/>
      <c r="Y173" s="102"/>
      <c r="Z173" s="102">
        <f t="array" aca="1" ref="Z173" ca="1">SUM(IF(Z$113:OFFSET(Z164,-1,0)&gt;0,IF(SUBTOTAL(109,OFFSET(Z$113:OFFSET(Z164,-1,0),ROW(Z$113:OFFSET(Z164,-1,0))-MIN(ROW(Z$113:OFFSET(Z164,-1,0))),0,1))&gt;0,Z$113:OFFSET(Z164,-1,0))))</f>
        <v>3130836.933699999</v>
      </c>
      <c r="AA173" s="124"/>
      <c r="AB173" s="102"/>
      <c r="AC173" s="102"/>
      <c r="AD173" s="102">
        <f t="array" aca="1" ref="AD173" ca="1">SUM(IF(AD$113:OFFSET(AD164,-1,0)&gt;0,IF(SUBTOTAL(109,OFFSET(AD$113:OFFSET(AD164,-1,0),ROW(AD$113:OFFSET(AD164,-1,0))-MIN(ROW(AD$113:OFFSET(AD164,-1,0))),0,1))&gt;0,AD$113:OFFSET(AD164,-1,0))))</f>
        <v>3130836.933699999</v>
      </c>
      <c r="AE173" s="124"/>
      <c r="AF173" s="102"/>
      <c r="AG173" s="102"/>
      <c r="AH173" s="102">
        <f t="array" aca="1" ref="AH173" ca="1">SUM(IF(AH$113:OFFSET(AH164,-1,0)&gt;0,IF(SUBTOTAL(109,OFFSET(AH$113:OFFSET(AH164,-1,0),ROW(AH$113:OFFSET(AH164,-1,0))-MIN(ROW(AH$113:OFFSET(AH164,-1,0))),0,1))&gt;0,AH$113:OFFSET(AH164,-1,0))))</f>
        <v>4703089.3028999865</v>
      </c>
      <c r="AI173" s="124"/>
      <c r="AJ173" s="102"/>
      <c r="AK173" s="102"/>
      <c r="AL173" s="102">
        <f t="array" aca="1" ref="AL173" ca="1">SUM(IF(AL$113:OFFSET(AL164,-1,0)&gt;0,IF(SUBTOTAL(109,OFFSET(AL$113:OFFSET(AL164,-1,0),ROW(AL$113:OFFSET(AL164,-1,0))-MIN(ROW(AL$113:OFFSET(AL164,-1,0))),0,1))&gt;0,AL$113:OFFSET(AL164,-1,0))))</f>
        <v>4703089.3028999865</v>
      </c>
      <c r="AM173" s="124"/>
      <c r="AN173" s="102"/>
      <c r="AO173" s="102"/>
      <c r="AP173" s="102">
        <f t="array" aca="1" ref="AP173" ca="1">SUM(IF(AP$113:OFFSET(AP164,-1,0)&gt;0,IF(SUBTOTAL(109,OFFSET(AP$113:OFFSET(AP164,-1,0),ROW(AP$113:OFFSET(AP164,-1,0))-MIN(ROW(AP$113:OFFSET(AP164,-1,0))),0,1))&gt;0,AP$113:OFFSET(AP164,-1,0))))</f>
        <v>16565288.509300038</v>
      </c>
      <c r="AQ173" s="124"/>
      <c r="AR173" s="102"/>
      <c r="AS173" s="102"/>
      <c r="AT173" s="102">
        <f t="array" aca="1" ref="AT173" ca="1">SUM(IF(AT$113:OFFSET(AT164,-1,0)&gt;0,IF(SUBTOTAL(109,OFFSET(AT$113:OFFSET(AT164,-1,0),ROW(AT$113:OFFSET(AT164,-1,0))-MIN(ROW(AT$113:OFFSET(AT164,-1,0))),0,1))&gt;0,AT$113:OFFSET(AT164,-1,0))))</f>
        <v>16565288.509300038</v>
      </c>
      <c r="AU173" s="124"/>
      <c r="AV173" s="102"/>
      <c r="AW173" s="102"/>
      <c r="AX173" s="102">
        <f t="array" aca="1" ref="AX173" ca="1">SUM(IF(AX$113:OFFSET(AX164,-1,0)&gt;0,IF(SUBTOTAL(109,OFFSET(AX$113:OFFSET(AX164,-1,0),ROW(AX$113:OFFSET(AX164,-1,0))-MIN(ROW(AX$113:OFFSET(AX164,-1,0))),0,1))&gt;0,AX$113:OFFSET(AX164,-1,0))))</f>
        <v>22032898.498099968</v>
      </c>
      <c r="AY173" s="124"/>
      <c r="AZ173" s="102"/>
      <c r="BA173" s="102"/>
      <c r="BB173" s="102">
        <f t="array" aca="1" ref="BB173" ca="1">SUM(IF(BB$113:OFFSET(BB164,-1,0)&gt;0,IF(SUBTOTAL(109,OFFSET(BB$113:OFFSET(BB164,-1,0),ROW(BB$113:OFFSET(BB164,-1,0))-MIN(ROW(BB$113:OFFSET(BB164,-1,0))),0,1))&gt;0,BB$113:OFFSET(BB164,-1,0))))</f>
        <v>22032898.498099968</v>
      </c>
      <c r="BC173" s="124"/>
      <c r="BD173" s="102"/>
      <c r="BE173" s="102"/>
      <c r="BF173" s="102">
        <f t="array" aca="1" ref="BF173" ca="1">SUM(IF(BF$113:OFFSET(BF164,-1,0)&gt;0,IF(SUBTOTAL(109,OFFSET(BF$113:OFFSET(BF164,-1,0),ROW(BF$113:OFFSET(BF164,-1,0))-MIN(ROW(BF$113:OFFSET(BF164,-1,0))),0,1))&gt;0,BF$113:OFFSET(BF164,-1,0))))</f>
        <v>21304339.454900011</v>
      </c>
      <c r="BG173" s="124"/>
      <c r="BH173" s="102"/>
      <c r="BI173" s="102"/>
      <c r="BJ173" s="102">
        <f t="array" aca="1" ref="BJ173" ca="1">SUM(IF(BJ$113:OFFSET(BJ164,-1,0)&gt;0,IF(SUBTOTAL(109,OFFSET(BJ$113:OFFSET(BJ164,-1,0),ROW(BJ$113:OFFSET(BJ164,-1,0))-MIN(ROW(BJ$113:OFFSET(BJ164,-1,0))),0,1))&gt;0,BJ$113:OFFSET(BJ164,-1,0))))</f>
        <v>21304339.454900011</v>
      </c>
      <c r="BK173" s="124"/>
      <c r="BL173" s="102"/>
      <c r="BM173" s="102"/>
      <c r="BN173" s="102">
        <f t="array" aca="1" ref="BN173" ca="1">SUM(IF(BN$113:OFFSET(BN164,-1,0)&gt;0,IF(SUBTOTAL(109,OFFSET(BN$113:OFFSET(BN164,-1,0),ROW(BN$113:OFFSET(BN164,-1,0))-MIN(ROW(BN$113:OFFSET(BN164,-1,0))),0,1))&gt;0,BN$113:OFFSET(BN164,-1,0))))</f>
        <v>21304339.454900004</v>
      </c>
      <c r="BO173" s="124"/>
      <c r="BP173" s="102"/>
      <c r="BQ173" s="102"/>
      <c r="BR173" s="102">
        <f t="array" aca="1" ref="BR173" ca="1">SUM(IF(BR$113:OFFSET(BR164,-1,0)&gt;0,IF(SUBTOTAL(109,OFFSET(BR$113:OFFSET(BR164,-1,0),ROW(BR$113:OFFSET(BR164,-1,0))-MIN(ROW(BR$113:OFFSET(BR164,-1,0))),0,1))&gt;0,BR$113:OFFSET(BR164,-1,0))))</f>
        <v>21304339.454900004</v>
      </c>
      <c r="BS173" s="124"/>
    </row>
    <row r="174" spans="1:72" ht="13.8" hidden="1" outlineLevel="1" thickBot="1" x14ac:dyDescent="0.3">
      <c r="A174" s="122"/>
      <c r="B174" s="122"/>
      <c r="C174" s="122"/>
      <c r="D174" s="112"/>
      <c r="E174" s="112"/>
      <c r="F174" s="112" t="str">
        <f>$F$105</f>
        <v>Χ▲ Average Increased</v>
      </c>
      <c r="G174" s="113" t="s">
        <v>36</v>
      </c>
      <c r="H174" s="112"/>
      <c r="I174" s="112"/>
      <c r="J174" s="112">
        <f ca="1">IF(J172=0,0,J173/J172)</f>
        <v>229375.84873333332</v>
      </c>
      <c r="K174" s="125"/>
      <c r="L174" s="112"/>
      <c r="M174" s="112"/>
      <c r="N174" s="112">
        <f ca="1">IF(N172=0,0,N173/N172)</f>
        <v>0</v>
      </c>
      <c r="O174" s="125"/>
      <c r="P174" s="112"/>
      <c r="Q174" s="112"/>
      <c r="R174" s="112">
        <f t="shared" ref="R174" ca="1" si="360">IF(R172=0,0,R173/R172)</f>
        <v>1315541.1183000002</v>
      </c>
      <c r="S174" s="125"/>
      <c r="T174" s="112"/>
      <c r="U174" s="112"/>
      <c r="V174" s="112">
        <f t="shared" ref="V174" ca="1" si="361">IF(V172=0,0,V173/V172)</f>
        <v>0</v>
      </c>
      <c r="W174" s="125"/>
      <c r="X174" s="112"/>
      <c r="Y174" s="112"/>
      <c r="Z174" s="112">
        <f t="shared" ref="Z174" ca="1" si="362">IF(Z172=0,0,Z173/Z172)</f>
        <v>1043612.311233333</v>
      </c>
      <c r="AA174" s="125"/>
      <c r="AB174" s="112"/>
      <c r="AC174" s="112"/>
      <c r="AD174" s="112">
        <f t="shared" ref="AD174" ca="1" si="363">IF(AD172=0,0,AD173/AD172)</f>
        <v>1043612.311233333</v>
      </c>
      <c r="AE174" s="125"/>
      <c r="AF174" s="112"/>
      <c r="AG174" s="112"/>
      <c r="AH174" s="112">
        <f t="shared" ref="AH174" ca="1" si="364">IF(AH172=0,0,AH173/AH172)</f>
        <v>1175772.3257249966</v>
      </c>
      <c r="AI174" s="125"/>
      <c r="AJ174" s="112"/>
      <c r="AK174" s="112"/>
      <c r="AL174" s="112">
        <f t="shared" ref="AL174" ca="1" si="365">IF(AL172=0,0,AL173/AL172)</f>
        <v>1175772.3257249966</v>
      </c>
      <c r="AM174" s="125"/>
      <c r="AN174" s="112"/>
      <c r="AO174" s="112"/>
      <c r="AP174" s="112">
        <f t="shared" ref="AP174" ca="1" si="366">IF(AP172=0,0,AP173/AP172)</f>
        <v>3313057.7018600078</v>
      </c>
      <c r="AQ174" s="125"/>
      <c r="AR174" s="112"/>
      <c r="AS174" s="112"/>
      <c r="AT174" s="112">
        <f t="shared" ref="AT174" ca="1" si="367">IF(AT172=0,0,AT173/AT172)</f>
        <v>3313057.7018600078</v>
      </c>
      <c r="AU174" s="125"/>
      <c r="AV174" s="112"/>
      <c r="AW174" s="112"/>
      <c r="AX174" s="112">
        <f t="shared" ref="AX174" ca="1" si="368">IF(AX172=0,0,AX173/AX172)</f>
        <v>5508224.624524992</v>
      </c>
      <c r="AY174" s="125"/>
      <c r="AZ174" s="112"/>
      <c r="BA174" s="112"/>
      <c r="BB174" s="112">
        <f t="shared" ref="BB174" ca="1" si="369">IF(BB172=0,0,BB173/BB172)</f>
        <v>5508224.624524992</v>
      </c>
      <c r="BC174" s="125"/>
      <c r="BD174" s="112"/>
      <c r="BE174" s="112"/>
      <c r="BF174" s="112">
        <f t="shared" ref="BF174" ca="1" si="370">IF(BF172=0,0,BF173/BF172)</f>
        <v>5326084.8637250029</v>
      </c>
      <c r="BG174" s="125"/>
      <c r="BH174" s="112"/>
      <c r="BI174" s="112"/>
      <c r="BJ174" s="112">
        <f t="shared" ref="BJ174" ca="1" si="371">IF(BJ172=0,0,BJ173/BJ172)</f>
        <v>5326084.8637250029</v>
      </c>
      <c r="BK174" s="125"/>
      <c r="BL174" s="112"/>
      <c r="BM174" s="112"/>
      <c r="BN174" s="112">
        <f t="shared" ref="BN174" ca="1" si="372">IF(BN172=0,0,BN173/BN172)</f>
        <v>5326084.863725001</v>
      </c>
      <c r="BO174" s="125"/>
      <c r="BP174" s="112"/>
      <c r="BQ174" s="112"/>
      <c r="BR174" s="112">
        <f t="shared" ref="BR174" ca="1" si="373">IF(BR172=0,0,BR173/BR172)</f>
        <v>5326084.863725001</v>
      </c>
      <c r="BS174" s="125"/>
    </row>
    <row r="175" spans="1:72" hidden="1" outlineLevel="1" x14ac:dyDescent="0.25">
      <c r="A175" s="122"/>
      <c r="B175" s="122"/>
      <c r="C175" s="122"/>
      <c r="D175" s="99"/>
      <c r="E175" s="99"/>
      <c r="F175" s="99" t="str">
        <f>$F$106</f>
        <v>#▼ Number Decreased</v>
      </c>
      <c r="G175" s="100" t="s">
        <v>36</v>
      </c>
      <c r="H175" s="99"/>
      <c r="I175" s="99"/>
      <c r="J175" s="99">
        <f t="array" aca="1" ref="J175" ca="1">COUNT(IF(J$113:OFFSET(J164,-1,0)&lt;0,IF(SUBTOTAL(109,OFFSET(J$113:OFFSET(J164,-1,0),ROW(J$113:OFFSET(J164,-1,0))-MIN(ROW(J$113:OFFSET(J164,-1,0))),0,1))&lt;0,J$113:OFFSET(J164,-1,0))))</f>
        <v>11</v>
      </c>
      <c r="K175" s="123"/>
      <c r="L175" s="99"/>
      <c r="M175" s="99"/>
      <c r="N175" s="99">
        <f t="array" aca="1" ref="N175" ca="1">COUNT(IF(N$113:OFFSET(N164,-1,0)&lt;0,IF(SUBTOTAL(109,OFFSET(N$113:OFFSET(N164,-1,0),ROW(N$113:OFFSET(N164,-1,0))-MIN(ROW(N$113:OFFSET(N164,-1,0))),0,1))&lt;0,N$113:OFFSET(N164,-1,0))))</f>
        <v>0</v>
      </c>
      <c r="O175" s="123"/>
      <c r="P175" s="99"/>
      <c r="Q175" s="99"/>
      <c r="R175" s="99">
        <f t="array" aca="1" ref="R175" ca="1">COUNT(IF(R$113:OFFSET(R164,-1,0)&lt;0,IF(SUBTOTAL(109,OFFSET(R$113:OFFSET(R164,-1,0),ROW(R$113:OFFSET(R164,-1,0))-MIN(ROW(R$113:OFFSET(R164,-1,0))),0,1))&lt;0,R$113:OFFSET(R164,-1,0))))</f>
        <v>13</v>
      </c>
      <c r="S175" s="123"/>
      <c r="T175" s="99"/>
      <c r="U175" s="99"/>
      <c r="V175" s="99">
        <f t="array" aca="1" ref="V175" ca="1">COUNT(IF(V$113:OFFSET(V164,-1,0)&lt;0,IF(SUBTOTAL(109,OFFSET(V$113:OFFSET(V164,-1,0),ROW(V$113:OFFSET(V164,-1,0))-MIN(ROW(V$113:OFFSET(V164,-1,0))),0,1))&lt;0,V$113:OFFSET(V164,-1,0))))</f>
        <v>4</v>
      </c>
      <c r="W175" s="123"/>
      <c r="X175" s="99"/>
      <c r="Y175" s="99"/>
      <c r="Z175" s="99">
        <f t="array" aca="1" ref="Z175" ca="1">COUNT(IF(Z$113:OFFSET(Z164,-1,0)&lt;0,IF(SUBTOTAL(109,OFFSET(Z$113:OFFSET(Z164,-1,0),ROW(Z$113:OFFSET(Z164,-1,0))-MIN(ROW(Z$113:OFFSET(Z164,-1,0))),0,1))&lt;0,Z$113:OFFSET(Z164,-1,0))))</f>
        <v>11</v>
      </c>
      <c r="AA175" s="123"/>
      <c r="AB175" s="99"/>
      <c r="AC175" s="99"/>
      <c r="AD175" s="99">
        <f t="array" aca="1" ref="AD175" ca="1">COUNT(IF(AD$113:OFFSET(AD164,-1,0)&lt;0,IF(SUBTOTAL(109,OFFSET(AD$113:OFFSET(AD164,-1,0),ROW(AD$113:OFFSET(AD164,-1,0))-MIN(ROW(AD$113:OFFSET(AD164,-1,0))),0,1))&lt;0,AD$113:OFFSET(AD164,-1,0))))</f>
        <v>11</v>
      </c>
      <c r="AE175" s="123"/>
      <c r="AF175" s="99"/>
      <c r="AG175" s="99"/>
      <c r="AH175" s="99">
        <f t="array" aca="1" ref="AH175" ca="1">COUNT(IF(AH$113:OFFSET(AH164,-1,0)&lt;0,IF(SUBTOTAL(109,OFFSET(AH$113:OFFSET(AH164,-1,0),ROW(AH$113:OFFSET(AH164,-1,0))-MIN(ROW(AH$113:OFFSET(AH164,-1,0))),0,1))&lt;0,AH$113:OFFSET(AH164,-1,0))))</f>
        <v>10</v>
      </c>
      <c r="AI175" s="123"/>
      <c r="AJ175" s="99"/>
      <c r="AK175" s="99"/>
      <c r="AL175" s="99">
        <f t="array" aca="1" ref="AL175" ca="1">COUNT(IF(AL$113:OFFSET(AL164,-1,0)&lt;0,IF(SUBTOTAL(109,OFFSET(AL$113:OFFSET(AL164,-1,0),ROW(AL$113:OFFSET(AL164,-1,0))-MIN(ROW(AL$113:OFFSET(AL164,-1,0))),0,1))&lt;0,AL$113:OFFSET(AL164,-1,0))))</f>
        <v>10</v>
      </c>
      <c r="AM175" s="123"/>
      <c r="AN175" s="99"/>
      <c r="AO175" s="99"/>
      <c r="AP175" s="99">
        <f t="array" aca="1" ref="AP175" ca="1">COUNT(IF(AP$113:OFFSET(AP164,-1,0)&lt;0,IF(SUBTOTAL(109,OFFSET(AP$113:OFFSET(AP164,-1,0),ROW(AP$113:OFFSET(AP164,-1,0))-MIN(ROW(AP$113:OFFSET(AP164,-1,0))),0,1))&lt;0,AP$113:OFFSET(AP164,-1,0))))</f>
        <v>9</v>
      </c>
      <c r="AQ175" s="123"/>
      <c r="AR175" s="99"/>
      <c r="AS175" s="99"/>
      <c r="AT175" s="99">
        <f t="array" aca="1" ref="AT175" ca="1">COUNT(IF(AT$113:OFFSET(AT164,-1,0)&lt;0,IF(SUBTOTAL(109,OFFSET(AT$113:OFFSET(AT164,-1,0),ROW(AT$113:OFFSET(AT164,-1,0))-MIN(ROW(AT$113:OFFSET(AT164,-1,0))),0,1))&lt;0,AT$113:OFFSET(AT164,-1,0))))</f>
        <v>9</v>
      </c>
      <c r="AU175" s="123"/>
      <c r="AV175" s="99"/>
      <c r="AW175" s="99"/>
      <c r="AX175" s="99">
        <f t="array" aca="1" ref="AX175" ca="1">COUNT(IF(AX$113:OFFSET(AX164,-1,0)&lt;0,IF(SUBTOTAL(109,OFFSET(AX$113:OFFSET(AX164,-1,0),ROW(AX$113:OFFSET(AX164,-1,0))-MIN(ROW(AX$113:OFFSET(AX164,-1,0))),0,1))&lt;0,AX$113:OFFSET(AX164,-1,0))))</f>
        <v>10</v>
      </c>
      <c r="AY175" s="123"/>
      <c r="AZ175" s="99"/>
      <c r="BA175" s="99"/>
      <c r="BB175" s="99">
        <f t="array" aca="1" ref="BB175" ca="1">COUNT(IF(BB$113:OFFSET(BB164,-1,0)&lt;0,IF(SUBTOTAL(109,OFFSET(BB$113:OFFSET(BB164,-1,0),ROW(BB$113:OFFSET(BB164,-1,0))-MIN(ROW(BB$113:OFFSET(BB164,-1,0))),0,1))&lt;0,BB$113:OFFSET(BB164,-1,0))))</f>
        <v>10</v>
      </c>
      <c r="BC175" s="123"/>
      <c r="BD175" s="99"/>
      <c r="BE175" s="99"/>
      <c r="BF175" s="99">
        <f t="array" aca="1" ref="BF175" ca="1">COUNT(IF(BF$113:OFFSET(BF164,-1,0)&lt;0,IF(SUBTOTAL(109,OFFSET(BF$113:OFFSET(BF164,-1,0),ROW(BF$113:OFFSET(BF164,-1,0))-MIN(ROW(BF$113:OFFSET(BF164,-1,0))),0,1))&lt;0,BF$113:OFFSET(BF164,-1,0))))</f>
        <v>10</v>
      </c>
      <c r="BG175" s="123"/>
      <c r="BH175" s="99"/>
      <c r="BI175" s="99"/>
      <c r="BJ175" s="99">
        <f t="array" aca="1" ref="BJ175" ca="1">COUNT(IF(BJ$113:OFFSET(BJ164,-1,0)&lt;0,IF(SUBTOTAL(109,OFFSET(BJ$113:OFFSET(BJ164,-1,0),ROW(BJ$113:OFFSET(BJ164,-1,0))-MIN(ROW(BJ$113:OFFSET(BJ164,-1,0))),0,1))&lt;0,BJ$113:OFFSET(BJ164,-1,0))))</f>
        <v>10</v>
      </c>
      <c r="BK175" s="123"/>
      <c r="BL175" s="99"/>
      <c r="BM175" s="99"/>
      <c r="BN175" s="99">
        <f t="array" aca="1" ref="BN175" ca="1">COUNT(IF(BN$113:OFFSET(BN164,-1,0)&lt;0,IF(SUBTOTAL(109,OFFSET(BN$113:OFFSET(BN164,-1,0),ROW(BN$113:OFFSET(BN164,-1,0))-MIN(ROW(BN$113:OFFSET(BN164,-1,0))),0,1))&lt;0,BN$113:OFFSET(BN164,-1,0))))</f>
        <v>10</v>
      </c>
      <c r="BO175" s="123"/>
      <c r="BP175" s="99"/>
      <c r="BQ175" s="99"/>
      <c r="BR175" s="99">
        <f t="array" aca="1" ref="BR175" ca="1">COUNT(IF(BR$113:OFFSET(BR164,-1,0)&lt;0,IF(SUBTOTAL(109,OFFSET(BR$113:OFFSET(BR164,-1,0),ROW(BR$113:OFFSET(BR164,-1,0))-MIN(ROW(BR$113:OFFSET(BR164,-1,0))),0,1))&lt;0,BR$113:OFFSET(BR164,-1,0))))</f>
        <v>10</v>
      </c>
      <c r="BS175" s="123"/>
    </row>
    <row r="176" spans="1:72" hidden="1" outlineLevel="1" x14ac:dyDescent="0.25">
      <c r="A176" s="122"/>
      <c r="B176" s="122"/>
      <c r="C176" s="122"/>
      <c r="D176" s="102"/>
      <c r="E176" s="102"/>
      <c r="F176" s="102" t="str">
        <f>$F$107</f>
        <v>Σ▼ Total Decreased</v>
      </c>
      <c r="G176" s="103" t="s">
        <v>36</v>
      </c>
      <c r="H176" s="102"/>
      <c r="I176" s="102"/>
      <c r="J176" s="102">
        <f t="array" aca="1" ref="J176" ca="1">SUM(IF(J$113:OFFSET(J164,-1,0)&lt;0,IF(SUBTOTAL(109,OFFSET(J$113:OFFSET(J164,-1,0),ROW(J$113:OFFSET(J164,-1,0))-MIN(ROW(J$113:OFFSET(J164,-1,0))),0,1))&lt;0,J$113:OFFSET(J164,-1,0))))</f>
        <v>-14487289.989200003</v>
      </c>
      <c r="K176" s="124"/>
      <c r="L176" s="102"/>
      <c r="M176" s="102"/>
      <c r="N176" s="102">
        <f t="array" aca="1" ref="N176" ca="1">SUM(IF(N$113:OFFSET(N164,-1,0)&lt;0,IF(SUBTOTAL(109,OFFSET(N$113:OFFSET(N164,-1,0),ROW(N$113:OFFSET(N164,-1,0))-MIN(ROW(N$113:OFFSET(N164,-1,0))),0,1))&lt;0,N$113:OFFSET(N164,-1,0))))</f>
        <v>0</v>
      </c>
      <c r="O176" s="124"/>
      <c r="P176" s="102"/>
      <c r="Q176" s="102"/>
      <c r="R176" s="102">
        <f t="array" aca="1" ref="R176" ca="1">SUM(IF(R$113:OFFSET(R164,-1,0)&lt;0,IF(SUBTOTAL(109,OFFSET(R$113:OFFSET(R164,-1,0),ROW(R$113:OFFSET(R164,-1,0))-MIN(ROW(R$113:OFFSET(R164,-1,0))),0,1))&lt;0,R$113:OFFSET(R164,-1,0))))</f>
        <v>-26850298.796399988</v>
      </c>
      <c r="S176" s="124"/>
      <c r="T176" s="102"/>
      <c r="U176" s="102"/>
      <c r="V176" s="102">
        <f t="array" aca="1" ref="V176" ca="1">SUM(IF(V$113:OFFSET(V164,-1,0)&lt;0,IF(SUBTOTAL(109,OFFSET(V$113:OFFSET(V164,-1,0),ROW(V$113:OFFSET(V164,-1,0))-MIN(ROW(V$113:OFFSET(V164,-1,0))),0,1))&lt;0,V$113:OFFSET(V164,-1,0))))</f>
        <v>-6390574.0620999988</v>
      </c>
      <c r="W176" s="124"/>
      <c r="X176" s="102"/>
      <c r="Y176" s="102"/>
      <c r="Z176" s="102">
        <f t="array" aca="1" ref="Z176" ca="1">SUM(IF(Z$113:OFFSET(Z164,-1,0)&lt;0,IF(SUBTOTAL(109,OFFSET(Z$113:OFFSET(Z164,-1,0),ROW(Z$113:OFFSET(Z164,-1,0))-MIN(ROW(Z$113:OFFSET(Z164,-1,0))),0,1))&lt;0,Z$113:OFFSET(Z164,-1,0))))</f>
        <v>-43754814.142499983</v>
      </c>
      <c r="AA176" s="124"/>
      <c r="AB176" s="102"/>
      <c r="AC176" s="102"/>
      <c r="AD176" s="102">
        <f t="array" aca="1" ref="AD176" ca="1">SUM(IF(AD$113:OFFSET(AD164,-1,0)&lt;0,IF(SUBTOTAL(109,OFFSET(AD$113:OFFSET(AD164,-1,0),ROW(AD$113:OFFSET(AD164,-1,0))-MIN(ROW(AD$113:OFFSET(AD164,-1,0))),0,1))&lt;0,AD$113:OFFSET(AD164,-1,0))))</f>
        <v>-43754814.142499983</v>
      </c>
      <c r="AE176" s="124"/>
      <c r="AF176" s="102"/>
      <c r="AG176" s="102"/>
      <c r="AH176" s="102">
        <f t="array" aca="1" ref="AH176" ca="1">SUM(IF(AH$113:OFFSET(AH164,-1,0)&lt;0,IF(SUBTOTAL(109,OFFSET(AH$113:OFFSET(AH164,-1,0),ROW(AH$113:OFFSET(AH164,-1,0))-MIN(ROW(AH$113:OFFSET(AH164,-1,0))),0,1))&lt;0,AH$113:OFFSET(AH164,-1,0))))</f>
        <v>-58203415.086100012</v>
      </c>
      <c r="AI176" s="124"/>
      <c r="AJ176" s="102"/>
      <c r="AK176" s="102"/>
      <c r="AL176" s="102">
        <f t="array" aca="1" ref="AL176" ca="1">SUM(IF(AL$113:OFFSET(AL164,-1,0)&lt;0,IF(SUBTOTAL(109,OFFSET(AL$113:OFFSET(AL164,-1,0),ROW(AL$113:OFFSET(AL164,-1,0))-MIN(ROW(AL$113:OFFSET(AL164,-1,0))),0,1))&lt;0,AL$113:OFFSET(AL164,-1,0))))</f>
        <v>-58203415.086100012</v>
      </c>
      <c r="AM176" s="124"/>
      <c r="AN176" s="102"/>
      <c r="AO176" s="102"/>
      <c r="AP176" s="102">
        <f t="array" aca="1" ref="AP176" ca="1">SUM(IF(AP$113:OFFSET(AP164,-1,0)&lt;0,IF(SUBTOTAL(109,OFFSET(AP$113:OFFSET(AP164,-1,0),ROW(AP$113:OFFSET(AP164,-1,0))-MIN(ROW(AP$113:OFFSET(AP164,-1,0))),0,1))&lt;0,AP$113:OFFSET(AP164,-1,0))))</f>
        <v>-68184484.67750001</v>
      </c>
      <c r="AQ176" s="124"/>
      <c r="AR176" s="102"/>
      <c r="AS176" s="102"/>
      <c r="AT176" s="102">
        <f t="array" aca="1" ref="AT176" ca="1">SUM(IF(AT$113:OFFSET(AT164,-1,0)&lt;0,IF(SUBTOTAL(109,OFFSET(AT$113:OFFSET(AT164,-1,0),ROW(AT$113:OFFSET(AT164,-1,0))-MIN(ROW(AT$113:OFFSET(AT164,-1,0))),0,1))&lt;0,AT$113:OFFSET(AT164,-1,0))))</f>
        <v>-68184484.67750001</v>
      </c>
      <c r="AU176" s="124"/>
      <c r="AV176" s="102"/>
      <c r="AW176" s="102"/>
      <c r="AX176" s="102">
        <f t="array" aca="1" ref="AX176" ca="1">SUM(IF(AX$113:OFFSET(AX164,-1,0)&lt;0,IF(SUBTOTAL(109,OFFSET(AX$113:OFFSET(AX164,-1,0),ROW(AX$113:OFFSET(AX164,-1,0))-MIN(ROW(AX$113:OFFSET(AX164,-1,0))),0,1))&lt;0,AX$113:OFFSET(AX164,-1,0))))</f>
        <v>-73981195.25910005</v>
      </c>
      <c r="AY176" s="124"/>
      <c r="AZ176" s="102"/>
      <c r="BA176" s="102"/>
      <c r="BB176" s="102">
        <f t="array" aca="1" ref="BB176" ca="1">SUM(IF(BB$113:OFFSET(BB164,-1,0)&lt;0,IF(SUBTOTAL(109,OFFSET(BB$113:OFFSET(BB164,-1,0),ROW(BB$113:OFFSET(BB164,-1,0))-MIN(ROW(BB$113:OFFSET(BB164,-1,0))),0,1))&lt;0,BB$113:OFFSET(BB164,-1,0))))</f>
        <v>-73981195.25910005</v>
      </c>
      <c r="BC176" s="124"/>
      <c r="BD176" s="102"/>
      <c r="BE176" s="102"/>
      <c r="BF176" s="102">
        <f t="array" aca="1" ref="BF176" ca="1">SUM(IF(BF$113:OFFSET(BF164,-1,0)&lt;0,IF(SUBTOTAL(109,OFFSET(BF$113:OFFSET(BF164,-1,0),ROW(BF$113:OFFSET(BF164,-1,0))-MIN(ROW(BF$113:OFFSET(BF164,-1,0))),0,1))&lt;0,BF$113:OFFSET(BF164,-1,0))))</f>
        <v>-75397915.601899996</v>
      </c>
      <c r="BG176" s="124"/>
      <c r="BH176" s="102"/>
      <c r="BI176" s="102"/>
      <c r="BJ176" s="102">
        <f t="array" aca="1" ref="BJ176" ca="1">SUM(IF(BJ$113:OFFSET(BJ164,-1,0)&lt;0,IF(SUBTOTAL(109,OFFSET(BJ$113:OFFSET(BJ164,-1,0),ROW(BJ$113:OFFSET(BJ164,-1,0))-MIN(ROW(BJ$113:OFFSET(BJ164,-1,0))),0,1))&lt;0,BJ$113:OFFSET(BJ164,-1,0))))</f>
        <v>-75397915.601899996</v>
      </c>
      <c r="BK176" s="124"/>
      <c r="BL176" s="102"/>
      <c r="BM176" s="102"/>
      <c r="BN176" s="102">
        <f t="array" aca="1" ref="BN176" ca="1">SUM(IF(BN$113:OFFSET(BN164,-1,0)&lt;0,IF(SUBTOTAL(109,OFFSET(BN$113:OFFSET(BN164,-1,0),ROW(BN$113:OFFSET(BN164,-1,0))-MIN(ROW(BN$113:OFFSET(BN164,-1,0))),0,1))&lt;0,BN$113:OFFSET(BN164,-1,0))))</f>
        <v>-75397915.601900071</v>
      </c>
      <c r="BO176" s="124"/>
      <c r="BP176" s="102"/>
      <c r="BQ176" s="102"/>
      <c r="BR176" s="102">
        <f t="array" aca="1" ref="BR176" ca="1">SUM(IF(BR$113:OFFSET(BR164,-1,0)&lt;0,IF(SUBTOTAL(109,OFFSET(BR$113:OFFSET(BR164,-1,0),ROW(BR$113:OFFSET(BR164,-1,0))-MIN(ROW(BR$113:OFFSET(BR164,-1,0))),0,1))&lt;0,BR$113:OFFSET(BR164,-1,0))))</f>
        <v>-75397915.601900071</v>
      </c>
      <c r="BS176" s="124"/>
    </row>
    <row r="177" spans="1:72" ht="13.8" hidden="1" outlineLevel="1" thickBot="1" x14ac:dyDescent="0.3">
      <c r="A177" s="122"/>
      <c r="B177" s="122"/>
      <c r="C177" s="122"/>
      <c r="D177" s="112"/>
      <c r="E177" s="112"/>
      <c r="F177" s="112" t="str">
        <f>$F$108</f>
        <v>Χ▼ Average Decreased</v>
      </c>
      <c r="G177" s="113" t="s">
        <v>36</v>
      </c>
      <c r="H177" s="112"/>
      <c r="I177" s="112"/>
      <c r="J177" s="112">
        <f ca="1">IF(J175=0,0,J176/J175)</f>
        <v>-1317026.3626545458</v>
      </c>
      <c r="K177" s="125"/>
      <c r="L177" s="112"/>
      <c r="M177" s="112"/>
      <c r="N177" s="112">
        <f ca="1">IF(N175=0,0,N176/N175)</f>
        <v>0</v>
      </c>
      <c r="O177" s="125"/>
      <c r="P177" s="112"/>
      <c r="Q177" s="112"/>
      <c r="R177" s="112">
        <f t="shared" ref="R177" ca="1" si="374">IF(R175=0,0,R176/R175)</f>
        <v>-2065407.599723076</v>
      </c>
      <c r="S177" s="125"/>
      <c r="T177" s="112"/>
      <c r="U177" s="112"/>
      <c r="V177" s="112">
        <f t="shared" ref="V177" ca="1" si="375">IF(V175=0,0,V176/V175)</f>
        <v>-1597643.5155249997</v>
      </c>
      <c r="W177" s="125"/>
      <c r="X177" s="112"/>
      <c r="Y177" s="112"/>
      <c r="Z177" s="112">
        <f t="shared" ref="Z177" ca="1" si="376">IF(Z175=0,0,Z176/Z175)</f>
        <v>-3977710.3765909076</v>
      </c>
      <c r="AA177" s="125"/>
      <c r="AB177" s="112"/>
      <c r="AC177" s="112"/>
      <c r="AD177" s="112">
        <f t="shared" ref="AD177" ca="1" si="377">IF(AD175=0,0,AD176/AD175)</f>
        <v>-3977710.3765909076</v>
      </c>
      <c r="AE177" s="125"/>
      <c r="AF177" s="112"/>
      <c r="AG177" s="112"/>
      <c r="AH177" s="112">
        <f t="shared" ref="AH177" ca="1" si="378">IF(AH175=0,0,AH176/AH175)</f>
        <v>-5820341.5086100008</v>
      </c>
      <c r="AI177" s="125"/>
      <c r="AJ177" s="112"/>
      <c r="AK177" s="112"/>
      <c r="AL177" s="112">
        <f t="shared" ref="AL177" ca="1" si="379">IF(AL175=0,0,AL176/AL175)</f>
        <v>-5820341.5086100008</v>
      </c>
      <c r="AM177" s="125"/>
      <c r="AN177" s="112"/>
      <c r="AO177" s="112"/>
      <c r="AP177" s="112">
        <f t="shared" ref="AP177" ca="1" si="380">IF(AP175=0,0,AP176/AP175)</f>
        <v>-7576053.8530555563</v>
      </c>
      <c r="AQ177" s="125"/>
      <c r="AR177" s="112"/>
      <c r="AS177" s="112"/>
      <c r="AT177" s="112">
        <f t="shared" ref="AT177" ca="1" si="381">IF(AT175=0,0,AT176/AT175)</f>
        <v>-7576053.8530555563</v>
      </c>
      <c r="AU177" s="125"/>
      <c r="AV177" s="112"/>
      <c r="AW177" s="112"/>
      <c r="AX177" s="112">
        <f t="shared" ref="AX177" ca="1" si="382">IF(AX175=0,0,AX176/AX175)</f>
        <v>-7398119.525910005</v>
      </c>
      <c r="AY177" s="125"/>
      <c r="AZ177" s="112"/>
      <c r="BA177" s="112"/>
      <c r="BB177" s="112">
        <f t="shared" ref="BB177" ca="1" si="383">IF(BB175=0,0,BB176/BB175)</f>
        <v>-7398119.525910005</v>
      </c>
      <c r="BC177" s="125"/>
      <c r="BD177" s="112"/>
      <c r="BE177" s="112"/>
      <c r="BF177" s="112">
        <f t="shared" ref="BF177" ca="1" si="384">IF(BF175=0,0,BF176/BF175)</f>
        <v>-7539791.5601899996</v>
      </c>
      <c r="BG177" s="125"/>
      <c r="BH177" s="112"/>
      <c r="BI177" s="112"/>
      <c r="BJ177" s="112">
        <f t="shared" ref="BJ177" ca="1" si="385">IF(BJ175=0,0,BJ176/BJ175)</f>
        <v>-7539791.5601899996</v>
      </c>
      <c r="BK177" s="125"/>
      <c r="BL177" s="112"/>
      <c r="BM177" s="112"/>
      <c r="BN177" s="112">
        <f t="shared" ref="BN177" ca="1" si="386">IF(BN175=0,0,BN176/BN175)</f>
        <v>-7539791.5601900071</v>
      </c>
      <c r="BO177" s="125"/>
      <c r="BP177" s="112"/>
      <c r="BQ177" s="112"/>
      <c r="BR177" s="112">
        <f t="shared" ref="BR177" ca="1" si="387">IF(BR175=0,0,BR176/BR175)</f>
        <v>-7539791.5601900071</v>
      </c>
      <c r="BS177" s="125"/>
    </row>
    <row r="178" spans="1:72" hidden="1" outlineLevel="1" x14ac:dyDescent="0.25">
      <c r="A178" s="122"/>
      <c r="B178" s="122"/>
      <c r="C178" s="122"/>
      <c r="D178" s="99"/>
      <c r="E178" s="99"/>
      <c r="F178" s="99" t="str">
        <f>$F$109</f>
        <v>#&gt;&lt; Number Unchanged</v>
      </c>
      <c r="G178" s="100" t="s">
        <v>36</v>
      </c>
      <c r="H178" s="99"/>
      <c r="I178" s="99"/>
      <c r="J178" s="99">
        <f t="array" aca="1" ref="J178" ca="1">COUNT(IF((J$113:OFFSET(J164,-1,0)=0)*(J$113:OFFSET(J164,-1,0)&lt;&gt;"")*(J164&lt;&gt;0),IF(SUBTOTAL(109,OFFSET(J$113:OFFSET(J164,-1,0),ROW(J$113:OFFSET(J164,-1,0))-MIN(ROW(J$113:OFFSET(J164,-1,0))),0,1))=0,J$113:OFFSET(J164,-1,0))))</f>
        <v>0</v>
      </c>
      <c r="K178" s="123"/>
      <c r="L178" s="99"/>
      <c r="M178" s="99"/>
      <c r="N178" s="99">
        <f t="array" aca="1" ref="N178" ca="1">COUNT(IF((N$113:OFFSET(N164,-1,0)=0)*(N$113:OFFSET(N164,-1,0)&lt;&gt;"")*(N164&lt;&gt;0),IF(SUBTOTAL(109,OFFSET(N$113:OFFSET(N164,-1,0),ROW(N$113:OFFSET(N164,-1,0))-MIN(ROW(N$113:OFFSET(N164,-1,0))),0,1))=0,N$113:OFFSET(N164,-1,0))))</f>
        <v>0</v>
      </c>
      <c r="O178" s="123"/>
      <c r="P178" s="99"/>
      <c r="Q178" s="99"/>
      <c r="R178" s="99">
        <f t="array" aca="1" ref="R178" ca="1">COUNT(IF((R$113:OFFSET(R164,-1,0)=0)*(R$113:OFFSET(R164,-1,0)&lt;&gt;"")*(R164&lt;&gt;0),IF(SUBTOTAL(109,OFFSET(R$113:OFFSET(R164,-1,0),ROW(R$113:OFFSET(R164,-1,0))-MIN(ROW(R$113:OFFSET(R164,-1,0))),0,1))=0,R$113:OFFSET(R164,-1,0))))</f>
        <v>0</v>
      </c>
      <c r="S178" s="123"/>
      <c r="T178" s="99"/>
      <c r="U178" s="99"/>
      <c r="V178" s="99">
        <f t="array" aca="1" ref="V178" ca="1">COUNT(IF((V$113:OFFSET(V164,-1,0)=0)*(V$113:OFFSET(V164,-1,0)&lt;&gt;"")*(V164&lt;&gt;0),IF(SUBTOTAL(109,OFFSET(V$113:OFFSET(V164,-1,0),ROW(V$113:OFFSET(V164,-1,0))-MIN(ROW(V$113:OFFSET(V164,-1,0))),0,1))=0,V$113:OFFSET(V164,-1,0))))</f>
        <v>10</v>
      </c>
      <c r="W178" s="123"/>
      <c r="X178" s="99"/>
      <c r="Y178" s="99"/>
      <c r="Z178" s="99">
        <f t="array" aca="1" ref="Z178" ca="1">COUNT(IF((Z$113:OFFSET(Z164,-1,0)=0)*(Z$113:OFFSET(Z164,-1,0)&lt;&gt;"")*(Z164&lt;&gt;0),IF(SUBTOTAL(109,OFFSET(Z$113:OFFSET(Z164,-1,0),ROW(Z$113:OFFSET(Z164,-1,0))-MIN(ROW(Z$113:OFFSET(Z164,-1,0))),0,1))=0,Z$113:OFFSET(Z164,-1,0))))</f>
        <v>0</v>
      </c>
      <c r="AA178" s="123"/>
      <c r="AB178" s="99"/>
      <c r="AC178" s="99"/>
      <c r="AD178" s="99">
        <f t="array" aca="1" ref="AD178" ca="1">COUNT(IF((AD$113:OFFSET(AD164,-1,0)=0)*(AD$113:OFFSET(AD164,-1,0)&lt;&gt;"")*(AD164&lt;&gt;0),IF(SUBTOTAL(109,OFFSET(AD$113:OFFSET(AD164,-1,0),ROW(AD$113:OFFSET(AD164,-1,0))-MIN(ROW(AD$113:OFFSET(AD164,-1,0))),0,1))=0,AD$113:OFFSET(AD164,-1,0))))</f>
        <v>0</v>
      </c>
      <c r="AE178" s="123"/>
      <c r="AF178" s="99"/>
      <c r="AG178" s="99"/>
      <c r="AH178" s="99">
        <f t="array" aca="1" ref="AH178" ca="1">COUNT(IF((AH$113:OFFSET(AH164,-1,0)=0)*(AH$113:OFFSET(AH164,-1,0)&lt;&gt;"")*(AH164&lt;&gt;0),IF(SUBTOTAL(109,OFFSET(AH$113:OFFSET(AH164,-1,0),ROW(AH$113:OFFSET(AH164,-1,0))-MIN(ROW(AH$113:OFFSET(AH164,-1,0))),0,1))=0,AH$113:OFFSET(AH164,-1,0))))</f>
        <v>0</v>
      </c>
      <c r="AI178" s="123"/>
      <c r="AJ178" s="99"/>
      <c r="AK178" s="99"/>
      <c r="AL178" s="99">
        <f t="array" aca="1" ref="AL178" ca="1">COUNT(IF((AL$113:OFFSET(AL164,-1,0)=0)*(AL$113:OFFSET(AL164,-1,0)&lt;&gt;"")*(AL164&lt;&gt;0),IF(SUBTOTAL(109,OFFSET(AL$113:OFFSET(AL164,-1,0),ROW(AL$113:OFFSET(AL164,-1,0))-MIN(ROW(AL$113:OFFSET(AL164,-1,0))),0,1))=0,AL$113:OFFSET(AL164,-1,0))))</f>
        <v>0</v>
      </c>
      <c r="AM178" s="123"/>
      <c r="AN178" s="99"/>
      <c r="AO178" s="99"/>
      <c r="AP178" s="99">
        <f t="array" aca="1" ref="AP178" ca="1">COUNT(IF((AP$113:OFFSET(AP164,-1,0)=0)*(AP$113:OFFSET(AP164,-1,0)&lt;&gt;"")*(AP164&lt;&gt;0),IF(SUBTOTAL(109,OFFSET(AP$113:OFFSET(AP164,-1,0),ROW(AP$113:OFFSET(AP164,-1,0))-MIN(ROW(AP$113:OFFSET(AP164,-1,0))),0,1))=0,AP$113:OFFSET(AP164,-1,0))))</f>
        <v>0</v>
      </c>
      <c r="AQ178" s="123"/>
      <c r="AR178" s="99"/>
      <c r="AS178" s="99"/>
      <c r="AT178" s="99">
        <f t="array" aca="1" ref="AT178" ca="1">COUNT(IF((AT$113:OFFSET(AT164,-1,0)=0)*(AT$113:OFFSET(AT164,-1,0)&lt;&gt;"")*(AT164&lt;&gt;0),IF(SUBTOTAL(109,OFFSET(AT$113:OFFSET(AT164,-1,0),ROW(AT$113:OFFSET(AT164,-1,0))-MIN(ROW(AT$113:OFFSET(AT164,-1,0))),0,1))=0,AT$113:OFFSET(AT164,-1,0))))</f>
        <v>0</v>
      </c>
      <c r="AU178" s="123"/>
      <c r="AV178" s="99"/>
      <c r="AW178" s="99"/>
      <c r="AX178" s="99">
        <f t="array" aca="1" ref="AX178" ca="1">COUNT(IF((AX$113:OFFSET(AX164,-1,0)=0)*(AX$113:OFFSET(AX164,-1,0)&lt;&gt;"")*(AX164&lt;&gt;0),IF(SUBTOTAL(109,OFFSET(AX$113:OFFSET(AX164,-1,0),ROW(AX$113:OFFSET(AX164,-1,0))-MIN(ROW(AX$113:OFFSET(AX164,-1,0))),0,1))=0,AX$113:OFFSET(AX164,-1,0))))</f>
        <v>0</v>
      </c>
      <c r="AY178" s="123"/>
      <c r="AZ178" s="99"/>
      <c r="BA178" s="99"/>
      <c r="BB178" s="99">
        <f t="array" aca="1" ref="BB178" ca="1">COUNT(IF((BB$113:OFFSET(BB164,-1,0)=0)*(BB$113:OFFSET(BB164,-1,0)&lt;&gt;"")*(BB164&lt;&gt;0),IF(SUBTOTAL(109,OFFSET(BB$113:OFFSET(BB164,-1,0),ROW(BB$113:OFFSET(BB164,-1,0))-MIN(ROW(BB$113:OFFSET(BB164,-1,0))),0,1))=0,BB$113:OFFSET(BB164,-1,0))))</f>
        <v>0</v>
      </c>
      <c r="BC178" s="123"/>
      <c r="BD178" s="99"/>
      <c r="BE178" s="99"/>
      <c r="BF178" s="99">
        <f t="array" aca="1" ref="BF178" ca="1">COUNT(IF((BF$113:OFFSET(BF164,-1,0)=0)*(BF$113:OFFSET(BF164,-1,0)&lt;&gt;"")*(BF164&lt;&gt;0),IF(SUBTOTAL(109,OFFSET(BF$113:OFFSET(BF164,-1,0),ROW(BF$113:OFFSET(BF164,-1,0))-MIN(ROW(BF$113:OFFSET(BF164,-1,0))),0,1))=0,BF$113:OFFSET(BF164,-1,0))))</f>
        <v>0</v>
      </c>
      <c r="BG178" s="123"/>
      <c r="BH178" s="99"/>
      <c r="BI178" s="99"/>
      <c r="BJ178" s="99">
        <f t="array" aca="1" ref="BJ178" ca="1">COUNT(IF((BJ$113:OFFSET(BJ164,-1,0)=0)*(BJ$113:OFFSET(BJ164,-1,0)&lt;&gt;"")*(BJ164&lt;&gt;0),IF(SUBTOTAL(109,OFFSET(BJ$113:OFFSET(BJ164,-1,0),ROW(BJ$113:OFFSET(BJ164,-1,0))-MIN(ROW(BJ$113:OFFSET(BJ164,-1,0))),0,1))=0,BJ$113:OFFSET(BJ164,-1,0))))</f>
        <v>0</v>
      </c>
      <c r="BK178" s="123"/>
      <c r="BL178" s="99"/>
      <c r="BM178" s="99"/>
      <c r="BN178" s="99">
        <f t="array" aca="1" ref="BN178" ca="1">COUNT(IF((BN$113:OFFSET(BN164,-1,0)=0)*(BN$113:OFFSET(BN164,-1,0)&lt;&gt;"")*(BN164&lt;&gt;0),IF(SUBTOTAL(109,OFFSET(BN$113:OFFSET(BN164,-1,0),ROW(BN$113:OFFSET(BN164,-1,0))-MIN(ROW(BN$113:OFFSET(BN164,-1,0))),0,1))=0,BN$113:OFFSET(BN164,-1,0))))</f>
        <v>0</v>
      </c>
      <c r="BO178" s="123"/>
      <c r="BP178" s="99"/>
      <c r="BQ178" s="99"/>
      <c r="BR178" s="99">
        <f t="array" aca="1" ref="BR178" ca="1">COUNT(IF((BR$113:OFFSET(BR164,-1,0)=0)*(BR$113:OFFSET(BR164,-1,0)&lt;&gt;"")*(BR164&lt;&gt;0),IF(SUBTOTAL(109,OFFSET(BR$113:OFFSET(BR164,-1,0),ROW(BR$113:OFFSET(BR164,-1,0))-MIN(ROW(BR$113:OFFSET(BR164,-1,0))),0,1))=0,BR$113:OFFSET(BR164,-1,0))))</f>
        <v>0</v>
      </c>
      <c r="BS178" s="123"/>
    </row>
    <row r="179" spans="1:72" ht="13.8" hidden="1" outlineLevel="1" thickBot="1" x14ac:dyDescent="0.3">
      <c r="A179" s="98" t="s">
        <v>15</v>
      </c>
      <c r="B179" s="98"/>
      <c r="C179" s="98"/>
      <c r="D179" s="112"/>
      <c r="E179" s="112"/>
      <c r="F179" s="112" t="str">
        <f>$F$110</f>
        <v>Σ# Total Number</v>
      </c>
      <c r="G179" s="113" t="s">
        <v>36</v>
      </c>
      <c r="H179" s="112"/>
      <c r="I179" s="112"/>
      <c r="J179" s="112">
        <f ca="1">SUM(J172,J175,J178)</f>
        <v>14</v>
      </c>
      <c r="K179" s="125"/>
      <c r="L179" s="112"/>
      <c r="M179" s="112"/>
      <c r="N179" s="112">
        <f ca="1">SUM(N172,N175,N178)</f>
        <v>0</v>
      </c>
      <c r="O179" s="125"/>
      <c r="P179" s="112"/>
      <c r="Q179" s="112"/>
      <c r="R179" s="112">
        <f t="shared" ref="R179" ca="1" si="388">SUM(R172,R175,R178)</f>
        <v>14</v>
      </c>
      <c r="S179" s="125"/>
      <c r="T179" s="112"/>
      <c r="U179" s="112"/>
      <c r="V179" s="112">
        <f t="shared" ref="V179" ca="1" si="389">SUM(V172,V175,V178)</f>
        <v>14</v>
      </c>
      <c r="W179" s="125"/>
      <c r="X179" s="112"/>
      <c r="Y179" s="112"/>
      <c r="Z179" s="112">
        <f t="shared" ref="Z179" ca="1" si="390">SUM(Z172,Z175,Z178)</f>
        <v>14</v>
      </c>
      <c r="AA179" s="125"/>
      <c r="AB179" s="112"/>
      <c r="AC179" s="112"/>
      <c r="AD179" s="112">
        <f t="shared" ref="AD179" ca="1" si="391">SUM(AD172,AD175,AD178)</f>
        <v>14</v>
      </c>
      <c r="AE179" s="125"/>
      <c r="AF179" s="112"/>
      <c r="AG179" s="112"/>
      <c r="AH179" s="112">
        <f t="shared" ref="AH179" ca="1" si="392">SUM(AH172,AH175,AH178)</f>
        <v>14</v>
      </c>
      <c r="AI179" s="125"/>
      <c r="AJ179" s="112"/>
      <c r="AK179" s="112"/>
      <c r="AL179" s="112">
        <f t="shared" ref="AL179" ca="1" si="393">SUM(AL172,AL175,AL178)</f>
        <v>14</v>
      </c>
      <c r="AM179" s="125"/>
      <c r="AN179" s="112"/>
      <c r="AO179" s="112"/>
      <c r="AP179" s="112">
        <f t="shared" ref="AP179" ca="1" si="394">SUM(AP172,AP175,AP178)</f>
        <v>14</v>
      </c>
      <c r="AQ179" s="125"/>
      <c r="AR179" s="112"/>
      <c r="AS179" s="112"/>
      <c r="AT179" s="112">
        <f t="shared" ref="AT179" ca="1" si="395">SUM(AT172,AT175,AT178)</f>
        <v>14</v>
      </c>
      <c r="AU179" s="125"/>
      <c r="AV179" s="112"/>
      <c r="AW179" s="112"/>
      <c r="AX179" s="112">
        <f t="shared" ref="AX179" ca="1" si="396">SUM(AX172,AX175,AX178)</f>
        <v>14</v>
      </c>
      <c r="AY179" s="125"/>
      <c r="AZ179" s="112"/>
      <c r="BA179" s="112"/>
      <c r="BB179" s="112">
        <f t="shared" ref="BB179" ca="1" si="397">SUM(BB172,BB175,BB178)</f>
        <v>14</v>
      </c>
      <c r="BC179" s="125"/>
      <c r="BD179" s="112"/>
      <c r="BE179" s="112"/>
      <c r="BF179" s="112">
        <f t="shared" ref="BF179" ca="1" si="398">SUM(BF172,BF175,BF178)</f>
        <v>14</v>
      </c>
      <c r="BG179" s="125"/>
      <c r="BH179" s="112"/>
      <c r="BI179" s="112"/>
      <c r="BJ179" s="112">
        <f t="shared" ref="BJ179" ca="1" si="399">SUM(BJ172,BJ175,BJ178)</f>
        <v>14</v>
      </c>
      <c r="BK179" s="125"/>
      <c r="BL179" s="112"/>
      <c r="BM179" s="112"/>
      <c r="BN179" s="112">
        <f t="shared" ref="BN179" ca="1" si="400">SUM(BN172,BN175,BN178)</f>
        <v>14</v>
      </c>
      <c r="BO179" s="125"/>
      <c r="BP179" s="112"/>
      <c r="BQ179" s="112"/>
      <c r="BR179" s="112">
        <f t="shared" ref="BR179" ca="1" si="401">SUM(BR172,BR175,BR178)</f>
        <v>14</v>
      </c>
      <c r="BS179" s="125"/>
    </row>
    <row r="180" spans="1:72" ht="4.5" customHeight="1" collapsed="1" x14ac:dyDescent="0.25">
      <c r="A180" s="126" t="s">
        <v>37</v>
      </c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</row>
    <row r="181" spans="1:72" ht="40.799999999999997" hidden="1" outlineLevel="1" x14ac:dyDescent="0.25">
      <c r="A181" s="78" t="str">
        <f>A$12</f>
        <v>Row Check</v>
      </c>
      <c r="B181" s="79" t="str">
        <f t="shared" ref="B181:C181" si="402">B$13</f>
        <v>Either
Written
Count</v>
      </c>
      <c r="C181" s="79" t="str">
        <f t="shared" si="402"/>
        <v>Both
Written
Count</v>
      </c>
      <c r="D181" s="80" t="str">
        <f>CONCATENATE(TEXT(D$10,"ddMMMyyyy"),CHAR(10),D$11,CHAR(10),D$12)</f>
        <v>23Oct2020
Written
Count</v>
      </c>
      <c r="E181" s="80" t="str">
        <f>CONCATENATE(TEXT(E$10,"ddMMMyyyy"),CHAR(10),E$11,CHAR(10),E$12)</f>
        <v>27Oct2021
Written
Count</v>
      </c>
      <c r="F181" s="81" t="str">
        <f>CONCATENATE(F$12)</f>
        <v>Event</v>
      </c>
      <c r="G181" s="82" t="str">
        <f>CONCATENATE(G$12)</f>
        <v>Schedule</v>
      </c>
      <c r="H181" s="80" t="str">
        <f>CONCATENATE(TEXT(H$9,"ddmmm"),TEXT(H$10,"yyyy"),CHAR(10),TEXT(H$12,"#,##0"))</f>
        <v>23Oct2020
250,000,000</v>
      </c>
      <c r="I181" s="80" t="str">
        <f>CONCATENATE(TEXT(I$9,"ddmmm"),TEXT(I$10,"yyyy"),CHAR(10),TEXT(I$12,"#,##0"))</f>
        <v>27Oct2021
250,000,000</v>
      </c>
      <c r="J181" s="83" t="str">
        <f>CONCATENATE(TEXT(H$12,"#,##0"),CHAR(10),J$10,CHAR(10),J$12)</f>
        <v>250,000,000
2020 - 2021
change</v>
      </c>
      <c r="K181" s="82" t="str">
        <f>CONCATENATE(COLUMN(K181),K$12)</f>
        <v>11Δ</v>
      </c>
      <c r="L181" s="83" t="str">
        <f>CONCATENATE(TEXT(L$9,"ddmmm"),TEXT(L$10,"yyyy"),CHAR(10),TEXT(L$12,"#,##0"),CHAR(10),TEXT(L$7,"#,##0")&amp;" xs ",TEXT(L$8,"#,##0"))</f>
        <v>23Oct2020
250,000,000
185,000,000 xs 15,000,000</v>
      </c>
      <c r="M181" s="83" t="str">
        <f>CONCATENATE(TEXT(M$9,"ddmmm"),TEXT(M$10,"yyyy"),CHAR(10),TEXT(M$12,"#,##0"),CHAR(10),TEXT(M$7,"#,##0")&amp;" xs ",TEXT(M$8,"#,##0"))</f>
        <v>27Oct2021
250,000,000
185,000,000 xs 15,000,000</v>
      </c>
      <c r="N181" s="83" t="str">
        <f>CONCATENATE(TEXT(H$12,"#,##0"),CHAR(10),"Layer",CHAR(10),N$10,CHAR(10),N$12)</f>
        <v>250,000,000
Layer
2020 - 2021
change</v>
      </c>
      <c r="O181" s="82" t="str">
        <f>CONCATENATE(COLUMN(O181),O$12)</f>
        <v>15Δ</v>
      </c>
      <c r="P181" s="80" t="str">
        <f>CONCATENATE(TEXT(P$9,"ddmmm"),TEXT(P$10,"yyyy"),CHAR(10),TEXT(P$12,"#,##0"))</f>
        <v>23Oct2020
500,000,000</v>
      </c>
      <c r="Q181" s="80" t="str">
        <f>CONCATENATE(TEXT(Q$9,"ddmmm"),TEXT(Q$10,"yyyy"),CHAR(10),TEXT(Q$12,"#,##0"))</f>
        <v>27Oct2021
500,000,000</v>
      </c>
      <c r="R181" s="83" t="str">
        <f>CONCATENATE(TEXT(P$12,"#,##0"),CHAR(10),R$10,CHAR(10),R$12)</f>
        <v>500,000,000
2020 - 2021
change</v>
      </c>
      <c r="S181" s="82" t="str">
        <f>CONCATENATE(COLUMN(S181),S$12)</f>
        <v>19Δ</v>
      </c>
      <c r="T181" s="83" t="str">
        <f>CONCATENATE(TEXT(T$9,"ddmmm"),TEXT(T$10,"yyyy"),CHAR(10),TEXT(T$12,"#,##0"),CHAR(10),TEXT(T$7,"#,##0")&amp;" xs ",TEXT(T$8,"#,##0"))</f>
        <v>23Oct2020
500,000,000
185,000,000 xs 15,000,000</v>
      </c>
      <c r="U181" s="83" t="str">
        <f>CONCATENATE(TEXT(U$9,"ddmmm"),TEXT(U$10,"yyyy"),CHAR(10),TEXT(U$12,"#,##0"),CHAR(10),TEXT(U$7,"#,##0")&amp;" xs ",TEXT(U$8,"#,##0"))</f>
        <v>27Oct2021
500,000,000
185,000,000 xs 15,000,000</v>
      </c>
      <c r="V181" s="83" t="str">
        <f>CONCATENATE(TEXT(P$12,"#,##0"),CHAR(10),"Layer",CHAR(10),V$10,CHAR(10),V$12)</f>
        <v>500,000,000
Layer
2020 - 2021
change</v>
      </c>
      <c r="W181" s="82" t="str">
        <f>CONCATENATE(COLUMN(W181),W$12)</f>
        <v>23Δ</v>
      </c>
      <c r="X181" s="80" t="str">
        <f>CONCATENATE(TEXT(X$9,"ddmmm"),TEXT(X$10,"yyyy"),CHAR(10),TEXT(X$12,"#,##0"))</f>
        <v>23Oct2020
750,000,000</v>
      </c>
      <c r="Y181" s="80" t="str">
        <f>CONCATENATE(TEXT(Y$9,"ddmmm"),TEXT(Y$10,"yyyy"),CHAR(10),TEXT(Y$12,"#,##0"))</f>
        <v>27Oct2021
750,000,000</v>
      </c>
      <c r="Z181" s="83" t="str">
        <f>CONCATENATE(TEXT(X$12,"#,##0"),CHAR(10),Z$10,CHAR(10),Z$12)</f>
        <v>750,000,000
2020 - 2021
change</v>
      </c>
      <c r="AA181" s="82" t="str">
        <f>CONCATENATE(COLUMN(AA181),AA$12)</f>
        <v>27Δ</v>
      </c>
      <c r="AB181" s="83" t="str">
        <f>CONCATENATE(TEXT(AB$9,"ddmmm"),TEXT(AB$10,"yyyy"),CHAR(10),TEXT(AB$12,"#,##0"),CHAR(10),TEXT(AB$7,"#,##0")&amp;" xs ",TEXT(AB$8,"#,##0"))</f>
        <v>23Oct2020
750,000,000
185,000,000 xs 15,000,000</v>
      </c>
      <c r="AC181" s="83" t="str">
        <f>CONCATENATE(TEXT(AC$9,"ddmmm"),TEXT(AC$10,"yyyy"),CHAR(10),TEXT(AC$12,"#,##0"),CHAR(10),TEXT(AC$7,"#,##0")&amp;" xs ",TEXT(AC$8,"#,##0"))</f>
        <v>27Oct2021
750,000,000
185,000,000 xs 15,000,000</v>
      </c>
      <c r="AD181" s="83" t="str">
        <f>CONCATENATE(TEXT(X$12,"#,##0"),CHAR(10),"Layer",CHAR(10),AD$10,CHAR(10),AD$12)</f>
        <v>750,000,000
Layer
2020 - 2021
change</v>
      </c>
      <c r="AE181" s="82" t="str">
        <f>CONCATENATE(COLUMN(AE181),AE$12)</f>
        <v>31Δ</v>
      </c>
      <c r="AF181" s="80" t="str">
        <f>CONCATENATE(TEXT(AF$9,"ddmmm"),TEXT(AF$10,"yyyy"),CHAR(10),TEXT(AF$12,"#,##0"))</f>
        <v>23Oct2020
1,000,000,000</v>
      </c>
      <c r="AG181" s="80" t="str">
        <f>CONCATENATE(TEXT(AG$9,"ddmmm"),TEXT(AG$10,"yyyy"),CHAR(10),TEXT(AG$12,"#,##0"))</f>
        <v>27Oct2021
1,000,000,000</v>
      </c>
      <c r="AH181" s="83" t="str">
        <f>CONCATENATE(TEXT(AF$12,"#,##0"),CHAR(10),AH$10,CHAR(10),AH$12)</f>
        <v>1,000,000,000
2020 - 2021
change</v>
      </c>
      <c r="AI181" s="82" t="str">
        <f>CONCATENATE(COLUMN(AI181),AI$12)</f>
        <v>35Δ</v>
      </c>
      <c r="AJ181" s="83" t="str">
        <f>CONCATENATE(TEXT(AJ$9,"ddmmm"),TEXT(AJ$10,"yyyy"),CHAR(10),TEXT(AJ$12,"#,##0"),CHAR(10),TEXT(AJ$7,"#,##0")&amp;" xs ",TEXT(AJ$8,"#,##0"))</f>
        <v>23Oct2020
1,000,000,000
185,000,000 xs 15,000,000</v>
      </c>
      <c r="AK181" s="83" t="str">
        <f>CONCATENATE(TEXT(AK$9,"ddmmm"),TEXT(AK$10,"yyyy"),CHAR(10),TEXT(AK$12,"#,##0"),CHAR(10),TEXT(AK$7,"#,##0")&amp;" xs ",TEXT(AK$8,"#,##0"))</f>
        <v>27Oct2021
1,000,000,000
185,000,000 xs 15,000,000</v>
      </c>
      <c r="AL181" s="83" t="str">
        <f>CONCATENATE(TEXT(AF$12,"#,##0"),CHAR(10),"Layer",CHAR(10),AL$10,CHAR(10),AL$12)</f>
        <v>1,000,000,000
Layer
2020 - 2021
change</v>
      </c>
      <c r="AM181" s="82" t="str">
        <f>CONCATENATE(COLUMN(AM181),AM$12)</f>
        <v>39Δ</v>
      </c>
      <c r="AN181" s="80" t="str">
        <f>CONCATENATE(TEXT(AN$9,"ddmmm"),TEXT(AN$10,"yyyy"),CHAR(10),TEXT(AN$12,"#,##0"))</f>
        <v>23Oct2020
1,500,000,000</v>
      </c>
      <c r="AO181" s="80" t="str">
        <f>CONCATENATE(TEXT(AO$9,"ddmmm"),TEXT(AO$10,"yyyy"),CHAR(10),TEXT(AO$12,"#,##0"))</f>
        <v>27Oct2021
1,500,000,000</v>
      </c>
      <c r="AP181" s="83" t="str">
        <f>CONCATENATE(TEXT(AN$12,"#,##0"),CHAR(10),AP$10,CHAR(10),AP$12)</f>
        <v>1,500,000,000
2020 - 2021
change</v>
      </c>
      <c r="AQ181" s="82" t="str">
        <f>CONCATENATE(COLUMN(AQ181),AQ$12)</f>
        <v>43Δ</v>
      </c>
      <c r="AR181" s="83" t="str">
        <f>CONCATENATE(TEXT(AR$9,"ddmmm"),TEXT(AR$10,"yyyy"),CHAR(10),TEXT(AR$12,"#,##0"),CHAR(10),TEXT(AR$7,"#,##0")&amp;" xs ",TEXT(AR$8,"#,##0"))</f>
        <v>23Oct2020
1,500,000,000
185,000,000 xs 15,000,000</v>
      </c>
      <c r="AS181" s="83" t="str">
        <f>CONCATENATE(TEXT(AS$9,"ddmmm"),TEXT(AS$10,"yyyy"),CHAR(10),TEXT(AS$12,"#,##0"),CHAR(10),TEXT(AS$7,"#,##0")&amp;" xs ",TEXT(AS$8,"#,##0"))</f>
        <v>27Oct2021
1,500,000,000
185,000,000 xs 15,000,000</v>
      </c>
      <c r="AT181" s="83" t="str">
        <f>CONCATENATE(TEXT(AN$12,"#,##0"),CHAR(10),"Layer",CHAR(10),AT$10,CHAR(10),AT$12)</f>
        <v>1,500,000,000
Layer
2020 - 2021
change</v>
      </c>
      <c r="AU181" s="82" t="str">
        <f>CONCATENATE(COLUMN(AU181),AU$12)</f>
        <v>47Δ</v>
      </c>
      <c r="AV181" s="80" t="str">
        <f>CONCATENATE(TEXT(AV$9,"ddmmm"),TEXT(AV$10,"yyyy"),CHAR(10),TEXT(AV$12,"#,##0"))</f>
        <v>23Oct2020
2,000,000,000</v>
      </c>
      <c r="AW181" s="80" t="str">
        <f>CONCATENATE(TEXT(AW$9,"ddmmm"),TEXT(AW$10,"yyyy"),CHAR(10),TEXT(AW$12,"#,##0"))</f>
        <v>27Oct2021
2,000,000,000</v>
      </c>
      <c r="AX181" s="83" t="str">
        <f>CONCATENATE(TEXT(AV$12,"#,##0"),CHAR(10),AX$10,CHAR(10),AX$12)</f>
        <v>2,000,000,000
2020 - 2021
change</v>
      </c>
      <c r="AY181" s="82" t="str">
        <f>CONCATENATE(COLUMN(AY181),AY$12)</f>
        <v>51Δ</v>
      </c>
      <c r="AZ181" s="83" t="str">
        <f>CONCATENATE(TEXT(AZ$9,"ddmmm"),TEXT(AZ$10,"yyyy"),CHAR(10),TEXT(AZ$12,"#,##0"),CHAR(10),TEXT(AZ$7,"#,##0")&amp;" xs ",TEXT(AZ$8,"#,##0"))</f>
        <v>23Oct2020
2,000,000,000
185,000,000 xs 15,000,000</v>
      </c>
      <c r="BA181" s="83" t="str">
        <f>CONCATENATE(TEXT(BA$9,"ddmmm"),TEXT(BA$10,"yyyy"),CHAR(10),TEXT(BA$12,"#,##0"),CHAR(10),TEXT(BA$7,"#,##0")&amp;" xs ",TEXT(BA$8,"#,##0"))</f>
        <v>27Oct2021
2,000,000,000
185,000,000 xs 15,000,000</v>
      </c>
      <c r="BB181" s="83" t="str">
        <f>CONCATENATE(TEXT(AV$12,"#,##0"),CHAR(10),"Layer",CHAR(10),BB$10,CHAR(10),BB$12)</f>
        <v>2,000,000,000
Layer
2020 - 2021
change</v>
      </c>
      <c r="BC181" s="82" t="str">
        <f>CONCATENATE(COLUMN(BC181),BC$12)</f>
        <v>55Δ</v>
      </c>
      <c r="BD181" s="80" t="str">
        <f>CONCATENATE(TEXT(BD$9,"ddmmm"),TEXT(BD$10,"yyyy"),CHAR(10),TEXT(BD$12,"#,##0"))</f>
        <v>23Oct2020
2,500,000,000</v>
      </c>
      <c r="BE181" s="80" t="str">
        <f>CONCATENATE(TEXT(BE$9,"ddmmm"),TEXT(BE$10,"yyyy"),CHAR(10),TEXT(BE$12,"#,##0"))</f>
        <v>27Oct2021
2,500,000,000</v>
      </c>
      <c r="BF181" s="83" t="str">
        <f>CONCATENATE(TEXT(BD$12,"#,##0"),CHAR(10),BF$10,CHAR(10),BF$12)</f>
        <v>2,500,000,000
2020 - 2021
change</v>
      </c>
      <c r="BG181" s="82" t="str">
        <f>CONCATENATE(COLUMN(BG181),BG$12)</f>
        <v>59Δ</v>
      </c>
      <c r="BH181" s="83" t="str">
        <f>CONCATENATE(TEXT(BH$9,"ddmmm"),TEXT(BH$10,"yyyy"),CHAR(10),TEXT(BH$12,"#,##0"),CHAR(10),TEXT(BH$7,"#,##0")&amp;" xs ",TEXT(BH$8,"#,##0"))</f>
        <v>23Oct2020
2,500,000,000
185,000,000 xs 15,000,000</v>
      </c>
      <c r="BI181" s="83" t="str">
        <f>CONCATENATE(TEXT(BI$9,"ddmmm"),TEXT(BI$10,"yyyy"),CHAR(10),TEXT(BI$12,"#,##0"),CHAR(10),TEXT(BI$7,"#,##0")&amp;" xs ",TEXT(BI$8,"#,##0"))</f>
        <v>27Oct2021
2,500,000,000
185,000,000 xs 15,000,000</v>
      </c>
      <c r="BJ181" s="83" t="str">
        <f>CONCATENATE(TEXT(BD$12,"#,##0"),CHAR(10),"Layer",CHAR(10),BJ$10,CHAR(10),BJ$12)</f>
        <v>2,500,000,000
Layer
2020 - 2021
change</v>
      </c>
      <c r="BK181" s="82" t="str">
        <f>CONCATENATE(COLUMN(BK181),BK$12)</f>
        <v>63Δ</v>
      </c>
      <c r="BL181" s="80" t="str">
        <f>CONCATENATE(TEXT(BL$9,"ddmmm"),TEXT(BL$10,"yyyy"),CHAR(10),TEXT(BL$12,"#,##0"))</f>
        <v>23Oct2020
3,000,000,000</v>
      </c>
      <c r="BM181" s="80" t="str">
        <f>CONCATENATE(TEXT(BM$9,"ddmmm"),TEXT(BM$10,"yyyy"),CHAR(10),TEXT(BM$12,"#,##0"))</f>
        <v>27Oct2021
3,000,000,000</v>
      </c>
      <c r="BN181" s="83" t="str">
        <f>CONCATENATE(TEXT(BL$12,"#,##0"),CHAR(10),BN$10,CHAR(10),BN$12)</f>
        <v>3,000,000,000
2020 - 2021
change</v>
      </c>
      <c r="BO181" s="82" t="str">
        <f>CONCATENATE(COLUMN(BO181),BO$12)</f>
        <v>67Δ</v>
      </c>
      <c r="BP181" s="83" t="str">
        <f>CONCATENATE(TEXT(BP$9,"ddmmm"),TEXT(BP$10,"yyyy"),CHAR(10),TEXT(BP$12,"#,##0"),CHAR(10),TEXT(BP$7,"#,##0")&amp;" xs ",TEXT(BP$8,"#,##0"))</f>
        <v>23Oct2020
3,000,000,000
185,000,000 xs 15,000,000</v>
      </c>
      <c r="BQ181" s="83" t="str">
        <f>CONCATENATE(TEXT(BQ$9,"ddmmm"),TEXT(BQ$10,"yyyy"),CHAR(10),TEXT(BQ$12,"#,##0"),CHAR(10),TEXT(BQ$7,"#,##0")&amp;" xs ",TEXT(BQ$8,"#,##0"))</f>
        <v>27Oct2021
3,000,000,000
185,000,000 xs 15,000,000</v>
      </c>
      <c r="BR181" s="83" t="str">
        <f>CONCATENATE(TEXT(BL$12,"#,##0"),CHAR(10),"Layer",CHAR(10),BR$10,CHAR(10),BR$12)</f>
        <v>3,000,000,000
Layer
2020 - 2021
change</v>
      </c>
      <c r="BS181" s="82" t="str">
        <f>CONCATENATE(COLUMN(BS181),BS$12)</f>
        <v>71Δ</v>
      </c>
      <c r="BT181" s="84"/>
    </row>
    <row r="182" spans="1:72" collapsed="1" x14ac:dyDescent="0.25">
      <c r="A182" s="85">
        <v>182</v>
      </c>
      <c r="B182" s="85">
        <f t="shared" ref="B182:B221" si="403">IF(OR($D182=1,$E182=1),1,0)</f>
        <v>1</v>
      </c>
      <c r="C182" s="85">
        <f t="shared" ref="C182:C221" si="404">IF(AND($D182=1,$E182=1),1,0)</f>
        <v>1</v>
      </c>
      <c r="D182" s="86">
        <f t="shared" ref="D182:E201" si="405">IF(SUMIFS($F182:$BO182,$F$9:$BO$9,D$9,$F$10:$BO$10,D$10)&gt;0,1,0)</f>
        <v>1</v>
      </c>
      <c r="E182" s="86">
        <f t="shared" si="405"/>
        <v>1</v>
      </c>
      <c r="F182" s="48" t="s">
        <v>131</v>
      </c>
      <c r="G182" s="38" t="s">
        <v>38</v>
      </c>
      <c r="H182" s="87">
        <v>689940.19039999996</v>
      </c>
      <c r="I182" s="87">
        <v>902076.42359999998</v>
      </c>
      <c r="J182" s="87">
        <f t="shared" ref="J182:J221" si="406">IF(Dyn_Insured="","",IF(ISNUMBER(I182)=FALSE,0,I182)-IF(ISNUMBER(H182)=FALSE,0,H182))</f>
        <v>212136.23320000002</v>
      </c>
      <c r="K182" s="88">
        <f t="shared" ref="K182:K221" si="407">J182</f>
        <v>212136.23320000002</v>
      </c>
      <c r="L182" s="87">
        <f>IF(Dyn_Insured="","",IF(ISNUMBER(H182)=FALSE,"n/a",MIN(MAX(H182-'Layer Comparison'!Excess_Past,0),'Layer Comparison'!Limit_Past)))</f>
        <v>0</v>
      </c>
      <c r="M182" s="87">
        <f>IF(Dyn_Insured="","",IF(ISNUMBER(I182)=FALSE,"n/a",MIN(MAX(I182-'Layer Comparison'!Excess_Latest,0),'Layer Comparison'!Limit_Latest)))</f>
        <v>0</v>
      </c>
      <c r="N182" s="87">
        <f t="shared" ref="N182:N221" si="408">IF(Dyn_Insured="","",IF(ISNUMBER(M182)=FALSE,0,M182)-IF(ISNUMBER(L182)=FALSE,0,L182))</f>
        <v>0</v>
      </c>
      <c r="O182" s="88">
        <f t="shared" ref="O182:O221" si="409">N182</f>
        <v>0</v>
      </c>
      <c r="P182" s="87">
        <v>9291531.4605</v>
      </c>
      <c r="Q182" s="87">
        <v>8905328.3544000015</v>
      </c>
      <c r="R182" s="87">
        <f t="shared" ref="R182:R221" si="410">IF(Dyn_Insured="","",IF(ISNUMBER(Q182)=FALSE,0,Q182)-IF(ISNUMBER(P182)=FALSE,0,P182))</f>
        <v>-386203.10609999858</v>
      </c>
      <c r="S182" s="88">
        <f t="shared" ref="S182:S221" si="411">R182</f>
        <v>-386203.10609999858</v>
      </c>
      <c r="T182" s="87">
        <f>IF(Dyn_Insured="","",IF(ISNUMBER(P182)=FALSE,"n/a",MIN(MAX(P182-'Layer Comparison'!Excess_Past,0),'Layer Comparison'!Limit_Past)))</f>
        <v>0</v>
      </c>
      <c r="U182" s="87">
        <f>IF(Dyn_Insured="","",IF(ISNUMBER(Q182)=FALSE,"n/a",MIN(MAX(Q182-'Layer Comparison'!Excess_Latest,0),'Layer Comparison'!Limit_Latest)))</f>
        <v>0</v>
      </c>
      <c r="V182" s="87">
        <f t="shared" ref="V182:V221" si="412">IF(Dyn_Insured="","",IF(ISNUMBER(U182)=FALSE,0,U182)-IF(ISNUMBER(T182)=FALSE,0,T182))</f>
        <v>0</v>
      </c>
      <c r="W182" s="88">
        <f t="shared" ref="W182:W221" si="413">V182</f>
        <v>0</v>
      </c>
      <c r="X182" s="87">
        <v>19134112.546399996</v>
      </c>
      <c r="Y182" s="87">
        <v>19044746.393900003</v>
      </c>
      <c r="Z182" s="87">
        <f t="shared" ref="Z182:Z221" si="414">IF(Dyn_Insured="","",IF(ISNUMBER(Y182)=FALSE,0,Y182)-IF(ISNUMBER(X182)=FALSE,0,X182))</f>
        <v>-89366.1524999924</v>
      </c>
      <c r="AA182" s="88">
        <f t="shared" ref="AA182:AA221" si="415">Z182</f>
        <v>-89366.1524999924</v>
      </c>
      <c r="AB182" s="87">
        <f>IF(Dyn_Insured="","",IF(ISNUMBER(X182)=FALSE,"n/a",MIN(MAX(X182-'Layer Comparison'!Excess_Past,0),'Layer Comparison'!Limit_Past)))</f>
        <v>4134112.5463999957</v>
      </c>
      <c r="AC182" s="87">
        <f>IF(Dyn_Insured="","",IF(ISNUMBER(Y182)=FALSE,"n/a",MIN(MAX(Y182-'Layer Comparison'!Excess_Latest,0),'Layer Comparison'!Limit_Latest)))</f>
        <v>4044746.3939000033</v>
      </c>
      <c r="AD182" s="87">
        <f t="shared" ref="AD182:AD221" si="416">IF(Dyn_Insured="","",IF(ISNUMBER(AC182)=FALSE,0,AC182)-IF(ISNUMBER(AB182)=FALSE,0,AB182))</f>
        <v>-89366.1524999924</v>
      </c>
      <c r="AE182" s="88">
        <f t="shared" ref="AE182:AE221" si="417">AD182</f>
        <v>-89366.1524999924</v>
      </c>
      <c r="AF182" s="87">
        <v>29484413.068600003</v>
      </c>
      <c r="AG182" s="87">
        <v>28352593.429699995</v>
      </c>
      <c r="AH182" s="87">
        <f t="shared" ref="AH182:AH221" si="418">IF(Dyn_Insured="","",IF(ISNUMBER(AG182)=FALSE,0,AG182)-IF(ISNUMBER(AF182)=FALSE,0,AF182))</f>
        <v>-1131819.6389000081</v>
      </c>
      <c r="AI182" s="88">
        <f t="shared" ref="AI182:AI221" si="419">AH182</f>
        <v>-1131819.6389000081</v>
      </c>
      <c r="AJ182" s="87">
        <f>IF(Dyn_Insured="","",IF(ISNUMBER(AF182)=FALSE,"n/a",MIN(MAX(AF182-'Layer Comparison'!Excess_Past,0),'Layer Comparison'!Limit_Past)))</f>
        <v>14484413.068600003</v>
      </c>
      <c r="AK182" s="87">
        <f>IF(Dyn_Insured="","",IF(ISNUMBER(AG182)=FALSE,"n/a",MIN(MAX(AG182-'Layer Comparison'!Excess_Latest,0),'Layer Comparison'!Limit_Latest)))</f>
        <v>13352593.429699995</v>
      </c>
      <c r="AL182" s="87">
        <f t="shared" ref="AL182:AL221" si="420">IF(Dyn_Insured="","",IF(ISNUMBER(AK182)=FALSE,0,AK182)-IF(ISNUMBER(AJ182)=FALSE,0,AJ182))</f>
        <v>-1131819.6389000081</v>
      </c>
      <c r="AM182" s="88">
        <f t="shared" ref="AM182:AM221" si="421">AL182</f>
        <v>-1131819.6389000081</v>
      </c>
      <c r="AN182" s="87">
        <v>52299136.301899999</v>
      </c>
      <c r="AO182" s="87">
        <v>49538648.505799994</v>
      </c>
      <c r="AP182" s="87">
        <f t="shared" ref="AP182:AP221" si="422">IF(Dyn_Insured="","",IF(ISNUMBER(AO182)=FALSE,0,AO182)-IF(ISNUMBER(AN182)=FALSE,0,AN182))</f>
        <v>-2760487.7961000055</v>
      </c>
      <c r="AQ182" s="88">
        <f t="shared" ref="AQ182:AQ221" si="423">AP182</f>
        <v>-2760487.7961000055</v>
      </c>
      <c r="AR182" s="87">
        <f>IF(Dyn_Insured="","",IF(ISNUMBER(AN182)=FALSE,"n/a",MIN(MAX(AN182-'Layer Comparison'!Excess_Past,0),'Layer Comparison'!Limit_Past)))</f>
        <v>37299136.301899999</v>
      </c>
      <c r="AS182" s="87">
        <f>IF(Dyn_Insured="","",IF(ISNUMBER(AO182)=FALSE,"n/a",MIN(MAX(AO182-'Layer Comparison'!Excess_Latest,0),'Layer Comparison'!Limit_Latest)))</f>
        <v>34538648.505799994</v>
      </c>
      <c r="AT182" s="87">
        <f t="shared" ref="AT182:AT221" si="424">IF(Dyn_Insured="","",IF(ISNUMBER(AS182)=FALSE,0,AS182)-IF(ISNUMBER(AR182)=FALSE,0,AR182))</f>
        <v>-2760487.7961000055</v>
      </c>
      <c r="AU182" s="88">
        <f t="shared" ref="AU182:AU221" si="425">AT182</f>
        <v>-2760487.7961000055</v>
      </c>
      <c r="AV182" s="87">
        <v>71805978.387800038</v>
      </c>
      <c r="AW182" s="87">
        <v>70137106.421399996</v>
      </c>
      <c r="AX182" s="87">
        <f t="shared" ref="AX182:AX221" si="426">IF(Dyn_Insured="","",IF(ISNUMBER(AW182)=FALSE,0,AW182)-IF(ISNUMBER(AV182)=FALSE,0,AV182))</f>
        <v>-1668871.9664000422</v>
      </c>
      <c r="AY182" s="88">
        <f t="shared" ref="AY182:AY221" si="427">AX182</f>
        <v>-1668871.9664000422</v>
      </c>
      <c r="AZ182" s="87">
        <f>IF(Dyn_Insured="","",IF(ISNUMBER(AV182)=FALSE,"n/a",MIN(MAX(AV182-'Layer Comparison'!Excess_Past,0),'Layer Comparison'!Limit_Past)))</f>
        <v>56805978.387800038</v>
      </c>
      <c r="BA182" s="87">
        <f>IF(Dyn_Insured="","",IF(ISNUMBER(AW182)=FALSE,"n/a",MIN(MAX(AW182-'Layer Comparison'!Excess_Latest,0),'Layer Comparison'!Limit_Latest)))</f>
        <v>55137106.421399996</v>
      </c>
      <c r="BB182" s="87">
        <f t="shared" ref="BB182:BB221" si="428">IF(Dyn_Insured="","",IF(ISNUMBER(BA182)=FALSE,0,BA182)-IF(ISNUMBER(AZ182)=FALSE,0,AZ182))</f>
        <v>-1668871.9664000422</v>
      </c>
      <c r="BC182" s="88">
        <f t="shared" ref="BC182:BC221" si="429">BB182</f>
        <v>-1668871.9664000422</v>
      </c>
      <c r="BD182" s="87">
        <v>84717786.726700023</v>
      </c>
      <c r="BE182" s="87">
        <v>86716853.303600013</v>
      </c>
      <c r="BF182" s="87">
        <f t="shared" ref="BF182:BF221" si="430">IF(Dyn_Insured="","",IF(ISNUMBER(BE182)=FALSE,0,BE182)-IF(ISNUMBER(BD182)=FALSE,0,BD182))</f>
        <v>1999066.5768999904</v>
      </c>
      <c r="BG182" s="88">
        <f t="shared" ref="BG182:BG221" si="431">BF182</f>
        <v>1999066.5768999904</v>
      </c>
      <c r="BH182" s="87">
        <f>IF(Dyn_Insured="","",IF(ISNUMBER(BD182)=FALSE,"n/a",MIN(MAX(BD182-'Layer Comparison'!Excess_Past,0),'Layer Comparison'!Limit_Past)))</f>
        <v>69717786.726700023</v>
      </c>
      <c r="BI182" s="87">
        <f>IF(Dyn_Insured="","",IF(ISNUMBER(BE182)=FALSE,"n/a",MIN(MAX(BE182-'Layer Comparison'!Excess_Latest,0),'Layer Comparison'!Limit_Latest)))</f>
        <v>71716853.303600013</v>
      </c>
      <c r="BJ182" s="87">
        <f t="shared" ref="BJ182:BJ221" si="432">IF(Dyn_Insured="","",IF(ISNUMBER(BI182)=FALSE,0,BI182)-IF(ISNUMBER(BH182)=FALSE,0,BH182))</f>
        <v>1999066.5768999904</v>
      </c>
      <c r="BK182" s="88">
        <f t="shared" ref="BK182:BK221" si="433">BJ182</f>
        <v>1999066.5768999904</v>
      </c>
      <c r="BL182" s="87">
        <v>95563068.813800007</v>
      </c>
      <c r="BM182" s="87">
        <v>100264110.22149999</v>
      </c>
      <c r="BN182" s="87">
        <f t="shared" ref="BN182:BN221" si="434">IF(Dyn_Insured="","",IF(ISNUMBER(BM182)=FALSE,0,BM182)-IF(ISNUMBER(BL182)=FALSE,0,BL182))</f>
        <v>4701041.4076999873</v>
      </c>
      <c r="BO182" s="88">
        <f t="shared" ref="BO182:BO221" si="435">BN182</f>
        <v>4701041.4076999873</v>
      </c>
      <c r="BP182" s="87">
        <f>IF(Dyn_Insured="","",IF(ISNUMBER(BL182)=FALSE,"n/a",MIN(MAX(BL182-'Layer Comparison'!Excess_Past,0),'Layer Comparison'!Limit_Past)))</f>
        <v>80563068.813800007</v>
      </c>
      <c r="BQ182" s="87">
        <f>IF(Dyn_Insured="","",IF(ISNUMBER(BM182)=FALSE,"n/a",MIN(MAX(BM182-'Layer Comparison'!Excess_Latest,0),'Layer Comparison'!Limit_Latest)))</f>
        <v>85264110.221499994</v>
      </c>
      <c r="BR182" s="87">
        <f t="shared" ref="BR182:BR221" si="436">IF(Dyn_Insured="","",IF(ISNUMBER(BQ182)=FALSE,0,BQ182)-IF(ISNUMBER(BP182)=FALSE,0,BP182))</f>
        <v>4701041.4076999873</v>
      </c>
      <c r="BS182" s="88">
        <f t="shared" ref="BS182:BS221" si="437">BR182</f>
        <v>4701041.4076999873</v>
      </c>
      <c r="BT182" s="46" t="s">
        <v>13</v>
      </c>
    </row>
    <row r="183" spans="1:72" x14ac:dyDescent="0.25">
      <c r="A183" s="89">
        <v>183</v>
      </c>
      <c r="B183" s="89">
        <f t="shared" si="403"/>
        <v>1</v>
      </c>
      <c r="C183" s="89">
        <f t="shared" si="404"/>
        <v>1</v>
      </c>
      <c r="D183" s="90">
        <f t="shared" si="405"/>
        <v>1</v>
      </c>
      <c r="E183" s="90">
        <f t="shared" si="405"/>
        <v>1</v>
      </c>
      <c r="F183" s="48" t="s">
        <v>132</v>
      </c>
      <c r="G183" s="38" t="s">
        <v>38</v>
      </c>
      <c r="H183" s="87">
        <v>1162992.7916000001</v>
      </c>
      <c r="I183" s="87">
        <v>966438.74339999992</v>
      </c>
      <c r="J183" s="87">
        <f t="shared" si="406"/>
        <v>-196554.04820000019</v>
      </c>
      <c r="K183" s="88">
        <f t="shared" si="407"/>
        <v>-196554.04820000019</v>
      </c>
      <c r="L183" s="87">
        <f>IF(Dyn_Insured="","",IF(ISNUMBER(H183)=FALSE,"n/a",MIN(MAX(H183-'Layer Comparison'!Excess_Past,0),'Layer Comparison'!Limit_Past)))</f>
        <v>0</v>
      </c>
      <c r="M183" s="87">
        <f>IF(Dyn_Insured="","",IF(ISNUMBER(I183)=FALSE,"n/a",MIN(MAX(I183-'Layer Comparison'!Excess_Latest,0),'Layer Comparison'!Limit_Latest)))</f>
        <v>0</v>
      </c>
      <c r="N183" s="87">
        <f t="shared" si="408"/>
        <v>0</v>
      </c>
      <c r="O183" s="88">
        <f t="shared" si="409"/>
        <v>0</v>
      </c>
      <c r="P183" s="87">
        <v>9956262.1446000002</v>
      </c>
      <c r="Q183" s="87">
        <v>8677234.5694999993</v>
      </c>
      <c r="R183" s="87">
        <f t="shared" si="410"/>
        <v>-1279027.5751000009</v>
      </c>
      <c r="S183" s="88">
        <f t="shared" si="411"/>
        <v>-1279027.5751000009</v>
      </c>
      <c r="T183" s="87">
        <f>IF(Dyn_Insured="","",IF(ISNUMBER(P183)=FALSE,"n/a",MIN(MAX(P183-'Layer Comparison'!Excess_Past,0),'Layer Comparison'!Limit_Past)))</f>
        <v>0</v>
      </c>
      <c r="U183" s="87">
        <f>IF(Dyn_Insured="","",IF(ISNUMBER(Q183)=FALSE,"n/a",MIN(MAX(Q183-'Layer Comparison'!Excess_Latest,0),'Layer Comparison'!Limit_Latest)))</f>
        <v>0</v>
      </c>
      <c r="V183" s="87">
        <f t="shared" si="412"/>
        <v>0</v>
      </c>
      <c r="W183" s="88">
        <f t="shared" si="413"/>
        <v>0</v>
      </c>
      <c r="X183" s="87">
        <v>19193376.891099997</v>
      </c>
      <c r="Y183" s="87">
        <v>18087104.803199999</v>
      </c>
      <c r="Z183" s="87">
        <f t="shared" si="414"/>
        <v>-1106272.0878999978</v>
      </c>
      <c r="AA183" s="88">
        <f t="shared" si="415"/>
        <v>-1106272.0878999978</v>
      </c>
      <c r="AB183" s="87">
        <f>IF(Dyn_Insured="","",IF(ISNUMBER(X183)=FALSE,"n/a",MIN(MAX(X183-'Layer Comparison'!Excess_Past,0),'Layer Comparison'!Limit_Past)))</f>
        <v>4193376.8910999969</v>
      </c>
      <c r="AC183" s="87">
        <f>IF(Dyn_Insured="","",IF(ISNUMBER(Y183)=FALSE,"n/a",MIN(MAX(Y183-'Layer Comparison'!Excess_Latest,0),'Layer Comparison'!Limit_Latest)))</f>
        <v>3087104.803199999</v>
      </c>
      <c r="AD183" s="87">
        <f t="shared" si="416"/>
        <v>-1106272.0878999978</v>
      </c>
      <c r="AE183" s="88">
        <f t="shared" si="417"/>
        <v>-1106272.0878999978</v>
      </c>
      <c r="AF183" s="87">
        <v>30254576.742500003</v>
      </c>
      <c r="AG183" s="87">
        <v>29282069.437500007</v>
      </c>
      <c r="AH183" s="87">
        <f t="shared" si="418"/>
        <v>-972507.30499999598</v>
      </c>
      <c r="AI183" s="88">
        <f t="shared" si="419"/>
        <v>-972507.30499999598</v>
      </c>
      <c r="AJ183" s="87">
        <f>IF(Dyn_Insured="","",IF(ISNUMBER(AF183)=FALSE,"n/a",MIN(MAX(AF183-'Layer Comparison'!Excess_Past,0),'Layer Comparison'!Limit_Past)))</f>
        <v>15254576.742500003</v>
      </c>
      <c r="AK183" s="87">
        <f>IF(Dyn_Insured="","",IF(ISNUMBER(AG183)=FALSE,"n/a",MIN(MAX(AG183-'Layer Comparison'!Excess_Latest,0),'Layer Comparison'!Limit_Latest)))</f>
        <v>14282069.437500007</v>
      </c>
      <c r="AL183" s="87">
        <f t="shared" si="420"/>
        <v>-972507.30499999598</v>
      </c>
      <c r="AM183" s="88">
        <f t="shared" si="421"/>
        <v>-972507.30499999598</v>
      </c>
      <c r="AN183" s="87">
        <v>53246478.637199998</v>
      </c>
      <c r="AO183" s="87">
        <v>53117111.272500008</v>
      </c>
      <c r="AP183" s="87">
        <f t="shared" si="422"/>
        <v>-129367.36469998956</v>
      </c>
      <c r="AQ183" s="88">
        <f t="shared" si="423"/>
        <v>-129367.36469998956</v>
      </c>
      <c r="AR183" s="87">
        <f>IF(Dyn_Insured="","",IF(ISNUMBER(AN183)=FALSE,"n/a",MIN(MAX(AN183-'Layer Comparison'!Excess_Past,0),'Layer Comparison'!Limit_Past)))</f>
        <v>38246478.637199998</v>
      </c>
      <c r="AS183" s="87">
        <f>IF(Dyn_Insured="","",IF(ISNUMBER(AO183)=FALSE,"n/a",MIN(MAX(AO183-'Layer Comparison'!Excess_Latest,0),'Layer Comparison'!Limit_Latest)))</f>
        <v>38117111.272500008</v>
      </c>
      <c r="AT183" s="87">
        <f t="shared" si="424"/>
        <v>-129367.36469998956</v>
      </c>
      <c r="AU183" s="88">
        <f t="shared" si="425"/>
        <v>-129367.36469998956</v>
      </c>
      <c r="AV183" s="87">
        <v>61653091.158800013</v>
      </c>
      <c r="AW183" s="87">
        <v>61459933.650699988</v>
      </c>
      <c r="AX183" s="87">
        <f t="shared" si="426"/>
        <v>-193157.50810002536</v>
      </c>
      <c r="AY183" s="88">
        <f t="shared" si="427"/>
        <v>-193157.50810002536</v>
      </c>
      <c r="AZ183" s="87">
        <f>IF(Dyn_Insured="","",IF(ISNUMBER(AV183)=FALSE,"n/a",MIN(MAX(AV183-'Layer Comparison'!Excess_Past,0),'Layer Comparison'!Limit_Past)))</f>
        <v>46653091.158800013</v>
      </c>
      <c r="BA183" s="87">
        <f>IF(Dyn_Insured="","",IF(ISNUMBER(AW183)=FALSE,"n/a",MIN(MAX(AW183-'Layer Comparison'!Excess_Latest,0),'Layer Comparison'!Limit_Latest)))</f>
        <v>46459933.650699988</v>
      </c>
      <c r="BB183" s="87">
        <f t="shared" si="428"/>
        <v>-193157.50810002536</v>
      </c>
      <c r="BC183" s="88">
        <f t="shared" si="429"/>
        <v>-193157.50810002536</v>
      </c>
      <c r="BD183" s="87">
        <v>62551674.736599997</v>
      </c>
      <c r="BE183" s="87">
        <v>62431647.127300009</v>
      </c>
      <c r="BF183" s="87">
        <f t="shared" si="430"/>
        <v>-120027.60929998755</v>
      </c>
      <c r="BG183" s="88">
        <f t="shared" si="431"/>
        <v>-120027.60929998755</v>
      </c>
      <c r="BH183" s="87">
        <f>IF(Dyn_Insured="","",IF(ISNUMBER(BD183)=FALSE,"n/a",MIN(MAX(BD183-'Layer Comparison'!Excess_Past,0),'Layer Comparison'!Limit_Past)))</f>
        <v>47551674.736599997</v>
      </c>
      <c r="BI183" s="87">
        <f>IF(Dyn_Insured="","",IF(ISNUMBER(BE183)=FALSE,"n/a",MIN(MAX(BE183-'Layer Comparison'!Excess_Latest,0),'Layer Comparison'!Limit_Latest)))</f>
        <v>47431647.127300009</v>
      </c>
      <c r="BJ183" s="87">
        <f t="shared" si="432"/>
        <v>-120027.60929998755</v>
      </c>
      <c r="BK183" s="88">
        <f t="shared" si="433"/>
        <v>-120027.60929998755</v>
      </c>
      <c r="BL183" s="87">
        <v>62551674.736599997</v>
      </c>
      <c r="BM183" s="87">
        <v>62431647.127300009</v>
      </c>
      <c r="BN183" s="87">
        <f t="shared" si="434"/>
        <v>-120027.60929998755</v>
      </c>
      <c r="BO183" s="88">
        <f t="shared" si="435"/>
        <v>-120027.60929998755</v>
      </c>
      <c r="BP183" s="87">
        <f>IF(Dyn_Insured="","",IF(ISNUMBER(BL183)=FALSE,"n/a",MIN(MAX(BL183-'Layer Comparison'!Excess_Past,0),'Layer Comparison'!Limit_Past)))</f>
        <v>47551674.736599997</v>
      </c>
      <c r="BQ183" s="87">
        <f>IF(Dyn_Insured="","",IF(ISNUMBER(BM183)=FALSE,"n/a",MIN(MAX(BM183-'Layer Comparison'!Excess_Latest,0),'Layer Comparison'!Limit_Latest)))</f>
        <v>47431647.127300009</v>
      </c>
      <c r="BR183" s="87">
        <f t="shared" si="436"/>
        <v>-120027.60929998755</v>
      </c>
      <c r="BS183" s="88">
        <f t="shared" si="437"/>
        <v>-120027.60929998755</v>
      </c>
      <c r="BT183" s="46" t="s">
        <v>13</v>
      </c>
    </row>
    <row r="184" spans="1:72" x14ac:dyDescent="0.25">
      <c r="A184" s="89">
        <v>184</v>
      </c>
      <c r="B184" s="89">
        <f t="shared" si="403"/>
        <v>1</v>
      </c>
      <c r="C184" s="89">
        <f t="shared" si="404"/>
        <v>1</v>
      </c>
      <c r="D184" s="90">
        <f t="shared" si="405"/>
        <v>1</v>
      </c>
      <c r="E184" s="90">
        <f t="shared" si="405"/>
        <v>1</v>
      </c>
      <c r="F184" s="48" t="s">
        <v>133</v>
      </c>
      <c r="G184" s="38" t="s">
        <v>38</v>
      </c>
      <c r="H184" s="87">
        <v>2889794.2072999999</v>
      </c>
      <c r="I184" s="87">
        <v>3292225.8681999999</v>
      </c>
      <c r="J184" s="87">
        <f t="shared" si="406"/>
        <v>402431.66090000002</v>
      </c>
      <c r="K184" s="88">
        <f t="shared" si="407"/>
        <v>402431.66090000002</v>
      </c>
      <c r="L184" s="87">
        <f>IF(Dyn_Insured="","",IF(ISNUMBER(H184)=FALSE,"n/a",MIN(MAX(H184-'Layer Comparison'!Excess_Past,0),'Layer Comparison'!Limit_Past)))</f>
        <v>0</v>
      </c>
      <c r="M184" s="87">
        <f>IF(Dyn_Insured="","",IF(ISNUMBER(I184)=FALSE,"n/a",MIN(MAX(I184-'Layer Comparison'!Excess_Latest,0),'Layer Comparison'!Limit_Latest)))</f>
        <v>0</v>
      </c>
      <c r="N184" s="87">
        <f t="shared" si="408"/>
        <v>0</v>
      </c>
      <c r="O184" s="88">
        <f t="shared" si="409"/>
        <v>0</v>
      </c>
      <c r="P184" s="87">
        <v>13931193.629799999</v>
      </c>
      <c r="Q184" s="87">
        <v>14115445.820500001</v>
      </c>
      <c r="R184" s="87">
        <f t="shared" si="410"/>
        <v>184252.19070000201</v>
      </c>
      <c r="S184" s="88">
        <f t="shared" si="411"/>
        <v>184252.19070000201</v>
      </c>
      <c r="T184" s="87">
        <f>IF(Dyn_Insured="","",IF(ISNUMBER(P184)=FALSE,"n/a",MIN(MAX(P184-'Layer Comparison'!Excess_Past,0),'Layer Comparison'!Limit_Past)))</f>
        <v>0</v>
      </c>
      <c r="U184" s="87">
        <f>IF(Dyn_Insured="","",IF(ISNUMBER(Q184)=FALSE,"n/a",MIN(MAX(Q184-'Layer Comparison'!Excess_Latest,0),'Layer Comparison'!Limit_Latest)))</f>
        <v>0</v>
      </c>
      <c r="V184" s="87">
        <f t="shared" si="412"/>
        <v>0</v>
      </c>
      <c r="W184" s="88">
        <f t="shared" si="413"/>
        <v>0</v>
      </c>
      <c r="X184" s="87">
        <v>27511643.653699998</v>
      </c>
      <c r="Y184" s="87">
        <v>26801368.527499992</v>
      </c>
      <c r="Z184" s="87">
        <f t="shared" si="414"/>
        <v>-710275.12620000541</v>
      </c>
      <c r="AA184" s="88">
        <f t="shared" si="415"/>
        <v>-710275.12620000541</v>
      </c>
      <c r="AB184" s="87">
        <f>IF(Dyn_Insured="","",IF(ISNUMBER(X184)=FALSE,"n/a",MIN(MAX(X184-'Layer Comparison'!Excess_Past,0),'Layer Comparison'!Limit_Past)))</f>
        <v>12511643.653699998</v>
      </c>
      <c r="AC184" s="87">
        <f>IF(Dyn_Insured="","",IF(ISNUMBER(Y184)=FALSE,"n/a",MIN(MAX(Y184-'Layer Comparison'!Excess_Latest,0),'Layer Comparison'!Limit_Latest)))</f>
        <v>11801368.527499992</v>
      </c>
      <c r="AD184" s="87">
        <f t="shared" si="416"/>
        <v>-710275.12620000541</v>
      </c>
      <c r="AE184" s="88">
        <f t="shared" si="417"/>
        <v>-710275.12620000541</v>
      </c>
      <c r="AF184" s="87">
        <v>42307095.322699994</v>
      </c>
      <c r="AG184" s="87">
        <v>40495678.636900008</v>
      </c>
      <c r="AH184" s="87">
        <f t="shared" si="418"/>
        <v>-1811416.6857999861</v>
      </c>
      <c r="AI184" s="88">
        <f t="shared" si="419"/>
        <v>-1811416.6857999861</v>
      </c>
      <c r="AJ184" s="87">
        <f>IF(Dyn_Insured="","",IF(ISNUMBER(AF184)=FALSE,"n/a",MIN(MAX(AF184-'Layer Comparison'!Excess_Past,0),'Layer Comparison'!Limit_Past)))</f>
        <v>27307095.322699994</v>
      </c>
      <c r="AK184" s="87">
        <f>IF(Dyn_Insured="","",IF(ISNUMBER(AG184)=FALSE,"n/a",MIN(MAX(AG184-'Layer Comparison'!Excess_Latest,0),'Layer Comparison'!Limit_Latest)))</f>
        <v>25495678.636900008</v>
      </c>
      <c r="AL184" s="87">
        <f t="shared" si="420"/>
        <v>-1811416.6857999861</v>
      </c>
      <c r="AM184" s="88">
        <f t="shared" si="421"/>
        <v>-1811416.6857999861</v>
      </c>
      <c r="AN184" s="87">
        <v>72275967.707000017</v>
      </c>
      <c r="AO184" s="87">
        <v>69674441.933000013</v>
      </c>
      <c r="AP184" s="87">
        <f t="shared" si="422"/>
        <v>-2601525.7740000039</v>
      </c>
      <c r="AQ184" s="88">
        <f t="shared" si="423"/>
        <v>-2601525.7740000039</v>
      </c>
      <c r="AR184" s="87">
        <f>IF(Dyn_Insured="","",IF(ISNUMBER(AN184)=FALSE,"n/a",MIN(MAX(AN184-'Layer Comparison'!Excess_Past,0),'Layer Comparison'!Limit_Past)))</f>
        <v>57275967.707000017</v>
      </c>
      <c r="AS184" s="87">
        <f>IF(Dyn_Insured="","",IF(ISNUMBER(AO184)=FALSE,"n/a",MIN(MAX(AO184-'Layer Comparison'!Excess_Latest,0),'Layer Comparison'!Limit_Latest)))</f>
        <v>54674441.933000013</v>
      </c>
      <c r="AT184" s="87">
        <f t="shared" si="424"/>
        <v>-2601525.7740000039</v>
      </c>
      <c r="AU184" s="88">
        <f t="shared" si="425"/>
        <v>-2601525.7740000039</v>
      </c>
      <c r="AV184" s="87">
        <v>100680486.4094</v>
      </c>
      <c r="AW184" s="87">
        <v>98627878.063999966</v>
      </c>
      <c r="AX184" s="87">
        <f t="shared" si="426"/>
        <v>-2052608.3454000354</v>
      </c>
      <c r="AY184" s="88">
        <f t="shared" si="427"/>
        <v>-2052608.3454000354</v>
      </c>
      <c r="AZ184" s="87">
        <f>IF(Dyn_Insured="","",IF(ISNUMBER(AV184)=FALSE,"n/a",MIN(MAX(AV184-'Layer Comparison'!Excess_Past,0),'Layer Comparison'!Limit_Past)))</f>
        <v>85680486.409400001</v>
      </c>
      <c r="BA184" s="87">
        <f>IF(Dyn_Insured="","",IF(ISNUMBER(AW184)=FALSE,"n/a",MIN(MAX(AW184-'Layer Comparison'!Excess_Latest,0),'Layer Comparison'!Limit_Latest)))</f>
        <v>83627878.063999966</v>
      </c>
      <c r="BB184" s="87">
        <f t="shared" si="428"/>
        <v>-2052608.3454000354</v>
      </c>
      <c r="BC184" s="88">
        <f t="shared" si="429"/>
        <v>-2052608.3454000354</v>
      </c>
      <c r="BD184" s="87">
        <v>122894165.81909998</v>
      </c>
      <c r="BE184" s="87">
        <v>120897532.19479994</v>
      </c>
      <c r="BF184" s="87">
        <f t="shared" si="430"/>
        <v>-1996633.6243000329</v>
      </c>
      <c r="BG184" s="88">
        <f t="shared" si="431"/>
        <v>-1996633.6243000329</v>
      </c>
      <c r="BH184" s="87">
        <f>IF(Dyn_Insured="","",IF(ISNUMBER(BD184)=FALSE,"n/a",MIN(MAX(BD184-'Layer Comparison'!Excess_Past,0),'Layer Comparison'!Limit_Past)))</f>
        <v>107894165.81909998</v>
      </c>
      <c r="BI184" s="87">
        <f>IF(Dyn_Insured="","",IF(ISNUMBER(BE184)=FALSE,"n/a",MIN(MAX(BE184-'Layer Comparison'!Excess_Latest,0),'Layer Comparison'!Limit_Latest)))</f>
        <v>105897532.19479994</v>
      </c>
      <c r="BJ184" s="87">
        <f t="shared" si="432"/>
        <v>-1996633.6243000329</v>
      </c>
      <c r="BK184" s="88">
        <f t="shared" si="433"/>
        <v>-1996633.6243000329</v>
      </c>
      <c r="BL184" s="87">
        <v>140069599.79790002</v>
      </c>
      <c r="BM184" s="87">
        <v>131835522.79810001</v>
      </c>
      <c r="BN184" s="87">
        <f t="shared" si="434"/>
        <v>-8234076.9998000115</v>
      </c>
      <c r="BO184" s="88">
        <f t="shared" si="435"/>
        <v>-8234076.9998000115</v>
      </c>
      <c r="BP184" s="87">
        <f>IF(Dyn_Insured="","",IF(ISNUMBER(BL184)=FALSE,"n/a",MIN(MAX(BL184-'Layer Comparison'!Excess_Past,0),'Layer Comparison'!Limit_Past)))</f>
        <v>125069599.79790002</v>
      </c>
      <c r="BQ184" s="87">
        <f>IF(Dyn_Insured="","",IF(ISNUMBER(BM184)=FALSE,"n/a",MIN(MAX(BM184-'Layer Comparison'!Excess_Latest,0),'Layer Comparison'!Limit_Latest)))</f>
        <v>116835522.79810001</v>
      </c>
      <c r="BR184" s="87">
        <f t="shared" si="436"/>
        <v>-8234076.9998000115</v>
      </c>
      <c r="BS184" s="88">
        <f t="shared" si="437"/>
        <v>-8234076.9998000115</v>
      </c>
      <c r="BT184" s="46" t="s">
        <v>13</v>
      </c>
    </row>
    <row r="185" spans="1:72" x14ac:dyDescent="0.25">
      <c r="A185" s="89">
        <v>185</v>
      </c>
      <c r="B185" s="89">
        <f t="shared" si="403"/>
        <v>1</v>
      </c>
      <c r="C185" s="89">
        <f t="shared" si="404"/>
        <v>1</v>
      </c>
      <c r="D185" s="90">
        <f t="shared" si="405"/>
        <v>1</v>
      </c>
      <c r="E185" s="90">
        <f t="shared" si="405"/>
        <v>1</v>
      </c>
      <c r="F185" s="48" t="s">
        <v>134</v>
      </c>
      <c r="G185" s="38" t="s">
        <v>38</v>
      </c>
      <c r="H185" s="87">
        <v>1525251.5813</v>
      </c>
      <c r="I185" s="87">
        <v>1298302.7351000002</v>
      </c>
      <c r="J185" s="87">
        <f t="shared" si="406"/>
        <v>-226948.8461999998</v>
      </c>
      <c r="K185" s="88">
        <f t="shared" si="407"/>
        <v>-226948.8461999998</v>
      </c>
      <c r="L185" s="87">
        <f>IF(Dyn_Insured="","",IF(ISNUMBER(H185)=FALSE,"n/a",MIN(MAX(H185-'Layer Comparison'!Excess_Past,0),'Layer Comparison'!Limit_Past)))</f>
        <v>0</v>
      </c>
      <c r="M185" s="87">
        <f>IF(Dyn_Insured="","",IF(ISNUMBER(I185)=FALSE,"n/a",MIN(MAX(I185-'Layer Comparison'!Excess_Latest,0),'Layer Comparison'!Limit_Latest)))</f>
        <v>0</v>
      </c>
      <c r="N185" s="87">
        <f t="shared" si="408"/>
        <v>0</v>
      </c>
      <c r="O185" s="88">
        <f t="shared" si="409"/>
        <v>0</v>
      </c>
      <c r="P185" s="87">
        <v>11788302.489500001</v>
      </c>
      <c r="Q185" s="87">
        <v>11609648.323900001</v>
      </c>
      <c r="R185" s="87">
        <f t="shared" si="410"/>
        <v>-178654.16559999995</v>
      </c>
      <c r="S185" s="88">
        <f t="shared" si="411"/>
        <v>-178654.16559999995</v>
      </c>
      <c r="T185" s="87">
        <f>IF(Dyn_Insured="","",IF(ISNUMBER(P185)=FALSE,"n/a",MIN(MAX(P185-'Layer Comparison'!Excess_Past,0),'Layer Comparison'!Limit_Past)))</f>
        <v>0</v>
      </c>
      <c r="U185" s="87">
        <f>IF(Dyn_Insured="","",IF(ISNUMBER(Q185)=FALSE,"n/a",MIN(MAX(Q185-'Layer Comparison'!Excess_Latest,0),'Layer Comparison'!Limit_Latest)))</f>
        <v>0</v>
      </c>
      <c r="V185" s="87">
        <f t="shared" si="412"/>
        <v>0</v>
      </c>
      <c r="W185" s="88">
        <f t="shared" si="413"/>
        <v>0</v>
      </c>
      <c r="X185" s="87">
        <v>22905643.556699999</v>
      </c>
      <c r="Y185" s="87">
        <v>24056208.641399994</v>
      </c>
      <c r="Z185" s="87">
        <f t="shared" si="414"/>
        <v>1150565.0846999958</v>
      </c>
      <c r="AA185" s="88">
        <f t="shared" si="415"/>
        <v>1150565.0846999958</v>
      </c>
      <c r="AB185" s="87">
        <f>IF(Dyn_Insured="","",IF(ISNUMBER(X185)=FALSE,"n/a",MIN(MAX(X185-'Layer Comparison'!Excess_Past,0),'Layer Comparison'!Limit_Past)))</f>
        <v>7905643.5566999987</v>
      </c>
      <c r="AC185" s="87">
        <f>IF(Dyn_Insured="","",IF(ISNUMBER(Y185)=FALSE,"n/a",MIN(MAX(Y185-'Layer Comparison'!Excess_Latest,0),'Layer Comparison'!Limit_Latest)))</f>
        <v>9056208.6413999945</v>
      </c>
      <c r="AD185" s="87">
        <f t="shared" si="416"/>
        <v>1150565.0846999958</v>
      </c>
      <c r="AE185" s="88">
        <f t="shared" si="417"/>
        <v>1150565.0846999958</v>
      </c>
      <c r="AF185" s="87">
        <v>36046263.794200003</v>
      </c>
      <c r="AG185" s="87">
        <v>38501741.842099994</v>
      </c>
      <c r="AH185" s="87">
        <f t="shared" si="418"/>
        <v>2455478.0478999913</v>
      </c>
      <c r="AI185" s="88">
        <f t="shared" si="419"/>
        <v>2455478.0478999913</v>
      </c>
      <c r="AJ185" s="87">
        <f>IF(Dyn_Insured="","",IF(ISNUMBER(AF185)=FALSE,"n/a",MIN(MAX(AF185-'Layer Comparison'!Excess_Past,0),'Layer Comparison'!Limit_Past)))</f>
        <v>21046263.794200003</v>
      </c>
      <c r="AK185" s="87">
        <f>IF(Dyn_Insured="","",IF(ISNUMBER(AG185)=FALSE,"n/a",MIN(MAX(AG185-'Layer Comparison'!Excess_Latest,0),'Layer Comparison'!Limit_Latest)))</f>
        <v>23501741.842099994</v>
      </c>
      <c r="AL185" s="87">
        <f t="shared" si="420"/>
        <v>2455478.0478999913</v>
      </c>
      <c r="AM185" s="88">
        <f t="shared" si="421"/>
        <v>2455478.0478999913</v>
      </c>
      <c r="AN185" s="87">
        <v>61864195.765100017</v>
      </c>
      <c r="AO185" s="87">
        <v>65617859.787200004</v>
      </c>
      <c r="AP185" s="87">
        <f t="shared" si="422"/>
        <v>3753664.0220999867</v>
      </c>
      <c r="AQ185" s="88">
        <f t="shared" si="423"/>
        <v>3753664.0220999867</v>
      </c>
      <c r="AR185" s="87">
        <f>IF(Dyn_Insured="","",IF(ISNUMBER(AN185)=FALSE,"n/a",MIN(MAX(AN185-'Layer Comparison'!Excess_Past,0),'Layer Comparison'!Limit_Past)))</f>
        <v>46864195.765100017</v>
      </c>
      <c r="AS185" s="87">
        <f>IF(Dyn_Insured="","",IF(ISNUMBER(AO185)=FALSE,"n/a",MIN(MAX(AO185-'Layer Comparison'!Excess_Latest,0),'Layer Comparison'!Limit_Latest)))</f>
        <v>50617859.787200004</v>
      </c>
      <c r="AT185" s="87">
        <f t="shared" si="424"/>
        <v>3753664.0220999867</v>
      </c>
      <c r="AU185" s="88">
        <f t="shared" si="425"/>
        <v>3753664.0220999867</v>
      </c>
      <c r="AV185" s="87">
        <v>70815991.964100003</v>
      </c>
      <c r="AW185" s="87">
        <v>74812629.343899995</v>
      </c>
      <c r="AX185" s="87">
        <f t="shared" si="426"/>
        <v>3996637.3797999918</v>
      </c>
      <c r="AY185" s="88">
        <f t="shared" si="427"/>
        <v>3996637.3797999918</v>
      </c>
      <c r="AZ185" s="87">
        <f>IF(Dyn_Insured="","",IF(ISNUMBER(AV185)=FALSE,"n/a",MIN(MAX(AV185-'Layer Comparison'!Excess_Past,0),'Layer Comparison'!Limit_Past)))</f>
        <v>55815991.964100003</v>
      </c>
      <c r="BA185" s="87">
        <f>IF(Dyn_Insured="","",IF(ISNUMBER(AW185)=FALSE,"n/a",MIN(MAX(AW185-'Layer Comparison'!Excess_Latest,0),'Layer Comparison'!Limit_Latest)))</f>
        <v>59812629.343899995</v>
      </c>
      <c r="BB185" s="87">
        <f t="shared" si="428"/>
        <v>3996637.3797999918</v>
      </c>
      <c r="BC185" s="88">
        <f t="shared" si="429"/>
        <v>3996637.3797999918</v>
      </c>
      <c r="BD185" s="87">
        <v>70815991.964100018</v>
      </c>
      <c r="BE185" s="87">
        <v>74812629.34389998</v>
      </c>
      <c r="BF185" s="87">
        <f t="shared" si="430"/>
        <v>3996637.379799962</v>
      </c>
      <c r="BG185" s="88">
        <f t="shared" si="431"/>
        <v>3996637.379799962</v>
      </c>
      <c r="BH185" s="87">
        <f>IF(Dyn_Insured="","",IF(ISNUMBER(BD185)=FALSE,"n/a",MIN(MAX(BD185-'Layer Comparison'!Excess_Past,0),'Layer Comparison'!Limit_Past)))</f>
        <v>55815991.964100018</v>
      </c>
      <c r="BI185" s="87">
        <f>IF(Dyn_Insured="","",IF(ISNUMBER(BE185)=FALSE,"n/a",MIN(MAX(BE185-'Layer Comparison'!Excess_Latest,0),'Layer Comparison'!Limit_Latest)))</f>
        <v>59812629.34389998</v>
      </c>
      <c r="BJ185" s="87">
        <f t="shared" si="432"/>
        <v>3996637.379799962</v>
      </c>
      <c r="BK185" s="88">
        <f t="shared" si="433"/>
        <v>3996637.379799962</v>
      </c>
      <c r="BL185" s="87">
        <v>70815991.964100018</v>
      </c>
      <c r="BM185" s="87">
        <v>74812629.34389998</v>
      </c>
      <c r="BN185" s="87">
        <f t="shared" si="434"/>
        <v>3996637.379799962</v>
      </c>
      <c r="BO185" s="88">
        <f t="shared" si="435"/>
        <v>3996637.379799962</v>
      </c>
      <c r="BP185" s="87">
        <f>IF(Dyn_Insured="","",IF(ISNUMBER(BL185)=FALSE,"n/a",MIN(MAX(BL185-'Layer Comparison'!Excess_Past,0),'Layer Comparison'!Limit_Past)))</f>
        <v>55815991.964100018</v>
      </c>
      <c r="BQ185" s="87">
        <f>IF(Dyn_Insured="","",IF(ISNUMBER(BM185)=FALSE,"n/a",MIN(MAX(BM185-'Layer Comparison'!Excess_Latest,0),'Layer Comparison'!Limit_Latest)))</f>
        <v>59812629.34389998</v>
      </c>
      <c r="BR185" s="87">
        <f t="shared" si="436"/>
        <v>3996637.379799962</v>
      </c>
      <c r="BS185" s="88">
        <f t="shared" si="437"/>
        <v>3996637.379799962</v>
      </c>
      <c r="BT185" s="46" t="s">
        <v>13</v>
      </c>
    </row>
    <row r="186" spans="1:72" x14ac:dyDescent="0.25">
      <c r="A186" s="89">
        <v>186</v>
      </c>
      <c r="B186" s="89">
        <f t="shared" si="403"/>
        <v>1</v>
      </c>
      <c r="C186" s="89">
        <f t="shared" si="404"/>
        <v>1</v>
      </c>
      <c r="D186" s="90">
        <f t="shared" si="405"/>
        <v>1</v>
      </c>
      <c r="E186" s="90">
        <f t="shared" si="405"/>
        <v>1</v>
      </c>
      <c r="F186" s="48" t="s">
        <v>135</v>
      </c>
      <c r="G186" s="38" t="s">
        <v>38</v>
      </c>
      <c r="H186" s="87">
        <v>851020.67220000003</v>
      </c>
      <c r="I186" s="87">
        <v>859431.22620000003</v>
      </c>
      <c r="J186" s="87">
        <f t="shared" si="406"/>
        <v>8410.5540000000037</v>
      </c>
      <c r="K186" s="88">
        <f t="shared" si="407"/>
        <v>8410.5540000000037</v>
      </c>
      <c r="L186" s="87">
        <f>IF(Dyn_Insured="","",IF(ISNUMBER(H186)=FALSE,"n/a",MIN(MAX(H186-'Layer Comparison'!Excess_Past,0),'Layer Comparison'!Limit_Past)))</f>
        <v>0</v>
      </c>
      <c r="M186" s="87">
        <f>IF(Dyn_Insured="","",IF(ISNUMBER(I186)=FALSE,"n/a",MIN(MAX(I186-'Layer Comparison'!Excess_Latest,0),'Layer Comparison'!Limit_Latest)))</f>
        <v>0</v>
      </c>
      <c r="N186" s="87">
        <f t="shared" si="408"/>
        <v>0</v>
      </c>
      <c r="O186" s="88">
        <f t="shared" si="409"/>
        <v>0</v>
      </c>
      <c r="P186" s="87">
        <v>9466531.3256999999</v>
      </c>
      <c r="Q186" s="87">
        <v>7552062.0144999996</v>
      </c>
      <c r="R186" s="87">
        <f t="shared" si="410"/>
        <v>-1914469.3112000003</v>
      </c>
      <c r="S186" s="88">
        <f t="shared" si="411"/>
        <v>-1914469.3112000003</v>
      </c>
      <c r="T186" s="87">
        <f>IF(Dyn_Insured="","",IF(ISNUMBER(P186)=FALSE,"n/a",MIN(MAX(P186-'Layer Comparison'!Excess_Past,0),'Layer Comparison'!Limit_Past)))</f>
        <v>0</v>
      </c>
      <c r="U186" s="87">
        <f>IF(Dyn_Insured="","",IF(ISNUMBER(Q186)=FALSE,"n/a",MIN(MAX(Q186-'Layer Comparison'!Excess_Latest,0),'Layer Comparison'!Limit_Latest)))</f>
        <v>0</v>
      </c>
      <c r="V186" s="87">
        <f t="shared" si="412"/>
        <v>0</v>
      </c>
      <c r="W186" s="88">
        <f t="shared" si="413"/>
        <v>0</v>
      </c>
      <c r="X186" s="87">
        <v>16915382.404400002</v>
      </c>
      <c r="Y186" s="87">
        <v>15405796.836399999</v>
      </c>
      <c r="Z186" s="87">
        <f t="shared" si="414"/>
        <v>-1509585.5680000037</v>
      </c>
      <c r="AA186" s="88">
        <f t="shared" si="415"/>
        <v>-1509585.5680000037</v>
      </c>
      <c r="AB186" s="87">
        <f>IF(Dyn_Insured="","",IF(ISNUMBER(X186)=FALSE,"n/a",MIN(MAX(X186-'Layer Comparison'!Excess_Past,0),'Layer Comparison'!Limit_Past)))</f>
        <v>1915382.4044000022</v>
      </c>
      <c r="AC186" s="87">
        <f>IF(Dyn_Insured="","",IF(ISNUMBER(Y186)=FALSE,"n/a",MIN(MAX(Y186-'Layer Comparison'!Excess_Latest,0),'Layer Comparison'!Limit_Latest)))</f>
        <v>405796.83639999852</v>
      </c>
      <c r="AD186" s="87">
        <f t="shared" si="416"/>
        <v>-1509585.5680000037</v>
      </c>
      <c r="AE186" s="88">
        <f t="shared" si="417"/>
        <v>-1509585.5680000037</v>
      </c>
      <c r="AF186" s="87">
        <v>24987992.180500001</v>
      </c>
      <c r="AG186" s="87">
        <v>23428967.222100001</v>
      </c>
      <c r="AH186" s="87">
        <f t="shared" si="418"/>
        <v>-1559024.9583999999</v>
      </c>
      <c r="AI186" s="88">
        <f t="shared" si="419"/>
        <v>-1559024.9583999999</v>
      </c>
      <c r="AJ186" s="87">
        <f>IF(Dyn_Insured="","",IF(ISNUMBER(AF186)=FALSE,"n/a",MIN(MAX(AF186-'Layer Comparison'!Excess_Past,0),'Layer Comparison'!Limit_Past)))</f>
        <v>9987992.1805000007</v>
      </c>
      <c r="AK186" s="87">
        <f>IF(Dyn_Insured="","",IF(ISNUMBER(AG186)=FALSE,"n/a",MIN(MAX(AG186-'Layer Comparison'!Excess_Latest,0),'Layer Comparison'!Limit_Latest)))</f>
        <v>8428967.2221000008</v>
      </c>
      <c r="AL186" s="87">
        <f t="shared" si="420"/>
        <v>-1559024.9583999999</v>
      </c>
      <c r="AM186" s="88">
        <f t="shared" si="421"/>
        <v>-1559024.9583999999</v>
      </c>
      <c r="AN186" s="87">
        <v>44237669.660300002</v>
      </c>
      <c r="AO186" s="87">
        <v>44424005.417300001</v>
      </c>
      <c r="AP186" s="87">
        <f t="shared" si="422"/>
        <v>186335.75699999928</v>
      </c>
      <c r="AQ186" s="88">
        <f t="shared" si="423"/>
        <v>186335.75699999928</v>
      </c>
      <c r="AR186" s="87">
        <f>IF(Dyn_Insured="","",IF(ISNUMBER(AN186)=FALSE,"n/a",MIN(MAX(AN186-'Layer Comparison'!Excess_Past,0),'Layer Comparison'!Limit_Past)))</f>
        <v>29237669.660300002</v>
      </c>
      <c r="AS186" s="87">
        <f>IF(Dyn_Insured="","",IF(ISNUMBER(AO186)=FALSE,"n/a",MIN(MAX(AO186-'Layer Comparison'!Excess_Latest,0),'Layer Comparison'!Limit_Latest)))</f>
        <v>29424005.417300001</v>
      </c>
      <c r="AT186" s="87">
        <f t="shared" si="424"/>
        <v>186335.75699999928</v>
      </c>
      <c r="AU186" s="88">
        <f t="shared" si="425"/>
        <v>186335.75699999928</v>
      </c>
      <c r="AV186" s="87">
        <v>62899024.183299989</v>
      </c>
      <c r="AW186" s="87">
        <v>57071062.570400007</v>
      </c>
      <c r="AX186" s="87">
        <f t="shared" si="426"/>
        <v>-5827961.6128999814</v>
      </c>
      <c r="AY186" s="88">
        <f t="shared" si="427"/>
        <v>-5827961.6128999814</v>
      </c>
      <c r="AZ186" s="87">
        <f>IF(Dyn_Insured="","",IF(ISNUMBER(AV186)=FALSE,"n/a",MIN(MAX(AV186-'Layer Comparison'!Excess_Past,0),'Layer Comparison'!Limit_Past)))</f>
        <v>47899024.183299989</v>
      </c>
      <c r="BA186" s="87">
        <f>IF(Dyn_Insured="","",IF(ISNUMBER(AW186)=FALSE,"n/a",MIN(MAX(AW186-'Layer Comparison'!Excess_Latest,0),'Layer Comparison'!Limit_Latest)))</f>
        <v>42071062.570400007</v>
      </c>
      <c r="BB186" s="87">
        <f t="shared" si="428"/>
        <v>-5827961.6128999814</v>
      </c>
      <c r="BC186" s="88">
        <f t="shared" si="429"/>
        <v>-5827961.6128999814</v>
      </c>
      <c r="BD186" s="87">
        <v>62899024.183299989</v>
      </c>
      <c r="BE186" s="87">
        <v>57071062.5704</v>
      </c>
      <c r="BF186" s="87">
        <f t="shared" si="430"/>
        <v>-5827961.6128999889</v>
      </c>
      <c r="BG186" s="88">
        <f t="shared" si="431"/>
        <v>-5827961.6128999889</v>
      </c>
      <c r="BH186" s="87">
        <f>IF(Dyn_Insured="","",IF(ISNUMBER(BD186)=FALSE,"n/a",MIN(MAX(BD186-'Layer Comparison'!Excess_Past,0),'Layer Comparison'!Limit_Past)))</f>
        <v>47899024.183299989</v>
      </c>
      <c r="BI186" s="87">
        <f>IF(Dyn_Insured="","",IF(ISNUMBER(BE186)=FALSE,"n/a",MIN(MAX(BE186-'Layer Comparison'!Excess_Latest,0),'Layer Comparison'!Limit_Latest)))</f>
        <v>42071062.5704</v>
      </c>
      <c r="BJ186" s="87">
        <f t="shared" si="432"/>
        <v>-5827961.6128999889</v>
      </c>
      <c r="BK186" s="88">
        <f t="shared" si="433"/>
        <v>-5827961.6128999889</v>
      </c>
      <c r="BL186" s="87">
        <v>62899024.183299989</v>
      </c>
      <c r="BM186" s="87">
        <v>57071062.5704</v>
      </c>
      <c r="BN186" s="87">
        <f t="shared" si="434"/>
        <v>-5827961.6128999889</v>
      </c>
      <c r="BO186" s="88">
        <f t="shared" si="435"/>
        <v>-5827961.6128999889</v>
      </c>
      <c r="BP186" s="87">
        <f>IF(Dyn_Insured="","",IF(ISNUMBER(BL186)=FALSE,"n/a",MIN(MAX(BL186-'Layer Comparison'!Excess_Past,0),'Layer Comparison'!Limit_Past)))</f>
        <v>47899024.183299989</v>
      </c>
      <c r="BQ186" s="87">
        <f>IF(Dyn_Insured="","",IF(ISNUMBER(BM186)=FALSE,"n/a",MIN(MAX(BM186-'Layer Comparison'!Excess_Latest,0),'Layer Comparison'!Limit_Latest)))</f>
        <v>42071062.5704</v>
      </c>
      <c r="BR186" s="87">
        <f t="shared" si="436"/>
        <v>-5827961.6128999889</v>
      </c>
      <c r="BS186" s="88">
        <f t="shared" si="437"/>
        <v>-5827961.6128999889</v>
      </c>
      <c r="BT186" s="46" t="s">
        <v>13</v>
      </c>
    </row>
    <row r="187" spans="1:72" x14ac:dyDescent="0.25">
      <c r="A187" s="89">
        <v>187</v>
      </c>
      <c r="B187" s="89">
        <f t="shared" si="403"/>
        <v>1</v>
      </c>
      <c r="C187" s="89">
        <f t="shared" si="404"/>
        <v>1</v>
      </c>
      <c r="D187" s="90">
        <f t="shared" si="405"/>
        <v>1</v>
      </c>
      <c r="E187" s="90">
        <f t="shared" si="405"/>
        <v>1</v>
      </c>
      <c r="F187" s="48" t="s">
        <v>136</v>
      </c>
      <c r="G187" s="38" t="s">
        <v>38</v>
      </c>
      <c r="H187" s="87">
        <v>3601061.0205999995</v>
      </c>
      <c r="I187" s="87">
        <v>2213798.3827000004</v>
      </c>
      <c r="J187" s="87">
        <f t="shared" si="406"/>
        <v>-1387262.637899999</v>
      </c>
      <c r="K187" s="88">
        <f t="shared" si="407"/>
        <v>-1387262.637899999</v>
      </c>
      <c r="L187" s="87">
        <f>IF(Dyn_Insured="","",IF(ISNUMBER(H187)=FALSE,"n/a",MIN(MAX(H187-'Layer Comparison'!Excess_Past,0),'Layer Comparison'!Limit_Past)))</f>
        <v>0</v>
      </c>
      <c r="M187" s="87">
        <f>IF(Dyn_Insured="","",IF(ISNUMBER(I187)=FALSE,"n/a",MIN(MAX(I187-'Layer Comparison'!Excess_Latest,0),'Layer Comparison'!Limit_Latest)))</f>
        <v>0</v>
      </c>
      <c r="N187" s="87">
        <f t="shared" si="408"/>
        <v>0</v>
      </c>
      <c r="O187" s="88">
        <f t="shared" si="409"/>
        <v>0</v>
      </c>
      <c r="P187" s="87">
        <v>14278239.619900001</v>
      </c>
      <c r="Q187" s="87">
        <v>10319521.597400002</v>
      </c>
      <c r="R187" s="87">
        <f t="shared" si="410"/>
        <v>-3958718.022499999</v>
      </c>
      <c r="S187" s="88">
        <f t="shared" si="411"/>
        <v>-3958718.022499999</v>
      </c>
      <c r="T187" s="87">
        <f>IF(Dyn_Insured="","",IF(ISNUMBER(P187)=FALSE,"n/a",MIN(MAX(P187-'Layer Comparison'!Excess_Past,0),'Layer Comparison'!Limit_Past)))</f>
        <v>0</v>
      </c>
      <c r="U187" s="87">
        <f>IF(Dyn_Insured="","",IF(ISNUMBER(Q187)=FALSE,"n/a",MIN(MAX(Q187-'Layer Comparison'!Excess_Latest,0),'Layer Comparison'!Limit_Latest)))</f>
        <v>0</v>
      </c>
      <c r="V187" s="87">
        <f t="shared" si="412"/>
        <v>0</v>
      </c>
      <c r="W187" s="88">
        <f t="shared" si="413"/>
        <v>0</v>
      </c>
      <c r="X187" s="87">
        <v>25709828.113800004</v>
      </c>
      <c r="Y187" s="87">
        <v>19941816.866099998</v>
      </c>
      <c r="Z187" s="87">
        <f t="shared" si="414"/>
        <v>-5768011.2477000058</v>
      </c>
      <c r="AA187" s="88">
        <f t="shared" si="415"/>
        <v>-5768011.2477000058</v>
      </c>
      <c r="AB187" s="87">
        <f>IF(Dyn_Insured="","",IF(ISNUMBER(X187)=FALSE,"n/a",MIN(MAX(X187-'Layer Comparison'!Excess_Past,0),'Layer Comparison'!Limit_Past)))</f>
        <v>10709828.113800004</v>
      </c>
      <c r="AC187" s="87">
        <f>IF(Dyn_Insured="","",IF(ISNUMBER(Y187)=FALSE,"n/a",MIN(MAX(Y187-'Layer Comparison'!Excess_Latest,0),'Layer Comparison'!Limit_Latest)))</f>
        <v>4941816.8660999984</v>
      </c>
      <c r="AD187" s="87">
        <f t="shared" si="416"/>
        <v>-5768011.2477000058</v>
      </c>
      <c r="AE187" s="88">
        <f t="shared" si="417"/>
        <v>-5768011.2477000058</v>
      </c>
      <c r="AF187" s="87">
        <v>36234041.321699999</v>
      </c>
      <c r="AG187" s="87">
        <v>29530804.550199997</v>
      </c>
      <c r="AH187" s="87">
        <f t="shared" si="418"/>
        <v>-6703236.7715000026</v>
      </c>
      <c r="AI187" s="88">
        <f t="shared" si="419"/>
        <v>-6703236.7715000026</v>
      </c>
      <c r="AJ187" s="87">
        <f>IF(Dyn_Insured="","",IF(ISNUMBER(AF187)=FALSE,"n/a",MIN(MAX(AF187-'Layer Comparison'!Excess_Past,0),'Layer Comparison'!Limit_Past)))</f>
        <v>21234041.321699999</v>
      </c>
      <c r="AK187" s="87">
        <f>IF(Dyn_Insured="","",IF(ISNUMBER(AG187)=FALSE,"n/a",MIN(MAX(AG187-'Layer Comparison'!Excess_Latest,0),'Layer Comparison'!Limit_Latest)))</f>
        <v>14530804.550199997</v>
      </c>
      <c r="AL187" s="87">
        <f t="shared" si="420"/>
        <v>-6703236.7715000026</v>
      </c>
      <c r="AM187" s="88">
        <f t="shared" si="421"/>
        <v>-6703236.7715000026</v>
      </c>
      <c r="AN187" s="87">
        <v>56670382.189899996</v>
      </c>
      <c r="AO187" s="87">
        <v>49483650.234699994</v>
      </c>
      <c r="AP187" s="87">
        <f t="shared" si="422"/>
        <v>-7186731.9552000016</v>
      </c>
      <c r="AQ187" s="88">
        <f t="shared" si="423"/>
        <v>-7186731.9552000016</v>
      </c>
      <c r="AR187" s="87">
        <f>IF(Dyn_Insured="","",IF(ISNUMBER(AN187)=FALSE,"n/a",MIN(MAX(AN187-'Layer Comparison'!Excess_Past,0),'Layer Comparison'!Limit_Past)))</f>
        <v>41670382.189899996</v>
      </c>
      <c r="AS187" s="87">
        <f>IF(Dyn_Insured="","",IF(ISNUMBER(AO187)=FALSE,"n/a",MIN(MAX(AO187-'Layer Comparison'!Excess_Latest,0),'Layer Comparison'!Limit_Latest)))</f>
        <v>34483650.234699994</v>
      </c>
      <c r="AT187" s="87">
        <f t="shared" si="424"/>
        <v>-7186731.9552000016</v>
      </c>
      <c r="AU187" s="88">
        <f t="shared" si="425"/>
        <v>-7186731.9552000016</v>
      </c>
      <c r="AV187" s="87">
        <v>62748323.696400009</v>
      </c>
      <c r="AW187" s="87">
        <v>55781839.436399996</v>
      </c>
      <c r="AX187" s="87">
        <f t="shared" si="426"/>
        <v>-6966484.2600000128</v>
      </c>
      <c r="AY187" s="88">
        <f t="shared" si="427"/>
        <v>-6966484.2600000128</v>
      </c>
      <c r="AZ187" s="87">
        <f>IF(Dyn_Insured="","",IF(ISNUMBER(AV187)=FALSE,"n/a",MIN(MAX(AV187-'Layer Comparison'!Excess_Past,0),'Layer Comparison'!Limit_Past)))</f>
        <v>47748323.696400009</v>
      </c>
      <c r="BA187" s="87">
        <f>IF(Dyn_Insured="","",IF(ISNUMBER(AW187)=FALSE,"n/a",MIN(MAX(AW187-'Layer Comparison'!Excess_Latest,0),'Layer Comparison'!Limit_Latest)))</f>
        <v>40781839.436399996</v>
      </c>
      <c r="BB187" s="87">
        <f t="shared" si="428"/>
        <v>-6966484.2600000128</v>
      </c>
      <c r="BC187" s="88">
        <f t="shared" si="429"/>
        <v>-6966484.2600000128</v>
      </c>
      <c r="BD187" s="87">
        <v>62748323.696400024</v>
      </c>
      <c r="BE187" s="87">
        <v>55781839.436399989</v>
      </c>
      <c r="BF187" s="87">
        <f t="shared" si="430"/>
        <v>-6966484.2600000352</v>
      </c>
      <c r="BG187" s="88">
        <f t="shared" si="431"/>
        <v>-6966484.2600000352</v>
      </c>
      <c r="BH187" s="87">
        <f>IF(Dyn_Insured="","",IF(ISNUMBER(BD187)=FALSE,"n/a",MIN(MAX(BD187-'Layer Comparison'!Excess_Past,0),'Layer Comparison'!Limit_Past)))</f>
        <v>47748323.696400024</v>
      </c>
      <c r="BI187" s="87">
        <f>IF(Dyn_Insured="","",IF(ISNUMBER(BE187)=FALSE,"n/a",MIN(MAX(BE187-'Layer Comparison'!Excess_Latest,0),'Layer Comparison'!Limit_Latest)))</f>
        <v>40781839.436399989</v>
      </c>
      <c r="BJ187" s="87">
        <f t="shared" si="432"/>
        <v>-6966484.2600000352</v>
      </c>
      <c r="BK187" s="88">
        <f t="shared" si="433"/>
        <v>-6966484.2600000352</v>
      </c>
      <c r="BL187" s="87">
        <v>62748323.696400009</v>
      </c>
      <c r="BM187" s="87">
        <v>55781839.436399996</v>
      </c>
      <c r="BN187" s="87">
        <f t="shared" si="434"/>
        <v>-6966484.2600000128</v>
      </c>
      <c r="BO187" s="88">
        <f t="shared" si="435"/>
        <v>-6966484.2600000128</v>
      </c>
      <c r="BP187" s="87">
        <f>IF(Dyn_Insured="","",IF(ISNUMBER(BL187)=FALSE,"n/a",MIN(MAX(BL187-'Layer Comparison'!Excess_Past,0),'Layer Comparison'!Limit_Past)))</f>
        <v>47748323.696400009</v>
      </c>
      <c r="BQ187" s="87">
        <f>IF(Dyn_Insured="","",IF(ISNUMBER(BM187)=FALSE,"n/a",MIN(MAX(BM187-'Layer Comparison'!Excess_Latest,0),'Layer Comparison'!Limit_Latest)))</f>
        <v>40781839.436399996</v>
      </c>
      <c r="BR187" s="87">
        <f t="shared" si="436"/>
        <v>-6966484.2600000128</v>
      </c>
      <c r="BS187" s="88">
        <f t="shared" si="437"/>
        <v>-6966484.2600000128</v>
      </c>
      <c r="BT187" s="46" t="s">
        <v>13</v>
      </c>
    </row>
    <row r="188" spans="1:72" x14ac:dyDescent="0.25">
      <c r="A188" s="89">
        <v>188</v>
      </c>
      <c r="B188" s="89">
        <f t="shared" si="403"/>
        <v>1</v>
      </c>
      <c r="C188" s="89">
        <f t="shared" si="404"/>
        <v>1</v>
      </c>
      <c r="D188" s="90">
        <f t="shared" si="405"/>
        <v>1</v>
      </c>
      <c r="E188" s="90">
        <f t="shared" si="405"/>
        <v>1</v>
      </c>
      <c r="F188" s="48" t="s">
        <v>137</v>
      </c>
      <c r="G188" s="38" t="s">
        <v>38</v>
      </c>
      <c r="H188" s="87">
        <v>2974031.6050999998</v>
      </c>
      <c r="I188" s="87">
        <v>2517207.8646</v>
      </c>
      <c r="J188" s="87">
        <f t="shared" si="406"/>
        <v>-456823.74049999984</v>
      </c>
      <c r="K188" s="88">
        <f t="shared" si="407"/>
        <v>-456823.74049999984</v>
      </c>
      <c r="L188" s="87">
        <f>IF(Dyn_Insured="","",IF(ISNUMBER(H188)=FALSE,"n/a",MIN(MAX(H188-'Layer Comparison'!Excess_Past,0),'Layer Comparison'!Limit_Past)))</f>
        <v>0</v>
      </c>
      <c r="M188" s="87">
        <f>IF(Dyn_Insured="","",IF(ISNUMBER(I188)=FALSE,"n/a",MIN(MAX(I188-'Layer Comparison'!Excess_Latest,0),'Layer Comparison'!Limit_Latest)))</f>
        <v>0</v>
      </c>
      <c r="N188" s="87">
        <f t="shared" si="408"/>
        <v>0</v>
      </c>
      <c r="O188" s="88">
        <f t="shared" si="409"/>
        <v>0</v>
      </c>
      <c r="P188" s="87">
        <v>13371239.884200003</v>
      </c>
      <c r="Q188" s="87">
        <v>10920294.678400002</v>
      </c>
      <c r="R188" s="87">
        <f t="shared" si="410"/>
        <v>-2450945.2058000006</v>
      </c>
      <c r="S188" s="88">
        <f t="shared" si="411"/>
        <v>-2450945.2058000006</v>
      </c>
      <c r="T188" s="87">
        <f>IF(Dyn_Insured="","",IF(ISNUMBER(P188)=FALSE,"n/a",MIN(MAX(P188-'Layer Comparison'!Excess_Past,0),'Layer Comparison'!Limit_Past)))</f>
        <v>0</v>
      </c>
      <c r="U188" s="87">
        <f>IF(Dyn_Insured="","",IF(ISNUMBER(Q188)=FALSE,"n/a",MIN(MAX(Q188-'Layer Comparison'!Excess_Latest,0),'Layer Comparison'!Limit_Latest)))</f>
        <v>0</v>
      </c>
      <c r="V188" s="87">
        <f t="shared" si="412"/>
        <v>0</v>
      </c>
      <c r="W188" s="88">
        <f t="shared" si="413"/>
        <v>0</v>
      </c>
      <c r="X188" s="87">
        <v>24113680.574299999</v>
      </c>
      <c r="Y188" s="87">
        <v>20515754.019700006</v>
      </c>
      <c r="Z188" s="87">
        <f t="shared" si="414"/>
        <v>-3597926.5545999929</v>
      </c>
      <c r="AA188" s="88">
        <f t="shared" si="415"/>
        <v>-3597926.5545999929</v>
      </c>
      <c r="AB188" s="87">
        <f>IF(Dyn_Insured="","",IF(ISNUMBER(X188)=FALSE,"n/a",MIN(MAX(X188-'Layer Comparison'!Excess_Past,0),'Layer Comparison'!Limit_Past)))</f>
        <v>9113680.5742999986</v>
      </c>
      <c r="AC188" s="87">
        <f>IF(Dyn_Insured="","",IF(ISNUMBER(Y188)=FALSE,"n/a",MIN(MAX(Y188-'Layer Comparison'!Excess_Latest,0),'Layer Comparison'!Limit_Latest)))</f>
        <v>5515754.0197000057</v>
      </c>
      <c r="AD188" s="87">
        <f t="shared" si="416"/>
        <v>-3597926.5545999929</v>
      </c>
      <c r="AE188" s="88">
        <f t="shared" si="417"/>
        <v>-3597926.5545999929</v>
      </c>
      <c r="AF188" s="87">
        <v>37097135.184399992</v>
      </c>
      <c r="AG188" s="87">
        <v>32030715.455499999</v>
      </c>
      <c r="AH188" s="87">
        <f t="shared" si="418"/>
        <v>-5066419.728899993</v>
      </c>
      <c r="AI188" s="88">
        <f t="shared" si="419"/>
        <v>-5066419.728899993</v>
      </c>
      <c r="AJ188" s="87">
        <f>IF(Dyn_Insured="","",IF(ISNUMBER(AF188)=FALSE,"n/a",MIN(MAX(AF188-'Layer Comparison'!Excess_Past,0),'Layer Comparison'!Limit_Past)))</f>
        <v>22097135.184399992</v>
      </c>
      <c r="AK188" s="87">
        <f>IF(Dyn_Insured="","",IF(ISNUMBER(AG188)=FALSE,"n/a",MIN(MAX(AG188-'Layer Comparison'!Excess_Latest,0),'Layer Comparison'!Limit_Latest)))</f>
        <v>17030715.455499999</v>
      </c>
      <c r="AL188" s="87">
        <f t="shared" si="420"/>
        <v>-5066419.728899993</v>
      </c>
      <c r="AM188" s="88">
        <f t="shared" si="421"/>
        <v>-5066419.728899993</v>
      </c>
      <c r="AN188" s="87">
        <v>63625702.90049997</v>
      </c>
      <c r="AO188" s="87">
        <v>56635802.359599993</v>
      </c>
      <c r="AP188" s="87">
        <f t="shared" si="422"/>
        <v>-6989900.5408999771</v>
      </c>
      <c r="AQ188" s="88">
        <f t="shared" si="423"/>
        <v>-6989900.5408999771</v>
      </c>
      <c r="AR188" s="87">
        <f>IF(Dyn_Insured="","",IF(ISNUMBER(AN188)=FALSE,"n/a",MIN(MAX(AN188-'Layer Comparison'!Excess_Past,0),'Layer Comparison'!Limit_Past)))</f>
        <v>48625702.90049997</v>
      </c>
      <c r="AS188" s="87">
        <f>IF(Dyn_Insured="","",IF(ISNUMBER(AO188)=FALSE,"n/a",MIN(MAX(AO188-'Layer Comparison'!Excess_Latest,0),'Layer Comparison'!Limit_Latest)))</f>
        <v>41635802.359599993</v>
      </c>
      <c r="AT188" s="87">
        <f t="shared" si="424"/>
        <v>-6989900.5408999771</v>
      </c>
      <c r="AU188" s="88">
        <f t="shared" si="425"/>
        <v>-6989900.5408999771</v>
      </c>
      <c r="AV188" s="87">
        <v>84744607.475099996</v>
      </c>
      <c r="AW188" s="87">
        <v>73931041.97829999</v>
      </c>
      <c r="AX188" s="87">
        <f t="shared" si="426"/>
        <v>-10813565.496800005</v>
      </c>
      <c r="AY188" s="88">
        <f t="shared" si="427"/>
        <v>-10813565.496800005</v>
      </c>
      <c r="AZ188" s="87">
        <f>IF(Dyn_Insured="","",IF(ISNUMBER(AV188)=FALSE,"n/a",MIN(MAX(AV188-'Layer Comparison'!Excess_Past,0),'Layer Comparison'!Limit_Past)))</f>
        <v>69744607.475099996</v>
      </c>
      <c r="BA188" s="87">
        <f>IF(Dyn_Insured="","",IF(ISNUMBER(AW188)=FALSE,"n/a",MIN(MAX(AW188-'Layer Comparison'!Excess_Latest,0),'Layer Comparison'!Limit_Latest)))</f>
        <v>58931041.97829999</v>
      </c>
      <c r="BB188" s="87">
        <f t="shared" si="428"/>
        <v>-10813565.496800005</v>
      </c>
      <c r="BC188" s="88">
        <f t="shared" si="429"/>
        <v>-10813565.496800005</v>
      </c>
      <c r="BD188" s="87">
        <v>84907020.448699996</v>
      </c>
      <c r="BE188" s="87">
        <v>74303919.982799992</v>
      </c>
      <c r="BF188" s="87">
        <f t="shared" si="430"/>
        <v>-10603100.465900004</v>
      </c>
      <c r="BG188" s="88">
        <f t="shared" si="431"/>
        <v>-10603100.465900004</v>
      </c>
      <c r="BH188" s="87">
        <f>IF(Dyn_Insured="","",IF(ISNUMBER(BD188)=FALSE,"n/a",MIN(MAX(BD188-'Layer Comparison'!Excess_Past,0),'Layer Comparison'!Limit_Past)))</f>
        <v>69907020.448699996</v>
      </c>
      <c r="BI188" s="87">
        <f>IF(Dyn_Insured="","",IF(ISNUMBER(BE188)=FALSE,"n/a",MIN(MAX(BE188-'Layer Comparison'!Excess_Latest,0),'Layer Comparison'!Limit_Latest)))</f>
        <v>59303919.982799992</v>
      </c>
      <c r="BJ188" s="87">
        <f t="shared" si="432"/>
        <v>-10603100.465900004</v>
      </c>
      <c r="BK188" s="88">
        <f t="shared" si="433"/>
        <v>-10603100.465900004</v>
      </c>
      <c r="BL188" s="87">
        <v>84907020.448699996</v>
      </c>
      <c r="BM188" s="87">
        <v>74303919.982800007</v>
      </c>
      <c r="BN188" s="87">
        <f t="shared" si="434"/>
        <v>-10603100.465899989</v>
      </c>
      <c r="BO188" s="88">
        <f t="shared" si="435"/>
        <v>-10603100.465899989</v>
      </c>
      <c r="BP188" s="87">
        <f>IF(Dyn_Insured="","",IF(ISNUMBER(BL188)=FALSE,"n/a",MIN(MAX(BL188-'Layer Comparison'!Excess_Past,0),'Layer Comparison'!Limit_Past)))</f>
        <v>69907020.448699996</v>
      </c>
      <c r="BQ188" s="87">
        <f>IF(Dyn_Insured="","",IF(ISNUMBER(BM188)=FALSE,"n/a",MIN(MAX(BM188-'Layer Comparison'!Excess_Latest,0),'Layer Comparison'!Limit_Latest)))</f>
        <v>59303919.982800007</v>
      </c>
      <c r="BR188" s="87">
        <f t="shared" si="436"/>
        <v>-10603100.465899989</v>
      </c>
      <c r="BS188" s="88">
        <f t="shared" si="437"/>
        <v>-10603100.465899989</v>
      </c>
      <c r="BT188" s="46" t="s">
        <v>13</v>
      </c>
    </row>
    <row r="189" spans="1:72" x14ac:dyDescent="0.25">
      <c r="A189" s="89">
        <v>189</v>
      </c>
      <c r="B189" s="89">
        <f t="shared" si="403"/>
        <v>1</v>
      </c>
      <c r="C189" s="89">
        <f t="shared" si="404"/>
        <v>1</v>
      </c>
      <c r="D189" s="90">
        <f t="shared" si="405"/>
        <v>1</v>
      </c>
      <c r="E189" s="90">
        <f t="shared" si="405"/>
        <v>1</v>
      </c>
      <c r="F189" s="48" t="s">
        <v>138</v>
      </c>
      <c r="G189" s="38" t="s">
        <v>38</v>
      </c>
      <c r="H189" s="87">
        <v>1243953.0223000001</v>
      </c>
      <c r="I189" s="87">
        <v>1003250.5098000001</v>
      </c>
      <c r="J189" s="87">
        <f t="shared" si="406"/>
        <v>-240702.51249999995</v>
      </c>
      <c r="K189" s="88">
        <f t="shared" si="407"/>
        <v>-240702.51249999995</v>
      </c>
      <c r="L189" s="87">
        <f>IF(Dyn_Insured="","",IF(ISNUMBER(H189)=FALSE,"n/a",MIN(MAX(H189-'Layer Comparison'!Excess_Past,0),'Layer Comparison'!Limit_Past)))</f>
        <v>0</v>
      </c>
      <c r="M189" s="87">
        <f>IF(Dyn_Insured="","",IF(ISNUMBER(I189)=FALSE,"n/a",MIN(MAX(I189-'Layer Comparison'!Excess_Latest,0),'Layer Comparison'!Limit_Latest)))</f>
        <v>0</v>
      </c>
      <c r="N189" s="87">
        <f t="shared" si="408"/>
        <v>0</v>
      </c>
      <c r="O189" s="88">
        <f t="shared" si="409"/>
        <v>0</v>
      </c>
      <c r="P189" s="87">
        <v>9471830.8381999992</v>
      </c>
      <c r="Q189" s="87">
        <v>9053269.7653000001</v>
      </c>
      <c r="R189" s="87">
        <f t="shared" si="410"/>
        <v>-418561.0728999991</v>
      </c>
      <c r="S189" s="88">
        <f t="shared" si="411"/>
        <v>-418561.0728999991</v>
      </c>
      <c r="T189" s="87">
        <f>IF(Dyn_Insured="","",IF(ISNUMBER(P189)=FALSE,"n/a",MIN(MAX(P189-'Layer Comparison'!Excess_Past,0),'Layer Comparison'!Limit_Past)))</f>
        <v>0</v>
      </c>
      <c r="U189" s="87">
        <f>IF(Dyn_Insured="","",IF(ISNUMBER(Q189)=FALSE,"n/a",MIN(MAX(Q189-'Layer Comparison'!Excess_Latest,0),'Layer Comparison'!Limit_Latest)))</f>
        <v>0</v>
      </c>
      <c r="V189" s="87">
        <f t="shared" si="412"/>
        <v>0</v>
      </c>
      <c r="W189" s="88">
        <f t="shared" si="413"/>
        <v>0</v>
      </c>
      <c r="X189" s="87">
        <v>19189479.3616</v>
      </c>
      <c r="Y189" s="87">
        <v>19143554.2456</v>
      </c>
      <c r="Z189" s="87">
        <f t="shared" si="414"/>
        <v>-45925.116000000387</v>
      </c>
      <c r="AA189" s="88">
        <f t="shared" si="415"/>
        <v>-45925.116000000387</v>
      </c>
      <c r="AB189" s="87">
        <f>IF(Dyn_Insured="","",IF(ISNUMBER(X189)=FALSE,"n/a",MIN(MAX(X189-'Layer Comparison'!Excess_Past,0),'Layer Comparison'!Limit_Past)))</f>
        <v>4189479.3616000004</v>
      </c>
      <c r="AC189" s="87">
        <f>IF(Dyn_Insured="","",IF(ISNUMBER(Y189)=FALSE,"n/a",MIN(MAX(Y189-'Layer Comparison'!Excess_Latest,0),'Layer Comparison'!Limit_Latest)))</f>
        <v>4143554.2456</v>
      </c>
      <c r="AD189" s="87">
        <f t="shared" si="416"/>
        <v>-45925.116000000387</v>
      </c>
      <c r="AE189" s="88">
        <f t="shared" si="417"/>
        <v>-45925.116000000387</v>
      </c>
      <c r="AF189" s="87">
        <v>30334947.503600001</v>
      </c>
      <c r="AG189" s="87">
        <v>30626310.046399996</v>
      </c>
      <c r="AH189" s="87">
        <f t="shared" si="418"/>
        <v>291362.54279999435</v>
      </c>
      <c r="AI189" s="88">
        <f t="shared" si="419"/>
        <v>291362.54279999435</v>
      </c>
      <c r="AJ189" s="87">
        <f>IF(Dyn_Insured="","",IF(ISNUMBER(AF189)=FALSE,"n/a",MIN(MAX(AF189-'Layer Comparison'!Excess_Past,0),'Layer Comparison'!Limit_Past)))</f>
        <v>15334947.503600001</v>
      </c>
      <c r="AK189" s="87">
        <f>IF(Dyn_Insured="","",IF(ISNUMBER(AG189)=FALSE,"n/a",MIN(MAX(AG189-'Layer Comparison'!Excess_Latest,0),'Layer Comparison'!Limit_Latest)))</f>
        <v>15626310.046399996</v>
      </c>
      <c r="AL189" s="87">
        <f t="shared" si="420"/>
        <v>291362.54279999435</v>
      </c>
      <c r="AM189" s="88">
        <f t="shared" si="421"/>
        <v>291362.54279999435</v>
      </c>
      <c r="AN189" s="87">
        <v>46318884.040099993</v>
      </c>
      <c r="AO189" s="87">
        <v>49117882.071699984</v>
      </c>
      <c r="AP189" s="87">
        <f t="shared" si="422"/>
        <v>2798998.031599991</v>
      </c>
      <c r="AQ189" s="88">
        <f t="shared" si="423"/>
        <v>2798998.031599991</v>
      </c>
      <c r="AR189" s="87">
        <f>IF(Dyn_Insured="","",IF(ISNUMBER(AN189)=FALSE,"n/a",MIN(MAX(AN189-'Layer Comparison'!Excess_Past,0),'Layer Comparison'!Limit_Past)))</f>
        <v>31318884.040099993</v>
      </c>
      <c r="AS189" s="87">
        <f>IF(Dyn_Insured="","",IF(ISNUMBER(AO189)=FALSE,"n/a",MIN(MAX(AO189-'Layer Comparison'!Excess_Latest,0),'Layer Comparison'!Limit_Latest)))</f>
        <v>34117882.071699984</v>
      </c>
      <c r="AT189" s="87">
        <f t="shared" si="424"/>
        <v>2798998.031599991</v>
      </c>
      <c r="AU189" s="88">
        <f t="shared" si="425"/>
        <v>2798998.031599991</v>
      </c>
      <c r="AV189" s="87">
        <v>46318884.040099993</v>
      </c>
      <c r="AW189" s="87">
        <v>49117882.071699984</v>
      </c>
      <c r="AX189" s="87">
        <f t="shared" si="426"/>
        <v>2798998.031599991</v>
      </c>
      <c r="AY189" s="88">
        <f t="shared" si="427"/>
        <v>2798998.031599991</v>
      </c>
      <c r="AZ189" s="87">
        <f>IF(Dyn_Insured="","",IF(ISNUMBER(AV189)=FALSE,"n/a",MIN(MAX(AV189-'Layer Comparison'!Excess_Past,0),'Layer Comparison'!Limit_Past)))</f>
        <v>31318884.040099993</v>
      </c>
      <c r="BA189" s="87">
        <f>IF(Dyn_Insured="","",IF(ISNUMBER(AW189)=FALSE,"n/a",MIN(MAX(AW189-'Layer Comparison'!Excess_Latest,0),'Layer Comparison'!Limit_Latest)))</f>
        <v>34117882.071699984</v>
      </c>
      <c r="BB189" s="87">
        <f t="shared" si="428"/>
        <v>2798998.031599991</v>
      </c>
      <c r="BC189" s="88">
        <f t="shared" si="429"/>
        <v>2798998.031599991</v>
      </c>
      <c r="BD189" s="87">
        <v>46318884.040099993</v>
      </c>
      <c r="BE189" s="87">
        <v>49117882.071699992</v>
      </c>
      <c r="BF189" s="87">
        <f t="shared" si="430"/>
        <v>2798998.0315999985</v>
      </c>
      <c r="BG189" s="88">
        <f t="shared" si="431"/>
        <v>2798998.0315999985</v>
      </c>
      <c r="BH189" s="87">
        <f>IF(Dyn_Insured="","",IF(ISNUMBER(BD189)=FALSE,"n/a",MIN(MAX(BD189-'Layer Comparison'!Excess_Past,0),'Layer Comparison'!Limit_Past)))</f>
        <v>31318884.040099993</v>
      </c>
      <c r="BI189" s="87">
        <f>IF(Dyn_Insured="","",IF(ISNUMBER(BE189)=FALSE,"n/a",MIN(MAX(BE189-'Layer Comparison'!Excess_Latest,0),'Layer Comparison'!Limit_Latest)))</f>
        <v>34117882.071699992</v>
      </c>
      <c r="BJ189" s="87">
        <f t="shared" si="432"/>
        <v>2798998.0315999985</v>
      </c>
      <c r="BK189" s="88">
        <f t="shared" si="433"/>
        <v>2798998.0315999985</v>
      </c>
      <c r="BL189" s="87">
        <v>46318884.040099993</v>
      </c>
      <c r="BM189" s="87">
        <v>49117882.071699992</v>
      </c>
      <c r="BN189" s="87">
        <f t="shared" si="434"/>
        <v>2798998.0315999985</v>
      </c>
      <c r="BO189" s="88">
        <f t="shared" si="435"/>
        <v>2798998.0315999985</v>
      </c>
      <c r="BP189" s="87">
        <f>IF(Dyn_Insured="","",IF(ISNUMBER(BL189)=FALSE,"n/a",MIN(MAX(BL189-'Layer Comparison'!Excess_Past,0),'Layer Comparison'!Limit_Past)))</f>
        <v>31318884.040099993</v>
      </c>
      <c r="BQ189" s="87">
        <f>IF(Dyn_Insured="","",IF(ISNUMBER(BM189)=FALSE,"n/a",MIN(MAX(BM189-'Layer Comparison'!Excess_Latest,0),'Layer Comparison'!Limit_Latest)))</f>
        <v>34117882.071699992</v>
      </c>
      <c r="BR189" s="87">
        <f t="shared" si="436"/>
        <v>2798998.0315999985</v>
      </c>
      <c r="BS189" s="88">
        <f t="shared" si="437"/>
        <v>2798998.0315999985</v>
      </c>
      <c r="BT189" s="46" t="s">
        <v>13</v>
      </c>
    </row>
    <row r="190" spans="1:72" x14ac:dyDescent="0.25">
      <c r="A190" s="89">
        <v>190</v>
      </c>
      <c r="B190" s="89">
        <f t="shared" si="403"/>
        <v>1</v>
      </c>
      <c r="C190" s="89">
        <f t="shared" si="404"/>
        <v>1</v>
      </c>
      <c r="D190" s="90">
        <f t="shared" si="405"/>
        <v>1</v>
      </c>
      <c r="E190" s="90">
        <f t="shared" si="405"/>
        <v>1</v>
      </c>
      <c r="F190" s="48" t="s">
        <v>139</v>
      </c>
      <c r="G190" s="38" t="s">
        <v>38</v>
      </c>
      <c r="H190" s="87">
        <v>1094437.0962999999</v>
      </c>
      <c r="I190" s="87">
        <v>1821201.9578000002</v>
      </c>
      <c r="J190" s="87">
        <f t="shared" si="406"/>
        <v>726764.86150000035</v>
      </c>
      <c r="K190" s="88">
        <f t="shared" si="407"/>
        <v>726764.86150000035</v>
      </c>
      <c r="L190" s="87">
        <f>IF(Dyn_Insured="","",IF(ISNUMBER(H190)=FALSE,"n/a",MIN(MAX(H190-'Layer Comparison'!Excess_Past,0),'Layer Comparison'!Limit_Past)))</f>
        <v>0</v>
      </c>
      <c r="M190" s="87">
        <f>IF(Dyn_Insured="","",IF(ISNUMBER(I190)=FALSE,"n/a",MIN(MAX(I190-'Layer Comparison'!Excess_Latest,0),'Layer Comparison'!Limit_Latest)))</f>
        <v>0</v>
      </c>
      <c r="N190" s="87">
        <f t="shared" si="408"/>
        <v>0</v>
      </c>
      <c r="O190" s="88">
        <f t="shared" si="409"/>
        <v>0</v>
      </c>
      <c r="P190" s="87">
        <v>12075718.280300001</v>
      </c>
      <c r="Q190" s="87">
        <v>11716697.7488</v>
      </c>
      <c r="R190" s="87">
        <f t="shared" si="410"/>
        <v>-359020.53150000051</v>
      </c>
      <c r="S190" s="88">
        <f t="shared" si="411"/>
        <v>-359020.53150000051</v>
      </c>
      <c r="T190" s="87">
        <f>IF(Dyn_Insured="","",IF(ISNUMBER(P190)=FALSE,"n/a",MIN(MAX(P190-'Layer Comparison'!Excess_Past,0),'Layer Comparison'!Limit_Past)))</f>
        <v>0</v>
      </c>
      <c r="U190" s="87">
        <f>IF(Dyn_Insured="","",IF(ISNUMBER(Q190)=FALSE,"n/a",MIN(MAX(Q190-'Layer Comparison'!Excess_Latest,0),'Layer Comparison'!Limit_Latest)))</f>
        <v>0</v>
      </c>
      <c r="V190" s="87">
        <f t="shared" si="412"/>
        <v>0</v>
      </c>
      <c r="W190" s="88">
        <f t="shared" si="413"/>
        <v>0</v>
      </c>
      <c r="X190" s="87">
        <v>23272695.816299997</v>
      </c>
      <c r="Y190" s="87">
        <v>22952432.447900001</v>
      </c>
      <c r="Z190" s="87">
        <f t="shared" si="414"/>
        <v>-320263.36839999631</v>
      </c>
      <c r="AA190" s="88">
        <f t="shared" si="415"/>
        <v>-320263.36839999631</v>
      </c>
      <c r="AB190" s="87">
        <f>IF(Dyn_Insured="","",IF(ISNUMBER(X190)=FALSE,"n/a",MIN(MAX(X190-'Layer Comparison'!Excess_Past,0),'Layer Comparison'!Limit_Past)))</f>
        <v>8272695.8162999973</v>
      </c>
      <c r="AC190" s="87">
        <f>IF(Dyn_Insured="","",IF(ISNUMBER(Y190)=FALSE,"n/a",MIN(MAX(Y190-'Layer Comparison'!Excess_Latest,0),'Layer Comparison'!Limit_Latest)))</f>
        <v>7952432.447900001</v>
      </c>
      <c r="AD190" s="87">
        <f t="shared" si="416"/>
        <v>-320263.36839999631</v>
      </c>
      <c r="AE190" s="88">
        <f t="shared" si="417"/>
        <v>-320263.36839999631</v>
      </c>
      <c r="AF190" s="87">
        <v>36030912.148399994</v>
      </c>
      <c r="AG190" s="87">
        <v>35801533.095100001</v>
      </c>
      <c r="AH190" s="87">
        <f t="shared" si="418"/>
        <v>-229379.05329999328</v>
      </c>
      <c r="AI190" s="88">
        <f t="shared" si="419"/>
        <v>-229379.05329999328</v>
      </c>
      <c r="AJ190" s="87">
        <f>IF(Dyn_Insured="","",IF(ISNUMBER(AF190)=FALSE,"n/a",MIN(MAX(AF190-'Layer Comparison'!Excess_Past,0),'Layer Comparison'!Limit_Past)))</f>
        <v>21030912.148399994</v>
      </c>
      <c r="AK190" s="87">
        <f>IF(Dyn_Insured="","",IF(ISNUMBER(AG190)=FALSE,"n/a",MIN(MAX(AG190-'Layer Comparison'!Excess_Latest,0),'Layer Comparison'!Limit_Latest)))</f>
        <v>20801533.095100001</v>
      </c>
      <c r="AL190" s="87">
        <f t="shared" si="420"/>
        <v>-229379.05329999328</v>
      </c>
      <c r="AM190" s="88">
        <f t="shared" si="421"/>
        <v>-229379.05329999328</v>
      </c>
      <c r="AN190" s="87">
        <v>63415878.461400002</v>
      </c>
      <c r="AO190" s="87">
        <v>62874189.042500004</v>
      </c>
      <c r="AP190" s="87">
        <f t="shared" si="422"/>
        <v>-541689.41889999807</v>
      </c>
      <c r="AQ190" s="88">
        <f t="shared" si="423"/>
        <v>-541689.41889999807</v>
      </c>
      <c r="AR190" s="87">
        <f>IF(Dyn_Insured="","",IF(ISNUMBER(AN190)=FALSE,"n/a",MIN(MAX(AN190-'Layer Comparison'!Excess_Past,0),'Layer Comparison'!Limit_Past)))</f>
        <v>48415878.461400002</v>
      </c>
      <c r="AS190" s="87">
        <f>IF(Dyn_Insured="","",IF(ISNUMBER(AO190)=FALSE,"n/a",MIN(MAX(AO190-'Layer Comparison'!Excess_Latest,0),'Layer Comparison'!Limit_Latest)))</f>
        <v>47874189.042500004</v>
      </c>
      <c r="AT190" s="87">
        <f t="shared" si="424"/>
        <v>-541689.41889999807</v>
      </c>
      <c r="AU190" s="88">
        <f t="shared" si="425"/>
        <v>-541689.41889999807</v>
      </c>
      <c r="AV190" s="87">
        <v>87281760.831400007</v>
      </c>
      <c r="AW190" s="87">
        <v>86915729.653600007</v>
      </c>
      <c r="AX190" s="87">
        <f t="shared" si="426"/>
        <v>-366031.17779999971</v>
      </c>
      <c r="AY190" s="88">
        <f t="shared" si="427"/>
        <v>-366031.17779999971</v>
      </c>
      <c r="AZ190" s="87">
        <f>IF(Dyn_Insured="","",IF(ISNUMBER(AV190)=FALSE,"n/a",MIN(MAX(AV190-'Layer Comparison'!Excess_Past,0),'Layer Comparison'!Limit_Past)))</f>
        <v>72281760.831400007</v>
      </c>
      <c r="BA190" s="87">
        <f>IF(Dyn_Insured="","",IF(ISNUMBER(AW190)=FALSE,"n/a",MIN(MAX(AW190-'Layer Comparison'!Excess_Latest,0),'Layer Comparison'!Limit_Latest)))</f>
        <v>71915729.653600007</v>
      </c>
      <c r="BB190" s="87">
        <f t="shared" si="428"/>
        <v>-366031.17779999971</v>
      </c>
      <c r="BC190" s="88">
        <f t="shared" si="429"/>
        <v>-366031.17779999971</v>
      </c>
      <c r="BD190" s="87">
        <v>106133090.9261</v>
      </c>
      <c r="BE190" s="87">
        <v>107034603.61819997</v>
      </c>
      <c r="BF190" s="87">
        <f t="shared" si="430"/>
        <v>901512.69209997356</v>
      </c>
      <c r="BG190" s="88">
        <f t="shared" si="431"/>
        <v>901512.69209997356</v>
      </c>
      <c r="BH190" s="87">
        <f>IF(Dyn_Insured="","",IF(ISNUMBER(BD190)=FALSE,"n/a",MIN(MAX(BD190-'Layer Comparison'!Excess_Past,0),'Layer Comparison'!Limit_Past)))</f>
        <v>91133090.926100001</v>
      </c>
      <c r="BI190" s="87">
        <f>IF(Dyn_Insured="","",IF(ISNUMBER(BE190)=FALSE,"n/a",MIN(MAX(BE190-'Layer Comparison'!Excess_Latest,0),'Layer Comparison'!Limit_Latest)))</f>
        <v>92034603.618199974</v>
      </c>
      <c r="BJ190" s="87">
        <f t="shared" si="432"/>
        <v>901512.69209997356</v>
      </c>
      <c r="BK190" s="88">
        <f t="shared" si="433"/>
        <v>901512.69209997356</v>
      </c>
      <c r="BL190" s="87">
        <v>127920981.55019997</v>
      </c>
      <c r="BM190" s="87">
        <v>130333625.40369995</v>
      </c>
      <c r="BN190" s="87">
        <f t="shared" si="434"/>
        <v>2412643.8534999788</v>
      </c>
      <c r="BO190" s="88">
        <f t="shared" si="435"/>
        <v>2412643.8534999788</v>
      </c>
      <c r="BP190" s="87">
        <f>IF(Dyn_Insured="","",IF(ISNUMBER(BL190)=FALSE,"n/a",MIN(MAX(BL190-'Layer Comparison'!Excess_Past,0),'Layer Comparison'!Limit_Past)))</f>
        <v>112920981.55019997</v>
      </c>
      <c r="BQ190" s="87">
        <f>IF(Dyn_Insured="","",IF(ISNUMBER(BM190)=FALSE,"n/a",MIN(MAX(BM190-'Layer Comparison'!Excess_Latest,0),'Layer Comparison'!Limit_Latest)))</f>
        <v>115333625.40369995</v>
      </c>
      <c r="BR190" s="87">
        <f t="shared" si="436"/>
        <v>2412643.8534999788</v>
      </c>
      <c r="BS190" s="88">
        <f t="shared" si="437"/>
        <v>2412643.8534999788</v>
      </c>
      <c r="BT190" s="46" t="s">
        <v>13</v>
      </c>
    </row>
    <row r="191" spans="1:72" x14ac:dyDescent="0.25">
      <c r="A191" s="89">
        <v>191</v>
      </c>
      <c r="B191" s="89">
        <f t="shared" si="403"/>
        <v>1</v>
      </c>
      <c r="C191" s="89">
        <f t="shared" si="404"/>
        <v>1</v>
      </c>
      <c r="D191" s="90">
        <f t="shared" si="405"/>
        <v>1</v>
      </c>
      <c r="E191" s="90">
        <f t="shared" si="405"/>
        <v>1</v>
      </c>
      <c r="F191" s="48" t="s">
        <v>140</v>
      </c>
      <c r="G191" s="38" t="s">
        <v>38</v>
      </c>
      <c r="H191" s="87">
        <v>700446.33180000004</v>
      </c>
      <c r="I191" s="87">
        <v>1440034.8533000001</v>
      </c>
      <c r="J191" s="87">
        <f t="shared" si="406"/>
        <v>739588.52150000003</v>
      </c>
      <c r="K191" s="88">
        <f t="shared" si="407"/>
        <v>739588.52150000003</v>
      </c>
      <c r="L191" s="87">
        <f>IF(Dyn_Insured="","",IF(ISNUMBER(H191)=FALSE,"n/a",MIN(MAX(H191-'Layer Comparison'!Excess_Past,0),'Layer Comparison'!Limit_Past)))</f>
        <v>0</v>
      </c>
      <c r="M191" s="87">
        <f>IF(Dyn_Insured="","",IF(ISNUMBER(I191)=FALSE,"n/a",MIN(MAX(I191-'Layer Comparison'!Excess_Latest,0),'Layer Comparison'!Limit_Latest)))</f>
        <v>0</v>
      </c>
      <c r="N191" s="87">
        <f t="shared" si="408"/>
        <v>0</v>
      </c>
      <c r="O191" s="88">
        <f t="shared" si="409"/>
        <v>0</v>
      </c>
      <c r="P191" s="87">
        <v>8092225.7017000001</v>
      </c>
      <c r="Q191" s="87">
        <v>10253376.763999999</v>
      </c>
      <c r="R191" s="87">
        <f t="shared" si="410"/>
        <v>2161151.0622999985</v>
      </c>
      <c r="S191" s="88">
        <f t="shared" si="411"/>
        <v>2161151.0622999985</v>
      </c>
      <c r="T191" s="87">
        <f>IF(Dyn_Insured="","",IF(ISNUMBER(P191)=FALSE,"n/a",MIN(MAX(P191-'Layer Comparison'!Excess_Past,0),'Layer Comparison'!Limit_Past)))</f>
        <v>0</v>
      </c>
      <c r="U191" s="87">
        <f>IF(Dyn_Insured="","",IF(ISNUMBER(Q191)=FALSE,"n/a",MIN(MAX(Q191-'Layer Comparison'!Excess_Latest,0),'Layer Comparison'!Limit_Latest)))</f>
        <v>0</v>
      </c>
      <c r="V191" s="87">
        <f t="shared" si="412"/>
        <v>0</v>
      </c>
      <c r="W191" s="88">
        <f t="shared" si="413"/>
        <v>0</v>
      </c>
      <c r="X191" s="87">
        <v>18213874.046700001</v>
      </c>
      <c r="Y191" s="87">
        <v>21984848.069899999</v>
      </c>
      <c r="Z191" s="87">
        <f t="shared" si="414"/>
        <v>3770974.0231999978</v>
      </c>
      <c r="AA191" s="88">
        <f t="shared" si="415"/>
        <v>3770974.0231999978</v>
      </c>
      <c r="AB191" s="87">
        <f>IF(Dyn_Insured="","",IF(ISNUMBER(X191)=FALSE,"n/a",MIN(MAX(X191-'Layer Comparison'!Excess_Past,0),'Layer Comparison'!Limit_Past)))</f>
        <v>3213874.0467000008</v>
      </c>
      <c r="AC191" s="87">
        <f>IF(Dyn_Insured="","",IF(ISNUMBER(Y191)=FALSE,"n/a",MIN(MAX(Y191-'Layer Comparison'!Excess_Latest,0),'Layer Comparison'!Limit_Latest)))</f>
        <v>6984848.0698999986</v>
      </c>
      <c r="AD191" s="87">
        <f t="shared" si="416"/>
        <v>3770974.0231999978</v>
      </c>
      <c r="AE191" s="88">
        <f t="shared" si="417"/>
        <v>3770974.0231999978</v>
      </c>
      <c r="AF191" s="87">
        <v>28452089.033799998</v>
      </c>
      <c r="AG191" s="87">
        <v>34687795.527000003</v>
      </c>
      <c r="AH191" s="87">
        <f t="shared" si="418"/>
        <v>6235706.4932000041</v>
      </c>
      <c r="AI191" s="88">
        <f t="shared" si="419"/>
        <v>6235706.4932000041</v>
      </c>
      <c r="AJ191" s="87">
        <f>IF(Dyn_Insured="","",IF(ISNUMBER(AF191)=FALSE,"n/a",MIN(MAX(AF191-'Layer Comparison'!Excess_Past,0),'Layer Comparison'!Limit_Past)))</f>
        <v>13452089.033799998</v>
      </c>
      <c r="AK191" s="87">
        <f>IF(Dyn_Insured="","",IF(ISNUMBER(AG191)=FALSE,"n/a",MIN(MAX(AG191-'Layer Comparison'!Excess_Latest,0),'Layer Comparison'!Limit_Latest)))</f>
        <v>19687795.527000003</v>
      </c>
      <c r="AL191" s="87">
        <f t="shared" si="420"/>
        <v>6235706.4932000041</v>
      </c>
      <c r="AM191" s="88">
        <f t="shared" si="421"/>
        <v>6235706.4932000041</v>
      </c>
      <c r="AN191" s="87">
        <v>51240056.573200002</v>
      </c>
      <c r="AO191" s="87">
        <v>61806406.479399994</v>
      </c>
      <c r="AP191" s="87">
        <f t="shared" si="422"/>
        <v>10566349.906199992</v>
      </c>
      <c r="AQ191" s="88">
        <f t="shared" si="423"/>
        <v>10566349.906199992</v>
      </c>
      <c r="AR191" s="87">
        <f>IF(Dyn_Insured="","",IF(ISNUMBER(AN191)=FALSE,"n/a",MIN(MAX(AN191-'Layer Comparison'!Excess_Past,0),'Layer Comparison'!Limit_Past)))</f>
        <v>36240056.573200002</v>
      </c>
      <c r="AS191" s="87">
        <f>IF(Dyn_Insured="","",IF(ISNUMBER(AO191)=FALSE,"n/a",MIN(MAX(AO191-'Layer Comparison'!Excess_Latest,0),'Layer Comparison'!Limit_Latest)))</f>
        <v>46806406.479399994</v>
      </c>
      <c r="AT191" s="87">
        <f t="shared" si="424"/>
        <v>10566349.906199992</v>
      </c>
      <c r="AU191" s="88">
        <f t="shared" si="425"/>
        <v>10566349.906199992</v>
      </c>
      <c r="AV191" s="87">
        <v>74244079.020800009</v>
      </c>
      <c r="AW191" s="87">
        <v>89271143.82159999</v>
      </c>
      <c r="AX191" s="87">
        <f t="shared" si="426"/>
        <v>15027064.800799981</v>
      </c>
      <c r="AY191" s="88">
        <f t="shared" si="427"/>
        <v>15027064.800799981</v>
      </c>
      <c r="AZ191" s="87">
        <f>IF(Dyn_Insured="","",IF(ISNUMBER(AV191)=FALSE,"n/a",MIN(MAX(AV191-'Layer Comparison'!Excess_Past,0),'Layer Comparison'!Limit_Past)))</f>
        <v>59244079.020800009</v>
      </c>
      <c r="BA191" s="87">
        <f>IF(Dyn_Insured="","",IF(ISNUMBER(AW191)=FALSE,"n/a",MIN(MAX(AW191-'Layer Comparison'!Excess_Latest,0),'Layer Comparison'!Limit_Latest)))</f>
        <v>74271143.82159999</v>
      </c>
      <c r="BB191" s="87">
        <f t="shared" si="428"/>
        <v>15027064.800799981</v>
      </c>
      <c r="BC191" s="88">
        <f t="shared" si="429"/>
        <v>15027064.800799981</v>
      </c>
      <c r="BD191" s="87">
        <v>83371492.211600021</v>
      </c>
      <c r="BE191" s="87">
        <v>99365697.512899995</v>
      </c>
      <c r="BF191" s="87">
        <f t="shared" si="430"/>
        <v>15994205.301299974</v>
      </c>
      <c r="BG191" s="88">
        <f t="shared" si="431"/>
        <v>15994205.301299974</v>
      </c>
      <c r="BH191" s="87">
        <f>IF(Dyn_Insured="","",IF(ISNUMBER(BD191)=FALSE,"n/a",MIN(MAX(BD191-'Layer Comparison'!Excess_Past,0),'Layer Comparison'!Limit_Past)))</f>
        <v>68371492.211600021</v>
      </c>
      <c r="BI191" s="87">
        <f>IF(Dyn_Insured="","",IF(ISNUMBER(BE191)=FALSE,"n/a",MIN(MAX(BE191-'Layer Comparison'!Excess_Latest,0),'Layer Comparison'!Limit_Latest)))</f>
        <v>84365697.512899995</v>
      </c>
      <c r="BJ191" s="87">
        <f t="shared" si="432"/>
        <v>15994205.301299974</v>
      </c>
      <c r="BK191" s="88">
        <f t="shared" si="433"/>
        <v>15994205.301299974</v>
      </c>
      <c r="BL191" s="87">
        <v>83371492.211600021</v>
      </c>
      <c r="BM191" s="87">
        <v>99365697.512899995</v>
      </c>
      <c r="BN191" s="87">
        <f t="shared" si="434"/>
        <v>15994205.301299974</v>
      </c>
      <c r="BO191" s="88">
        <f t="shared" si="435"/>
        <v>15994205.301299974</v>
      </c>
      <c r="BP191" s="87">
        <f>IF(Dyn_Insured="","",IF(ISNUMBER(BL191)=FALSE,"n/a",MIN(MAX(BL191-'Layer Comparison'!Excess_Past,0),'Layer Comparison'!Limit_Past)))</f>
        <v>68371492.211600021</v>
      </c>
      <c r="BQ191" s="87">
        <f>IF(Dyn_Insured="","",IF(ISNUMBER(BM191)=FALSE,"n/a",MIN(MAX(BM191-'Layer Comparison'!Excess_Latest,0),'Layer Comparison'!Limit_Latest)))</f>
        <v>84365697.512899995</v>
      </c>
      <c r="BR191" s="87">
        <f t="shared" si="436"/>
        <v>15994205.301299974</v>
      </c>
      <c r="BS191" s="88">
        <f t="shared" si="437"/>
        <v>15994205.301299974</v>
      </c>
      <c r="BT191" s="46" t="s">
        <v>13</v>
      </c>
    </row>
    <row r="192" spans="1:72" x14ac:dyDescent="0.25">
      <c r="A192" s="89">
        <v>192</v>
      </c>
      <c r="B192" s="89">
        <f t="shared" si="403"/>
        <v>1</v>
      </c>
      <c r="C192" s="89">
        <f t="shared" si="404"/>
        <v>1</v>
      </c>
      <c r="D192" s="90">
        <f t="shared" si="405"/>
        <v>1</v>
      </c>
      <c r="E192" s="90">
        <f t="shared" si="405"/>
        <v>1</v>
      </c>
      <c r="F192" s="48" t="s">
        <v>141</v>
      </c>
      <c r="G192" s="38" t="s">
        <v>38</v>
      </c>
      <c r="H192" s="87">
        <v>3634158.0537000005</v>
      </c>
      <c r="I192" s="87">
        <v>3490312.6297000004</v>
      </c>
      <c r="J192" s="87">
        <f t="shared" si="406"/>
        <v>-143845.42400000012</v>
      </c>
      <c r="K192" s="88">
        <f t="shared" si="407"/>
        <v>-143845.42400000012</v>
      </c>
      <c r="L192" s="87">
        <f>IF(Dyn_Insured="","",IF(ISNUMBER(H192)=FALSE,"n/a",MIN(MAX(H192-'Layer Comparison'!Excess_Past,0),'Layer Comparison'!Limit_Past)))</f>
        <v>0</v>
      </c>
      <c r="M192" s="87">
        <f>IF(Dyn_Insured="","",IF(ISNUMBER(I192)=FALSE,"n/a",MIN(MAX(I192-'Layer Comparison'!Excess_Latest,0),'Layer Comparison'!Limit_Latest)))</f>
        <v>0</v>
      </c>
      <c r="N192" s="87">
        <f t="shared" si="408"/>
        <v>0</v>
      </c>
      <c r="O192" s="88">
        <f t="shared" si="409"/>
        <v>0</v>
      </c>
      <c r="P192" s="87">
        <v>12945696.238499999</v>
      </c>
      <c r="Q192" s="87">
        <v>12005964.7546</v>
      </c>
      <c r="R192" s="87">
        <f t="shared" si="410"/>
        <v>-939731.48389999941</v>
      </c>
      <c r="S192" s="88">
        <f t="shared" si="411"/>
        <v>-939731.48389999941</v>
      </c>
      <c r="T192" s="87">
        <f>IF(Dyn_Insured="","",IF(ISNUMBER(P192)=FALSE,"n/a",MIN(MAX(P192-'Layer Comparison'!Excess_Past,0),'Layer Comparison'!Limit_Past)))</f>
        <v>0</v>
      </c>
      <c r="U192" s="87">
        <f>IF(Dyn_Insured="","",IF(ISNUMBER(Q192)=FALSE,"n/a",MIN(MAX(Q192-'Layer Comparison'!Excess_Latest,0),'Layer Comparison'!Limit_Latest)))</f>
        <v>0</v>
      </c>
      <c r="V192" s="87">
        <f t="shared" si="412"/>
        <v>0</v>
      </c>
      <c r="W192" s="88">
        <f t="shared" si="413"/>
        <v>0</v>
      </c>
      <c r="X192" s="87">
        <v>23728450.994599998</v>
      </c>
      <c r="Y192" s="87">
        <v>21188851.910099998</v>
      </c>
      <c r="Z192" s="87">
        <f t="shared" si="414"/>
        <v>-2539599.0844999999</v>
      </c>
      <c r="AA192" s="88">
        <f t="shared" si="415"/>
        <v>-2539599.0844999999</v>
      </c>
      <c r="AB192" s="87">
        <f>IF(Dyn_Insured="","",IF(ISNUMBER(X192)=FALSE,"n/a",MIN(MAX(X192-'Layer Comparison'!Excess_Past,0),'Layer Comparison'!Limit_Past)))</f>
        <v>8728450.994599998</v>
      </c>
      <c r="AC192" s="87">
        <f>IF(Dyn_Insured="","",IF(ISNUMBER(Y192)=FALSE,"n/a",MIN(MAX(Y192-'Layer Comparison'!Excess_Latest,0),'Layer Comparison'!Limit_Latest)))</f>
        <v>6188851.9100999981</v>
      </c>
      <c r="AD192" s="87">
        <f t="shared" si="416"/>
        <v>-2539599.0844999999</v>
      </c>
      <c r="AE192" s="88">
        <f t="shared" si="417"/>
        <v>-2539599.0844999999</v>
      </c>
      <c r="AF192" s="87">
        <v>33854327.047200009</v>
      </c>
      <c r="AG192" s="87">
        <v>30747542.028099999</v>
      </c>
      <c r="AH192" s="87">
        <f t="shared" si="418"/>
        <v>-3106785.0191000104</v>
      </c>
      <c r="AI192" s="88">
        <f t="shared" si="419"/>
        <v>-3106785.0191000104</v>
      </c>
      <c r="AJ192" s="87">
        <f>IF(Dyn_Insured="","",IF(ISNUMBER(AF192)=FALSE,"n/a",MIN(MAX(AF192-'Layer Comparison'!Excess_Past,0),'Layer Comparison'!Limit_Past)))</f>
        <v>18854327.047200009</v>
      </c>
      <c r="AK192" s="87">
        <f>IF(Dyn_Insured="","",IF(ISNUMBER(AG192)=FALSE,"n/a",MIN(MAX(AG192-'Layer Comparison'!Excess_Latest,0),'Layer Comparison'!Limit_Latest)))</f>
        <v>15747542.028099999</v>
      </c>
      <c r="AL192" s="87">
        <f t="shared" si="420"/>
        <v>-3106785.0191000104</v>
      </c>
      <c r="AM192" s="88">
        <f t="shared" si="421"/>
        <v>-3106785.0191000104</v>
      </c>
      <c r="AN192" s="87">
        <v>46030021.583600014</v>
      </c>
      <c r="AO192" s="87">
        <v>45326089.89320001</v>
      </c>
      <c r="AP192" s="87">
        <f t="shared" si="422"/>
        <v>-703931.69040000439</v>
      </c>
      <c r="AQ192" s="88">
        <f t="shared" si="423"/>
        <v>-703931.69040000439</v>
      </c>
      <c r="AR192" s="87">
        <f>IF(Dyn_Insured="","",IF(ISNUMBER(AN192)=FALSE,"n/a",MIN(MAX(AN192-'Layer Comparison'!Excess_Past,0),'Layer Comparison'!Limit_Past)))</f>
        <v>31030021.583600014</v>
      </c>
      <c r="AS192" s="87">
        <f>IF(Dyn_Insured="","",IF(ISNUMBER(AO192)=FALSE,"n/a",MIN(MAX(AO192-'Layer Comparison'!Excess_Latest,0),'Layer Comparison'!Limit_Latest)))</f>
        <v>30326089.89320001</v>
      </c>
      <c r="AT192" s="87">
        <f t="shared" si="424"/>
        <v>-703931.69040000439</v>
      </c>
      <c r="AU192" s="88">
        <f t="shared" si="425"/>
        <v>-703931.69040000439</v>
      </c>
      <c r="AV192" s="87">
        <v>47392738.629600011</v>
      </c>
      <c r="AW192" s="87">
        <v>46842079.248199999</v>
      </c>
      <c r="AX192" s="87">
        <f t="shared" si="426"/>
        <v>-550659.38140001148</v>
      </c>
      <c r="AY192" s="88">
        <f t="shared" si="427"/>
        <v>-550659.38140001148</v>
      </c>
      <c r="AZ192" s="87">
        <f>IF(Dyn_Insured="","",IF(ISNUMBER(AV192)=FALSE,"n/a",MIN(MAX(AV192-'Layer Comparison'!Excess_Past,0),'Layer Comparison'!Limit_Past)))</f>
        <v>32392738.629600011</v>
      </c>
      <c r="BA192" s="87">
        <f>IF(Dyn_Insured="","",IF(ISNUMBER(AW192)=FALSE,"n/a",MIN(MAX(AW192-'Layer Comparison'!Excess_Latest,0),'Layer Comparison'!Limit_Latest)))</f>
        <v>31842079.248199999</v>
      </c>
      <c r="BB192" s="87">
        <f t="shared" si="428"/>
        <v>-550659.38140001148</v>
      </c>
      <c r="BC192" s="88">
        <f t="shared" si="429"/>
        <v>-550659.38140001148</v>
      </c>
      <c r="BD192" s="87">
        <v>47676630.961800009</v>
      </c>
      <c r="BE192" s="87">
        <v>47075644.5506</v>
      </c>
      <c r="BF192" s="87">
        <f t="shared" si="430"/>
        <v>-600986.41120000929</v>
      </c>
      <c r="BG192" s="88">
        <f t="shared" si="431"/>
        <v>-600986.41120000929</v>
      </c>
      <c r="BH192" s="87">
        <f>IF(Dyn_Insured="","",IF(ISNUMBER(BD192)=FALSE,"n/a",MIN(MAX(BD192-'Layer Comparison'!Excess_Past,0),'Layer Comparison'!Limit_Past)))</f>
        <v>32676630.961800009</v>
      </c>
      <c r="BI192" s="87">
        <f>IF(Dyn_Insured="","",IF(ISNUMBER(BE192)=FALSE,"n/a",MIN(MAX(BE192-'Layer Comparison'!Excess_Latest,0),'Layer Comparison'!Limit_Latest)))</f>
        <v>32075644.5506</v>
      </c>
      <c r="BJ192" s="87">
        <f t="shared" si="432"/>
        <v>-600986.41120000929</v>
      </c>
      <c r="BK192" s="88">
        <f t="shared" si="433"/>
        <v>-600986.41120000929</v>
      </c>
      <c r="BL192" s="87">
        <v>47676630.961800009</v>
      </c>
      <c r="BM192" s="87">
        <v>47075644.550599992</v>
      </c>
      <c r="BN192" s="87">
        <f t="shared" si="434"/>
        <v>-600986.41120001674</v>
      </c>
      <c r="BO192" s="88">
        <f t="shared" si="435"/>
        <v>-600986.41120001674</v>
      </c>
      <c r="BP192" s="87">
        <f>IF(Dyn_Insured="","",IF(ISNUMBER(BL192)=FALSE,"n/a",MIN(MAX(BL192-'Layer Comparison'!Excess_Past,0),'Layer Comparison'!Limit_Past)))</f>
        <v>32676630.961800009</v>
      </c>
      <c r="BQ192" s="87">
        <f>IF(Dyn_Insured="","",IF(ISNUMBER(BM192)=FALSE,"n/a",MIN(MAX(BM192-'Layer Comparison'!Excess_Latest,0),'Layer Comparison'!Limit_Latest)))</f>
        <v>32075644.550599992</v>
      </c>
      <c r="BR192" s="87">
        <f t="shared" si="436"/>
        <v>-600986.41120001674</v>
      </c>
      <c r="BS192" s="88">
        <f t="shared" si="437"/>
        <v>-600986.41120001674</v>
      </c>
      <c r="BT192" s="46" t="s">
        <v>13</v>
      </c>
    </row>
    <row r="193" spans="1:72" x14ac:dyDescent="0.25">
      <c r="A193" s="89">
        <v>193</v>
      </c>
      <c r="B193" s="89">
        <f t="shared" si="403"/>
        <v>1</v>
      </c>
      <c r="C193" s="89">
        <f t="shared" si="404"/>
        <v>1</v>
      </c>
      <c r="D193" s="90">
        <f t="shared" si="405"/>
        <v>1</v>
      </c>
      <c r="E193" s="90">
        <f t="shared" si="405"/>
        <v>1</v>
      </c>
      <c r="F193" s="48" t="s">
        <v>142</v>
      </c>
      <c r="G193" s="38" t="s">
        <v>38</v>
      </c>
      <c r="H193" s="87">
        <v>1194280.9317000001</v>
      </c>
      <c r="I193" s="87">
        <v>1149465.571</v>
      </c>
      <c r="J193" s="87">
        <f t="shared" si="406"/>
        <v>-44815.360700000077</v>
      </c>
      <c r="K193" s="88">
        <f t="shared" si="407"/>
        <v>-44815.360700000077</v>
      </c>
      <c r="L193" s="87">
        <f>IF(Dyn_Insured="","",IF(ISNUMBER(H193)=FALSE,"n/a",MIN(MAX(H193-'Layer Comparison'!Excess_Past,0),'Layer Comparison'!Limit_Past)))</f>
        <v>0</v>
      </c>
      <c r="M193" s="87">
        <f>IF(Dyn_Insured="","",IF(ISNUMBER(I193)=FALSE,"n/a",MIN(MAX(I193-'Layer Comparison'!Excess_Latest,0),'Layer Comparison'!Limit_Latest)))</f>
        <v>0</v>
      </c>
      <c r="N193" s="87">
        <f t="shared" si="408"/>
        <v>0</v>
      </c>
      <c r="O193" s="88">
        <f t="shared" si="409"/>
        <v>0</v>
      </c>
      <c r="P193" s="87">
        <v>7805153.3723000009</v>
      </c>
      <c r="Q193" s="87">
        <v>7784241.4283000017</v>
      </c>
      <c r="R193" s="87">
        <f t="shared" si="410"/>
        <v>-20911.943999999203</v>
      </c>
      <c r="S193" s="88">
        <f t="shared" si="411"/>
        <v>-20911.943999999203</v>
      </c>
      <c r="T193" s="87">
        <f>IF(Dyn_Insured="","",IF(ISNUMBER(P193)=FALSE,"n/a",MIN(MAX(P193-'Layer Comparison'!Excess_Past,0),'Layer Comparison'!Limit_Past)))</f>
        <v>0</v>
      </c>
      <c r="U193" s="87">
        <f>IF(Dyn_Insured="","",IF(ISNUMBER(Q193)=FALSE,"n/a",MIN(MAX(Q193-'Layer Comparison'!Excess_Latest,0),'Layer Comparison'!Limit_Latest)))</f>
        <v>0</v>
      </c>
      <c r="V193" s="87">
        <f t="shared" si="412"/>
        <v>0</v>
      </c>
      <c r="W193" s="88">
        <f t="shared" si="413"/>
        <v>0</v>
      </c>
      <c r="X193" s="87">
        <v>16811631.454300001</v>
      </c>
      <c r="Y193" s="87">
        <v>17102369.8288</v>
      </c>
      <c r="Z193" s="87">
        <f t="shared" si="414"/>
        <v>290738.37449999899</v>
      </c>
      <c r="AA193" s="88">
        <f t="shared" si="415"/>
        <v>290738.37449999899</v>
      </c>
      <c r="AB193" s="87">
        <f>IF(Dyn_Insured="","",IF(ISNUMBER(X193)=FALSE,"n/a",MIN(MAX(X193-'Layer Comparison'!Excess_Past,0),'Layer Comparison'!Limit_Past)))</f>
        <v>1811631.4543000013</v>
      </c>
      <c r="AC193" s="87">
        <f>IF(Dyn_Insured="","",IF(ISNUMBER(Y193)=FALSE,"n/a",MIN(MAX(Y193-'Layer Comparison'!Excess_Latest,0),'Layer Comparison'!Limit_Latest)))</f>
        <v>2102369.8288000003</v>
      </c>
      <c r="AD193" s="87">
        <f t="shared" si="416"/>
        <v>290738.37449999899</v>
      </c>
      <c r="AE193" s="88">
        <f t="shared" si="417"/>
        <v>290738.37449999899</v>
      </c>
      <c r="AF193" s="87">
        <v>26352990.524899997</v>
      </c>
      <c r="AG193" s="87">
        <v>27228479.287</v>
      </c>
      <c r="AH193" s="87">
        <f t="shared" si="418"/>
        <v>875488.76210000366</v>
      </c>
      <c r="AI193" s="88">
        <f t="shared" si="419"/>
        <v>875488.76210000366</v>
      </c>
      <c r="AJ193" s="87">
        <f>IF(Dyn_Insured="","",IF(ISNUMBER(AF193)=FALSE,"n/a",MIN(MAX(AF193-'Layer Comparison'!Excess_Past,0),'Layer Comparison'!Limit_Past)))</f>
        <v>11352990.524899997</v>
      </c>
      <c r="AK193" s="87">
        <f>IF(Dyn_Insured="","",IF(ISNUMBER(AG193)=FALSE,"n/a",MIN(MAX(AG193-'Layer Comparison'!Excess_Latest,0),'Layer Comparison'!Limit_Latest)))</f>
        <v>12228479.287</v>
      </c>
      <c r="AL193" s="87">
        <f t="shared" si="420"/>
        <v>875488.76210000366</v>
      </c>
      <c r="AM193" s="88">
        <f t="shared" si="421"/>
        <v>875488.76210000366</v>
      </c>
      <c r="AN193" s="87">
        <v>47074735.403699994</v>
      </c>
      <c r="AO193" s="87">
        <v>49822506.6241</v>
      </c>
      <c r="AP193" s="87">
        <f t="shared" si="422"/>
        <v>2747771.2204000056</v>
      </c>
      <c r="AQ193" s="88">
        <f t="shared" si="423"/>
        <v>2747771.2204000056</v>
      </c>
      <c r="AR193" s="87">
        <f>IF(Dyn_Insured="","",IF(ISNUMBER(AN193)=FALSE,"n/a",MIN(MAX(AN193-'Layer Comparison'!Excess_Past,0),'Layer Comparison'!Limit_Past)))</f>
        <v>32074735.403699994</v>
      </c>
      <c r="AS193" s="87">
        <f>IF(Dyn_Insured="","",IF(ISNUMBER(AO193)=FALSE,"n/a",MIN(MAX(AO193-'Layer Comparison'!Excess_Latest,0),'Layer Comparison'!Limit_Latest)))</f>
        <v>34822506.6241</v>
      </c>
      <c r="AT193" s="87">
        <f t="shared" si="424"/>
        <v>2747771.2204000056</v>
      </c>
      <c r="AU193" s="88">
        <f t="shared" si="425"/>
        <v>2747771.2204000056</v>
      </c>
      <c r="AV193" s="87">
        <v>54275958.723499998</v>
      </c>
      <c r="AW193" s="87">
        <v>57865736.816900015</v>
      </c>
      <c r="AX193" s="87">
        <f t="shared" si="426"/>
        <v>3589778.0934000164</v>
      </c>
      <c r="AY193" s="88">
        <f t="shared" si="427"/>
        <v>3589778.0934000164</v>
      </c>
      <c r="AZ193" s="87">
        <f>IF(Dyn_Insured="","",IF(ISNUMBER(AV193)=FALSE,"n/a",MIN(MAX(AV193-'Layer Comparison'!Excess_Past,0),'Layer Comparison'!Limit_Past)))</f>
        <v>39275958.723499998</v>
      </c>
      <c r="BA193" s="87">
        <f>IF(Dyn_Insured="","",IF(ISNUMBER(AW193)=FALSE,"n/a",MIN(MAX(AW193-'Layer Comparison'!Excess_Latest,0),'Layer Comparison'!Limit_Latest)))</f>
        <v>42865736.816900015</v>
      </c>
      <c r="BB193" s="87">
        <f t="shared" si="428"/>
        <v>3589778.0934000164</v>
      </c>
      <c r="BC193" s="88">
        <f t="shared" si="429"/>
        <v>3589778.0934000164</v>
      </c>
      <c r="BD193" s="87">
        <v>54385664.741700001</v>
      </c>
      <c r="BE193" s="87">
        <v>58000986.657099992</v>
      </c>
      <c r="BF193" s="87">
        <f t="shared" si="430"/>
        <v>3615321.915399991</v>
      </c>
      <c r="BG193" s="88">
        <f t="shared" si="431"/>
        <v>3615321.915399991</v>
      </c>
      <c r="BH193" s="87">
        <f>IF(Dyn_Insured="","",IF(ISNUMBER(BD193)=FALSE,"n/a",MIN(MAX(BD193-'Layer Comparison'!Excess_Past,0),'Layer Comparison'!Limit_Past)))</f>
        <v>39385664.741700001</v>
      </c>
      <c r="BI193" s="87">
        <f>IF(Dyn_Insured="","",IF(ISNUMBER(BE193)=FALSE,"n/a",MIN(MAX(BE193-'Layer Comparison'!Excess_Latest,0),'Layer Comparison'!Limit_Latest)))</f>
        <v>43000986.657099992</v>
      </c>
      <c r="BJ193" s="87">
        <f t="shared" si="432"/>
        <v>3615321.915399991</v>
      </c>
      <c r="BK193" s="88">
        <f t="shared" si="433"/>
        <v>3615321.915399991</v>
      </c>
      <c r="BL193" s="87">
        <v>54489275.980999991</v>
      </c>
      <c r="BM193" s="87">
        <v>58128722.616499998</v>
      </c>
      <c r="BN193" s="87">
        <f t="shared" si="434"/>
        <v>3639446.6355000064</v>
      </c>
      <c r="BO193" s="88">
        <f t="shared" si="435"/>
        <v>3639446.6355000064</v>
      </c>
      <c r="BP193" s="87">
        <f>IF(Dyn_Insured="","",IF(ISNUMBER(BL193)=FALSE,"n/a",MIN(MAX(BL193-'Layer Comparison'!Excess_Past,0),'Layer Comparison'!Limit_Past)))</f>
        <v>39489275.980999991</v>
      </c>
      <c r="BQ193" s="87">
        <f>IF(Dyn_Insured="","",IF(ISNUMBER(BM193)=FALSE,"n/a",MIN(MAX(BM193-'Layer Comparison'!Excess_Latest,0),'Layer Comparison'!Limit_Latest)))</f>
        <v>43128722.616499998</v>
      </c>
      <c r="BR193" s="87">
        <f t="shared" si="436"/>
        <v>3639446.6355000064</v>
      </c>
      <c r="BS193" s="88">
        <f t="shared" si="437"/>
        <v>3639446.6355000064</v>
      </c>
      <c r="BT193" s="46" t="s">
        <v>13</v>
      </c>
    </row>
    <row r="194" spans="1:72" x14ac:dyDescent="0.25">
      <c r="A194" s="89">
        <v>194</v>
      </c>
      <c r="B194" s="89">
        <f t="shared" si="403"/>
        <v>1</v>
      </c>
      <c r="C194" s="89">
        <f t="shared" si="404"/>
        <v>1</v>
      </c>
      <c r="D194" s="90">
        <f t="shared" si="405"/>
        <v>1</v>
      </c>
      <c r="E194" s="90">
        <f t="shared" si="405"/>
        <v>1</v>
      </c>
      <c r="F194" s="48" t="s">
        <v>143</v>
      </c>
      <c r="G194" s="38" t="s">
        <v>38</v>
      </c>
      <c r="H194" s="87">
        <v>2900745.3272000002</v>
      </c>
      <c r="I194" s="87">
        <v>2338227.3826000001</v>
      </c>
      <c r="J194" s="87">
        <f t="shared" si="406"/>
        <v>-562517.94460000005</v>
      </c>
      <c r="K194" s="88">
        <f t="shared" si="407"/>
        <v>-562517.94460000005</v>
      </c>
      <c r="L194" s="87">
        <f>IF(Dyn_Insured="","",IF(ISNUMBER(H194)=FALSE,"n/a",MIN(MAX(H194-'Layer Comparison'!Excess_Past,0),'Layer Comparison'!Limit_Past)))</f>
        <v>0</v>
      </c>
      <c r="M194" s="87">
        <f>IF(Dyn_Insured="","",IF(ISNUMBER(I194)=FALSE,"n/a",MIN(MAX(I194-'Layer Comparison'!Excess_Latest,0),'Layer Comparison'!Limit_Latest)))</f>
        <v>0</v>
      </c>
      <c r="N194" s="87">
        <f t="shared" si="408"/>
        <v>0</v>
      </c>
      <c r="O194" s="88">
        <f t="shared" si="409"/>
        <v>0</v>
      </c>
      <c r="P194" s="87">
        <v>13895462.3193</v>
      </c>
      <c r="Q194" s="87">
        <v>11777998.258400001</v>
      </c>
      <c r="R194" s="87">
        <f t="shared" si="410"/>
        <v>-2117464.060899999</v>
      </c>
      <c r="S194" s="88">
        <f t="shared" si="411"/>
        <v>-2117464.060899999</v>
      </c>
      <c r="T194" s="87">
        <f>IF(Dyn_Insured="","",IF(ISNUMBER(P194)=FALSE,"n/a",MIN(MAX(P194-'Layer Comparison'!Excess_Past,0),'Layer Comparison'!Limit_Past)))</f>
        <v>0</v>
      </c>
      <c r="U194" s="87">
        <f>IF(Dyn_Insured="","",IF(ISNUMBER(Q194)=FALSE,"n/a",MIN(MAX(Q194-'Layer Comparison'!Excess_Latest,0),'Layer Comparison'!Limit_Latest)))</f>
        <v>0</v>
      </c>
      <c r="V194" s="87">
        <f t="shared" si="412"/>
        <v>0</v>
      </c>
      <c r="W194" s="88">
        <f t="shared" si="413"/>
        <v>0</v>
      </c>
      <c r="X194" s="87">
        <v>26858154.804499999</v>
      </c>
      <c r="Y194" s="87">
        <v>23449589.411800001</v>
      </c>
      <c r="Z194" s="87">
        <f t="shared" si="414"/>
        <v>-3408565.3926999979</v>
      </c>
      <c r="AA194" s="88">
        <f t="shared" si="415"/>
        <v>-3408565.3926999979</v>
      </c>
      <c r="AB194" s="87">
        <f>IF(Dyn_Insured="","",IF(ISNUMBER(X194)=FALSE,"n/a",MIN(MAX(X194-'Layer Comparison'!Excess_Past,0),'Layer Comparison'!Limit_Past)))</f>
        <v>11858154.804499999</v>
      </c>
      <c r="AC194" s="87">
        <f>IF(Dyn_Insured="","",IF(ISNUMBER(Y194)=FALSE,"n/a",MIN(MAX(Y194-'Layer Comparison'!Excess_Latest,0),'Layer Comparison'!Limit_Latest)))</f>
        <v>8449589.4118000008</v>
      </c>
      <c r="AD194" s="87">
        <f t="shared" si="416"/>
        <v>-3408565.3926999979</v>
      </c>
      <c r="AE194" s="88">
        <f t="shared" si="417"/>
        <v>-3408565.3926999979</v>
      </c>
      <c r="AF194" s="87">
        <v>40881145.098400012</v>
      </c>
      <c r="AG194" s="87">
        <v>36889664.926999994</v>
      </c>
      <c r="AH194" s="87">
        <f t="shared" si="418"/>
        <v>-3991480.171400018</v>
      </c>
      <c r="AI194" s="88">
        <f t="shared" si="419"/>
        <v>-3991480.171400018</v>
      </c>
      <c r="AJ194" s="87">
        <f>IF(Dyn_Insured="","",IF(ISNUMBER(AF194)=FALSE,"n/a",MIN(MAX(AF194-'Layer Comparison'!Excess_Past,0),'Layer Comparison'!Limit_Past)))</f>
        <v>25881145.098400012</v>
      </c>
      <c r="AK194" s="87">
        <f>IF(Dyn_Insured="","",IF(ISNUMBER(AG194)=FALSE,"n/a",MIN(MAX(AG194-'Layer Comparison'!Excess_Latest,0),'Layer Comparison'!Limit_Latest)))</f>
        <v>21889664.926999994</v>
      </c>
      <c r="AL194" s="87">
        <f t="shared" si="420"/>
        <v>-3991480.171400018</v>
      </c>
      <c r="AM194" s="88">
        <f t="shared" si="421"/>
        <v>-3991480.171400018</v>
      </c>
      <c r="AN194" s="87">
        <v>70970842.756899983</v>
      </c>
      <c r="AO194" s="87">
        <v>65685338.900100008</v>
      </c>
      <c r="AP194" s="87">
        <f t="shared" si="422"/>
        <v>-5285503.856799975</v>
      </c>
      <c r="AQ194" s="88">
        <f t="shared" si="423"/>
        <v>-5285503.856799975</v>
      </c>
      <c r="AR194" s="87">
        <f>IF(Dyn_Insured="","",IF(ISNUMBER(AN194)=FALSE,"n/a",MIN(MAX(AN194-'Layer Comparison'!Excess_Past,0),'Layer Comparison'!Limit_Past)))</f>
        <v>55970842.756899983</v>
      </c>
      <c r="AS194" s="87">
        <f>IF(Dyn_Insured="","",IF(ISNUMBER(AO194)=FALSE,"n/a",MIN(MAX(AO194-'Layer Comparison'!Excess_Latest,0),'Layer Comparison'!Limit_Latest)))</f>
        <v>50685338.900100008</v>
      </c>
      <c r="AT194" s="87">
        <f t="shared" si="424"/>
        <v>-5285503.856799975</v>
      </c>
      <c r="AU194" s="88">
        <f t="shared" si="425"/>
        <v>-5285503.856799975</v>
      </c>
      <c r="AV194" s="87">
        <v>99132247.908499986</v>
      </c>
      <c r="AW194" s="87">
        <v>92757660.64199999</v>
      </c>
      <c r="AX194" s="87">
        <f t="shared" si="426"/>
        <v>-6374587.2664999962</v>
      </c>
      <c r="AY194" s="88">
        <f t="shared" si="427"/>
        <v>-6374587.2664999962</v>
      </c>
      <c r="AZ194" s="87">
        <f>IF(Dyn_Insured="","",IF(ISNUMBER(AV194)=FALSE,"n/a",MIN(MAX(AV194-'Layer Comparison'!Excess_Past,0),'Layer Comparison'!Limit_Past)))</f>
        <v>84132247.908499986</v>
      </c>
      <c r="BA194" s="87">
        <f>IF(Dyn_Insured="","",IF(ISNUMBER(AW194)=FALSE,"n/a",MIN(MAX(AW194-'Layer Comparison'!Excess_Latest,0),'Layer Comparison'!Limit_Latest)))</f>
        <v>77757660.64199999</v>
      </c>
      <c r="BB194" s="87">
        <f t="shared" si="428"/>
        <v>-6374587.2664999962</v>
      </c>
      <c r="BC194" s="88">
        <f t="shared" si="429"/>
        <v>-6374587.2664999962</v>
      </c>
      <c r="BD194" s="87">
        <v>111130163.14559998</v>
      </c>
      <c r="BE194" s="87">
        <v>104058329.22149998</v>
      </c>
      <c r="BF194" s="87">
        <f t="shared" si="430"/>
        <v>-7071833.9240999967</v>
      </c>
      <c r="BG194" s="88">
        <f t="shared" si="431"/>
        <v>-7071833.9240999967</v>
      </c>
      <c r="BH194" s="87">
        <f>IF(Dyn_Insured="","",IF(ISNUMBER(BD194)=FALSE,"n/a",MIN(MAX(BD194-'Layer Comparison'!Excess_Past,0),'Layer Comparison'!Limit_Past)))</f>
        <v>96130163.145599976</v>
      </c>
      <c r="BI194" s="87">
        <f>IF(Dyn_Insured="","",IF(ISNUMBER(BE194)=FALSE,"n/a",MIN(MAX(BE194-'Layer Comparison'!Excess_Latest,0),'Layer Comparison'!Limit_Latest)))</f>
        <v>89058329.221499979</v>
      </c>
      <c r="BJ194" s="87">
        <f t="shared" si="432"/>
        <v>-7071833.9240999967</v>
      </c>
      <c r="BK194" s="88">
        <f t="shared" si="433"/>
        <v>-7071833.9240999967</v>
      </c>
      <c r="BL194" s="87">
        <v>111130163.14559998</v>
      </c>
      <c r="BM194" s="87">
        <v>104058329.22149998</v>
      </c>
      <c r="BN194" s="87">
        <f t="shared" si="434"/>
        <v>-7071833.9240999967</v>
      </c>
      <c r="BO194" s="88">
        <f t="shared" si="435"/>
        <v>-7071833.9240999967</v>
      </c>
      <c r="BP194" s="87">
        <f>IF(Dyn_Insured="","",IF(ISNUMBER(BL194)=FALSE,"n/a",MIN(MAX(BL194-'Layer Comparison'!Excess_Past,0),'Layer Comparison'!Limit_Past)))</f>
        <v>96130163.145599976</v>
      </c>
      <c r="BQ194" s="87">
        <f>IF(Dyn_Insured="","",IF(ISNUMBER(BM194)=FALSE,"n/a",MIN(MAX(BM194-'Layer Comparison'!Excess_Latest,0),'Layer Comparison'!Limit_Latest)))</f>
        <v>89058329.221499979</v>
      </c>
      <c r="BR194" s="87">
        <f t="shared" si="436"/>
        <v>-7071833.9240999967</v>
      </c>
      <c r="BS194" s="88">
        <f t="shared" si="437"/>
        <v>-7071833.9240999967</v>
      </c>
      <c r="BT194" s="46" t="s">
        <v>13</v>
      </c>
    </row>
    <row r="195" spans="1:72" x14ac:dyDescent="0.25">
      <c r="A195" s="89">
        <v>195</v>
      </c>
      <c r="B195" s="89">
        <f t="shared" si="403"/>
        <v>1</v>
      </c>
      <c r="C195" s="89">
        <f t="shared" si="404"/>
        <v>1</v>
      </c>
      <c r="D195" s="90">
        <f t="shared" si="405"/>
        <v>1</v>
      </c>
      <c r="E195" s="90">
        <f t="shared" si="405"/>
        <v>1</v>
      </c>
      <c r="F195" s="48" t="s">
        <v>144</v>
      </c>
      <c r="G195" s="38" t="s">
        <v>38</v>
      </c>
      <c r="H195" s="87">
        <v>2296562.9665000001</v>
      </c>
      <c r="I195" s="87">
        <v>2166324.8692999999</v>
      </c>
      <c r="J195" s="87">
        <f t="shared" si="406"/>
        <v>-130238.09720000019</v>
      </c>
      <c r="K195" s="88">
        <f t="shared" si="407"/>
        <v>-130238.09720000019</v>
      </c>
      <c r="L195" s="87">
        <f>IF(Dyn_Insured="","",IF(ISNUMBER(H195)=FALSE,"n/a",MIN(MAX(H195-'Layer Comparison'!Excess_Past,0),'Layer Comparison'!Limit_Past)))</f>
        <v>0</v>
      </c>
      <c r="M195" s="87">
        <f>IF(Dyn_Insured="","",IF(ISNUMBER(I195)=FALSE,"n/a",MIN(MAX(I195-'Layer Comparison'!Excess_Latest,0),'Layer Comparison'!Limit_Latest)))</f>
        <v>0</v>
      </c>
      <c r="N195" s="87">
        <f t="shared" si="408"/>
        <v>0</v>
      </c>
      <c r="O195" s="88">
        <f t="shared" si="409"/>
        <v>0</v>
      </c>
      <c r="P195" s="87">
        <v>11553816.6525</v>
      </c>
      <c r="Q195" s="87">
        <v>11768505.7259</v>
      </c>
      <c r="R195" s="87">
        <f t="shared" si="410"/>
        <v>214689.07340000011</v>
      </c>
      <c r="S195" s="88">
        <f t="shared" si="411"/>
        <v>214689.07340000011</v>
      </c>
      <c r="T195" s="87">
        <f>IF(Dyn_Insured="","",IF(ISNUMBER(P195)=FALSE,"n/a",MIN(MAX(P195-'Layer Comparison'!Excess_Past,0),'Layer Comparison'!Limit_Past)))</f>
        <v>0</v>
      </c>
      <c r="U195" s="87">
        <f>IF(Dyn_Insured="","",IF(ISNUMBER(Q195)=FALSE,"n/a",MIN(MAX(Q195-'Layer Comparison'!Excess_Latest,0),'Layer Comparison'!Limit_Latest)))</f>
        <v>0</v>
      </c>
      <c r="V195" s="87">
        <f t="shared" si="412"/>
        <v>0</v>
      </c>
      <c r="W195" s="88">
        <f t="shared" si="413"/>
        <v>0</v>
      </c>
      <c r="X195" s="87">
        <v>21673728.7042</v>
      </c>
      <c r="Y195" s="87">
        <v>23605793.916299999</v>
      </c>
      <c r="Z195" s="87">
        <f t="shared" si="414"/>
        <v>1932065.2120999992</v>
      </c>
      <c r="AA195" s="88">
        <f t="shared" si="415"/>
        <v>1932065.2120999992</v>
      </c>
      <c r="AB195" s="87">
        <f>IF(Dyn_Insured="","",IF(ISNUMBER(X195)=FALSE,"n/a",MIN(MAX(X195-'Layer Comparison'!Excess_Past,0),'Layer Comparison'!Limit_Past)))</f>
        <v>6673728.7041999996</v>
      </c>
      <c r="AC195" s="87">
        <f>IF(Dyn_Insured="","",IF(ISNUMBER(Y195)=FALSE,"n/a",MIN(MAX(Y195-'Layer Comparison'!Excess_Latest,0),'Layer Comparison'!Limit_Latest)))</f>
        <v>8605793.9162999988</v>
      </c>
      <c r="AD195" s="87">
        <f t="shared" si="416"/>
        <v>1932065.2120999992</v>
      </c>
      <c r="AE195" s="88">
        <f t="shared" si="417"/>
        <v>1932065.2120999992</v>
      </c>
      <c r="AF195" s="87">
        <v>31884578.232899997</v>
      </c>
      <c r="AG195" s="87">
        <v>36486014.624499999</v>
      </c>
      <c r="AH195" s="87">
        <f t="shared" si="418"/>
        <v>4601436.3916000016</v>
      </c>
      <c r="AI195" s="88">
        <f t="shared" si="419"/>
        <v>4601436.3916000016</v>
      </c>
      <c r="AJ195" s="87">
        <f>IF(Dyn_Insured="","",IF(ISNUMBER(AF195)=FALSE,"n/a",MIN(MAX(AF195-'Layer Comparison'!Excess_Past,0),'Layer Comparison'!Limit_Past)))</f>
        <v>16884578.232899997</v>
      </c>
      <c r="AK195" s="87">
        <f>IF(Dyn_Insured="","",IF(ISNUMBER(AG195)=FALSE,"n/a",MIN(MAX(AG195-'Layer Comparison'!Excess_Latest,0),'Layer Comparison'!Limit_Latest)))</f>
        <v>21486014.624499999</v>
      </c>
      <c r="AL195" s="87">
        <f t="shared" si="420"/>
        <v>4601436.3916000016</v>
      </c>
      <c r="AM195" s="88">
        <f t="shared" si="421"/>
        <v>4601436.3916000016</v>
      </c>
      <c r="AN195" s="87">
        <v>53777146.663599998</v>
      </c>
      <c r="AO195" s="87">
        <v>65519427.91650001</v>
      </c>
      <c r="AP195" s="87">
        <f t="shared" si="422"/>
        <v>11742281.252900012</v>
      </c>
      <c r="AQ195" s="88">
        <f t="shared" si="423"/>
        <v>11742281.252900012</v>
      </c>
      <c r="AR195" s="87">
        <f>IF(Dyn_Insured="","",IF(ISNUMBER(AN195)=FALSE,"n/a",MIN(MAX(AN195-'Layer Comparison'!Excess_Past,0),'Layer Comparison'!Limit_Past)))</f>
        <v>38777146.663599998</v>
      </c>
      <c r="AS195" s="87">
        <f>IF(Dyn_Insured="","",IF(ISNUMBER(AO195)=FALSE,"n/a",MIN(MAX(AO195-'Layer Comparison'!Excess_Latest,0),'Layer Comparison'!Limit_Latest)))</f>
        <v>50519427.91650001</v>
      </c>
      <c r="AT195" s="87">
        <f t="shared" si="424"/>
        <v>11742281.252900012</v>
      </c>
      <c r="AU195" s="88">
        <f t="shared" si="425"/>
        <v>11742281.252900012</v>
      </c>
      <c r="AV195" s="87">
        <v>75891420.896800011</v>
      </c>
      <c r="AW195" s="87">
        <v>95863630.252599984</v>
      </c>
      <c r="AX195" s="87">
        <f t="shared" si="426"/>
        <v>19972209.355799973</v>
      </c>
      <c r="AY195" s="88">
        <f t="shared" si="427"/>
        <v>19972209.355799973</v>
      </c>
      <c r="AZ195" s="87">
        <f>IF(Dyn_Insured="","",IF(ISNUMBER(AV195)=FALSE,"n/a",MIN(MAX(AV195-'Layer Comparison'!Excess_Past,0),'Layer Comparison'!Limit_Past)))</f>
        <v>60891420.896800011</v>
      </c>
      <c r="BA195" s="87">
        <f>IF(Dyn_Insured="","",IF(ISNUMBER(AW195)=FALSE,"n/a",MIN(MAX(AW195-'Layer Comparison'!Excess_Latest,0),'Layer Comparison'!Limit_Latest)))</f>
        <v>80863630.252599984</v>
      </c>
      <c r="BB195" s="87">
        <f t="shared" si="428"/>
        <v>19972209.355799973</v>
      </c>
      <c r="BC195" s="88">
        <f t="shared" si="429"/>
        <v>19972209.355799973</v>
      </c>
      <c r="BD195" s="87">
        <v>93821485.996700019</v>
      </c>
      <c r="BE195" s="87">
        <v>118379884.25450005</v>
      </c>
      <c r="BF195" s="87">
        <f t="shared" si="430"/>
        <v>24558398.257800028</v>
      </c>
      <c r="BG195" s="88">
        <f t="shared" si="431"/>
        <v>24558398.257800028</v>
      </c>
      <c r="BH195" s="87">
        <f>IF(Dyn_Insured="","",IF(ISNUMBER(BD195)=FALSE,"n/a",MIN(MAX(BD195-'Layer Comparison'!Excess_Past,0),'Layer Comparison'!Limit_Past)))</f>
        <v>78821485.996700019</v>
      </c>
      <c r="BI195" s="87">
        <f>IF(Dyn_Insured="","",IF(ISNUMBER(BE195)=FALSE,"n/a",MIN(MAX(BE195-'Layer Comparison'!Excess_Latest,0),'Layer Comparison'!Limit_Latest)))</f>
        <v>103379884.25450005</v>
      </c>
      <c r="BJ195" s="87">
        <f t="shared" si="432"/>
        <v>24558398.257800028</v>
      </c>
      <c r="BK195" s="88">
        <f t="shared" si="433"/>
        <v>24558398.257800028</v>
      </c>
      <c r="BL195" s="87">
        <v>93821485.996700019</v>
      </c>
      <c r="BM195" s="87">
        <v>118379884.25450003</v>
      </c>
      <c r="BN195" s="87">
        <f t="shared" si="434"/>
        <v>24558398.257800013</v>
      </c>
      <c r="BO195" s="88">
        <f t="shared" si="435"/>
        <v>24558398.257800013</v>
      </c>
      <c r="BP195" s="87">
        <f>IF(Dyn_Insured="","",IF(ISNUMBER(BL195)=FALSE,"n/a",MIN(MAX(BL195-'Layer Comparison'!Excess_Past,0),'Layer Comparison'!Limit_Past)))</f>
        <v>78821485.996700019</v>
      </c>
      <c r="BQ195" s="87">
        <f>IF(Dyn_Insured="","",IF(ISNUMBER(BM195)=FALSE,"n/a",MIN(MAX(BM195-'Layer Comparison'!Excess_Latest,0),'Layer Comparison'!Limit_Latest)))</f>
        <v>103379884.25450003</v>
      </c>
      <c r="BR195" s="87">
        <f t="shared" si="436"/>
        <v>24558398.257800013</v>
      </c>
      <c r="BS195" s="88">
        <f t="shared" si="437"/>
        <v>24558398.257800013</v>
      </c>
      <c r="BT195" s="46" t="s">
        <v>13</v>
      </c>
    </row>
    <row r="196" spans="1:72" x14ac:dyDescent="0.25">
      <c r="A196" s="89">
        <v>196</v>
      </c>
      <c r="B196" s="89">
        <f t="shared" si="403"/>
        <v>1</v>
      </c>
      <c r="C196" s="89">
        <f t="shared" si="404"/>
        <v>1</v>
      </c>
      <c r="D196" s="90">
        <f t="shared" si="405"/>
        <v>1</v>
      </c>
      <c r="E196" s="90">
        <f t="shared" si="405"/>
        <v>1</v>
      </c>
      <c r="F196" s="48" t="s">
        <v>145</v>
      </c>
      <c r="G196" s="38" t="s">
        <v>38</v>
      </c>
      <c r="H196" s="87">
        <v>785367.9399</v>
      </c>
      <c r="I196" s="87">
        <v>1025448.1448</v>
      </c>
      <c r="J196" s="87">
        <f t="shared" si="406"/>
        <v>240080.20490000001</v>
      </c>
      <c r="K196" s="88">
        <f t="shared" si="407"/>
        <v>240080.20490000001</v>
      </c>
      <c r="L196" s="87">
        <f>IF(Dyn_Insured="","",IF(ISNUMBER(H196)=FALSE,"n/a",MIN(MAX(H196-'Layer Comparison'!Excess_Past,0),'Layer Comparison'!Limit_Past)))</f>
        <v>0</v>
      </c>
      <c r="M196" s="87">
        <f>IF(Dyn_Insured="","",IF(ISNUMBER(I196)=FALSE,"n/a",MIN(MAX(I196-'Layer Comparison'!Excess_Latest,0),'Layer Comparison'!Limit_Latest)))</f>
        <v>0</v>
      </c>
      <c r="N196" s="87">
        <f t="shared" si="408"/>
        <v>0</v>
      </c>
      <c r="O196" s="88">
        <f t="shared" si="409"/>
        <v>0</v>
      </c>
      <c r="P196" s="87">
        <v>9055287.3775999993</v>
      </c>
      <c r="Q196" s="87">
        <v>9740277.216500001</v>
      </c>
      <c r="R196" s="87">
        <f t="shared" si="410"/>
        <v>684989.83890000172</v>
      </c>
      <c r="S196" s="88">
        <f t="shared" si="411"/>
        <v>684989.83890000172</v>
      </c>
      <c r="T196" s="87">
        <f>IF(Dyn_Insured="","",IF(ISNUMBER(P196)=FALSE,"n/a",MIN(MAX(P196-'Layer Comparison'!Excess_Past,0),'Layer Comparison'!Limit_Past)))</f>
        <v>0</v>
      </c>
      <c r="U196" s="87">
        <f>IF(Dyn_Insured="","",IF(ISNUMBER(Q196)=FALSE,"n/a",MIN(MAX(Q196-'Layer Comparison'!Excess_Latest,0),'Layer Comparison'!Limit_Latest)))</f>
        <v>0</v>
      </c>
      <c r="V196" s="87">
        <f t="shared" si="412"/>
        <v>0</v>
      </c>
      <c r="W196" s="88">
        <f t="shared" si="413"/>
        <v>0</v>
      </c>
      <c r="X196" s="87">
        <v>19136846.756500002</v>
      </c>
      <c r="Y196" s="87">
        <v>20406636.1664</v>
      </c>
      <c r="Z196" s="87">
        <f t="shared" si="414"/>
        <v>1269789.4098999985</v>
      </c>
      <c r="AA196" s="88">
        <f t="shared" si="415"/>
        <v>1269789.4098999985</v>
      </c>
      <c r="AB196" s="87">
        <f>IF(Dyn_Insured="","",IF(ISNUMBER(X196)=FALSE,"n/a",MIN(MAX(X196-'Layer Comparison'!Excess_Past,0),'Layer Comparison'!Limit_Past)))</f>
        <v>4136846.756500002</v>
      </c>
      <c r="AC196" s="87">
        <f>IF(Dyn_Insured="","",IF(ISNUMBER(Y196)=FALSE,"n/a",MIN(MAX(Y196-'Layer Comparison'!Excess_Latest,0),'Layer Comparison'!Limit_Latest)))</f>
        <v>5406636.1664000005</v>
      </c>
      <c r="AD196" s="87">
        <f t="shared" si="416"/>
        <v>1269789.4098999985</v>
      </c>
      <c r="AE196" s="88">
        <f t="shared" si="417"/>
        <v>1269789.4098999985</v>
      </c>
      <c r="AF196" s="87">
        <v>28595021.898499999</v>
      </c>
      <c r="AG196" s="87">
        <v>31278259.717100002</v>
      </c>
      <c r="AH196" s="87">
        <f t="shared" si="418"/>
        <v>2683237.8186000027</v>
      </c>
      <c r="AI196" s="88">
        <f t="shared" si="419"/>
        <v>2683237.8186000027</v>
      </c>
      <c r="AJ196" s="87">
        <f>IF(Dyn_Insured="","",IF(ISNUMBER(AF196)=FALSE,"n/a",MIN(MAX(AF196-'Layer Comparison'!Excess_Past,0),'Layer Comparison'!Limit_Past)))</f>
        <v>13595021.898499999</v>
      </c>
      <c r="AK196" s="87">
        <f>IF(Dyn_Insured="","",IF(ISNUMBER(AG196)=FALSE,"n/a",MIN(MAX(AG196-'Layer Comparison'!Excess_Latest,0),'Layer Comparison'!Limit_Latest)))</f>
        <v>16278259.717100002</v>
      </c>
      <c r="AL196" s="87">
        <f t="shared" si="420"/>
        <v>2683237.8186000027</v>
      </c>
      <c r="AM196" s="88">
        <f t="shared" si="421"/>
        <v>2683237.8186000027</v>
      </c>
      <c r="AN196" s="87">
        <v>50579751.151899993</v>
      </c>
      <c r="AO196" s="87">
        <v>57152869.89949999</v>
      </c>
      <c r="AP196" s="87">
        <f t="shared" si="422"/>
        <v>6573118.7475999966</v>
      </c>
      <c r="AQ196" s="88">
        <f t="shared" si="423"/>
        <v>6573118.7475999966</v>
      </c>
      <c r="AR196" s="87">
        <f>IF(Dyn_Insured="","",IF(ISNUMBER(AN196)=FALSE,"n/a",MIN(MAX(AN196-'Layer Comparison'!Excess_Past,0),'Layer Comparison'!Limit_Past)))</f>
        <v>35579751.151899993</v>
      </c>
      <c r="AS196" s="87">
        <f>IF(Dyn_Insured="","",IF(ISNUMBER(AO196)=FALSE,"n/a",MIN(MAX(AO196-'Layer Comparison'!Excess_Latest,0),'Layer Comparison'!Limit_Latest)))</f>
        <v>42152869.89949999</v>
      </c>
      <c r="AT196" s="87">
        <f t="shared" si="424"/>
        <v>6573118.7475999966</v>
      </c>
      <c r="AU196" s="88">
        <f t="shared" si="425"/>
        <v>6573118.7475999966</v>
      </c>
      <c r="AV196" s="87">
        <v>76884735.764999986</v>
      </c>
      <c r="AW196" s="87">
        <v>84396092.486400008</v>
      </c>
      <c r="AX196" s="87">
        <f t="shared" si="426"/>
        <v>7511356.7214000225</v>
      </c>
      <c r="AY196" s="88">
        <f t="shared" si="427"/>
        <v>7511356.7214000225</v>
      </c>
      <c r="AZ196" s="87">
        <f>IF(Dyn_Insured="","",IF(ISNUMBER(AV196)=FALSE,"n/a",MIN(MAX(AV196-'Layer Comparison'!Excess_Past,0),'Layer Comparison'!Limit_Past)))</f>
        <v>61884735.764999986</v>
      </c>
      <c r="BA196" s="87">
        <f>IF(Dyn_Insured="","",IF(ISNUMBER(AW196)=FALSE,"n/a",MIN(MAX(AW196-'Layer Comparison'!Excess_Latest,0),'Layer Comparison'!Limit_Latest)))</f>
        <v>69396092.486400008</v>
      </c>
      <c r="BB196" s="87">
        <f t="shared" si="428"/>
        <v>7511356.7214000225</v>
      </c>
      <c r="BC196" s="88">
        <f t="shared" si="429"/>
        <v>7511356.7214000225</v>
      </c>
      <c r="BD196" s="87">
        <v>91285918.235499978</v>
      </c>
      <c r="BE196" s="87">
        <v>96119229.954099998</v>
      </c>
      <c r="BF196" s="87">
        <f t="shared" si="430"/>
        <v>4833311.7186000198</v>
      </c>
      <c r="BG196" s="88">
        <f t="shared" si="431"/>
        <v>4833311.7186000198</v>
      </c>
      <c r="BH196" s="87">
        <f>IF(Dyn_Insured="","",IF(ISNUMBER(BD196)=FALSE,"n/a",MIN(MAX(BD196-'Layer Comparison'!Excess_Past,0),'Layer Comparison'!Limit_Past)))</f>
        <v>76285918.235499978</v>
      </c>
      <c r="BI196" s="87">
        <f>IF(Dyn_Insured="","",IF(ISNUMBER(BE196)=FALSE,"n/a",MIN(MAX(BE196-'Layer Comparison'!Excess_Latest,0),'Layer Comparison'!Limit_Latest)))</f>
        <v>81119229.954099998</v>
      </c>
      <c r="BJ196" s="87">
        <f t="shared" si="432"/>
        <v>4833311.7186000198</v>
      </c>
      <c r="BK196" s="88">
        <f t="shared" si="433"/>
        <v>4833311.7186000198</v>
      </c>
      <c r="BL196" s="87">
        <v>91285918.235499978</v>
      </c>
      <c r="BM196" s="87">
        <v>96119229.954100013</v>
      </c>
      <c r="BN196" s="87">
        <f t="shared" si="434"/>
        <v>4833311.7186000347</v>
      </c>
      <c r="BO196" s="88">
        <f t="shared" si="435"/>
        <v>4833311.7186000347</v>
      </c>
      <c r="BP196" s="87">
        <f>IF(Dyn_Insured="","",IF(ISNUMBER(BL196)=FALSE,"n/a",MIN(MAX(BL196-'Layer Comparison'!Excess_Past,0),'Layer Comparison'!Limit_Past)))</f>
        <v>76285918.235499978</v>
      </c>
      <c r="BQ196" s="87">
        <f>IF(Dyn_Insured="","",IF(ISNUMBER(BM196)=FALSE,"n/a",MIN(MAX(BM196-'Layer Comparison'!Excess_Latest,0),'Layer Comparison'!Limit_Latest)))</f>
        <v>81119229.954100013</v>
      </c>
      <c r="BR196" s="87">
        <f t="shared" si="436"/>
        <v>4833311.7186000347</v>
      </c>
      <c r="BS196" s="88">
        <f t="shared" si="437"/>
        <v>4833311.7186000347</v>
      </c>
      <c r="BT196" s="46" t="s">
        <v>13</v>
      </c>
    </row>
    <row r="197" spans="1:72" x14ac:dyDescent="0.25">
      <c r="A197" s="89">
        <v>197</v>
      </c>
      <c r="B197" s="89">
        <f t="shared" si="403"/>
        <v>1</v>
      </c>
      <c r="C197" s="89">
        <f t="shared" si="404"/>
        <v>1</v>
      </c>
      <c r="D197" s="90">
        <f t="shared" si="405"/>
        <v>1</v>
      </c>
      <c r="E197" s="90">
        <f t="shared" si="405"/>
        <v>1</v>
      </c>
      <c r="F197" s="48" t="s">
        <v>146</v>
      </c>
      <c r="G197" s="38" t="s">
        <v>38</v>
      </c>
      <c r="H197" s="87">
        <v>1337500.8811999997</v>
      </c>
      <c r="I197" s="87">
        <v>1417607.05</v>
      </c>
      <c r="J197" s="87">
        <f t="shared" si="406"/>
        <v>80106.168800000334</v>
      </c>
      <c r="K197" s="88">
        <f t="shared" si="407"/>
        <v>80106.168800000334</v>
      </c>
      <c r="L197" s="87">
        <f>IF(Dyn_Insured="","",IF(ISNUMBER(H197)=FALSE,"n/a",MIN(MAX(H197-'Layer Comparison'!Excess_Past,0),'Layer Comparison'!Limit_Past)))</f>
        <v>0</v>
      </c>
      <c r="M197" s="87">
        <f>IF(Dyn_Insured="","",IF(ISNUMBER(I197)=FALSE,"n/a",MIN(MAX(I197-'Layer Comparison'!Excess_Latest,0),'Layer Comparison'!Limit_Latest)))</f>
        <v>0</v>
      </c>
      <c r="N197" s="87">
        <f t="shared" si="408"/>
        <v>0</v>
      </c>
      <c r="O197" s="88">
        <f t="shared" si="409"/>
        <v>0</v>
      </c>
      <c r="P197" s="87">
        <v>11345501.500399999</v>
      </c>
      <c r="Q197" s="87">
        <v>4962446.790000001</v>
      </c>
      <c r="R197" s="87">
        <f t="shared" si="410"/>
        <v>-6383054.7103999984</v>
      </c>
      <c r="S197" s="88">
        <f t="shared" si="411"/>
        <v>-6383054.7103999984</v>
      </c>
      <c r="T197" s="87">
        <f>IF(Dyn_Insured="","",IF(ISNUMBER(P197)=FALSE,"n/a",MIN(MAX(P197-'Layer Comparison'!Excess_Past,0),'Layer Comparison'!Limit_Past)))</f>
        <v>0</v>
      </c>
      <c r="U197" s="87">
        <f>IF(Dyn_Insured="","",IF(ISNUMBER(Q197)=FALSE,"n/a",MIN(MAX(Q197-'Layer Comparison'!Excess_Latest,0),'Layer Comparison'!Limit_Latest)))</f>
        <v>0</v>
      </c>
      <c r="V197" s="87">
        <f t="shared" si="412"/>
        <v>0</v>
      </c>
      <c r="W197" s="88">
        <f t="shared" si="413"/>
        <v>0</v>
      </c>
      <c r="X197" s="87">
        <v>21874101.192299999</v>
      </c>
      <c r="Y197" s="87">
        <v>9263967.5192000009</v>
      </c>
      <c r="Z197" s="87">
        <f t="shared" si="414"/>
        <v>-12610133.673099998</v>
      </c>
      <c r="AA197" s="88">
        <f t="shared" si="415"/>
        <v>-12610133.673099998</v>
      </c>
      <c r="AB197" s="87">
        <f>IF(Dyn_Insured="","",IF(ISNUMBER(X197)=FALSE,"n/a",MIN(MAX(X197-'Layer Comparison'!Excess_Past,0),'Layer Comparison'!Limit_Past)))</f>
        <v>6874101.1922999993</v>
      </c>
      <c r="AC197" s="87">
        <f>IF(Dyn_Insured="","",IF(ISNUMBER(Y197)=FALSE,"n/a",MIN(MAX(Y197-'Layer Comparison'!Excess_Latest,0),'Layer Comparison'!Limit_Latest)))</f>
        <v>0</v>
      </c>
      <c r="AD197" s="87">
        <f t="shared" si="416"/>
        <v>-6874101.1922999993</v>
      </c>
      <c r="AE197" s="88">
        <f t="shared" si="417"/>
        <v>-6874101.1922999993</v>
      </c>
      <c r="AF197" s="87">
        <v>34365470.457699999</v>
      </c>
      <c r="AG197" s="87">
        <v>14685124.8378</v>
      </c>
      <c r="AH197" s="87">
        <f t="shared" si="418"/>
        <v>-19680345.619899999</v>
      </c>
      <c r="AI197" s="88">
        <f t="shared" si="419"/>
        <v>-19680345.619899999</v>
      </c>
      <c r="AJ197" s="87">
        <f>IF(Dyn_Insured="","",IF(ISNUMBER(AF197)=FALSE,"n/a",MIN(MAX(AF197-'Layer Comparison'!Excess_Past,0),'Layer Comparison'!Limit_Past)))</f>
        <v>19365470.457699999</v>
      </c>
      <c r="AK197" s="87">
        <f>IF(Dyn_Insured="","",IF(ISNUMBER(AG197)=FALSE,"n/a",MIN(MAX(AG197-'Layer Comparison'!Excess_Latest,0),'Layer Comparison'!Limit_Latest)))</f>
        <v>0</v>
      </c>
      <c r="AL197" s="87">
        <f t="shared" si="420"/>
        <v>-19365470.457699999</v>
      </c>
      <c r="AM197" s="88">
        <f t="shared" si="421"/>
        <v>-19365470.457699999</v>
      </c>
      <c r="AN197" s="87">
        <v>60907713.058200002</v>
      </c>
      <c r="AO197" s="87">
        <v>27719806.560600005</v>
      </c>
      <c r="AP197" s="87">
        <f t="shared" si="422"/>
        <v>-33187906.497599997</v>
      </c>
      <c r="AQ197" s="88">
        <f t="shared" si="423"/>
        <v>-33187906.497599997</v>
      </c>
      <c r="AR197" s="87">
        <f>IF(Dyn_Insured="","",IF(ISNUMBER(AN197)=FALSE,"n/a",MIN(MAX(AN197-'Layer Comparison'!Excess_Past,0),'Layer Comparison'!Limit_Past)))</f>
        <v>45907713.058200002</v>
      </c>
      <c r="AS197" s="87">
        <f>IF(Dyn_Insured="","",IF(ISNUMBER(AO197)=FALSE,"n/a",MIN(MAX(AO197-'Layer Comparison'!Excess_Latest,0),'Layer Comparison'!Limit_Latest)))</f>
        <v>12719806.560600005</v>
      </c>
      <c r="AT197" s="87">
        <f t="shared" si="424"/>
        <v>-33187906.497599997</v>
      </c>
      <c r="AU197" s="88">
        <f t="shared" si="425"/>
        <v>-33187906.497599997</v>
      </c>
      <c r="AV197" s="87">
        <v>81879080.929800004</v>
      </c>
      <c r="AW197" s="87">
        <v>36326851.984700009</v>
      </c>
      <c r="AX197" s="87">
        <f t="shared" si="426"/>
        <v>-45552228.945099995</v>
      </c>
      <c r="AY197" s="88">
        <f t="shared" si="427"/>
        <v>-45552228.945099995</v>
      </c>
      <c r="AZ197" s="87">
        <f>IF(Dyn_Insured="","",IF(ISNUMBER(AV197)=FALSE,"n/a",MIN(MAX(AV197-'Layer Comparison'!Excess_Past,0),'Layer Comparison'!Limit_Past)))</f>
        <v>66879080.929800004</v>
      </c>
      <c r="BA197" s="87">
        <f>IF(Dyn_Insured="","",IF(ISNUMBER(AW197)=FALSE,"n/a",MIN(MAX(AW197-'Layer Comparison'!Excess_Latest,0),'Layer Comparison'!Limit_Latest)))</f>
        <v>21326851.984700009</v>
      </c>
      <c r="BB197" s="87">
        <f t="shared" si="428"/>
        <v>-45552228.945099995</v>
      </c>
      <c r="BC197" s="88">
        <f t="shared" si="429"/>
        <v>-45552228.945099995</v>
      </c>
      <c r="BD197" s="87">
        <v>102463788.91499998</v>
      </c>
      <c r="BE197" s="87">
        <v>44971217.338199988</v>
      </c>
      <c r="BF197" s="87">
        <f t="shared" si="430"/>
        <v>-57492571.576799989</v>
      </c>
      <c r="BG197" s="88">
        <f t="shared" si="431"/>
        <v>-57492571.576799989</v>
      </c>
      <c r="BH197" s="87">
        <f>IF(Dyn_Insured="","",IF(ISNUMBER(BD197)=FALSE,"n/a",MIN(MAX(BD197-'Layer Comparison'!Excess_Past,0),'Layer Comparison'!Limit_Past)))</f>
        <v>87463788.914999977</v>
      </c>
      <c r="BI197" s="87">
        <f>IF(Dyn_Insured="","",IF(ISNUMBER(BE197)=FALSE,"n/a",MIN(MAX(BE197-'Layer Comparison'!Excess_Latest,0),'Layer Comparison'!Limit_Latest)))</f>
        <v>29971217.338199988</v>
      </c>
      <c r="BJ197" s="87">
        <f t="shared" si="432"/>
        <v>-57492571.576799989</v>
      </c>
      <c r="BK197" s="88">
        <f t="shared" si="433"/>
        <v>-57492571.576799989</v>
      </c>
      <c r="BL197" s="87">
        <v>113903789.92250001</v>
      </c>
      <c r="BM197" s="87">
        <v>49789669.568800002</v>
      </c>
      <c r="BN197" s="87">
        <f t="shared" si="434"/>
        <v>-64114120.353700012</v>
      </c>
      <c r="BO197" s="88">
        <f t="shared" si="435"/>
        <v>-64114120.353700012</v>
      </c>
      <c r="BP197" s="87">
        <f>IF(Dyn_Insured="","",IF(ISNUMBER(BL197)=FALSE,"n/a",MIN(MAX(BL197-'Layer Comparison'!Excess_Past,0),'Layer Comparison'!Limit_Past)))</f>
        <v>98903789.922500014</v>
      </c>
      <c r="BQ197" s="87">
        <f>IF(Dyn_Insured="","",IF(ISNUMBER(BM197)=FALSE,"n/a",MIN(MAX(BM197-'Layer Comparison'!Excess_Latest,0),'Layer Comparison'!Limit_Latest)))</f>
        <v>34789669.568800002</v>
      </c>
      <c r="BR197" s="87">
        <f t="shared" si="436"/>
        <v>-64114120.353700012</v>
      </c>
      <c r="BS197" s="88">
        <f t="shared" si="437"/>
        <v>-64114120.353700012</v>
      </c>
      <c r="BT197" s="46" t="s">
        <v>13</v>
      </c>
    </row>
    <row r="198" spans="1:72" x14ac:dyDescent="0.25">
      <c r="A198" s="89">
        <v>198</v>
      </c>
      <c r="B198" s="89">
        <f t="shared" si="403"/>
        <v>1</v>
      </c>
      <c r="C198" s="89">
        <f t="shared" si="404"/>
        <v>1</v>
      </c>
      <c r="D198" s="90">
        <f t="shared" si="405"/>
        <v>1</v>
      </c>
      <c r="E198" s="90">
        <f t="shared" si="405"/>
        <v>1</v>
      </c>
      <c r="F198" s="48" t="s">
        <v>147</v>
      </c>
      <c r="G198" s="38" t="s">
        <v>38</v>
      </c>
      <c r="H198" s="87">
        <v>433053.33810000005</v>
      </c>
      <c r="I198" s="87">
        <v>2118.5446000000002</v>
      </c>
      <c r="J198" s="87">
        <f t="shared" si="406"/>
        <v>-430934.79350000003</v>
      </c>
      <c r="K198" s="88">
        <f t="shared" si="407"/>
        <v>-430934.79350000003</v>
      </c>
      <c r="L198" s="87">
        <f>IF(Dyn_Insured="","",IF(ISNUMBER(H198)=FALSE,"n/a",MIN(MAX(H198-'Layer Comparison'!Excess_Past,0),'Layer Comparison'!Limit_Past)))</f>
        <v>0</v>
      </c>
      <c r="M198" s="87">
        <f>IF(Dyn_Insured="","",IF(ISNUMBER(I198)=FALSE,"n/a",MIN(MAX(I198-'Layer Comparison'!Excess_Latest,0),'Layer Comparison'!Limit_Latest)))</f>
        <v>0</v>
      </c>
      <c r="N198" s="87">
        <f t="shared" si="408"/>
        <v>0</v>
      </c>
      <c r="O198" s="88">
        <f t="shared" si="409"/>
        <v>0</v>
      </c>
      <c r="P198" s="87">
        <v>3438835.4995999997</v>
      </c>
      <c r="Q198" s="87">
        <v>66582.030999999988</v>
      </c>
      <c r="R198" s="87">
        <f t="shared" si="410"/>
        <v>-3372253.4685999998</v>
      </c>
      <c r="S198" s="88">
        <f t="shared" si="411"/>
        <v>-3372253.4685999998</v>
      </c>
      <c r="T198" s="87">
        <f>IF(Dyn_Insured="","",IF(ISNUMBER(P198)=FALSE,"n/a",MIN(MAX(P198-'Layer Comparison'!Excess_Past,0),'Layer Comparison'!Limit_Past)))</f>
        <v>0</v>
      </c>
      <c r="U198" s="87">
        <f>IF(Dyn_Insured="","",IF(ISNUMBER(Q198)=FALSE,"n/a",MIN(MAX(Q198-'Layer Comparison'!Excess_Latest,0),'Layer Comparison'!Limit_Latest)))</f>
        <v>0</v>
      </c>
      <c r="V198" s="87">
        <f t="shared" si="412"/>
        <v>0</v>
      </c>
      <c r="W198" s="88">
        <f t="shared" si="413"/>
        <v>0</v>
      </c>
      <c r="X198" s="87">
        <v>6481209.0241</v>
      </c>
      <c r="Y198" s="87">
        <v>115297.40609999999</v>
      </c>
      <c r="Z198" s="87">
        <f t="shared" si="414"/>
        <v>-6365911.6179999998</v>
      </c>
      <c r="AA198" s="88">
        <f t="shared" si="415"/>
        <v>-6365911.6179999998</v>
      </c>
      <c r="AB198" s="87">
        <f>IF(Dyn_Insured="","",IF(ISNUMBER(X198)=FALSE,"n/a",MIN(MAX(X198-'Layer Comparison'!Excess_Past,0),'Layer Comparison'!Limit_Past)))</f>
        <v>0</v>
      </c>
      <c r="AC198" s="87">
        <f>IF(Dyn_Insured="","",IF(ISNUMBER(Y198)=FALSE,"n/a",MIN(MAX(Y198-'Layer Comparison'!Excess_Latest,0),'Layer Comparison'!Limit_Latest)))</f>
        <v>0</v>
      </c>
      <c r="AD198" s="87">
        <f t="shared" si="416"/>
        <v>0</v>
      </c>
      <c r="AE198" s="88">
        <f t="shared" si="417"/>
        <v>0</v>
      </c>
      <c r="AF198" s="87">
        <v>9922463.2452999987</v>
      </c>
      <c r="AG198" s="87">
        <v>159841.93830000001</v>
      </c>
      <c r="AH198" s="87">
        <f t="shared" si="418"/>
        <v>-9762621.3069999982</v>
      </c>
      <c r="AI198" s="88">
        <f t="shared" si="419"/>
        <v>-9762621.3069999982</v>
      </c>
      <c r="AJ198" s="87">
        <f>IF(Dyn_Insured="","",IF(ISNUMBER(AF198)=FALSE,"n/a",MIN(MAX(AF198-'Layer Comparison'!Excess_Past,0),'Layer Comparison'!Limit_Past)))</f>
        <v>0</v>
      </c>
      <c r="AK198" s="87">
        <f>IF(Dyn_Insured="","",IF(ISNUMBER(AG198)=FALSE,"n/a",MIN(MAX(AG198-'Layer Comparison'!Excess_Latest,0),'Layer Comparison'!Limit_Latest)))</f>
        <v>0</v>
      </c>
      <c r="AL198" s="87">
        <f t="shared" si="420"/>
        <v>0</v>
      </c>
      <c r="AM198" s="88">
        <f t="shared" si="421"/>
        <v>0</v>
      </c>
      <c r="AN198" s="87">
        <v>18656000.451499999</v>
      </c>
      <c r="AO198" s="87">
        <v>219637.08689999999</v>
      </c>
      <c r="AP198" s="87">
        <f t="shared" si="422"/>
        <v>-18436363.364599999</v>
      </c>
      <c r="AQ198" s="88">
        <f t="shared" si="423"/>
        <v>-18436363.364599999</v>
      </c>
      <c r="AR198" s="87">
        <f>IF(Dyn_Insured="","",IF(ISNUMBER(AN198)=FALSE,"n/a",MIN(MAX(AN198-'Layer Comparison'!Excess_Past,0),'Layer Comparison'!Limit_Past)))</f>
        <v>3656000.4514999986</v>
      </c>
      <c r="AS198" s="87">
        <f>IF(Dyn_Insured="","",IF(ISNUMBER(AO198)=FALSE,"n/a",MIN(MAX(AO198-'Layer Comparison'!Excess_Latest,0),'Layer Comparison'!Limit_Latest)))</f>
        <v>0</v>
      </c>
      <c r="AT198" s="87">
        <f t="shared" si="424"/>
        <v>-3656000.4514999986</v>
      </c>
      <c r="AU198" s="88">
        <f t="shared" si="425"/>
        <v>-3656000.4514999986</v>
      </c>
      <c r="AV198" s="87">
        <v>21569353.562200002</v>
      </c>
      <c r="AW198" s="87">
        <v>238453.10749999998</v>
      </c>
      <c r="AX198" s="87">
        <f t="shared" si="426"/>
        <v>-21330900.454700001</v>
      </c>
      <c r="AY198" s="88">
        <f t="shared" si="427"/>
        <v>-21330900.454700001</v>
      </c>
      <c r="AZ198" s="87">
        <f>IF(Dyn_Insured="","",IF(ISNUMBER(AV198)=FALSE,"n/a",MIN(MAX(AV198-'Layer Comparison'!Excess_Past,0),'Layer Comparison'!Limit_Past)))</f>
        <v>6569353.5622000024</v>
      </c>
      <c r="BA198" s="87">
        <f>IF(Dyn_Insured="","",IF(ISNUMBER(AW198)=FALSE,"n/a",MIN(MAX(AW198-'Layer Comparison'!Excess_Latest,0),'Layer Comparison'!Limit_Latest)))</f>
        <v>0</v>
      </c>
      <c r="BB198" s="87">
        <f t="shared" si="428"/>
        <v>-6569353.5622000024</v>
      </c>
      <c r="BC198" s="88">
        <f t="shared" si="429"/>
        <v>-6569353.5622000024</v>
      </c>
      <c r="BD198" s="87">
        <v>21569353.562200002</v>
      </c>
      <c r="BE198" s="87">
        <v>238453.10749999998</v>
      </c>
      <c r="BF198" s="87">
        <f t="shared" si="430"/>
        <v>-21330900.454700001</v>
      </c>
      <c r="BG198" s="88">
        <f t="shared" si="431"/>
        <v>-21330900.454700001</v>
      </c>
      <c r="BH198" s="87">
        <f>IF(Dyn_Insured="","",IF(ISNUMBER(BD198)=FALSE,"n/a",MIN(MAX(BD198-'Layer Comparison'!Excess_Past,0),'Layer Comparison'!Limit_Past)))</f>
        <v>6569353.5622000024</v>
      </c>
      <c r="BI198" s="87">
        <f>IF(Dyn_Insured="","",IF(ISNUMBER(BE198)=FALSE,"n/a",MIN(MAX(BE198-'Layer Comparison'!Excess_Latest,0),'Layer Comparison'!Limit_Latest)))</f>
        <v>0</v>
      </c>
      <c r="BJ198" s="87">
        <f t="shared" si="432"/>
        <v>-6569353.5622000024</v>
      </c>
      <c r="BK198" s="88">
        <f t="shared" si="433"/>
        <v>-6569353.5622000024</v>
      </c>
      <c r="BL198" s="87">
        <v>21569353.562200002</v>
      </c>
      <c r="BM198" s="87">
        <v>238453.10749999998</v>
      </c>
      <c r="BN198" s="87">
        <f t="shared" si="434"/>
        <v>-21330900.454700001</v>
      </c>
      <c r="BO198" s="88">
        <f t="shared" si="435"/>
        <v>-21330900.454700001</v>
      </c>
      <c r="BP198" s="87">
        <f>IF(Dyn_Insured="","",IF(ISNUMBER(BL198)=FALSE,"n/a",MIN(MAX(BL198-'Layer Comparison'!Excess_Past,0),'Layer Comparison'!Limit_Past)))</f>
        <v>6569353.5622000024</v>
      </c>
      <c r="BQ198" s="87">
        <f>IF(Dyn_Insured="","",IF(ISNUMBER(BM198)=FALSE,"n/a",MIN(MAX(BM198-'Layer Comparison'!Excess_Latest,0),'Layer Comparison'!Limit_Latest)))</f>
        <v>0</v>
      </c>
      <c r="BR198" s="87">
        <f t="shared" si="436"/>
        <v>-6569353.5622000024</v>
      </c>
      <c r="BS198" s="88">
        <f t="shared" si="437"/>
        <v>-6569353.5622000024</v>
      </c>
      <c r="BT198" s="46" t="s">
        <v>13</v>
      </c>
    </row>
    <row r="199" spans="1:72" x14ac:dyDescent="0.25">
      <c r="A199" s="89">
        <v>199</v>
      </c>
      <c r="B199" s="89">
        <f t="shared" si="403"/>
        <v>1</v>
      </c>
      <c r="C199" s="89">
        <f t="shared" si="404"/>
        <v>1</v>
      </c>
      <c r="D199" s="90">
        <f t="shared" si="405"/>
        <v>1</v>
      </c>
      <c r="E199" s="90">
        <f t="shared" si="405"/>
        <v>1</v>
      </c>
      <c r="F199" s="48" t="s">
        <v>148</v>
      </c>
      <c r="G199" s="38" t="s">
        <v>38</v>
      </c>
      <c r="H199" s="87">
        <v>1995221.0968000002</v>
      </c>
      <c r="I199" s="87">
        <v>2580570.5888000005</v>
      </c>
      <c r="J199" s="87">
        <f t="shared" si="406"/>
        <v>585349.49200000032</v>
      </c>
      <c r="K199" s="88">
        <f t="shared" si="407"/>
        <v>585349.49200000032</v>
      </c>
      <c r="L199" s="87">
        <f>IF(Dyn_Insured="","",IF(ISNUMBER(H199)=FALSE,"n/a",MIN(MAX(H199-'Layer Comparison'!Excess_Past,0),'Layer Comparison'!Limit_Past)))</f>
        <v>0</v>
      </c>
      <c r="M199" s="87">
        <f>IF(Dyn_Insured="","",IF(ISNUMBER(I199)=FALSE,"n/a",MIN(MAX(I199-'Layer Comparison'!Excess_Latest,0),'Layer Comparison'!Limit_Latest)))</f>
        <v>0</v>
      </c>
      <c r="N199" s="87">
        <f t="shared" si="408"/>
        <v>0</v>
      </c>
      <c r="O199" s="88">
        <f t="shared" si="409"/>
        <v>0</v>
      </c>
      <c r="P199" s="87">
        <v>11531775.638800001</v>
      </c>
      <c r="Q199" s="87">
        <v>13292139.401800001</v>
      </c>
      <c r="R199" s="87">
        <f t="shared" si="410"/>
        <v>1760363.7630000003</v>
      </c>
      <c r="S199" s="88">
        <f t="shared" si="411"/>
        <v>1760363.7630000003</v>
      </c>
      <c r="T199" s="87">
        <f>IF(Dyn_Insured="","",IF(ISNUMBER(P199)=FALSE,"n/a",MIN(MAX(P199-'Layer Comparison'!Excess_Past,0),'Layer Comparison'!Limit_Past)))</f>
        <v>0</v>
      </c>
      <c r="U199" s="87">
        <f>IF(Dyn_Insured="","",IF(ISNUMBER(Q199)=FALSE,"n/a",MIN(MAX(Q199-'Layer Comparison'!Excess_Latest,0),'Layer Comparison'!Limit_Latest)))</f>
        <v>0</v>
      </c>
      <c r="V199" s="87">
        <f t="shared" si="412"/>
        <v>0</v>
      </c>
      <c r="W199" s="88">
        <f t="shared" si="413"/>
        <v>0</v>
      </c>
      <c r="X199" s="87">
        <v>22874233.5436</v>
      </c>
      <c r="Y199" s="87">
        <v>25412140.511600003</v>
      </c>
      <c r="Z199" s="87">
        <f t="shared" si="414"/>
        <v>2537906.9680000022</v>
      </c>
      <c r="AA199" s="88">
        <f t="shared" si="415"/>
        <v>2537906.9680000022</v>
      </c>
      <c r="AB199" s="87">
        <f>IF(Dyn_Insured="","",IF(ISNUMBER(X199)=FALSE,"n/a",MIN(MAX(X199-'Layer Comparison'!Excess_Past,0),'Layer Comparison'!Limit_Past)))</f>
        <v>7874233.5436000004</v>
      </c>
      <c r="AC199" s="87">
        <f>IF(Dyn_Insured="","",IF(ISNUMBER(Y199)=FALSE,"n/a",MIN(MAX(Y199-'Layer Comparison'!Excess_Latest,0),'Layer Comparison'!Limit_Latest)))</f>
        <v>10412140.511600003</v>
      </c>
      <c r="AD199" s="87">
        <f t="shared" si="416"/>
        <v>2537906.9680000022</v>
      </c>
      <c r="AE199" s="88">
        <f t="shared" si="417"/>
        <v>2537906.9680000022</v>
      </c>
      <c r="AF199" s="87">
        <v>35744613.335800007</v>
      </c>
      <c r="AG199" s="87">
        <v>38339819.869800001</v>
      </c>
      <c r="AH199" s="87">
        <f t="shared" si="418"/>
        <v>2595206.5339999944</v>
      </c>
      <c r="AI199" s="88">
        <f t="shared" si="419"/>
        <v>2595206.5339999944</v>
      </c>
      <c r="AJ199" s="87">
        <f>IF(Dyn_Insured="","",IF(ISNUMBER(AF199)=FALSE,"n/a",MIN(MAX(AF199-'Layer Comparison'!Excess_Past,0),'Layer Comparison'!Limit_Past)))</f>
        <v>20744613.335800007</v>
      </c>
      <c r="AK199" s="87">
        <f>IF(Dyn_Insured="","",IF(ISNUMBER(AG199)=FALSE,"n/a",MIN(MAX(AG199-'Layer Comparison'!Excess_Latest,0),'Layer Comparison'!Limit_Latest)))</f>
        <v>23339819.869800001</v>
      </c>
      <c r="AL199" s="87">
        <f t="shared" si="420"/>
        <v>2595206.5339999944</v>
      </c>
      <c r="AM199" s="88">
        <f t="shared" si="421"/>
        <v>2595206.5339999944</v>
      </c>
      <c r="AN199" s="87">
        <v>61861979.785700008</v>
      </c>
      <c r="AO199" s="87">
        <v>65098206.036200002</v>
      </c>
      <c r="AP199" s="87">
        <f t="shared" si="422"/>
        <v>3236226.2504999936</v>
      </c>
      <c r="AQ199" s="88">
        <f t="shared" si="423"/>
        <v>3236226.2504999936</v>
      </c>
      <c r="AR199" s="87">
        <f>IF(Dyn_Insured="","",IF(ISNUMBER(AN199)=FALSE,"n/a",MIN(MAX(AN199-'Layer Comparison'!Excess_Past,0),'Layer Comparison'!Limit_Past)))</f>
        <v>46861979.785700008</v>
      </c>
      <c r="AS199" s="87">
        <f>IF(Dyn_Insured="","",IF(ISNUMBER(AO199)=FALSE,"n/a",MIN(MAX(AO199-'Layer Comparison'!Excess_Latest,0),'Layer Comparison'!Limit_Latest)))</f>
        <v>50098206.036200002</v>
      </c>
      <c r="AT199" s="87">
        <f t="shared" si="424"/>
        <v>3236226.2504999936</v>
      </c>
      <c r="AU199" s="88">
        <f t="shared" si="425"/>
        <v>3236226.2504999936</v>
      </c>
      <c r="AV199" s="87">
        <v>84954180.035899997</v>
      </c>
      <c r="AW199" s="87">
        <v>90226456.080300003</v>
      </c>
      <c r="AX199" s="87">
        <f t="shared" si="426"/>
        <v>5272276.0444000065</v>
      </c>
      <c r="AY199" s="88">
        <f t="shared" si="427"/>
        <v>5272276.0444000065</v>
      </c>
      <c r="AZ199" s="87">
        <f>IF(Dyn_Insured="","",IF(ISNUMBER(AV199)=FALSE,"n/a",MIN(MAX(AV199-'Layer Comparison'!Excess_Past,0),'Layer Comparison'!Limit_Past)))</f>
        <v>69954180.035899997</v>
      </c>
      <c r="BA199" s="87">
        <f>IF(Dyn_Insured="","",IF(ISNUMBER(AW199)=FALSE,"n/a",MIN(MAX(AW199-'Layer Comparison'!Excess_Latest,0),'Layer Comparison'!Limit_Latest)))</f>
        <v>75226456.080300003</v>
      </c>
      <c r="BB199" s="87">
        <f t="shared" si="428"/>
        <v>5272276.0444000065</v>
      </c>
      <c r="BC199" s="88">
        <f t="shared" si="429"/>
        <v>5272276.0444000065</v>
      </c>
      <c r="BD199" s="87">
        <v>103585559.82210001</v>
      </c>
      <c r="BE199" s="87">
        <v>104112468.7772</v>
      </c>
      <c r="BF199" s="87">
        <f t="shared" si="430"/>
        <v>526908.955099985</v>
      </c>
      <c r="BG199" s="88">
        <f t="shared" si="431"/>
        <v>526908.955099985</v>
      </c>
      <c r="BH199" s="87">
        <f>IF(Dyn_Insured="","",IF(ISNUMBER(BD199)=FALSE,"n/a",MIN(MAX(BD199-'Layer Comparison'!Excess_Past,0),'Layer Comparison'!Limit_Past)))</f>
        <v>88585559.822100013</v>
      </c>
      <c r="BI199" s="87">
        <f>IF(Dyn_Insured="","",IF(ISNUMBER(BE199)=FALSE,"n/a",MIN(MAX(BE199-'Layer Comparison'!Excess_Latest,0),'Layer Comparison'!Limit_Latest)))</f>
        <v>89112468.777199998</v>
      </c>
      <c r="BJ199" s="87">
        <f t="shared" si="432"/>
        <v>526908.955099985</v>
      </c>
      <c r="BK199" s="88">
        <f t="shared" si="433"/>
        <v>526908.955099985</v>
      </c>
      <c r="BL199" s="87">
        <v>120016497.30340001</v>
      </c>
      <c r="BM199" s="87">
        <v>112805087.41439998</v>
      </c>
      <c r="BN199" s="87">
        <f t="shared" si="434"/>
        <v>-7211409.8890000284</v>
      </c>
      <c r="BO199" s="88">
        <f t="shared" si="435"/>
        <v>-7211409.8890000284</v>
      </c>
      <c r="BP199" s="87">
        <f>IF(Dyn_Insured="","",IF(ISNUMBER(BL199)=FALSE,"n/a",MIN(MAX(BL199-'Layer Comparison'!Excess_Past,0),'Layer Comparison'!Limit_Past)))</f>
        <v>105016497.30340001</v>
      </c>
      <c r="BQ199" s="87">
        <f>IF(Dyn_Insured="","",IF(ISNUMBER(BM199)=FALSE,"n/a",MIN(MAX(BM199-'Layer Comparison'!Excess_Latest,0),'Layer Comparison'!Limit_Latest)))</f>
        <v>97805087.414399981</v>
      </c>
      <c r="BR199" s="87">
        <f t="shared" si="436"/>
        <v>-7211409.8890000284</v>
      </c>
      <c r="BS199" s="88">
        <f t="shared" si="437"/>
        <v>-7211409.8890000284</v>
      </c>
      <c r="BT199" s="46" t="s">
        <v>13</v>
      </c>
    </row>
    <row r="200" spans="1:72" x14ac:dyDescent="0.25">
      <c r="A200" s="89">
        <v>200</v>
      </c>
      <c r="B200" s="89">
        <f t="shared" si="403"/>
        <v>1</v>
      </c>
      <c r="C200" s="89">
        <f t="shared" si="404"/>
        <v>1</v>
      </c>
      <c r="D200" s="90">
        <f t="shared" si="405"/>
        <v>1</v>
      </c>
      <c r="E200" s="90">
        <f t="shared" si="405"/>
        <v>1</v>
      </c>
      <c r="F200" s="48" t="s">
        <v>149</v>
      </c>
      <c r="G200" s="38" t="s">
        <v>38</v>
      </c>
      <c r="H200" s="87">
        <v>1173135.378</v>
      </c>
      <c r="I200" s="87">
        <v>2454793.0433</v>
      </c>
      <c r="J200" s="87">
        <f t="shared" si="406"/>
        <v>1281657.6653</v>
      </c>
      <c r="K200" s="88">
        <f t="shared" si="407"/>
        <v>1281657.6653</v>
      </c>
      <c r="L200" s="87">
        <f>IF(Dyn_Insured="","",IF(ISNUMBER(H200)=FALSE,"n/a",MIN(MAX(H200-'Layer Comparison'!Excess_Past,0),'Layer Comparison'!Limit_Past)))</f>
        <v>0</v>
      </c>
      <c r="M200" s="87">
        <f>IF(Dyn_Insured="","",IF(ISNUMBER(I200)=FALSE,"n/a",MIN(MAX(I200-'Layer Comparison'!Excess_Latest,0),'Layer Comparison'!Limit_Latest)))</f>
        <v>0</v>
      </c>
      <c r="N200" s="87">
        <f t="shared" si="408"/>
        <v>0</v>
      </c>
      <c r="O200" s="88">
        <f t="shared" si="409"/>
        <v>0</v>
      </c>
      <c r="P200" s="87">
        <v>10942288.564699998</v>
      </c>
      <c r="Q200" s="87">
        <v>14553985.009699998</v>
      </c>
      <c r="R200" s="87">
        <f t="shared" si="410"/>
        <v>3611696.4450000003</v>
      </c>
      <c r="S200" s="88">
        <f t="shared" si="411"/>
        <v>3611696.4450000003</v>
      </c>
      <c r="T200" s="87">
        <f>IF(Dyn_Insured="","",IF(ISNUMBER(P200)=FALSE,"n/a",MIN(MAX(P200-'Layer Comparison'!Excess_Past,0),'Layer Comparison'!Limit_Past)))</f>
        <v>0</v>
      </c>
      <c r="U200" s="87">
        <f>IF(Dyn_Insured="","",IF(ISNUMBER(Q200)=FALSE,"n/a",MIN(MAX(Q200-'Layer Comparison'!Excess_Latest,0),'Layer Comparison'!Limit_Latest)))</f>
        <v>0</v>
      </c>
      <c r="V200" s="87">
        <f t="shared" si="412"/>
        <v>0</v>
      </c>
      <c r="W200" s="88">
        <f t="shared" si="413"/>
        <v>0</v>
      </c>
      <c r="X200" s="87">
        <v>19575641.618500002</v>
      </c>
      <c r="Y200" s="87">
        <v>26388709.8035</v>
      </c>
      <c r="Z200" s="87">
        <f t="shared" si="414"/>
        <v>6813068.1849999987</v>
      </c>
      <c r="AA200" s="88">
        <f t="shared" si="415"/>
        <v>6813068.1849999987</v>
      </c>
      <c r="AB200" s="87">
        <f>IF(Dyn_Insured="","",IF(ISNUMBER(X200)=FALSE,"n/a",MIN(MAX(X200-'Layer Comparison'!Excess_Past,0),'Layer Comparison'!Limit_Past)))</f>
        <v>4575641.6185000017</v>
      </c>
      <c r="AC200" s="87">
        <f>IF(Dyn_Insured="","",IF(ISNUMBER(Y200)=FALSE,"n/a",MIN(MAX(Y200-'Layer Comparison'!Excess_Latest,0),'Layer Comparison'!Limit_Latest)))</f>
        <v>11388709.8035</v>
      </c>
      <c r="AD200" s="87">
        <f t="shared" si="416"/>
        <v>6813068.1849999987</v>
      </c>
      <c r="AE200" s="88">
        <f t="shared" si="417"/>
        <v>6813068.1849999987</v>
      </c>
      <c r="AF200" s="87">
        <v>30420467.654300001</v>
      </c>
      <c r="AG200" s="87">
        <v>40414173.281899996</v>
      </c>
      <c r="AH200" s="87">
        <f t="shared" si="418"/>
        <v>9993705.6275999956</v>
      </c>
      <c r="AI200" s="88">
        <f t="shared" si="419"/>
        <v>9993705.6275999956</v>
      </c>
      <c r="AJ200" s="87">
        <f>IF(Dyn_Insured="","",IF(ISNUMBER(AF200)=FALSE,"n/a",MIN(MAX(AF200-'Layer Comparison'!Excess_Past,0),'Layer Comparison'!Limit_Past)))</f>
        <v>15420467.654300001</v>
      </c>
      <c r="AK200" s="87">
        <f>IF(Dyn_Insured="","",IF(ISNUMBER(AG200)=FALSE,"n/a",MIN(MAX(AG200-'Layer Comparison'!Excess_Latest,0),'Layer Comparison'!Limit_Latest)))</f>
        <v>25414173.281899996</v>
      </c>
      <c r="AL200" s="87">
        <f t="shared" si="420"/>
        <v>9993705.6275999956</v>
      </c>
      <c r="AM200" s="88">
        <f t="shared" si="421"/>
        <v>9993705.6275999956</v>
      </c>
      <c r="AN200" s="87">
        <v>52518862.89410001</v>
      </c>
      <c r="AO200" s="87">
        <v>67395411.98210001</v>
      </c>
      <c r="AP200" s="87">
        <f t="shared" si="422"/>
        <v>14876549.088</v>
      </c>
      <c r="AQ200" s="88">
        <f t="shared" si="423"/>
        <v>14876549.088</v>
      </c>
      <c r="AR200" s="87">
        <f>IF(Dyn_Insured="","",IF(ISNUMBER(AN200)=FALSE,"n/a",MIN(MAX(AN200-'Layer Comparison'!Excess_Past,0),'Layer Comparison'!Limit_Past)))</f>
        <v>37518862.89410001</v>
      </c>
      <c r="AS200" s="87">
        <f>IF(Dyn_Insured="","",IF(ISNUMBER(AO200)=FALSE,"n/a",MIN(MAX(AO200-'Layer Comparison'!Excess_Latest,0),'Layer Comparison'!Limit_Latest)))</f>
        <v>52395411.98210001</v>
      </c>
      <c r="AT200" s="87">
        <f t="shared" si="424"/>
        <v>14876549.088</v>
      </c>
      <c r="AU200" s="88">
        <f t="shared" si="425"/>
        <v>14876549.088</v>
      </c>
      <c r="AV200" s="87">
        <v>71279907.184499994</v>
      </c>
      <c r="AW200" s="87">
        <v>87287518.769300014</v>
      </c>
      <c r="AX200" s="87">
        <f t="shared" si="426"/>
        <v>16007611.58480002</v>
      </c>
      <c r="AY200" s="88">
        <f t="shared" si="427"/>
        <v>16007611.58480002</v>
      </c>
      <c r="AZ200" s="87">
        <f>IF(Dyn_Insured="","",IF(ISNUMBER(AV200)=FALSE,"n/a",MIN(MAX(AV200-'Layer Comparison'!Excess_Past,0),'Layer Comparison'!Limit_Past)))</f>
        <v>56279907.184499994</v>
      </c>
      <c r="BA200" s="87">
        <f>IF(Dyn_Insured="","",IF(ISNUMBER(AW200)=FALSE,"n/a",MIN(MAX(AW200-'Layer Comparison'!Excess_Latest,0),'Layer Comparison'!Limit_Latest)))</f>
        <v>72287518.769300014</v>
      </c>
      <c r="BB200" s="87">
        <f t="shared" si="428"/>
        <v>16007611.58480002</v>
      </c>
      <c r="BC200" s="88">
        <f t="shared" si="429"/>
        <v>16007611.58480002</v>
      </c>
      <c r="BD200" s="87">
        <v>77703806.909000009</v>
      </c>
      <c r="BE200" s="87">
        <v>94933294.265500039</v>
      </c>
      <c r="BF200" s="87">
        <f t="shared" si="430"/>
        <v>17229487.35650003</v>
      </c>
      <c r="BG200" s="88">
        <f t="shared" si="431"/>
        <v>17229487.35650003</v>
      </c>
      <c r="BH200" s="87">
        <f>IF(Dyn_Insured="","",IF(ISNUMBER(BD200)=FALSE,"n/a",MIN(MAX(BD200-'Layer Comparison'!Excess_Past,0),'Layer Comparison'!Limit_Past)))</f>
        <v>62703806.909000009</v>
      </c>
      <c r="BI200" s="87">
        <f>IF(Dyn_Insured="","",IF(ISNUMBER(BE200)=FALSE,"n/a",MIN(MAX(BE200-'Layer Comparison'!Excess_Latest,0),'Layer Comparison'!Limit_Latest)))</f>
        <v>79933294.265500039</v>
      </c>
      <c r="BJ200" s="87">
        <f t="shared" si="432"/>
        <v>17229487.35650003</v>
      </c>
      <c r="BK200" s="88">
        <f t="shared" si="433"/>
        <v>17229487.35650003</v>
      </c>
      <c r="BL200" s="87">
        <v>77836357.532000005</v>
      </c>
      <c r="BM200" s="87">
        <v>94965296.431500003</v>
      </c>
      <c r="BN200" s="87">
        <f t="shared" si="434"/>
        <v>17128938.899499997</v>
      </c>
      <c r="BO200" s="88">
        <f t="shared" si="435"/>
        <v>17128938.899499997</v>
      </c>
      <c r="BP200" s="87">
        <f>IF(Dyn_Insured="","",IF(ISNUMBER(BL200)=FALSE,"n/a",MIN(MAX(BL200-'Layer Comparison'!Excess_Past,0),'Layer Comparison'!Limit_Past)))</f>
        <v>62836357.532000005</v>
      </c>
      <c r="BQ200" s="87">
        <f>IF(Dyn_Insured="","",IF(ISNUMBER(BM200)=FALSE,"n/a",MIN(MAX(BM200-'Layer Comparison'!Excess_Latest,0),'Layer Comparison'!Limit_Latest)))</f>
        <v>79965296.431500003</v>
      </c>
      <c r="BR200" s="87">
        <f t="shared" si="436"/>
        <v>17128938.899499997</v>
      </c>
      <c r="BS200" s="88">
        <f t="shared" si="437"/>
        <v>17128938.899499997</v>
      </c>
      <c r="BT200" s="46" t="s">
        <v>13</v>
      </c>
    </row>
    <row r="201" spans="1:72" x14ac:dyDescent="0.25">
      <c r="A201" s="89">
        <v>201</v>
      </c>
      <c r="B201" s="89">
        <f t="shared" si="403"/>
        <v>1</v>
      </c>
      <c r="C201" s="89">
        <f t="shared" si="404"/>
        <v>1</v>
      </c>
      <c r="D201" s="90">
        <f t="shared" si="405"/>
        <v>1</v>
      </c>
      <c r="E201" s="90">
        <f t="shared" si="405"/>
        <v>1</v>
      </c>
      <c r="F201" s="48" t="s">
        <v>150</v>
      </c>
      <c r="G201" s="38" t="s">
        <v>38</v>
      </c>
      <c r="H201" s="87">
        <v>1935291.8796000001</v>
      </c>
      <c r="I201" s="87">
        <v>1296909.4942000001</v>
      </c>
      <c r="J201" s="87">
        <f t="shared" si="406"/>
        <v>-638382.38540000003</v>
      </c>
      <c r="K201" s="88">
        <f t="shared" si="407"/>
        <v>-638382.38540000003</v>
      </c>
      <c r="L201" s="87">
        <f>IF(Dyn_Insured="","",IF(ISNUMBER(H201)=FALSE,"n/a",MIN(MAX(H201-'Layer Comparison'!Excess_Past,0),'Layer Comparison'!Limit_Past)))</f>
        <v>0</v>
      </c>
      <c r="M201" s="87">
        <f>IF(Dyn_Insured="","",IF(ISNUMBER(I201)=FALSE,"n/a",MIN(MAX(I201-'Layer Comparison'!Excess_Latest,0),'Layer Comparison'!Limit_Latest)))</f>
        <v>0</v>
      </c>
      <c r="N201" s="87">
        <f t="shared" si="408"/>
        <v>0</v>
      </c>
      <c r="O201" s="88">
        <f t="shared" si="409"/>
        <v>0</v>
      </c>
      <c r="P201" s="87">
        <v>10392920.482999999</v>
      </c>
      <c r="Q201" s="87">
        <v>9963358.8819999993</v>
      </c>
      <c r="R201" s="87">
        <f t="shared" si="410"/>
        <v>-429561.60099999979</v>
      </c>
      <c r="S201" s="88">
        <f t="shared" si="411"/>
        <v>-429561.60099999979</v>
      </c>
      <c r="T201" s="87">
        <f>IF(Dyn_Insured="","",IF(ISNUMBER(P201)=FALSE,"n/a",MIN(MAX(P201-'Layer Comparison'!Excess_Past,0),'Layer Comparison'!Limit_Past)))</f>
        <v>0</v>
      </c>
      <c r="U201" s="87">
        <f>IF(Dyn_Insured="","",IF(ISNUMBER(Q201)=FALSE,"n/a",MIN(MAX(Q201-'Layer Comparison'!Excess_Latest,0),'Layer Comparison'!Limit_Latest)))</f>
        <v>0</v>
      </c>
      <c r="V201" s="87">
        <f t="shared" si="412"/>
        <v>0</v>
      </c>
      <c r="W201" s="88">
        <f t="shared" si="413"/>
        <v>0</v>
      </c>
      <c r="X201" s="87">
        <v>20132393.937299997</v>
      </c>
      <c r="Y201" s="87">
        <v>19588600.770000003</v>
      </c>
      <c r="Z201" s="87">
        <f t="shared" si="414"/>
        <v>-543793.16729999334</v>
      </c>
      <c r="AA201" s="88">
        <f t="shared" si="415"/>
        <v>-543793.16729999334</v>
      </c>
      <c r="AB201" s="87">
        <f>IF(Dyn_Insured="","",IF(ISNUMBER(X201)=FALSE,"n/a",MIN(MAX(X201-'Layer Comparison'!Excess_Past,0),'Layer Comparison'!Limit_Past)))</f>
        <v>5132393.9372999966</v>
      </c>
      <c r="AC201" s="87">
        <f>IF(Dyn_Insured="","",IF(ISNUMBER(Y201)=FALSE,"n/a",MIN(MAX(Y201-'Layer Comparison'!Excess_Latest,0),'Layer Comparison'!Limit_Latest)))</f>
        <v>4588600.7700000033</v>
      </c>
      <c r="AD201" s="87">
        <f t="shared" si="416"/>
        <v>-543793.16729999334</v>
      </c>
      <c r="AE201" s="88">
        <f t="shared" si="417"/>
        <v>-543793.16729999334</v>
      </c>
      <c r="AF201" s="87">
        <v>30666767.614399999</v>
      </c>
      <c r="AG201" s="87">
        <v>29754562.489400003</v>
      </c>
      <c r="AH201" s="87">
        <f t="shared" si="418"/>
        <v>-912205.12499999627</v>
      </c>
      <c r="AI201" s="88">
        <f t="shared" si="419"/>
        <v>-912205.12499999627</v>
      </c>
      <c r="AJ201" s="87">
        <f>IF(Dyn_Insured="","",IF(ISNUMBER(AF201)=FALSE,"n/a",MIN(MAX(AF201-'Layer Comparison'!Excess_Past,0),'Layer Comparison'!Limit_Past)))</f>
        <v>15666767.614399999</v>
      </c>
      <c r="AK201" s="87">
        <f>IF(Dyn_Insured="","",IF(ISNUMBER(AG201)=FALSE,"n/a",MIN(MAX(AG201-'Layer Comparison'!Excess_Latest,0),'Layer Comparison'!Limit_Latest)))</f>
        <v>14754562.489400003</v>
      </c>
      <c r="AL201" s="87">
        <f t="shared" si="420"/>
        <v>-912205.12499999627</v>
      </c>
      <c r="AM201" s="88">
        <f t="shared" si="421"/>
        <v>-912205.12499999627</v>
      </c>
      <c r="AN201" s="87">
        <v>35319686.834299996</v>
      </c>
      <c r="AO201" s="87">
        <v>34310091.070599988</v>
      </c>
      <c r="AP201" s="87">
        <f t="shared" si="422"/>
        <v>-1009595.7637000084</v>
      </c>
      <c r="AQ201" s="88">
        <f t="shared" si="423"/>
        <v>-1009595.7637000084</v>
      </c>
      <c r="AR201" s="87">
        <f>IF(Dyn_Insured="","",IF(ISNUMBER(AN201)=FALSE,"n/a",MIN(MAX(AN201-'Layer Comparison'!Excess_Past,0),'Layer Comparison'!Limit_Past)))</f>
        <v>20319686.834299996</v>
      </c>
      <c r="AS201" s="87">
        <f>IF(Dyn_Insured="","",IF(ISNUMBER(AO201)=FALSE,"n/a",MIN(MAX(AO201-'Layer Comparison'!Excess_Latest,0),'Layer Comparison'!Limit_Latest)))</f>
        <v>19310091.070599988</v>
      </c>
      <c r="AT201" s="87">
        <f t="shared" si="424"/>
        <v>-1009595.7637000084</v>
      </c>
      <c r="AU201" s="88">
        <f t="shared" si="425"/>
        <v>-1009595.7637000084</v>
      </c>
      <c r="AV201" s="87">
        <v>35319686.834299996</v>
      </c>
      <c r="AW201" s="87">
        <v>34310091.070599996</v>
      </c>
      <c r="AX201" s="87">
        <f t="shared" si="426"/>
        <v>-1009595.7637000009</v>
      </c>
      <c r="AY201" s="88">
        <f t="shared" si="427"/>
        <v>-1009595.7637000009</v>
      </c>
      <c r="AZ201" s="87">
        <f>IF(Dyn_Insured="","",IF(ISNUMBER(AV201)=FALSE,"n/a",MIN(MAX(AV201-'Layer Comparison'!Excess_Past,0),'Layer Comparison'!Limit_Past)))</f>
        <v>20319686.834299996</v>
      </c>
      <c r="BA201" s="87">
        <f>IF(Dyn_Insured="","",IF(ISNUMBER(AW201)=FALSE,"n/a",MIN(MAX(AW201-'Layer Comparison'!Excess_Latest,0),'Layer Comparison'!Limit_Latest)))</f>
        <v>19310091.070599996</v>
      </c>
      <c r="BB201" s="87">
        <f t="shared" si="428"/>
        <v>-1009595.7637000009</v>
      </c>
      <c r="BC201" s="88">
        <f t="shared" si="429"/>
        <v>-1009595.7637000009</v>
      </c>
      <c r="BD201" s="87">
        <v>35319686.834299996</v>
      </c>
      <c r="BE201" s="87">
        <v>34310091.070599996</v>
      </c>
      <c r="BF201" s="87">
        <f t="shared" si="430"/>
        <v>-1009595.7637000009</v>
      </c>
      <c r="BG201" s="88">
        <f t="shared" si="431"/>
        <v>-1009595.7637000009</v>
      </c>
      <c r="BH201" s="87">
        <f>IF(Dyn_Insured="","",IF(ISNUMBER(BD201)=FALSE,"n/a",MIN(MAX(BD201-'Layer Comparison'!Excess_Past,0),'Layer Comparison'!Limit_Past)))</f>
        <v>20319686.834299996</v>
      </c>
      <c r="BI201" s="87">
        <f>IF(Dyn_Insured="","",IF(ISNUMBER(BE201)=FALSE,"n/a",MIN(MAX(BE201-'Layer Comparison'!Excess_Latest,0),'Layer Comparison'!Limit_Latest)))</f>
        <v>19310091.070599996</v>
      </c>
      <c r="BJ201" s="87">
        <f t="shared" si="432"/>
        <v>-1009595.7637000009</v>
      </c>
      <c r="BK201" s="88">
        <f t="shared" si="433"/>
        <v>-1009595.7637000009</v>
      </c>
      <c r="BL201" s="87">
        <v>35319686.834299996</v>
      </c>
      <c r="BM201" s="87">
        <v>34310091.070599988</v>
      </c>
      <c r="BN201" s="87">
        <f t="shared" si="434"/>
        <v>-1009595.7637000084</v>
      </c>
      <c r="BO201" s="88">
        <f t="shared" si="435"/>
        <v>-1009595.7637000084</v>
      </c>
      <c r="BP201" s="87">
        <f>IF(Dyn_Insured="","",IF(ISNUMBER(BL201)=FALSE,"n/a",MIN(MAX(BL201-'Layer Comparison'!Excess_Past,0),'Layer Comparison'!Limit_Past)))</f>
        <v>20319686.834299996</v>
      </c>
      <c r="BQ201" s="87">
        <f>IF(Dyn_Insured="","",IF(ISNUMBER(BM201)=FALSE,"n/a",MIN(MAX(BM201-'Layer Comparison'!Excess_Latest,0),'Layer Comparison'!Limit_Latest)))</f>
        <v>19310091.070599988</v>
      </c>
      <c r="BR201" s="87">
        <f t="shared" si="436"/>
        <v>-1009595.7637000084</v>
      </c>
      <c r="BS201" s="88">
        <f t="shared" si="437"/>
        <v>-1009595.7637000084</v>
      </c>
      <c r="BT201" s="46" t="s">
        <v>13</v>
      </c>
    </row>
    <row r="202" spans="1:72" x14ac:dyDescent="0.25">
      <c r="A202" s="89">
        <v>202</v>
      </c>
      <c r="B202" s="89">
        <f t="shared" si="403"/>
        <v>1</v>
      </c>
      <c r="C202" s="89">
        <f t="shared" si="404"/>
        <v>1</v>
      </c>
      <c r="D202" s="90">
        <f t="shared" ref="D202:E221" si="438">IF(SUMIFS($F202:$BO202,$F$9:$BO$9,D$9,$F$10:$BO$10,D$10)&gt;0,1,0)</f>
        <v>1</v>
      </c>
      <c r="E202" s="90">
        <f t="shared" si="438"/>
        <v>1</v>
      </c>
      <c r="F202" s="48" t="s">
        <v>151</v>
      </c>
      <c r="G202" s="38" t="s">
        <v>38</v>
      </c>
      <c r="H202" s="87">
        <v>1058764.3953</v>
      </c>
      <c r="I202" s="87">
        <v>2110054.6250999998</v>
      </c>
      <c r="J202" s="87">
        <f t="shared" si="406"/>
        <v>1051290.2297999999</v>
      </c>
      <c r="K202" s="88">
        <f t="shared" si="407"/>
        <v>1051290.2297999999</v>
      </c>
      <c r="L202" s="87">
        <f>IF(Dyn_Insured="","",IF(ISNUMBER(H202)=FALSE,"n/a",MIN(MAX(H202-'Layer Comparison'!Excess_Past,0),'Layer Comparison'!Limit_Past)))</f>
        <v>0</v>
      </c>
      <c r="M202" s="87">
        <f>IF(Dyn_Insured="","",IF(ISNUMBER(I202)=FALSE,"n/a",MIN(MAX(I202-'Layer Comparison'!Excess_Latest,0),'Layer Comparison'!Limit_Latest)))</f>
        <v>0</v>
      </c>
      <c r="N202" s="87">
        <f t="shared" si="408"/>
        <v>0</v>
      </c>
      <c r="O202" s="88">
        <f t="shared" si="409"/>
        <v>0</v>
      </c>
      <c r="P202" s="87">
        <v>9656488.2301000003</v>
      </c>
      <c r="Q202" s="87">
        <v>13570440.3397</v>
      </c>
      <c r="R202" s="87">
        <f t="shared" si="410"/>
        <v>3913952.1096000001</v>
      </c>
      <c r="S202" s="88">
        <f t="shared" si="411"/>
        <v>3913952.1096000001</v>
      </c>
      <c r="T202" s="87">
        <f>IF(Dyn_Insured="","",IF(ISNUMBER(P202)=FALSE,"n/a",MIN(MAX(P202-'Layer Comparison'!Excess_Past,0),'Layer Comparison'!Limit_Past)))</f>
        <v>0</v>
      </c>
      <c r="U202" s="87">
        <f>IF(Dyn_Insured="","",IF(ISNUMBER(Q202)=FALSE,"n/a",MIN(MAX(Q202-'Layer Comparison'!Excess_Latest,0),'Layer Comparison'!Limit_Latest)))</f>
        <v>0</v>
      </c>
      <c r="V202" s="87">
        <f t="shared" si="412"/>
        <v>0</v>
      </c>
      <c r="W202" s="88">
        <f t="shared" si="413"/>
        <v>0</v>
      </c>
      <c r="X202" s="87">
        <v>20524038.704999998</v>
      </c>
      <c r="Y202" s="87">
        <v>28515143.750399996</v>
      </c>
      <c r="Z202" s="87">
        <f t="shared" si="414"/>
        <v>7991105.0453999974</v>
      </c>
      <c r="AA202" s="88">
        <f t="shared" si="415"/>
        <v>7991105.0453999974</v>
      </c>
      <c r="AB202" s="87">
        <f>IF(Dyn_Insured="","",IF(ISNUMBER(X202)=FALSE,"n/a",MIN(MAX(X202-'Layer Comparison'!Excess_Past,0),'Layer Comparison'!Limit_Past)))</f>
        <v>5524038.7049999982</v>
      </c>
      <c r="AC202" s="87">
        <f>IF(Dyn_Insured="","",IF(ISNUMBER(Y202)=FALSE,"n/a",MIN(MAX(Y202-'Layer Comparison'!Excess_Latest,0),'Layer Comparison'!Limit_Latest)))</f>
        <v>13515143.750399996</v>
      </c>
      <c r="AD202" s="87">
        <f t="shared" si="416"/>
        <v>7991105.0453999974</v>
      </c>
      <c r="AE202" s="88">
        <f t="shared" si="417"/>
        <v>7991105.0453999974</v>
      </c>
      <c r="AF202" s="87">
        <v>33205251.3336</v>
      </c>
      <c r="AG202" s="87">
        <v>46590644.781400003</v>
      </c>
      <c r="AH202" s="87">
        <f t="shared" si="418"/>
        <v>13385393.447800003</v>
      </c>
      <c r="AI202" s="88">
        <f t="shared" si="419"/>
        <v>13385393.447800003</v>
      </c>
      <c r="AJ202" s="87">
        <f>IF(Dyn_Insured="","",IF(ISNUMBER(AF202)=FALSE,"n/a",MIN(MAX(AF202-'Layer Comparison'!Excess_Past,0),'Layer Comparison'!Limit_Past)))</f>
        <v>18205251.3336</v>
      </c>
      <c r="AK202" s="87">
        <f>IF(Dyn_Insured="","",IF(ISNUMBER(AG202)=FALSE,"n/a",MIN(MAX(AG202-'Layer Comparison'!Excess_Latest,0),'Layer Comparison'!Limit_Latest)))</f>
        <v>31590644.781400003</v>
      </c>
      <c r="AL202" s="87">
        <f t="shared" si="420"/>
        <v>13385393.447800003</v>
      </c>
      <c r="AM202" s="88">
        <f t="shared" si="421"/>
        <v>13385393.447800003</v>
      </c>
      <c r="AN202" s="87">
        <v>58273224.199600011</v>
      </c>
      <c r="AO202" s="87">
        <v>82789936.040699989</v>
      </c>
      <c r="AP202" s="87">
        <f t="shared" si="422"/>
        <v>24516711.841099977</v>
      </c>
      <c r="AQ202" s="88">
        <f t="shared" si="423"/>
        <v>24516711.841099977</v>
      </c>
      <c r="AR202" s="87">
        <f>IF(Dyn_Insured="","",IF(ISNUMBER(AN202)=FALSE,"n/a",MIN(MAX(AN202-'Layer Comparison'!Excess_Past,0),'Layer Comparison'!Limit_Past)))</f>
        <v>43273224.199600011</v>
      </c>
      <c r="AS202" s="87">
        <f>IF(Dyn_Insured="","",IF(ISNUMBER(AO202)=FALSE,"n/a",MIN(MAX(AO202-'Layer Comparison'!Excess_Latest,0),'Layer Comparison'!Limit_Latest)))</f>
        <v>67789936.040699989</v>
      </c>
      <c r="AT202" s="87">
        <f t="shared" si="424"/>
        <v>24516711.841099977</v>
      </c>
      <c r="AU202" s="88">
        <f t="shared" si="425"/>
        <v>24516711.841099977</v>
      </c>
      <c r="AV202" s="87">
        <v>78407500.541500002</v>
      </c>
      <c r="AW202" s="87">
        <v>113082102.79339999</v>
      </c>
      <c r="AX202" s="87">
        <f t="shared" si="426"/>
        <v>34674602.251899987</v>
      </c>
      <c r="AY202" s="88">
        <f t="shared" si="427"/>
        <v>34674602.251899987</v>
      </c>
      <c r="AZ202" s="87">
        <f>IF(Dyn_Insured="","",IF(ISNUMBER(AV202)=FALSE,"n/a",MIN(MAX(AV202-'Layer Comparison'!Excess_Past,0),'Layer Comparison'!Limit_Past)))</f>
        <v>63407500.541500002</v>
      </c>
      <c r="BA202" s="87">
        <f>IF(Dyn_Insured="","",IF(ISNUMBER(AW202)=FALSE,"n/a",MIN(MAX(AW202-'Layer Comparison'!Excess_Latest,0),'Layer Comparison'!Limit_Latest)))</f>
        <v>98082102.79339999</v>
      </c>
      <c r="BB202" s="87">
        <f t="shared" si="428"/>
        <v>34674602.251899987</v>
      </c>
      <c r="BC202" s="88">
        <f t="shared" si="429"/>
        <v>34674602.251899987</v>
      </c>
      <c r="BD202" s="87">
        <v>85467047.83859998</v>
      </c>
      <c r="BE202" s="87">
        <v>124353872.69489996</v>
      </c>
      <c r="BF202" s="87">
        <f t="shared" si="430"/>
        <v>38886824.856299981</v>
      </c>
      <c r="BG202" s="88">
        <f t="shared" si="431"/>
        <v>38886824.856299981</v>
      </c>
      <c r="BH202" s="87">
        <f>IF(Dyn_Insured="","",IF(ISNUMBER(BD202)=FALSE,"n/a",MIN(MAX(BD202-'Layer Comparison'!Excess_Past,0),'Layer Comparison'!Limit_Past)))</f>
        <v>70467047.83859998</v>
      </c>
      <c r="BI202" s="87">
        <f>IF(Dyn_Insured="","",IF(ISNUMBER(BE202)=FALSE,"n/a",MIN(MAX(BE202-'Layer Comparison'!Excess_Latest,0),'Layer Comparison'!Limit_Latest)))</f>
        <v>109353872.69489996</v>
      </c>
      <c r="BJ202" s="87">
        <f t="shared" si="432"/>
        <v>38886824.856299981</v>
      </c>
      <c r="BK202" s="88">
        <f t="shared" si="433"/>
        <v>38886824.856299981</v>
      </c>
      <c r="BL202" s="87">
        <v>85467047.838599995</v>
      </c>
      <c r="BM202" s="87">
        <v>124353872.69489998</v>
      </c>
      <c r="BN202" s="87">
        <f t="shared" si="434"/>
        <v>38886824.856299981</v>
      </c>
      <c r="BO202" s="88">
        <f t="shared" si="435"/>
        <v>38886824.856299981</v>
      </c>
      <c r="BP202" s="87">
        <f>IF(Dyn_Insured="","",IF(ISNUMBER(BL202)=FALSE,"n/a",MIN(MAX(BL202-'Layer Comparison'!Excess_Past,0),'Layer Comparison'!Limit_Past)))</f>
        <v>70467047.838599995</v>
      </c>
      <c r="BQ202" s="87">
        <f>IF(Dyn_Insured="","",IF(ISNUMBER(BM202)=FALSE,"n/a",MIN(MAX(BM202-'Layer Comparison'!Excess_Latest,0),'Layer Comparison'!Limit_Latest)))</f>
        <v>109353872.69489998</v>
      </c>
      <c r="BR202" s="87">
        <f t="shared" si="436"/>
        <v>38886824.856299981</v>
      </c>
      <c r="BS202" s="88">
        <f t="shared" si="437"/>
        <v>38886824.856299981</v>
      </c>
      <c r="BT202" s="46" t="s">
        <v>13</v>
      </c>
    </row>
    <row r="203" spans="1:72" x14ac:dyDescent="0.25">
      <c r="A203" s="89">
        <v>203</v>
      </c>
      <c r="B203" s="89">
        <f t="shared" si="403"/>
        <v>1</v>
      </c>
      <c r="C203" s="89">
        <f t="shared" si="404"/>
        <v>1</v>
      </c>
      <c r="D203" s="90">
        <f t="shared" si="438"/>
        <v>1</v>
      </c>
      <c r="E203" s="90">
        <f t="shared" si="438"/>
        <v>1</v>
      </c>
      <c r="F203" s="48" t="s">
        <v>152</v>
      </c>
      <c r="G203" s="38" t="s">
        <v>38</v>
      </c>
      <c r="H203" s="87">
        <v>607857.29220000003</v>
      </c>
      <c r="I203" s="87">
        <v>380570.37650000007</v>
      </c>
      <c r="J203" s="87">
        <f t="shared" si="406"/>
        <v>-227286.91569999995</v>
      </c>
      <c r="K203" s="88">
        <f t="shared" si="407"/>
        <v>-227286.91569999995</v>
      </c>
      <c r="L203" s="87">
        <f>IF(Dyn_Insured="","",IF(ISNUMBER(H203)=FALSE,"n/a",MIN(MAX(H203-'Layer Comparison'!Excess_Past,0),'Layer Comparison'!Limit_Past)))</f>
        <v>0</v>
      </c>
      <c r="M203" s="87">
        <f>IF(Dyn_Insured="","",IF(ISNUMBER(I203)=FALSE,"n/a",MIN(MAX(I203-'Layer Comparison'!Excess_Latest,0),'Layer Comparison'!Limit_Latest)))</f>
        <v>0</v>
      </c>
      <c r="N203" s="87">
        <f t="shared" si="408"/>
        <v>0</v>
      </c>
      <c r="O203" s="88">
        <f t="shared" si="409"/>
        <v>0</v>
      </c>
      <c r="P203" s="87">
        <v>8349759.5198000008</v>
      </c>
      <c r="Q203" s="87">
        <v>7846916.4354000008</v>
      </c>
      <c r="R203" s="87">
        <f t="shared" si="410"/>
        <v>-502843.08440000005</v>
      </c>
      <c r="S203" s="88">
        <f t="shared" si="411"/>
        <v>-502843.08440000005</v>
      </c>
      <c r="T203" s="87">
        <f>IF(Dyn_Insured="","",IF(ISNUMBER(P203)=FALSE,"n/a",MIN(MAX(P203-'Layer Comparison'!Excess_Past,0),'Layer Comparison'!Limit_Past)))</f>
        <v>0</v>
      </c>
      <c r="U203" s="87">
        <f>IF(Dyn_Insured="","",IF(ISNUMBER(Q203)=FALSE,"n/a",MIN(MAX(Q203-'Layer Comparison'!Excess_Latest,0),'Layer Comparison'!Limit_Latest)))</f>
        <v>0</v>
      </c>
      <c r="V203" s="87">
        <f t="shared" si="412"/>
        <v>0</v>
      </c>
      <c r="W203" s="88">
        <f t="shared" si="413"/>
        <v>0</v>
      </c>
      <c r="X203" s="87">
        <v>19369675.593400002</v>
      </c>
      <c r="Y203" s="87">
        <v>18285639.395099998</v>
      </c>
      <c r="Z203" s="87">
        <f t="shared" si="414"/>
        <v>-1084036.198300004</v>
      </c>
      <c r="AA203" s="88">
        <f t="shared" si="415"/>
        <v>-1084036.198300004</v>
      </c>
      <c r="AB203" s="87">
        <f>IF(Dyn_Insured="","",IF(ISNUMBER(X203)=FALSE,"n/a",MIN(MAX(X203-'Layer Comparison'!Excess_Past,0),'Layer Comparison'!Limit_Past)))</f>
        <v>4369675.5934000015</v>
      </c>
      <c r="AC203" s="87">
        <f>IF(Dyn_Insured="","",IF(ISNUMBER(Y203)=FALSE,"n/a",MIN(MAX(Y203-'Layer Comparison'!Excess_Latest,0),'Layer Comparison'!Limit_Latest)))</f>
        <v>3285639.3950999975</v>
      </c>
      <c r="AD203" s="87">
        <f t="shared" si="416"/>
        <v>-1084036.198300004</v>
      </c>
      <c r="AE203" s="88">
        <f t="shared" si="417"/>
        <v>-1084036.198300004</v>
      </c>
      <c r="AF203" s="87">
        <v>32336101.4837</v>
      </c>
      <c r="AG203" s="87">
        <v>30135632.203999996</v>
      </c>
      <c r="AH203" s="87">
        <f t="shared" si="418"/>
        <v>-2200469.2797000036</v>
      </c>
      <c r="AI203" s="88">
        <f t="shared" si="419"/>
        <v>-2200469.2797000036</v>
      </c>
      <c r="AJ203" s="87">
        <f>IF(Dyn_Insured="","",IF(ISNUMBER(AF203)=FALSE,"n/a",MIN(MAX(AF203-'Layer Comparison'!Excess_Past,0),'Layer Comparison'!Limit_Past)))</f>
        <v>17336101.4837</v>
      </c>
      <c r="AK203" s="87">
        <f>IF(Dyn_Insured="","",IF(ISNUMBER(AG203)=FALSE,"n/a",MIN(MAX(AG203-'Layer Comparison'!Excess_Latest,0),'Layer Comparison'!Limit_Latest)))</f>
        <v>15135632.203999996</v>
      </c>
      <c r="AL203" s="87">
        <f t="shared" si="420"/>
        <v>-2200469.2797000036</v>
      </c>
      <c r="AM203" s="88">
        <f t="shared" si="421"/>
        <v>-2200469.2797000036</v>
      </c>
      <c r="AN203" s="87">
        <v>56797162.179899991</v>
      </c>
      <c r="AO203" s="87">
        <v>52945476.7007</v>
      </c>
      <c r="AP203" s="87">
        <f t="shared" si="422"/>
        <v>-3851685.4791999906</v>
      </c>
      <c r="AQ203" s="88">
        <f t="shared" si="423"/>
        <v>-3851685.4791999906</v>
      </c>
      <c r="AR203" s="87">
        <f>IF(Dyn_Insured="","",IF(ISNUMBER(AN203)=FALSE,"n/a",MIN(MAX(AN203-'Layer Comparison'!Excess_Past,0),'Layer Comparison'!Limit_Past)))</f>
        <v>41797162.179899991</v>
      </c>
      <c r="AS203" s="87">
        <f>IF(Dyn_Insured="","",IF(ISNUMBER(AO203)=FALSE,"n/a",MIN(MAX(AO203-'Layer Comparison'!Excess_Latest,0),'Layer Comparison'!Limit_Latest)))</f>
        <v>37945476.7007</v>
      </c>
      <c r="AT203" s="87">
        <f t="shared" si="424"/>
        <v>-3851685.4791999906</v>
      </c>
      <c r="AU203" s="88">
        <f t="shared" si="425"/>
        <v>-3851685.4791999906</v>
      </c>
      <c r="AV203" s="87">
        <v>80868733.410699964</v>
      </c>
      <c r="AW203" s="87">
        <v>75564793.593499959</v>
      </c>
      <c r="AX203" s="87">
        <f t="shared" si="426"/>
        <v>-5303939.8172000051</v>
      </c>
      <c r="AY203" s="88">
        <f t="shared" si="427"/>
        <v>-5303939.8172000051</v>
      </c>
      <c r="AZ203" s="87">
        <f>IF(Dyn_Insured="","",IF(ISNUMBER(AV203)=FALSE,"n/a",MIN(MAX(AV203-'Layer Comparison'!Excess_Past,0),'Layer Comparison'!Limit_Past)))</f>
        <v>65868733.410699964</v>
      </c>
      <c r="BA203" s="87">
        <f>IF(Dyn_Insured="","",IF(ISNUMBER(AW203)=FALSE,"n/a",MIN(MAX(AW203-'Layer Comparison'!Excess_Latest,0),'Layer Comparison'!Limit_Latest)))</f>
        <v>60564793.593499959</v>
      </c>
      <c r="BB203" s="87">
        <f t="shared" si="428"/>
        <v>-5303939.8172000051</v>
      </c>
      <c r="BC203" s="88">
        <f t="shared" si="429"/>
        <v>-5303939.8172000051</v>
      </c>
      <c r="BD203" s="87">
        <v>99570483.022299975</v>
      </c>
      <c r="BE203" s="87">
        <v>93331200.847099975</v>
      </c>
      <c r="BF203" s="87">
        <f t="shared" si="430"/>
        <v>-6239282.1752000004</v>
      </c>
      <c r="BG203" s="88">
        <f t="shared" si="431"/>
        <v>-6239282.1752000004</v>
      </c>
      <c r="BH203" s="87">
        <f>IF(Dyn_Insured="","",IF(ISNUMBER(BD203)=FALSE,"n/a",MIN(MAX(BD203-'Layer Comparison'!Excess_Past,0),'Layer Comparison'!Limit_Past)))</f>
        <v>84570483.022299975</v>
      </c>
      <c r="BI203" s="87">
        <f>IF(Dyn_Insured="","",IF(ISNUMBER(BE203)=FALSE,"n/a",MIN(MAX(BE203-'Layer Comparison'!Excess_Latest,0),'Layer Comparison'!Limit_Latest)))</f>
        <v>78331200.847099975</v>
      </c>
      <c r="BJ203" s="87">
        <f t="shared" si="432"/>
        <v>-6239282.1752000004</v>
      </c>
      <c r="BK203" s="88">
        <f t="shared" si="433"/>
        <v>-6239282.1752000004</v>
      </c>
      <c r="BL203" s="87">
        <v>120615531.53570005</v>
      </c>
      <c r="BM203" s="87">
        <v>112859383.08879998</v>
      </c>
      <c r="BN203" s="87">
        <f t="shared" si="434"/>
        <v>-7756148.4469000697</v>
      </c>
      <c r="BO203" s="88">
        <f t="shared" si="435"/>
        <v>-7756148.4469000697</v>
      </c>
      <c r="BP203" s="87">
        <f>IF(Dyn_Insured="","",IF(ISNUMBER(BL203)=FALSE,"n/a",MIN(MAX(BL203-'Layer Comparison'!Excess_Past,0),'Layer Comparison'!Limit_Past)))</f>
        <v>105615531.53570005</v>
      </c>
      <c r="BQ203" s="87">
        <f>IF(Dyn_Insured="","",IF(ISNUMBER(BM203)=FALSE,"n/a",MIN(MAX(BM203-'Layer Comparison'!Excess_Latest,0),'Layer Comparison'!Limit_Latest)))</f>
        <v>97859383.088799983</v>
      </c>
      <c r="BR203" s="87">
        <f t="shared" si="436"/>
        <v>-7756148.4469000697</v>
      </c>
      <c r="BS203" s="88">
        <f t="shared" si="437"/>
        <v>-7756148.4469000697</v>
      </c>
      <c r="BT203" s="46" t="s">
        <v>13</v>
      </c>
    </row>
    <row r="204" spans="1:72" hidden="1" outlineLevel="1" x14ac:dyDescent="0.25">
      <c r="A204" s="89" t="s">
        <v>54</v>
      </c>
      <c r="B204" s="89">
        <f t="shared" si="403"/>
        <v>0</v>
      </c>
      <c r="C204" s="89">
        <f t="shared" si="404"/>
        <v>0</v>
      </c>
      <c r="D204" s="90">
        <f t="shared" si="438"/>
        <v>0</v>
      </c>
      <c r="E204" s="90">
        <f t="shared" si="438"/>
        <v>0</v>
      </c>
      <c r="F204" s="48" t="s">
        <v>50</v>
      </c>
      <c r="G204" s="38" t="s">
        <v>50</v>
      </c>
      <c r="H204" s="87" t="s">
        <v>50</v>
      </c>
      <c r="I204" s="87" t="s">
        <v>50</v>
      </c>
      <c r="J204" s="87" t="str">
        <f t="shared" si="406"/>
        <v/>
      </c>
      <c r="K204" s="88" t="str">
        <f t="shared" si="407"/>
        <v/>
      </c>
      <c r="L204" s="87" t="str">
        <f>IF(Dyn_Insured="","",IF(ISNUMBER(H204)=FALSE,"n/a",MIN(MAX(H204-'Layer Comparison'!Excess_Past,0),'Layer Comparison'!Limit_Past)))</f>
        <v/>
      </c>
      <c r="M204" s="87" t="str">
        <f>IF(Dyn_Insured="","",IF(ISNUMBER(I204)=FALSE,"n/a",MIN(MAX(I204-'Layer Comparison'!Excess_Latest,0),'Layer Comparison'!Limit_Latest)))</f>
        <v/>
      </c>
      <c r="N204" s="87" t="str">
        <f t="shared" si="408"/>
        <v/>
      </c>
      <c r="O204" s="88" t="str">
        <f t="shared" si="409"/>
        <v/>
      </c>
      <c r="P204" s="87" t="s">
        <v>50</v>
      </c>
      <c r="Q204" s="87" t="s">
        <v>50</v>
      </c>
      <c r="R204" s="87" t="str">
        <f t="shared" si="410"/>
        <v/>
      </c>
      <c r="S204" s="88" t="str">
        <f t="shared" si="411"/>
        <v/>
      </c>
      <c r="T204" s="87" t="str">
        <f>IF(Dyn_Insured="","",IF(ISNUMBER(P204)=FALSE,"n/a",MIN(MAX(P204-'Layer Comparison'!Excess_Past,0),'Layer Comparison'!Limit_Past)))</f>
        <v/>
      </c>
      <c r="U204" s="87" t="str">
        <f>IF(Dyn_Insured="","",IF(ISNUMBER(Q204)=FALSE,"n/a",MIN(MAX(Q204-'Layer Comparison'!Excess_Latest,0),'Layer Comparison'!Limit_Latest)))</f>
        <v/>
      </c>
      <c r="V204" s="87" t="str">
        <f t="shared" si="412"/>
        <v/>
      </c>
      <c r="W204" s="88" t="str">
        <f t="shared" si="413"/>
        <v/>
      </c>
      <c r="X204" s="87" t="s">
        <v>50</v>
      </c>
      <c r="Y204" s="87" t="s">
        <v>50</v>
      </c>
      <c r="Z204" s="87" t="str">
        <f t="shared" si="414"/>
        <v/>
      </c>
      <c r="AA204" s="88" t="str">
        <f t="shared" si="415"/>
        <v/>
      </c>
      <c r="AB204" s="87" t="str">
        <f>IF(Dyn_Insured="","",IF(ISNUMBER(X204)=FALSE,"n/a",MIN(MAX(X204-'Layer Comparison'!Excess_Past,0),'Layer Comparison'!Limit_Past)))</f>
        <v/>
      </c>
      <c r="AC204" s="87" t="str">
        <f>IF(Dyn_Insured="","",IF(ISNUMBER(Y204)=FALSE,"n/a",MIN(MAX(Y204-'Layer Comparison'!Excess_Latest,0),'Layer Comparison'!Limit_Latest)))</f>
        <v/>
      </c>
      <c r="AD204" s="87" t="str">
        <f t="shared" si="416"/>
        <v/>
      </c>
      <c r="AE204" s="88" t="str">
        <f t="shared" si="417"/>
        <v/>
      </c>
      <c r="AF204" s="87" t="s">
        <v>50</v>
      </c>
      <c r="AG204" s="87" t="s">
        <v>50</v>
      </c>
      <c r="AH204" s="87" t="str">
        <f t="shared" si="418"/>
        <v/>
      </c>
      <c r="AI204" s="88" t="str">
        <f t="shared" si="419"/>
        <v/>
      </c>
      <c r="AJ204" s="87" t="str">
        <f>IF(Dyn_Insured="","",IF(ISNUMBER(AF204)=FALSE,"n/a",MIN(MAX(AF204-'Layer Comparison'!Excess_Past,0),'Layer Comparison'!Limit_Past)))</f>
        <v/>
      </c>
      <c r="AK204" s="87" t="str">
        <f>IF(Dyn_Insured="","",IF(ISNUMBER(AG204)=FALSE,"n/a",MIN(MAX(AG204-'Layer Comparison'!Excess_Latest,0),'Layer Comparison'!Limit_Latest)))</f>
        <v/>
      </c>
      <c r="AL204" s="87" t="str">
        <f t="shared" si="420"/>
        <v/>
      </c>
      <c r="AM204" s="88" t="str">
        <f t="shared" si="421"/>
        <v/>
      </c>
      <c r="AN204" s="87" t="s">
        <v>50</v>
      </c>
      <c r="AO204" s="87" t="s">
        <v>50</v>
      </c>
      <c r="AP204" s="87" t="str">
        <f t="shared" si="422"/>
        <v/>
      </c>
      <c r="AQ204" s="88" t="str">
        <f t="shared" si="423"/>
        <v/>
      </c>
      <c r="AR204" s="87" t="str">
        <f>IF(Dyn_Insured="","",IF(ISNUMBER(AN204)=FALSE,"n/a",MIN(MAX(AN204-'Layer Comparison'!Excess_Past,0),'Layer Comparison'!Limit_Past)))</f>
        <v/>
      </c>
      <c r="AS204" s="87" t="str">
        <f>IF(Dyn_Insured="","",IF(ISNUMBER(AO204)=FALSE,"n/a",MIN(MAX(AO204-'Layer Comparison'!Excess_Latest,0),'Layer Comparison'!Limit_Latest)))</f>
        <v/>
      </c>
      <c r="AT204" s="87" t="str">
        <f t="shared" si="424"/>
        <v/>
      </c>
      <c r="AU204" s="88" t="str">
        <f t="shared" si="425"/>
        <v/>
      </c>
      <c r="AV204" s="87" t="s">
        <v>50</v>
      </c>
      <c r="AW204" s="87" t="s">
        <v>50</v>
      </c>
      <c r="AX204" s="87" t="str">
        <f t="shared" si="426"/>
        <v/>
      </c>
      <c r="AY204" s="88" t="str">
        <f t="shared" si="427"/>
        <v/>
      </c>
      <c r="AZ204" s="87" t="str">
        <f>IF(Dyn_Insured="","",IF(ISNUMBER(AV204)=FALSE,"n/a",MIN(MAX(AV204-'Layer Comparison'!Excess_Past,0),'Layer Comparison'!Limit_Past)))</f>
        <v/>
      </c>
      <c r="BA204" s="87" t="str">
        <f>IF(Dyn_Insured="","",IF(ISNUMBER(AW204)=FALSE,"n/a",MIN(MAX(AW204-'Layer Comparison'!Excess_Latest,0),'Layer Comparison'!Limit_Latest)))</f>
        <v/>
      </c>
      <c r="BB204" s="87" t="str">
        <f t="shared" si="428"/>
        <v/>
      </c>
      <c r="BC204" s="88" t="str">
        <f t="shared" si="429"/>
        <v/>
      </c>
      <c r="BD204" s="87" t="s">
        <v>50</v>
      </c>
      <c r="BE204" s="87" t="s">
        <v>50</v>
      </c>
      <c r="BF204" s="87" t="str">
        <f t="shared" si="430"/>
        <v/>
      </c>
      <c r="BG204" s="88" t="str">
        <f t="shared" si="431"/>
        <v/>
      </c>
      <c r="BH204" s="87" t="str">
        <f>IF(Dyn_Insured="","",IF(ISNUMBER(BD204)=FALSE,"n/a",MIN(MAX(BD204-'Layer Comparison'!Excess_Past,0),'Layer Comparison'!Limit_Past)))</f>
        <v/>
      </c>
      <c r="BI204" s="87" t="str">
        <f>IF(Dyn_Insured="","",IF(ISNUMBER(BE204)=FALSE,"n/a",MIN(MAX(BE204-'Layer Comparison'!Excess_Latest,0),'Layer Comparison'!Limit_Latest)))</f>
        <v/>
      </c>
      <c r="BJ204" s="87" t="str">
        <f t="shared" si="432"/>
        <v/>
      </c>
      <c r="BK204" s="88" t="str">
        <f t="shared" si="433"/>
        <v/>
      </c>
      <c r="BL204" s="87" t="s">
        <v>50</v>
      </c>
      <c r="BM204" s="87" t="s">
        <v>50</v>
      </c>
      <c r="BN204" s="87" t="str">
        <f t="shared" si="434"/>
        <v/>
      </c>
      <c r="BO204" s="88" t="str">
        <f t="shared" si="435"/>
        <v/>
      </c>
      <c r="BP204" s="87" t="str">
        <f>IF(Dyn_Insured="","",IF(ISNUMBER(BL204)=FALSE,"n/a",MIN(MAX(BL204-'Layer Comparison'!Excess_Past,0),'Layer Comparison'!Limit_Past)))</f>
        <v/>
      </c>
      <c r="BQ204" s="87" t="str">
        <f>IF(Dyn_Insured="","",IF(ISNUMBER(BM204)=FALSE,"n/a",MIN(MAX(BM204-'Layer Comparison'!Excess_Latest,0),'Layer Comparison'!Limit_Latest)))</f>
        <v/>
      </c>
      <c r="BR204" s="87" t="str">
        <f t="shared" si="436"/>
        <v/>
      </c>
      <c r="BS204" s="88" t="str">
        <f t="shared" si="437"/>
        <v/>
      </c>
      <c r="BT204" s="46" t="s">
        <v>13</v>
      </c>
    </row>
    <row r="205" spans="1:72" hidden="1" outlineLevel="1" x14ac:dyDescent="0.25">
      <c r="A205" s="89" t="s">
        <v>54</v>
      </c>
      <c r="B205" s="89">
        <f t="shared" si="403"/>
        <v>0</v>
      </c>
      <c r="C205" s="89">
        <f t="shared" si="404"/>
        <v>0</v>
      </c>
      <c r="D205" s="90">
        <f t="shared" si="438"/>
        <v>0</v>
      </c>
      <c r="E205" s="90">
        <f t="shared" si="438"/>
        <v>0</v>
      </c>
      <c r="F205" s="48" t="s">
        <v>50</v>
      </c>
      <c r="G205" s="38" t="s">
        <v>50</v>
      </c>
      <c r="H205" s="87" t="s">
        <v>50</v>
      </c>
      <c r="I205" s="87" t="s">
        <v>50</v>
      </c>
      <c r="J205" s="87" t="str">
        <f t="shared" si="406"/>
        <v/>
      </c>
      <c r="K205" s="88" t="str">
        <f t="shared" si="407"/>
        <v/>
      </c>
      <c r="L205" s="87" t="str">
        <f>IF(Dyn_Insured="","",IF(ISNUMBER(H205)=FALSE,"n/a",MIN(MAX(H205-'Layer Comparison'!Excess_Past,0),'Layer Comparison'!Limit_Past)))</f>
        <v/>
      </c>
      <c r="M205" s="87" t="str">
        <f>IF(Dyn_Insured="","",IF(ISNUMBER(I205)=FALSE,"n/a",MIN(MAX(I205-'Layer Comparison'!Excess_Latest,0),'Layer Comparison'!Limit_Latest)))</f>
        <v/>
      </c>
      <c r="N205" s="87" t="str">
        <f t="shared" si="408"/>
        <v/>
      </c>
      <c r="O205" s="88" t="str">
        <f t="shared" si="409"/>
        <v/>
      </c>
      <c r="P205" s="87" t="s">
        <v>50</v>
      </c>
      <c r="Q205" s="87" t="s">
        <v>50</v>
      </c>
      <c r="R205" s="87" t="str">
        <f t="shared" si="410"/>
        <v/>
      </c>
      <c r="S205" s="88" t="str">
        <f t="shared" si="411"/>
        <v/>
      </c>
      <c r="T205" s="87" t="str">
        <f>IF(Dyn_Insured="","",IF(ISNUMBER(P205)=FALSE,"n/a",MIN(MAX(P205-'Layer Comparison'!Excess_Past,0),'Layer Comparison'!Limit_Past)))</f>
        <v/>
      </c>
      <c r="U205" s="87" t="str">
        <f>IF(Dyn_Insured="","",IF(ISNUMBER(Q205)=FALSE,"n/a",MIN(MAX(Q205-'Layer Comparison'!Excess_Latest,0),'Layer Comparison'!Limit_Latest)))</f>
        <v/>
      </c>
      <c r="V205" s="87" t="str">
        <f t="shared" si="412"/>
        <v/>
      </c>
      <c r="W205" s="88" t="str">
        <f t="shared" si="413"/>
        <v/>
      </c>
      <c r="X205" s="87" t="s">
        <v>50</v>
      </c>
      <c r="Y205" s="87" t="s">
        <v>50</v>
      </c>
      <c r="Z205" s="87" t="str">
        <f t="shared" si="414"/>
        <v/>
      </c>
      <c r="AA205" s="88" t="str">
        <f t="shared" si="415"/>
        <v/>
      </c>
      <c r="AB205" s="87" t="str">
        <f>IF(Dyn_Insured="","",IF(ISNUMBER(X205)=FALSE,"n/a",MIN(MAX(X205-'Layer Comparison'!Excess_Past,0),'Layer Comparison'!Limit_Past)))</f>
        <v/>
      </c>
      <c r="AC205" s="87" t="str">
        <f>IF(Dyn_Insured="","",IF(ISNUMBER(Y205)=FALSE,"n/a",MIN(MAX(Y205-'Layer Comparison'!Excess_Latest,0),'Layer Comparison'!Limit_Latest)))</f>
        <v/>
      </c>
      <c r="AD205" s="87" t="str">
        <f t="shared" si="416"/>
        <v/>
      </c>
      <c r="AE205" s="88" t="str">
        <f t="shared" si="417"/>
        <v/>
      </c>
      <c r="AF205" s="87" t="s">
        <v>50</v>
      </c>
      <c r="AG205" s="87" t="s">
        <v>50</v>
      </c>
      <c r="AH205" s="87" t="str">
        <f t="shared" si="418"/>
        <v/>
      </c>
      <c r="AI205" s="88" t="str">
        <f t="shared" si="419"/>
        <v/>
      </c>
      <c r="AJ205" s="87" t="str">
        <f>IF(Dyn_Insured="","",IF(ISNUMBER(AF205)=FALSE,"n/a",MIN(MAX(AF205-'Layer Comparison'!Excess_Past,0),'Layer Comparison'!Limit_Past)))</f>
        <v/>
      </c>
      <c r="AK205" s="87" t="str">
        <f>IF(Dyn_Insured="","",IF(ISNUMBER(AG205)=FALSE,"n/a",MIN(MAX(AG205-'Layer Comparison'!Excess_Latest,0),'Layer Comparison'!Limit_Latest)))</f>
        <v/>
      </c>
      <c r="AL205" s="87" t="str">
        <f t="shared" si="420"/>
        <v/>
      </c>
      <c r="AM205" s="88" t="str">
        <f t="shared" si="421"/>
        <v/>
      </c>
      <c r="AN205" s="87" t="s">
        <v>50</v>
      </c>
      <c r="AO205" s="87" t="s">
        <v>50</v>
      </c>
      <c r="AP205" s="87" t="str">
        <f t="shared" si="422"/>
        <v/>
      </c>
      <c r="AQ205" s="88" t="str">
        <f t="shared" si="423"/>
        <v/>
      </c>
      <c r="AR205" s="87" t="str">
        <f>IF(Dyn_Insured="","",IF(ISNUMBER(AN205)=FALSE,"n/a",MIN(MAX(AN205-'Layer Comparison'!Excess_Past,0),'Layer Comparison'!Limit_Past)))</f>
        <v/>
      </c>
      <c r="AS205" s="87" t="str">
        <f>IF(Dyn_Insured="","",IF(ISNUMBER(AO205)=FALSE,"n/a",MIN(MAX(AO205-'Layer Comparison'!Excess_Latest,0),'Layer Comparison'!Limit_Latest)))</f>
        <v/>
      </c>
      <c r="AT205" s="87" t="str">
        <f t="shared" si="424"/>
        <v/>
      </c>
      <c r="AU205" s="88" t="str">
        <f t="shared" si="425"/>
        <v/>
      </c>
      <c r="AV205" s="87" t="s">
        <v>50</v>
      </c>
      <c r="AW205" s="87" t="s">
        <v>50</v>
      </c>
      <c r="AX205" s="87" t="str">
        <f t="shared" si="426"/>
        <v/>
      </c>
      <c r="AY205" s="88" t="str">
        <f t="shared" si="427"/>
        <v/>
      </c>
      <c r="AZ205" s="87" t="str">
        <f>IF(Dyn_Insured="","",IF(ISNUMBER(AV205)=FALSE,"n/a",MIN(MAX(AV205-'Layer Comparison'!Excess_Past,0),'Layer Comparison'!Limit_Past)))</f>
        <v/>
      </c>
      <c r="BA205" s="87" t="str">
        <f>IF(Dyn_Insured="","",IF(ISNUMBER(AW205)=FALSE,"n/a",MIN(MAX(AW205-'Layer Comparison'!Excess_Latest,0),'Layer Comparison'!Limit_Latest)))</f>
        <v/>
      </c>
      <c r="BB205" s="87" t="str">
        <f t="shared" si="428"/>
        <v/>
      </c>
      <c r="BC205" s="88" t="str">
        <f t="shared" si="429"/>
        <v/>
      </c>
      <c r="BD205" s="87" t="s">
        <v>50</v>
      </c>
      <c r="BE205" s="87" t="s">
        <v>50</v>
      </c>
      <c r="BF205" s="87" t="str">
        <f t="shared" si="430"/>
        <v/>
      </c>
      <c r="BG205" s="88" t="str">
        <f t="shared" si="431"/>
        <v/>
      </c>
      <c r="BH205" s="87" t="str">
        <f>IF(Dyn_Insured="","",IF(ISNUMBER(BD205)=FALSE,"n/a",MIN(MAX(BD205-'Layer Comparison'!Excess_Past,0),'Layer Comparison'!Limit_Past)))</f>
        <v/>
      </c>
      <c r="BI205" s="87" t="str">
        <f>IF(Dyn_Insured="","",IF(ISNUMBER(BE205)=FALSE,"n/a",MIN(MAX(BE205-'Layer Comparison'!Excess_Latest,0),'Layer Comparison'!Limit_Latest)))</f>
        <v/>
      </c>
      <c r="BJ205" s="87" t="str">
        <f t="shared" si="432"/>
        <v/>
      </c>
      <c r="BK205" s="88" t="str">
        <f t="shared" si="433"/>
        <v/>
      </c>
      <c r="BL205" s="87" t="s">
        <v>50</v>
      </c>
      <c r="BM205" s="87" t="s">
        <v>50</v>
      </c>
      <c r="BN205" s="87" t="str">
        <f t="shared" si="434"/>
        <v/>
      </c>
      <c r="BO205" s="88" t="str">
        <f t="shared" si="435"/>
        <v/>
      </c>
      <c r="BP205" s="87" t="str">
        <f>IF(Dyn_Insured="","",IF(ISNUMBER(BL205)=FALSE,"n/a",MIN(MAX(BL205-'Layer Comparison'!Excess_Past,0),'Layer Comparison'!Limit_Past)))</f>
        <v/>
      </c>
      <c r="BQ205" s="87" t="str">
        <f>IF(Dyn_Insured="","",IF(ISNUMBER(BM205)=FALSE,"n/a",MIN(MAX(BM205-'Layer Comparison'!Excess_Latest,0),'Layer Comparison'!Limit_Latest)))</f>
        <v/>
      </c>
      <c r="BR205" s="87" t="str">
        <f t="shared" si="436"/>
        <v/>
      </c>
      <c r="BS205" s="88" t="str">
        <f t="shared" si="437"/>
        <v/>
      </c>
      <c r="BT205" s="46" t="s">
        <v>13</v>
      </c>
    </row>
    <row r="206" spans="1:72" hidden="1" outlineLevel="1" x14ac:dyDescent="0.25">
      <c r="A206" s="89" t="s">
        <v>54</v>
      </c>
      <c r="B206" s="89">
        <f t="shared" si="403"/>
        <v>0</v>
      </c>
      <c r="C206" s="89">
        <f t="shared" si="404"/>
        <v>0</v>
      </c>
      <c r="D206" s="90">
        <f t="shared" si="438"/>
        <v>0</v>
      </c>
      <c r="E206" s="90">
        <f t="shared" si="438"/>
        <v>0</v>
      </c>
      <c r="F206" s="48" t="s">
        <v>50</v>
      </c>
      <c r="G206" s="38" t="s">
        <v>50</v>
      </c>
      <c r="H206" s="87" t="s">
        <v>50</v>
      </c>
      <c r="I206" s="87" t="s">
        <v>50</v>
      </c>
      <c r="J206" s="87" t="str">
        <f t="shared" si="406"/>
        <v/>
      </c>
      <c r="K206" s="88" t="str">
        <f t="shared" si="407"/>
        <v/>
      </c>
      <c r="L206" s="87" t="str">
        <f>IF(Dyn_Insured="","",IF(ISNUMBER(H206)=FALSE,"n/a",MIN(MAX(H206-'Layer Comparison'!Excess_Past,0),'Layer Comparison'!Limit_Past)))</f>
        <v/>
      </c>
      <c r="M206" s="87" t="str">
        <f>IF(Dyn_Insured="","",IF(ISNUMBER(I206)=FALSE,"n/a",MIN(MAX(I206-'Layer Comparison'!Excess_Latest,0),'Layer Comparison'!Limit_Latest)))</f>
        <v/>
      </c>
      <c r="N206" s="87" t="str">
        <f t="shared" si="408"/>
        <v/>
      </c>
      <c r="O206" s="88" t="str">
        <f t="shared" si="409"/>
        <v/>
      </c>
      <c r="P206" s="87" t="s">
        <v>50</v>
      </c>
      <c r="Q206" s="87" t="s">
        <v>50</v>
      </c>
      <c r="R206" s="87" t="str">
        <f t="shared" si="410"/>
        <v/>
      </c>
      <c r="S206" s="88" t="str">
        <f t="shared" si="411"/>
        <v/>
      </c>
      <c r="T206" s="87" t="str">
        <f>IF(Dyn_Insured="","",IF(ISNUMBER(P206)=FALSE,"n/a",MIN(MAX(P206-'Layer Comparison'!Excess_Past,0),'Layer Comparison'!Limit_Past)))</f>
        <v/>
      </c>
      <c r="U206" s="87" t="str">
        <f>IF(Dyn_Insured="","",IF(ISNUMBER(Q206)=FALSE,"n/a",MIN(MAX(Q206-'Layer Comparison'!Excess_Latest,0),'Layer Comparison'!Limit_Latest)))</f>
        <v/>
      </c>
      <c r="V206" s="87" t="str">
        <f t="shared" si="412"/>
        <v/>
      </c>
      <c r="W206" s="88" t="str">
        <f t="shared" si="413"/>
        <v/>
      </c>
      <c r="X206" s="87" t="s">
        <v>50</v>
      </c>
      <c r="Y206" s="87" t="s">
        <v>50</v>
      </c>
      <c r="Z206" s="87" t="str">
        <f t="shared" si="414"/>
        <v/>
      </c>
      <c r="AA206" s="88" t="str">
        <f t="shared" si="415"/>
        <v/>
      </c>
      <c r="AB206" s="87" t="str">
        <f>IF(Dyn_Insured="","",IF(ISNUMBER(X206)=FALSE,"n/a",MIN(MAX(X206-'Layer Comparison'!Excess_Past,0),'Layer Comparison'!Limit_Past)))</f>
        <v/>
      </c>
      <c r="AC206" s="87" t="str">
        <f>IF(Dyn_Insured="","",IF(ISNUMBER(Y206)=FALSE,"n/a",MIN(MAX(Y206-'Layer Comparison'!Excess_Latest,0),'Layer Comparison'!Limit_Latest)))</f>
        <v/>
      </c>
      <c r="AD206" s="87" t="str">
        <f t="shared" si="416"/>
        <v/>
      </c>
      <c r="AE206" s="88" t="str">
        <f t="shared" si="417"/>
        <v/>
      </c>
      <c r="AF206" s="87" t="s">
        <v>50</v>
      </c>
      <c r="AG206" s="87" t="s">
        <v>50</v>
      </c>
      <c r="AH206" s="87" t="str">
        <f t="shared" si="418"/>
        <v/>
      </c>
      <c r="AI206" s="88" t="str">
        <f t="shared" si="419"/>
        <v/>
      </c>
      <c r="AJ206" s="87" t="str">
        <f>IF(Dyn_Insured="","",IF(ISNUMBER(AF206)=FALSE,"n/a",MIN(MAX(AF206-'Layer Comparison'!Excess_Past,0),'Layer Comparison'!Limit_Past)))</f>
        <v/>
      </c>
      <c r="AK206" s="87" t="str">
        <f>IF(Dyn_Insured="","",IF(ISNUMBER(AG206)=FALSE,"n/a",MIN(MAX(AG206-'Layer Comparison'!Excess_Latest,0),'Layer Comparison'!Limit_Latest)))</f>
        <v/>
      </c>
      <c r="AL206" s="87" t="str">
        <f t="shared" si="420"/>
        <v/>
      </c>
      <c r="AM206" s="88" t="str">
        <f t="shared" si="421"/>
        <v/>
      </c>
      <c r="AN206" s="87" t="s">
        <v>50</v>
      </c>
      <c r="AO206" s="87" t="s">
        <v>50</v>
      </c>
      <c r="AP206" s="87" t="str">
        <f t="shared" si="422"/>
        <v/>
      </c>
      <c r="AQ206" s="88" t="str">
        <f t="shared" si="423"/>
        <v/>
      </c>
      <c r="AR206" s="87" t="str">
        <f>IF(Dyn_Insured="","",IF(ISNUMBER(AN206)=FALSE,"n/a",MIN(MAX(AN206-'Layer Comparison'!Excess_Past,0),'Layer Comparison'!Limit_Past)))</f>
        <v/>
      </c>
      <c r="AS206" s="87" t="str">
        <f>IF(Dyn_Insured="","",IF(ISNUMBER(AO206)=FALSE,"n/a",MIN(MAX(AO206-'Layer Comparison'!Excess_Latest,0),'Layer Comparison'!Limit_Latest)))</f>
        <v/>
      </c>
      <c r="AT206" s="87" t="str">
        <f t="shared" si="424"/>
        <v/>
      </c>
      <c r="AU206" s="88" t="str">
        <f t="shared" si="425"/>
        <v/>
      </c>
      <c r="AV206" s="87" t="s">
        <v>50</v>
      </c>
      <c r="AW206" s="87" t="s">
        <v>50</v>
      </c>
      <c r="AX206" s="87" t="str">
        <f t="shared" si="426"/>
        <v/>
      </c>
      <c r="AY206" s="88" t="str">
        <f t="shared" si="427"/>
        <v/>
      </c>
      <c r="AZ206" s="87" t="str">
        <f>IF(Dyn_Insured="","",IF(ISNUMBER(AV206)=FALSE,"n/a",MIN(MAX(AV206-'Layer Comparison'!Excess_Past,0),'Layer Comparison'!Limit_Past)))</f>
        <v/>
      </c>
      <c r="BA206" s="87" t="str">
        <f>IF(Dyn_Insured="","",IF(ISNUMBER(AW206)=FALSE,"n/a",MIN(MAX(AW206-'Layer Comparison'!Excess_Latest,0),'Layer Comparison'!Limit_Latest)))</f>
        <v/>
      </c>
      <c r="BB206" s="87" t="str">
        <f t="shared" si="428"/>
        <v/>
      </c>
      <c r="BC206" s="88" t="str">
        <f t="shared" si="429"/>
        <v/>
      </c>
      <c r="BD206" s="87" t="s">
        <v>50</v>
      </c>
      <c r="BE206" s="87" t="s">
        <v>50</v>
      </c>
      <c r="BF206" s="87" t="str">
        <f t="shared" si="430"/>
        <v/>
      </c>
      <c r="BG206" s="88" t="str">
        <f t="shared" si="431"/>
        <v/>
      </c>
      <c r="BH206" s="87" t="str">
        <f>IF(Dyn_Insured="","",IF(ISNUMBER(BD206)=FALSE,"n/a",MIN(MAX(BD206-'Layer Comparison'!Excess_Past,0),'Layer Comparison'!Limit_Past)))</f>
        <v/>
      </c>
      <c r="BI206" s="87" t="str">
        <f>IF(Dyn_Insured="","",IF(ISNUMBER(BE206)=FALSE,"n/a",MIN(MAX(BE206-'Layer Comparison'!Excess_Latest,0),'Layer Comparison'!Limit_Latest)))</f>
        <v/>
      </c>
      <c r="BJ206" s="87" t="str">
        <f t="shared" si="432"/>
        <v/>
      </c>
      <c r="BK206" s="88" t="str">
        <f t="shared" si="433"/>
        <v/>
      </c>
      <c r="BL206" s="87" t="s">
        <v>50</v>
      </c>
      <c r="BM206" s="87" t="s">
        <v>50</v>
      </c>
      <c r="BN206" s="87" t="str">
        <f t="shared" si="434"/>
        <v/>
      </c>
      <c r="BO206" s="88" t="str">
        <f t="shared" si="435"/>
        <v/>
      </c>
      <c r="BP206" s="87" t="str">
        <f>IF(Dyn_Insured="","",IF(ISNUMBER(BL206)=FALSE,"n/a",MIN(MAX(BL206-'Layer Comparison'!Excess_Past,0),'Layer Comparison'!Limit_Past)))</f>
        <v/>
      </c>
      <c r="BQ206" s="87" t="str">
        <f>IF(Dyn_Insured="","",IF(ISNUMBER(BM206)=FALSE,"n/a",MIN(MAX(BM206-'Layer Comparison'!Excess_Latest,0),'Layer Comparison'!Limit_Latest)))</f>
        <v/>
      </c>
      <c r="BR206" s="87" t="str">
        <f t="shared" si="436"/>
        <v/>
      </c>
      <c r="BS206" s="88" t="str">
        <f t="shared" si="437"/>
        <v/>
      </c>
      <c r="BT206" s="46" t="s">
        <v>13</v>
      </c>
    </row>
    <row r="207" spans="1:72" hidden="1" outlineLevel="1" x14ac:dyDescent="0.25">
      <c r="A207" s="89" t="s">
        <v>54</v>
      </c>
      <c r="B207" s="89">
        <f t="shared" si="403"/>
        <v>0</v>
      </c>
      <c r="C207" s="89">
        <f t="shared" si="404"/>
        <v>0</v>
      </c>
      <c r="D207" s="90">
        <f t="shared" si="438"/>
        <v>0</v>
      </c>
      <c r="E207" s="90">
        <f t="shared" si="438"/>
        <v>0</v>
      </c>
      <c r="F207" s="48" t="s">
        <v>50</v>
      </c>
      <c r="G207" s="38" t="s">
        <v>50</v>
      </c>
      <c r="H207" s="87" t="s">
        <v>50</v>
      </c>
      <c r="I207" s="87" t="s">
        <v>50</v>
      </c>
      <c r="J207" s="87" t="str">
        <f t="shared" si="406"/>
        <v/>
      </c>
      <c r="K207" s="88" t="str">
        <f t="shared" si="407"/>
        <v/>
      </c>
      <c r="L207" s="87" t="str">
        <f>IF(Dyn_Insured="","",IF(ISNUMBER(H207)=FALSE,"n/a",MIN(MAX(H207-'Layer Comparison'!Excess_Past,0),'Layer Comparison'!Limit_Past)))</f>
        <v/>
      </c>
      <c r="M207" s="87" t="str">
        <f>IF(Dyn_Insured="","",IF(ISNUMBER(I207)=FALSE,"n/a",MIN(MAX(I207-'Layer Comparison'!Excess_Latest,0),'Layer Comparison'!Limit_Latest)))</f>
        <v/>
      </c>
      <c r="N207" s="87" t="str">
        <f t="shared" si="408"/>
        <v/>
      </c>
      <c r="O207" s="88" t="str">
        <f t="shared" si="409"/>
        <v/>
      </c>
      <c r="P207" s="87" t="s">
        <v>50</v>
      </c>
      <c r="Q207" s="87" t="s">
        <v>50</v>
      </c>
      <c r="R207" s="87" t="str">
        <f t="shared" si="410"/>
        <v/>
      </c>
      <c r="S207" s="88" t="str">
        <f t="shared" si="411"/>
        <v/>
      </c>
      <c r="T207" s="87" t="str">
        <f>IF(Dyn_Insured="","",IF(ISNUMBER(P207)=FALSE,"n/a",MIN(MAX(P207-'Layer Comparison'!Excess_Past,0),'Layer Comparison'!Limit_Past)))</f>
        <v/>
      </c>
      <c r="U207" s="87" t="str">
        <f>IF(Dyn_Insured="","",IF(ISNUMBER(Q207)=FALSE,"n/a",MIN(MAX(Q207-'Layer Comparison'!Excess_Latest,0),'Layer Comparison'!Limit_Latest)))</f>
        <v/>
      </c>
      <c r="V207" s="87" t="str">
        <f t="shared" si="412"/>
        <v/>
      </c>
      <c r="W207" s="88" t="str">
        <f t="shared" si="413"/>
        <v/>
      </c>
      <c r="X207" s="87" t="s">
        <v>50</v>
      </c>
      <c r="Y207" s="87" t="s">
        <v>50</v>
      </c>
      <c r="Z207" s="87" t="str">
        <f t="shared" si="414"/>
        <v/>
      </c>
      <c r="AA207" s="88" t="str">
        <f t="shared" si="415"/>
        <v/>
      </c>
      <c r="AB207" s="87" t="str">
        <f>IF(Dyn_Insured="","",IF(ISNUMBER(X207)=FALSE,"n/a",MIN(MAX(X207-'Layer Comparison'!Excess_Past,0),'Layer Comparison'!Limit_Past)))</f>
        <v/>
      </c>
      <c r="AC207" s="87" t="str">
        <f>IF(Dyn_Insured="","",IF(ISNUMBER(Y207)=FALSE,"n/a",MIN(MAX(Y207-'Layer Comparison'!Excess_Latest,0),'Layer Comparison'!Limit_Latest)))</f>
        <v/>
      </c>
      <c r="AD207" s="87" t="str">
        <f t="shared" si="416"/>
        <v/>
      </c>
      <c r="AE207" s="88" t="str">
        <f t="shared" si="417"/>
        <v/>
      </c>
      <c r="AF207" s="87" t="s">
        <v>50</v>
      </c>
      <c r="AG207" s="87" t="s">
        <v>50</v>
      </c>
      <c r="AH207" s="87" t="str">
        <f t="shared" si="418"/>
        <v/>
      </c>
      <c r="AI207" s="88" t="str">
        <f t="shared" si="419"/>
        <v/>
      </c>
      <c r="AJ207" s="87" t="str">
        <f>IF(Dyn_Insured="","",IF(ISNUMBER(AF207)=FALSE,"n/a",MIN(MAX(AF207-'Layer Comparison'!Excess_Past,0),'Layer Comparison'!Limit_Past)))</f>
        <v/>
      </c>
      <c r="AK207" s="87" t="str">
        <f>IF(Dyn_Insured="","",IF(ISNUMBER(AG207)=FALSE,"n/a",MIN(MAX(AG207-'Layer Comparison'!Excess_Latest,0),'Layer Comparison'!Limit_Latest)))</f>
        <v/>
      </c>
      <c r="AL207" s="87" t="str">
        <f t="shared" si="420"/>
        <v/>
      </c>
      <c r="AM207" s="88" t="str">
        <f t="shared" si="421"/>
        <v/>
      </c>
      <c r="AN207" s="87" t="s">
        <v>50</v>
      </c>
      <c r="AO207" s="87" t="s">
        <v>50</v>
      </c>
      <c r="AP207" s="87" t="str">
        <f t="shared" si="422"/>
        <v/>
      </c>
      <c r="AQ207" s="88" t="str">
        <f t="shared" si="423"/>
        <v/>
      </c>
      <c r="AR207" s="87" t="str">
        <f>IF(Dyn_Insured="","",IF(ISNUMBER(AN207)=FALSE,"n/a",MIN(MAX(AN207-'Layer Comparison'!Excess_Past,0),'Layer Comparison'!Limit_Past)))</f>
        <v/>
      </c>
      <c r="AS207" s="87" t="str">
        <f>IF(Dyn_Insured="","",IF(ISNUMBER(AO207)=FALSE,"n/a",MIN(MAX(AO207-'Layer Comparison'!Excess_Latest,0),'Layer Comparison'!Limit_Latest)))</f>
        <v/>
      </c>
      <c r="AT207" s="87" t="str">
        <f t="shared" si="424"/>
        <v/>
      </c>
      <c r="AU207" s="88" t="str">
        <f t="shared" si="425"/>
        <v/>
      </c>
      <c r="AV207" s="87" t="s">
        <v>50</v>
      </c>
      <c r="AW207" s="87" t="s">
        <v>50</v>
      </c>
      <c r="AX207" s="87" t="str">
        <f t="shared" si="426"/>
        <v/>
      </c>
      <c r="AY207" s="88" t="str">
        <f t="shared" si="427"/>
        <v/>
      </c>
      <c r="AZ207" s="87" t="str">
        <f>IF(Dyn_Insured="","",IF(ISNUMBER(AV207)=FALSE,"n/a",MIN(MAX(AV207-'Layer Comparison'!Excess_Past,0),'Layer Comparison'!Limit_Past)))</f>
        <v/>
      </c>
      <c r="BA207" s="87" t="str">
        <f>IF(Dyn_Insured="","",IF(ISNUMBER(AW207)=FALSE,"n/a",MIN(MAX(AW207-'Layer Comparison'!Excess_Latest,0),'Layer Comparison'!Limit_Latest)))</f>
        <v/>
      </c>
      <c r="BB207" s="87" t="str">
        <f t="shared" si="428"/>
        <v/>
      </c>
      <c r="BC207" s="88" t="str">
        <f t="shared" si="429"/>
        <v/>
      </c>
      <c r="BD207" s="87" t="s">
        <v>50</v>
      </c>
      <c r="BE207" s="87" t="s">
        <v>50</v>
      </c>
      <c r="BF207" s="87" t="str">
        <f t="shared" si="430"/>
        <v/>
      </c>
      <c r="BG207" s="88" t="str">
        <f t="shared" si="431"/>
        <v/>
      </c>
      <c r="BH207" s="87" t="str">
        <f>IF(Dyn_Insured="","",IF(ISNUMBER(BD207)=FALSE,"n/a",MIN(MAX(BD207-'Layer Comparison'!Excess_Past,0),'Layer Comparison'!Limit_Past)))</f>
        <v/>
      </c>
      <c r="BI207" s="87" t="str">
        <f>IF(Dyn_Insured="","",IF(ISNUMBER(BE207)=FALSE,"n/a",MIN(MAX(BE207-'Layer Comparison'!Excess_Latest,0),'Layer Comparison'!Limit_Latest)))</f>
        <v/>
      </c>
      <c r="BJ207" s="87" t="str">
        <f t="shared" si="432"/>
        <v/>
      </c>
      <c r="BK207" s="88" t="str">
        <f t="shared" si="433"/>
        <v/>
      </c>
      <c r="BL207" s="87" t="s">
        <v>50</v>
      </c>
      <c r="BM207" s="87" t="s">
        <v>50</v>
      </c>
      <c r="BN207" s="87" t="str">
        <f t="shared" si="434"/>
        <v/>
      </c>
      <c r="BO207" s="88" t="str">
        <f t="shared" si="435"/>
        <v/>
      </c>
      <c r="BP207" s="87" t="str">
        <f>IF(Dyn_Insured="","",IF(ISNUMBER(BL207)=FALSE,"n/a",MIN(MAX(BL207-'Layer Comparison'!Excess_Past,0),'Layer Comparison'!Limit_Past)))</f>
        <v/>
      </c>
      <c r="BQ207" s="87" t="str">
        <f>IF(Dyn_Insured="","",IF(ISNUMBER(BM207)=FALSE,"n/a",MIN(MAX(BM207-'Layer Comparison'!Excess_Latest,0),'Layer Comparison'!Limit_Latest)))</f>
        <v/>
      </c>
      <c r="BR207" s="87" t="str">
        <f t="shared" si="436"/>
        <v/>
      </c>
      <c r="BS207" s="88" t="str">
        <f t="shared" si="437"/>
        <v/>
      </c>
      <c r="BT207" s="46" t="s">
        <v>13</v>
      </c>
    </row>
    <row r="208" spans="1:72" hidden="1" outlineLevel="1" x14ac:dyDescent="0.25">
      <c r="A208" s="89" t="s">
        <v>54</v>
      </c>
      <c r="B208" s="89">
        <f t="shared" si="403"/>
        <v>0</v>
      </c>
      <c r="C208" s="89">
        <f t="shared" si="404"/>
        <v>0</v>
      </c>
      <c r="D208" s="90">
        <f t="shared" si="438"/>
        <v>0</v>
      </c>
      <c r="E208" s="90">
        <f t="shared" si="438"/>
        <v>0</v>
      </c>
      <c r="F208" s="48" t="s">
        <v>50</v>
      </c>
      <c r="G208" s="38" t="s">
        <v>50</v>
      </c>
      <c r="H208" s="87" t="s">
        <v>50</v>
      </c>
      <c r="I208" s="87" t="s">
        <v>50</v>
      </c>
      <c r="J208" s="87" t="str">
        <f t="shared" si="406"/>
        <v/>
      </c>
      <c r="K208" s="88" t="str">
        <f t="shared" si="407"/>
        <v/>
      </c>
      <c r="L208" s="87" t="str">
        <f>IF(Dyn_Insured="","",IF(ISNUMBER(H208)=FALSE,"n/a",MIN(MAX(H208-'Layer Comparison'!Excess_Past,0),'Layer Comparison'!Limit_Past)))</f>
        <v/>
      </c>
      <c r="M208" s="87" t="str">
        <f>IF(Dyn_Insured="","",IF(ISNUMBER(I208)=FALSE,"n/a",MIN(MAX(I208-'Layer Comparison'!Excess_Latest,0),'Layer Comparison'!Limit_Latest)))</f>
        <v/>
      </c>
      <c r="N208" s="87" t="str">
        <f t="shared" si="408"/>
        <v/>
      </c>
      <c r="O208" s="88" t="str">
        <f t="shared" si="409"/>
        <v/>
      </c>
      <c r="P208" s="87" t="s">
        <v>50</v>
      </c>
      <c r="Q208" s="87" t="s">
        <v>50</v>
      </c>
      <c r="R208" s="87" t="str">
        <f t="shared" si="410"/>
        <v/>
      </c>
      <c r="S208" s="88" t="str">
        <f t="shared" si="411"/>
        <v/>
      </c>
      <c r="T208" s="87" t="str">
        <f>IF(Dyn_Insured="","",IF(ISNUMBER(P208)=FALSE,"n/a",MIN(MAX(P208-'Layer Comparison'!Excess_Past,0),'Layer Comparison'!Limit_Past)))</f>
        <v/>
      </c>
      <c r="U208" s="87" t="str">
        <f>IF(Dyn_Insured="","",IF(ISNUMBER(Q208)=FALSE,"n/a",MIN(MAX(Q208-'Layer Comparison'!Excess_Latest,0),'Layer Comparison'!Limit_Latest)))</f>
        <v/>
      </c>
      <c r="V208" s="87" t="str">
        <f t="shared" si="412"/>
        <v/>
      </c>
      <c r="W208" s="88" t="str">
        <f t="shared" si="413"/>
        <v/>
      </c>
      <c r="X208" s="87" t="s">
        <v>50</v>
      </c>
      <c r="Y208" s="87" t="s">
        <v>50</v>
      </c>
      <c r="Z208" s="87" t="str">
        <f t="shared" si="414"/>
        <v/>
      </c>
      <c r="AA208" s="88" t="str">
        <f t="shared" si="415"/>
        <v/>
      </c>
      <c r="AB208" s="87" t="str">
        <f>IF(Dyn_Insured="","",IF(ISNUMBER(X208)=FALSE,"n/a",MIN(MAX(X208-'Layer Comparison'!Excess_Past,0),'Layer Comparison'!Limit_Past)))</f>
        <v/>
      </c>
      <c r="AC208" s="87" t="str">
        <f>IF(Dyn_Insured="","",IF(ISNUMBER(Y208)=FALSE,"n/a",MIN(MAX(Y208-'Layer Comparison'!Excess_Latest,0),'Layer Comparison'!Limit_Latest)))</f>
        <v/>
      </c>
      <c r="AD208" s="87" t="str">
        <f t="shared" si="416"/>
        <v/>
      </c>
      <c r="AE208" s="88" t="str">
        <f t="shared" si="417"/>
        <v/>
      </c>
      <c r="AF208" s="87" t="s">
        <v>50</v>
      </c>
      <c r="AG208" s="87" t="s">
        <v>50</v>
      </c>
      <c r="AH208" s="87" t="str">
        <f t="shared" si="418"/>
        <v/>
      </c>
      <c r="AI208" s="88" t="str">
        <f t="shared" si="419"/>
        <v/>
      </c>
      <c r="AJ208" s="87" t="str">
        <f>IF(Dyn_Insured="","",IF(ISNUMBER(AF208)=FALSE,"n/a",MIN(MAX(AF208-'Layer Comparison'!Excess_Past,0),'Layer Comparison'!Limit_Past)))</f>
        <v/>
      </c>
      <c r="AK208" s="87" t="str">
        <f>IF(Dyn_Insured="","",IF(ISNUMBER(AG208)=FALSE,"n/a",MIN(MAX(AG208-'Layer Comparison'!Excess_Latest,0),'Layer Comparison'!Limit_Latest)))</f>
        <v/>
      </c>
      <c r="AL208" s="87" t="str">
        <f t="shared" si="420"/>
        <v/>
      </c>
      <c r="AM208" s="88" t="str">
        <f t="shared" si="421"/>
        <v/>
      </c>
      <c r="AN208" s="87" t="s">
        <v>50</v>
      </c>
      <c r="AO208" s="87" t="s">
        <v>50</v>
      </c>
      <c r="AP208" s="87" t="str">
        <f t="shared" si="422"/>
        <v/>
      </c>
      <c r="AQ208" s="88" t="str">
        <f t="shared" si="423"/>
        <v/>
      </c>
      <c r="AR208" s="87" t="str">
        <f>IF(Dyn_Insured="","",IF(ISNUMBER(AN208)=FALSE,"n/a",MIN(MAX(AN208-'Layer Comparison'!Excess_Past,0),'Layer Comparison'!Limit_Past)))</f>
        <v/>
      </c>
      <c r="AS208" s="87" t="str">
        <f>IF(Dyn_Insured="","",IF(ISNUMBER(AO208)=FALSE,"n/a",MIN(MAX(AO208-'Layer Comparison'!Excess_Latest,0),'Layer Comparison'!Limit_Latest)))</f>
        <v/>
      </c>
      <c r="AT208" s="87" t="str">
        <f t="shared" si="424"/>
        <v/>
      </c>
      <c r="AU208" s="88" t="str">
        <f t="shared" si="425"/>
        <v/>
      </c>
      <c r="AV208" s="87" t="s">
        <v>50</v>
      </c>
      <c r="AW208" s="87" t="s">
        <v>50</v>
      </c>
      <c r="AX208" s="87" t="str">
        <f t="shared" si="426"/>
        <v/>
      </c>
      <c r="AY208" s="88" t="str">
        <f t="shared" si="427"/>
        <v/>
      </c>
      <c r="AZ208" s="87" t="str">
        <f>IF(Dyn_Insured="","",IF(ISNUMBER(AV208)=FALSE,"n/a",MIN(MAX(AV208-'Layer Comparison'!Excess_Past,0),'Layer Comparison'!Limit_Past)))</f>
        <v/>
      </c>
      <c r="BA208" s="87" t="str">
        <f>IF(Dyn_Insured="","",IF(ISNUMBER(AW208)=FALSE,"n/a",MIN(MAX(AW208-'Layer Comparison'!Excess_Latest,0),'Layer Comparison'!Limit_Latest)))</f>
        <v/>
      </c>
      <c r="BB208" s="87" t="str">
        <f t="shared" si="428"/>
        <v/>
      </c>
      <c r="BC208" s="88" t="str">
        <f t="shared" si="429"/>
        <v/>
      </c>
      <c r="BD208" s="87" t="s">
        <v>50</v>
      </c>
      <c r="BE208" s="87" t="s">
        <v>50</v>
      </c>
      <c r="BF208" s="87" t="str">
        <f t="shared" si="430"/>
        <v/>
      </c>
      <c r="BG208" s="88" t="str">
        <f t="shared" si="431"/>
        <v/>
      </c>
      <c r="BH208" s="87" t="str">
        <f>IF(Dyn_Insured="","",IF(ISNUMBER(BD208)=FALSE,"n/a",MIN(MAX(BD208-'Layer Comparison'!Excess_Past,0),'Layer Comparison'!Limit_Past)))</f>
        <v/>
      </c>
      <c r="BI208" s="87" t="str">
        <f>IF(Dyn_Insured="","",IF(ISNUMBER(BE208)=FALSE,"n/a",MIN(MAX(BE208-'Layer Comparison'!Excess_Latest,0),'Layer Comparison'!Limit_Latest)))</f>
        <v/>
      </c>
      <c r="BJ208" s="87" t="str">
        <f t="shared" si="432"/>
        <v/>
      </c>
      <c r="BK208" s="88" t="str">
        <f t="shared" si="433"/>
        <v/>
      </c>
      <c r="BL208" s="87" t="s">
        <v>50</v>
      </c>
      <c r="BM208" s="87" t="s">
        <v>50</v>
      </c>
      <c r="BN208" s="87" t="str">
        <f t="shared" si="434"/>
        <v/>
      </c>
      <c r="BO208" s="88" t="str">
        <f t="shared" si="435"/>
        <v/>
      </c>
      <c r="BP208" s="87" t="str">
        <f>IF(Dyn_Insured="","",IF(ISNUMBER(BL208)=FALSE,"n/a",MIN(MAX(BL208-'Layer Comparison'!Excess_Past,0),'Layer Comparison'!Limit_Past)))</f>
        <v/>
      </c>
      <c r="BQ208" s="87" t="str">
        <f>IF(Dyn_Insured="","",IF(ISNUMBER(BM208)=FALSE,"n/a",MIN(MAX(BM208-'Layer Comparison'!Excess_Latest,0),'Layer Comparison'!Limit_Latest)))</f>
        <v/>
      </c>
      <c r="BR208" s="87" t="str">
        <f t="shared" si="436"/>
        <v/>
      </c>
      <c r="BS208" s="88" t="str">
        <f t="shared" si="437"/>
        <v/>
      </c>
      <c r="BT208" s="46" t="s">
        <v>13</v>
      </c>
    </row>
    <row r="209" spans="1:72" hidden="1" outlineLevel="1" x14ac:dyDescent="0.25">
      <c r="A209" s="89" t="s">
        <v>54</v>
      </c>
      <c r="B209" s="89">
        <f t="shared" si="403"/>
        <v>0</v>
      </c>
      <c r="C209" s="89">
        <f t="shared" si="404"/>
        <v>0</v>
      </c>
      <c r="D209" s="90">
        <f t="shared" si="438"/>
        <v>0</v>
      </c>
      <c r="E209" s="90">
        <f t="shared" si="438"/>
        <v>0</v>
      </c>
      <c r="F209" s="48" t="s">
        <v>50</v>
      </c>
      <c r="G209" s="38" t="s">
        <v>50</v>
      </c>
      <c r="H209" s="87" t="s">
        <v>50</v>
      </c>
      <c r="I209" s="87" t="s">
        <v>50</v>
      </c>
      <c r="J209" s="87" t="str">
        <f t="shared" si="406"/>
        <v/>
      </c>
      <c r="K209" s="88" t="str">
        <f t="shared" si="407"/>
        <v/>
      </c>
      <c r="L209" s="87" t="str">
        <f>IF(Dyn_Insured="","",IF(ISNUMBER(H209)=FALSE,"n/a",MIN(MAX(H209-'Layer Comparison'!Excess_Past,0),'Layer Comparison'!Limit_Past)))</f>
        <v/>
      </c>
      <c r="M209" s="87" t="str">
        <f>IF(Dyn_Insured="","",IF(ISNUMBER(I209)=FALSE,"n/a",MIN(MAX(I209-'Layer Comparison'!Excess_Latest,0),'Layer Comparison'!Limit_Latest)))</f>
        <v/>
      </c>
      <c r="N209" s="87" t="str">
        <f t="shared" si="408"/>
        <v/>
      </c>
      <c r="O209" s="88" t="str">
        <f t="shared" si="409"/>
        <v/>
      </c>
      <c r="P209" s="87" t="s">
        <v>50</v>
      </c>
      <c r="Q209" s="87" t="s">
        <v>50</v>
      </c>
      <c r="R209" s="87" t="str">
        <f t="shared" si="410"/>
        <v/>
      </c>
      <c r="S209" s="88" t="str">
        <f t="shared" si="411"/>
        <v/>
      </c>
      <c r="T209" s="87" t="str">
        <f>IF(Dyn_Insured="","",IF(ISNUMBER(P209)=FALSE,"n/a",MIN(MAX(P209-'Layer Comparison'!Excess_Past,0),'Layer Comparison'!Limit_Past)))</f>
        <v/>
      </c>
      <c r="U209" s="87" t="str">
        <f>IF(Dyn_Insured="","",IF(ISNUMBER(Q209)=FALSE,"n/a",MIN(MAX(Q209-'Layer Comparison'!Excess_Latest,0),'Layer Comparison'!Limit_Latest)))</f>
        <v/>
      </c>
      <c r="V209" s="87" t="str">
        <f t="shared" si="412"/>
        <v/>
      </c>
      <c r="W209" s="88" t="str">
        <f t="shared" si="413"/>
        <v/>
      </c>
      <c r="X209" s="87" t="s">
        <v>50</v>
      </c>
      <c r="Y209" s="87" t="s">
        <v>50</v>
      </c>
      <c r="Z209" s="87" t="str">
        <f t="shared" si="414"/>
        <v/>
      </c>
      <c r="AA209" s="88" t="str">
        <f t="shared" si="415"/>
        <v/>
      </c>
      <c r="AB209" s="87" t="str">
        <f>IF(Dyn_Insured="","",IF(ISNUMBER(X209)=FALSE,"n/a",MIN(MAX(X209-'Layer Comparison'!Excess_Past,0),'Layer Comparison'!Limit_Past)))</f>
        <v/>
      </c>
      <c r="AC209" s="87" t="str">
        <f>IF(Dyn_Insured="","",IF(ISNUMBER(Y209)=FALSE,"n/a",MIN(MAX(Y209-'Layer Comparison'!Excess_Latest,0),'Layer Comparison'!Limit_Latest)))</f>
        <v/>
      </c>
      <c r="AD209" s="87" t="str">
        <f t="shared" si="416"/>
        <v/>
      </c>
      <c r="AE209" s="88" t="str">
        <f t="shared" si="417"/>
        <v/>
      </c>
      <c r="AF209" s="87" t="s">
        <v>50</v>
      </c>
      <c r="AG209" s="87" t="s">
        <v>50</v>
      </c>
      <c r="AH209" s="87" t="str">
        <f t="shared" si="418"/>
        <v/>
      </c>
      <c r="AI209" s="88" t="str">
        <f t="shared" si="419"/>
        <v/>
      </c>
      <c r="AJ209" s="87" t="str">
        <f>IF(Dyn_Insured="","",IF(ISNUMBER(AF209)=FALSE,"n/a",MIN(MAX(AF209-'Layer Comparison'!Excess_Past,0),'Layer Comparison'!Limit_Past)))</f>
        <v/>
      </c>
      <c r="AK209" s="87" t="str">
        <f>IF(Dyn_Insured="","",IF(ISNUMBER(AG209)=FALSE,"n/a",MIN(MAX(AG209-'Layer Comparison'!Excess_Latest,0),'Layer Comparison'!Limit_Latest)))</f>
        <v/>
      </c>
      <c r="AL209" s="87" t="str">
        <f t="shared" si="420"/>
        <v/>
      </c>
      <c r="AM209" s="88" t="str">
        <f t="shared" si="421"/>
        <v/>
      </c>
      <c r="AN209" s="87" t="s">
        <v>50</v>
      </c>
      <c r="AO209" s="87" t="s">
        <v>50</v>
      </c>
      <c r="AP209" s="87" t="str">
        <f t="shared" si="422"/>
        <v/>
      </c>
      <c r="AQ209" s="88" t="str">
        <f t="shared" si="423"/>
        <v/>
      </c>
      <c r="AR209" s="87" t="str">
        <f>IF(Dyn_Insured="","",IF(ISNUMBER(AN209)=FALSE,"n/a",MIN(MAX(AN209-'Layer Comparison'!Excess_Past,0),'Layer Comparison'!Limit_Past)))</f>
        <v/>
      </c>
      <c r="AS209" s="87" t="str">
        <f>IF(Dyn_Insured="","",IF(ISNUMBER(AO209)=FALSE,"n/a",MIN(MAX(AO209-'Layer Comparison'!Excess_Latest,0),'Layer Comparison'!Limit_Latest)))</f>
        <v/>
      </c>
      <c r="AT209" s="87" t="str">
        <f t="shared" si="424"/>
        <v/>
      </c>
      <c r="AU209" s="88" t="str">
        <f t="shared" si="425"/>
        <v/>
      </c>
      <c r="AV209" s="87" t="s">
        <v>50</v>
      </c>
      <c r="AW209" s="87" t="s">
        <v>50</v>
      </c>
      <c r="AX209" s="87" t="str">
        <f t="shared" si="426"/>
        <v/>
      </c>
      <c r="AY209" s="88" t="str">
        <f t="shared" si="427"/>
        <v/>
      </c>
      <c r="AZ209" s="87" t="str">
        <f>IF(Dyn_Insured="","",IF(ISNUMBER(AV209)=FALSE,"n/a",MIN(MAX(AV209-'Layer Comparison'!Excess_Past,0),'Layer Comparison'!Limit_Past)))</f>
        <v/>
      </c>
      <c r="BA209" s="87" t="str">
        <f>IF(Dyn_Insured="","",IF(ISNUMBER(AW209)=FALSE,"n/a",MIN(MAX(AW209-'Layer Comparison'!Excess_Latest,0),'Layer Comparison'!Limit_Latest)))</f>
        <v/>
      </c>
      <c r="BB209" s="87" t="str">
        <f t="shared" si="428"/>
        <v/>
      </c>
      <c r="BC209" s="88" t="str">
        <f t="shared" si="429"/>
        <v/>
      </c>
      <c r="BD209" s="87" t="s">
        <v>50</v>
      </c>
      <c r="BE209" s="87" t="s">
        <v>50</v>
      </c>
      <c r="BF209" s="87" t="str">
        <f t="shared" si="430"/>
        <v/>
      </c>
      <c r="BG209" s="88" t="str">
        <f t="shared" si="431"/>
        <v/>
      </c>
      <c r="BH209" s="87" t="str">
        <f>IF(Dyn_Insured="","",IF(ISNUMBER(BD209)=FALSE,"n/a",MIN(MAX(BD209-'Layer Comparison'!Excess_Past,0),'Layer Comparison'!Limit_Past)))</f>
        <v/>
      </c>
      <c r="BI209" s="87" t="str">
        <f>IF(Dyn_Insured="","",IF(ISNUMBER(BE209)=FALSE,"n/a",MIN(MAX(BE209-'Layer Comparison'!Excess_Latest,0),'Layer Comparison'!Limit_Latest)))</f>
        <v/>
      </c>
      <c r="BJ209" s="87" t="str">
        <f t="shared" si="432"/>
        <v/>
      </c>
      <c r="BK209" s="88" t="str">
        <f t="shared" si="433"/>
        <v/>
      </c>
      <c r="BL209" s="87" t="s">
        <v>50</v>
      </c>
      <c r="BM209" s="87" t="s">
        <v>50</v>
      </c>
      <c r="BN209" s="87" t="str">
        <f t="shared" si="434"/>
        <v/>
      </c>
      <c r="BO209" s="88" t="str">
        <f t="shared" si="435"/>
        <v/>
      </c>
      <c r="BP209" s="87" t="str">
        <f>IF(Dyn_Insured="","",IF(ISNUMBER(BL209)=FALSE,"n/a",MIN(MAX(BL209-'Layer Comparison'!Excess_Past,0),'Layer Comparison'!Limit_Past)))</f>
        <v/>
      </c>
      <c r="BQ209" s="87" t="str">
        <f>IF(Dyn_Insured="","",IF(ISNUMBER(BM209)=FALSE,"n/a",MIN(MAX(BM209-'Layer Comparison'!Excess_Latest,0),'Layer Comparison'!Limit_Latest)))</f>
        <v/>
      </c>
      <c r="BR209" s="87" t="str">
        <f t="shared" si="436"/>
        <v/>
      </c>
      <c r="BS209" s="88" t="str">
        <f t="shared" si="437"/>
        <v/>
      </c>
      <c r="BT209" s="46" t="s">
        <v>13</v>
      </c>
    </row>
    <row r="210" spans="1:72" hidden="1" outlineLevel="1" x14ac:dyDescent="0.25">
      <c r="A210" s="89" t="s">
        <v>54</v>
      </c>
      <c r="B210" s="89">
        <f t="shared" si="403"/>
        <v>0</v>
      </c>
      <c r="C210" s="89">
        <f t="shared" si="404"/>
        <v>0</v>
      </c>
      <c r="D210" s="90">
        <f t="shared" si="438"/>
        <v>0</v>
      </c>
      <c r="E210" s="90">
        <f t="shared" si="438"/>
        <v>0</v>
      </c>
      <c r="F210" s="48" t="s">
        <v>50</v>
      </c>
      <c r="G210" s="38" t="s">
        <v>50</v>
      </c>
      <c r="H210" s="87" t="s">
        <v>50</v>
      </c>
      <c r="I210" s="87" t="s">
        <v>50</v>
      </c>
      <c r="J210" s="87" t="str">
        <f t="shared" si="406"/>
        <v/>
      </c>
      <c r="K210" s="88" t="str">
        <f t="shared" si="407"/>
        <v/>
      </c>
      <c r="L210" s="87" t="str">
        <f>IF(Dyn_Insured="","",IF(ISNUMBER(H210)=FALSE,"n/a",MIN(MAX(H210-'Layer Comparison'!Excess_Past,0),'Layer Comparison'!Limit_Past)))</f>
        <v/>
      </c>
      <c r="M210" s="87" t="str">
        <f>IF(Dyn_Insured="","",IF(ISNUMBER(I210)=FALSE,"n/a",MIN(MAX(I210-'Layer Comparison'!Excess_Latest,0),'Layer Comparison'!Limit_Latest)))</f>
        <v/>
      </c>
      <c r="N210" s="87" t="str">
        <f t="shared" si="408"/>
        <v/>
      </c>
      <c r="O210" s="88" t="str">
        <f t="shared" si="409"/>
        <v/>
      </c>
      <c r="P210" s="87" t="s">
        <v>50</v>
      </c>
      <c r="Q210" s="87" t="s">
        <v>50</v>
      </c>
      <c r="R210" s="87" t="str">
        <f t="shared" si="410"/>
        <v/>
      </c>
      <c r="S210" s="88" t="str">
        <f t="shared" si="411"/>
        <v/>
      </c>
      <c r="T210" s="87" t="str">
        <f>IF(Dyn_Insured="","",IF(ISNUMBER(P210)=FALSE,"n/a",MIN(MAX(P210-'Layer Comparison'!Excess_Past,0),'Layer Comparison'!Limit_Past)))</f>
        <v/>
      </c>
      <c r="U210" s="87" t="str">
        <f>IF(Dyn_Insured="","",IF(ISNUMBER(Q210)=FALSE,"n/a",MIN(MAX(Q210-'Layer Comparison'!Excess_Latest,0),'Layer Comparison'!Limit_Latest)))</f>
        <v/>
      </c>
      <c r="V210" s="87" t="str">
        <f t="shared" si="412"/>
        <v/>
      </c>
      <c r="W210" s="88" t="str">
        <f t="shared" si="413"/>
        <v/>
      </c>
      <c r="X210" s="87" t="s">
        <v>50</v>
      </c>
      <c r="Y210" s="87" t="s">
        <v>50</v>
      </c>
      <c r="Z210" s="87" t="str">
        <f t="shared" si="414"/>
        <v/>
      </c>
      <c r="AA210" s="88" t="str">
        <f t="shared" si="415"/>
        <v/>
      </c>
      <c r="AB210" s="87" t="str">
        <f>IF(Dyn_Insured="","",IF(ISNUMBER(X210)=FALSE,"n/a",MIN(MAX(X210-'Layer Comparison'!Excess_Past,0),'Layer Comparison'!Limit_Past)))</f>
        <v/>
      </c>
      <c r="AC210" s="87" t="str">
        <f>IF(Dyn_Insured="","",IF(ISNUMBER(Y210)=FALSE,"n/a",MIN(MAX(Y210-'Layer Comparison'!Excess_Latest,0),'Layer Comparison'!Limit_Latest)))</f>
        <v/>
      </c>
      <c r="AD210" s="87" t="str">
        <f t="shared" si="416"/>
        <v/>
      </c>
      <c r="AE210" s="88" t="str">
        <f t="shared" si="417"/>
        <v/>
      </c>
      <c r="AF210" s="87" t="s">
        <v>50</v>
      </c>
      <c r="AG210" s="87" t="s">
        <v>50</v>
      </c>
      <c r="AH210" s="87" t="str">
        <f t="shared" si="418"/>
        <v/>
      </c>
      <c r="AI210" s="88" t="str">
        <f t="shared" si="419"/>
        <v/>
      </c>
      <c r="AJ210" s="87" t="str">
        <f>IF(Dyn_Insured="","",IF(ISNUMBER(AF210)=FALSE,"n/a",MIN(MAX(AF210-'Layer Comparison'!Excess_Past,0),'Layer Comparison'!Limit_Past)))</f>
        <v/>
      </c>
      <c r="AK210" s="87" t="str">
        <f>IF(Dyn_Insured="","",IF(ISNUMBER(AG210)=FALSE,"n/a",MIN(MAX(AG210-'Layer Comparison'!Excess_Latest,0),'Layer Comparison'!Limit_Latest)))</f>
        <v/>
      </c>
      <c r="AL210" s="87" t="str">
        <f t="shared" si="420"/>
        <v/>
      </c>
      <c r="AM210" s="88" t="str">
        <f t="shared" si="421"/>
        <v/>
      </c>
      <c r="AN210" s="87" t="s">
        <v>50</v>
      </c>
      <c r="AO210" s="87" t="s">
        <v>50</v>
      </c>
      <c r="AP210" s="87" t="str">
        <f t="shared" si="422"/>
        <v/>
      </c>
      <c r="AQ210" s="88" t="str">
        <f t="shared" si="423"/>
        <v/>
      </c>
      <c r="AR210" s="87" t="str">
        <f>IF(Dyn_Insured="","",IF(ISNUMBER(AN210)=FALSE,"n/a",MIN(MAX(AN210-'Layer Comparison'!Excess_Past,0),'Layer Comparison'!Limit_Past)))</f>
        <v/>
      </c>
      <c r="AS210" s="87" t="str">
        <f>IF(Dyn_Insured="","",IF(ISNUMBER(AO210)=FALSE,"n/a",MIN(MAX(AO210-'Layer Comparison'!Excess_Latest,0),'Layer Comparison'!Limit_Latest)))</f>
        <v/>
      </c>
      <c r="AT210" s="87" t="str">
        <f t="shared" si="424"/>
        <v/>
      </c>
      <c r="AU210" s="88" t="str">
        <f t="shared" si="425"/>
        <v/>
      </c>
      <c r="AV210" s="87" t="s">
        <v>50</v>
      </c>
      <c r="AW210" s="87" t="s">
        <v>50</v>
      </c>
      <c r="AX210" s="87" t="str">
        <f t="shared" si="426"/>
        <v/>
      </c>
      <c r="AY210" s="88" t="str">
        <f t="shared" si="427"/>
        <v/>
      </c>
      <c r="AZ210" s="87" t="str">
        <f>IF(Dyn_Insured="","",IF(ISNUMBER(AV210)=FALSE,"n/a",MIN(MAX(AV210-'Layer Comparison'!Excess_Past,0),'Layer Comparison'!Limit_Past)))</f>
        <v/>
      </c>
      <c r="BA210" s="87" t="str">
        <f>IF(Dyn_Insured="","",IF(ISNUMBER(AW210)=FALSE,"n/a",MIN(MAX(AW210-'Layer Comparison'!Excess_Latest,0),'Layer Comparison'!Limit_Latest)))</f>
        <v/>
      </c>
      <c r="BB210" s="87" t="str">
        <f t="shared" si="428"/>
        <v/>
      </c>
      <c r="BC210" s="88" t="str">
        <f t="shared" si="429"/>
        <v/>
      </c>
      <c r="BD210" s="87" t="s">
        <v>50</v>
      </c>
      <c r="BE210" s="87" t="s">
        <v>50</v>
      </c>
      <c r="BF210" s="87" t="str">
        <f t="shared" si="430"/>
        <v/>
      </c>
      <c r="BG210" s="88" t="str">
        <f t="shared" si="431"/>
        <v/>
      </c>
      <c r="BH210" s="87" t="str">
        <f>IF(Dyn_Insured="","",IF(ISNUMBER(BD210)=FALSE,"n/a",MIN(MAX(BD210-'Layer Comparison'!Excess_Past,0),'Layer Comparison'!Limit_Past)))</f>
        <v/>
      </c>
      <c r="BI210" s="87" t="str">
        <f>IF(Dyn_Insured="","",IF(ISNUMBER(BE210)=FALSE,"n/a",MIN(MAX(BE210-'Layer Comparison'!Excess_Latest,0),'Layer Comparison'!Limit_Latest)))</f>
        <v/>
      </c>
      <c r="BJ210" s="87" t="str">
        <f t="shared" si="432"/>
        <v/>
      </c>
      <c r="BK210" s="88" t="str">
        <f t="shared" si="433"/>
        <v/>
      </c>
      <c r="BL210" s="87" t="s">
        <v>50</v>
      </c>
      <c r="BM210" s="87" t="s">
        <v>50</v>
      </c>
      <c r="BN210" s="87" t="str">
        <f t="shared" si="434"/>
        <v/>
      </c>
      <c r="BO210" s="88" t="str">
        <f t="shared" si="435"/>
        <v/>
      </c>
      <c r="BP210" s="87" t="str">
        <f>IF(Dyn_Insured="","",IF(ISNUMBER(BL210)=FALSE,"n/a",MIN(MAX(BL210-'Layer Comparison'!Excess_Past,0),'Layer Comparison'!Limit_Past)))</f>
        <v/>
      </c>
      <c r="BQ210" s="87" t="str">
        <f>IF(Dyn_Insured="","",IF(ISNUMBER(BM210)=FALSE,"n/a",MIN(MAX(BM210-'Layer Comparison'!Excess_Latest,0),'Layer Comparison'!Limit_Latest)))</f>
        <v/>
      </c>
      <c r="BR210" s="87" t="str">
        <f t="shared" si="436"/>
        <v/>
      </c>
      <c r="BS210" s="88" t="str">
        <f t="shared" si="437"/>
        <v/>
      </c>
      <c r="BT210" s="46" t="s">
        <v>13</v>
      </c>
    </row>
    <row r="211" spans="1:72" hidden="1" outlineLevel="1" x14ac:dyDescent="0.25">
      <c r="A211" s="89" t="s">
        <v>54</v>
      </c>
      <c r="B211" s="89">
        <f t="shared" si="403"/>
        <v>0</v>
      </c>
      <c r="C211" s="89">
        <f t="shared" si="404"/>
        <v>0</v>
      </c>
      <c r="D211" s="90">
        <f t="shared" si="438"/>
        <v>0</v>
      </c>
      <c r="E211" s="90">
        <f t="shared" si="438"/>
        <v>0</v>
      </c>
      <c r="F211" s="48" t="s">
        <v>50</v>
      </c>
      <c r="G211" s="38" t="s">
        <v>50</v>
      </c>
      <c r="H211" s="87" t="s">
        <v>50</v>
      </c>
      <c r="I211" s="87" t="s">
        <v>50</v>
      </c>
      <c r="J211" s="87" t="str">
        <f t="shared" si="406"/>
        <v/>
      </c>
      <c r="K211" s="88" t="str">
        <f t="shared" si="407"/>
        <v/>
      </c>
      <c r="L211" s="87" t="str">
        <f>IF(Dyn_Insured="","",IF(ISNUMBER(H211)=FALSE,"n/a",MIN(MAX(H211-'Layer Comparison'!Excess_Past,0),'Layer Comparison'!Limit_Past)))</f>
        <v/>
      </c>
      <c r="M211" s="87" t="str">
        <f>IF(Dyn_Insured="","",IF(ISNUMBER(I211)=FALSE,"n/a",MIN(MAX(I211-'Layer Comparison'!Excess_Latest,0),'Layer Comparison'!Limit_Latest)))</f>
        <v/>
      </c>
      <c r="N211" s="87" t="str">
        <f t="shared" si="408"/>
        <v/>
      </c>
      <c r="O211" s="88" t="str">
        <f t="shared" si="409"/>
        <v/>
      </c>
      <c r="P211" s="87" t="s">
        <v>50</v>
      </c>
      <c r="Q211" s="87" t="s">
        <v>50</v>
      </c>
      <c r="R211" s="87" t="str">
        <f t="shared" si="410"/>
        <v/>
      </c>
      <c r="S211" s="88" t="str">
        <f t="shared" si="411"/>
        <v/>
      </c>
      <c r="T211" s="87" t="str">
        <f>IF(Dyn_Insured="","",IF(ISNUMBER(P211)=FALSE,"n/a",MIN(MAX(P211-'Layer Comparison'!Excess_Past,0),'Layer Comparison'!Limit_Past)))</f>
        <v/>
      </c>
      <c r="U211" s="87" t="str">
        <f>IF(Dyn_Insured="","",IF(ISNUMBER(Q211)=FALSE,"n/a",MIN(MAX(Q211-'Layer Comparison'!Excess_Latest,0),'Layer Comparison'!Limit_Latest)))</f>
        <v/>
      </c>
      <c r="V211" s="87" t="str">
        <f t="shared" si="412"/>
        <v/>
      </c>
      <c r="W211" s="88" t="str">
        <f t="shared" si="413"/>
        <v/>
      </c>
      <c r="X211" s="87" t="s">
        <v>50</v>
      </c>
      <c r="Y211" s="87" t="s">
        <v>50</v>
      </c>
      <c r="Z211" s="87" t="str">
        <f t="shared" si="414"/>
        <v/>
      </c>
      <c r="AA211" s="88" t="str">
        <f t="shared" si="415"/>
        <v/>
      </c>
      <c r="AB211" s="87" t="str">
        <f>IF(Dyn_Insured="","",IF(ISNUMBER(X211)=FALSE,"n/a",MIN(MAX(X211-'Layer Comparison'!Excess_Past,0),'Layer Comparison'!Limit_Past)))</f>
        <v/>
      </c>
      <c r="AC211" s="87" t="str">
        <f>IF(Dyn_Insured="","",IF(ISNUMBER(Y211)=FALSE,"n/a",MIN(MAX(Y211-'Layer Comparison'!Excess_Latest,0),'Layer Comparison'!Limit_Latest)))</f>
        <v/>
      </c>
      <c r="AD211" s="87" t="str">
        <f t="shared" si="416"/>
        <v/>
      </c>
      <c r="AE211" s="88" t="str">
        <f t="shared" si="417"/>
        <v/>
      </c>
      <c r="AF211" s="87" t="s">
        <v>50</v>
      </c>
      <c r="AG211" s="87" t="s">
        <v>50</v>
      </c>
      <c r="AH211" s="87" t="str">
        <f t="shared" si="418"/>
        <v/>
      </c>
      <c r="AI211" s="88" t="str">
        <f t="shared" si="419"/>
        <v/>
      </c>
      <c r="AJ211" s="87" t="str">
        <f>IF(Dyn_Insured="","",IF(ISNUMBER(AF211)=FALSE,"n/a",MIN(MAX(AF211-'Layer Comparison'!Excess_Past,0),'Layer Comparison'!Limit_Past)))</f>
        <v/>
      </c>
      <c r="AK211" s="87" t="str">
        <f>IF(Dyn_Insured="","",IF(ISNUMBER(AG211)=FALSE,"n/a",MIN(MAX(AG211-'Layer Comparison'!Excess_Latest,0),'Layer Comparison'!Limit_Latest)))</f>
        <v/>
      </c>
      <c r="AL211" s="87" t="str">
        <f t="shared" si="420"/>
        <v/>
      </c>
      <c r="AM211" s="88" t="str">
        <f t="shared" si="421"/>
        <v/>
      </c>
      <c r="AN211" s="87" t="s">
        <v>50</v>
      </c>
      <c r="AO211" s="87" t="s">
        <v>50</v>
      </c>
      <c r="AP211" s="87" t="str">
        <f t="shared" si="422"/>
        <v/>
      </c>
      <c r="AQ211" s="88" t="str">
        <f t="shared" si="423"/>
        <v/>
      </c>
      <c r="AR211" s="87" t="str">
        <f>IF(Dyn_Insured="","",IF(ISNUMBER(AN211)=FALSE,"n/a",MIN(MAX(AN211-'Layer Comparison'!Excess_Past,0),'Layer Comparison'!Limit_Past)))</f>
        <v/>
      </c>
      <c r="AS211" s="87" t="str">
        <f>IF(Dyn_Insured="","",IF(ISNUMBER(AO211)=FALSE,"n/a",MIN(MAX(AO211-'Layer Comparison'!Excess_Latest,0),'Layer Comparison'!Limit_Latest)))</f>
        <v/>
      </c>
      <c r="AT211" s="87" t="str">
        <f t="shared" si="424"/>
        <v/>
      </c>
      <c r="AU211" s="88" t="str">
        <f t="shared" si="425"/>
        <v/>
      </c>
      <c r="AV211" s="87" t="s">
        <v>50</v>
      </c>
      <c r="AW211" s="87" t="s">
        <v>50</v>
      </c>
      <c r="AX211" s="87" t="str">
        <f t="shared" si="426"/>
        <v/>
      </c>
      <c r="AY211" s="88" t="str">
        <f t="shared" si="427"/>
        <v/>
      </c>
      <c r="AZ211" s="87" t="str">
        <f>IF(Dyn_Insured="","",IF(ISNUMBER(AV211)=FALSE,"n/a",MIN(MAX(AV211-'Layer Comparison'!Excess_Past,0),'Layer Comparison'!Limit_Past)))</f>
        <v/>
      </c>
      <c r="BA211" s="87" t="str">
        <f>IF(Dyn_Insured="","",IF(ISNUMBER(AW211)=FALSE,"n/a",MIN(MAX(AW211-'Layer Comparison'!Excess_Latest,0),'Layer Comparison'!Limit_Latest)))</f>
        <v/>
      </c>
      <c r="BB211" s="87" t="str">
        <f t="shared" si="428"/>
        <v/>
      </c>
      <c r="BC211" s="88" t="str">
        <f t="shared" si="429"/>
        <v/>
      </c>
      <c r="BD211" s="87" t="s">
        <v>50</v>
      </c>
      <c r="BE211" s="87" t="s">
        <v>50</v>
      </c>
      <c r="BF211" s="87" t="str">
        <f t="shared" si="430"/>
        <v/>
      </c>
      <c r="BG211" s="88" t="str">
        <f t="shared" si="431"/>
        <v/>
      </c>
      <c r="BH211" s="87" t="str">
        <f>IF(Dyn_Insured="","",IF(ISNUMBER(BD211)=FALSE,"n/a",MIN(MAX(BD211-'Layer Comparison'!Excess_Past,0),'Layer Comparison'!Limit_Past)))</f>
        <v/>
      </c>
      <c r="BI211" s="87" t="str">
        <f>IF(Dyn_Insured="","",IF(ISNUMBER(BE211)=FALSE,"n/a",MIN(MAX(BE211-'Layer Comparison'!Excess_Latest,0),'Layer Comparison'!Limit_Latest)))</f>
        <v/>
      </c>
      <c r="BJ211" s="87" t="str">
        <f t="shared" si="432"/>
        <v/>
      </c>
      <c r="BK211" s="88" t="str">
        <f t="shared" si="433"/>
        <v/>
      </c>
      <c r="BL211" s="87" t="s">
        <v>50</v>
      </c>
      <c r="BM211" s="87" t="s">
        <v>50</v>
      </c>
      <c r="BN211" s="87" t="str">
        <f t="shared" si="434"/>
        <v/>
      </c>
      <c r="BO211" s="88" t="str">
        <f t="shared" si="435"/>
        <v/>
      </c>
      <c r="BP211" s="87" t="str">
        <f>IF(Dyn_Insured="","",IF(ISNUMBER(BL211)=FALSE,"n/a",MIN(MAX(BL211-'Layer Comparison'!Excess_Past,0),'Layer Comparison'!Limit_Past)))</f>
        <v/>
      </c>
      <c r="BQ211" s="87" t="str">
        <f>IF(Dyn_Insured="","",IF(ISNUMBER(BM211)=FALSE,"n/a",MIN(MAX(BM211-'Layer Comparison'!Excess_Latest,0),'Layer Comparison'!Limit_Latest)))</f>
        <v/>
      </c>
      <c r="BR211" s="87" t="str">
        <f t="shared" si="436"/>
        <v/>
      </c>
      <c r="BS211" s="88" t="str">
        <f t="shared" si="437"/>
        <v/>
      </c>
      <c r="BT211" s="46" t="s">
        <v>13</v>
      </c>
    </row>
    <row r="212" spans="1:72" hidden="1" outlineLevel="1" x14ac:dyDescent="0.25">
      <c r="A212" s="89" t="s">
        <v>54</v>
      </c>
      <c r="B212" s="89">
        <f t="shared" si="403"/>
        <v>0</v>
      </c>
      <c r="C212" s="89">
        <f t="shared" si="404"/>
        <v>0</v>
      </c>
      <c r="D212" s="90">
        <f t="shared" si="438"/>
        <v>0</v>
      </c>
      <c r="E212" s="90">
        <f t="shared" si="438"/>
        <v>0</v>
      </c>
      <c r="F212" s="48" t="s">
        <v>50</v>
      </c>
      <c r="G212" s="38" t="s">
        <v>50</v>
      </c>
      <c r="H212" s="87" t="s">
        <v>50</v>
      </c>
      <c r="I212" s="87" t="s">
        <v>50</v>
      </c>
      <c r="J212" s="87" t="str">
        <f t="shared" si="406"/>
        <v/>
      </c>
      <c r="K212" s="88" t="str">
        <f t="shared" si="407"/>
        <v/>
      </c>
      <c r="L212" s="87" t="str">
        <f>IF(Dyn_Insured="","",IF(ISNUMBER(H212)=FALSE,"n/a",MIN(MAX(H212-'Layer Comparison'!Excess_Past,0),'Layer Comparison'!Limit_Past)))</f>
        <v/>
      </c>
      <c r="M212" s="87" t="str">
        <f>IF(Dyn_Insured="","",IF(ISNUMBER(I212)=FALSE,"n/a",MIN(MAX(I212-'Layer Comparison'!Excess_Latest,0),'Layer Comparison'!Limit_Latest)))</f>
        <v/>
      </c>
      <c r="N212" s="87" t="str">
        <f t="shared" si="408"/>
        <v/>
      </c>
      <c r="O212" s="88" t="str">
        <f t="shared" si="409"/>
        <v/>
      </c>
      <c r="P212" s="87" t="s">
        <v>50</v>
      </c>
      <c r="Q212" s="87" t="s">
        <v>50</v>
      </c>
      <c r="R212" s="87" t="str">
        <f t="shared" si="410"/>
        <v/>
      </c>
      <c r="S212" s="88" t="str">
        <f t="shared" si="411"/>
        <v/>
      </c>
      <c r="T212" s="87" t="str">
        <f>IF(Dyn_Insured="","",IF(ISNUMBER(P212)=FALSE,"n/a",MIN(MAX(P212-'Layer Comparison'!Excess_Past,0),'Layer Comparison'!Limit_Past)))</f>
        <v/>
      </c>
      <c r="U212" s="87" t="str">
        <f>IF(Dyn_Insured="","",IF(ISNUMBER(Q212)=FALSE,"n/a",MIN(MAX(Q212-'Layer Comparison'!Excess_Latest,0),'Layer Comparison'!Limit_Latest)))</f>
        <v/>
      </c>
      <c r="V212" s="87" t="str">
        <f t="shared" si="412"/>
        <v/>
      </c>
      <c r="W212" s="88" t="str">
        <f t="shared" si="413"/>
        <v/>
      </c>
      <c r="X212" s="87" t="s">
        <v>50</v>
      </c>
      <c r="Y212" s="87" t="s">
        <v>50</v>
      </c>
      <c r="Z212" s="87" t="str">
        <f t="shared" si="414"/>
        <v/>
      </c>
      <c r="AA212" s="88" t="str">
        <f t="shared" si="415"/>
        <v/>
      </c>
      <c r="AB212" s="87" t="str">
        <f>IF(Dyn_Insured="","",IF(ISNUMBER(X212)=FALSE,"n/a",MIN(MAX(X212-'Layer Comparison'!Excess_Past,0),'Layer Comparison'!Limit_Past)))</f>
        <v/>
      </c>
      <c r="AC212" s="87" t="str">
        <f>IF(Dyn_Insured="","",IF(ISNUMBER(Y212)=FALSE,"n/a",MIN(MAX(Y212-'Layer Comparison'!Excess_Latest,0),'Layer Comparison'!Limit_Latest)))</f>
        <v/>
      </c>
      <c r="AD212" s="87" t="str">
        <f t="shared" si="416"/>
        <v/>
      </c>
      <c r="AE212" s="88" t="str">
        <f t="shared" si="417"/>
        <v/>
      </c>
      <c r="AF212" s="87" t="s">
        <v>50</v>
      </c>
      <c r="AG212" s="87" t="s">
        <v>50</v>
      </c>
      <c r="AH212" s="87" t="str">
        <f t="shared" si="418"/>
        <v/>
      </c>
      <c r="AI212" s="88" t="str">
        <f t="shared" si="419"/>
        <v/>
      </c>
      <c r="AJ212" s="87" t="str">
        <f>IF(Dyn_Insured="","",IF(ISNUMBER(AF212)=FALSE,"n/a",MIN(MAX(AF212-'Layer Comparison'!Excess_Past,0),'Layer Comparison'!Limit_Past)))</f>
        <v/>
      </c>
      <c r="AK212" s="87" t="str">
        <f>IF(Dyn_Insured="","",IF(ISNUMBER(AG212)=FALSE,"n/a",MIN(MAX(AG212-'Layer Comparison'!Excess_Latest,0),'Layer Comparison'!Limit_Latest)))</f>
        <v/>
      </c>
      <c r="AL212" s="87" t="str">
        <f t="shared" si="420"/>
        <v/>
      </c>
      <c r="AM212" s="88" t="str">
        <f t="shared" si="421"/>
        <v/>
      </c>
      <c r="AN212" s="87" t="s">
        <v>50</v>
      </c>
      <c r="AO212" s="87" t="s">
        <v>50</v>
      </c>
      <c r="AP212" s="87" t="str">
        <f t="shared" si="422"/>
        <v/>
      </c>
      <c r="AQ212" s="88" t="str">
        <f t="shared" si="423"/>
        <v/>
      </c>
      <c r="AR212" s="87" t="str">
        <f>IF(Dyn_Insured="","",IF(ISNUMBER(AN212)=FALSE,"n/a",MIN(MAX(AN212-'Layer Comparison'!Excess_Past,0),'Layer Comparison'!Limit_Past)))</f>
        <v/>
      </c>
      <c r="AS212" s="87" t="str">
        <f>IF(Dyn_Insured="","",IF(ISNUMBER(AO212)=FALSE,"n/a",MIN(MAX(AO212-'Layer Comparison'!Excess_Latest,0),'Layer Comparison'!Limit_Latest)))</f>
        <v/>
      </c>
      <c r="AT212" s="87" t="str">
        <f t="shared" si="424"/>
        <v/>
      </c>
      <c r="AU212" s="88" t="str">
        <f t="shared" si="425"/>
        <v/>
      </c>
      <c r="AV212" s="87" t="s">
        <v>50</v>
      </c>
      <c r="AW212" s="87" t="s">
        <v>50</v>
      </c>
      <c r="AX212" s="87" t="str">
        <f t="shared" si="426"/>
        <v/>
      </c>
      <c r="AY212" s="88" t="str">
        <f t="shared" si="427"/>
        <v/>
      </c>
      <c r="AZ212" s="87" t="str">
        <f>IF(Dyn_Insured="","",IF(ISNUMBER(AV212)=FALSE,"n/a",MIN(MAX(AV212-'Layer Comparison'!Excess_Past,0),'Layer Comparison'!Limit_Past)))</f>
        <v/>
      </c>
      <c r="BA212" s="87" t="str">
        <f>IF(Dyn_Insured="","",IF(ISNUMBER(AW212)=FALSE,"n/a",MIN(MAX(AW212-'Layer Comparison'!Excess_Latest,0),'Layer Comparison'!Limit_Latest)))</f>
        <v/>
      </c>
      <c r="BB212" s="87" t="str">
        <f t="shared" si="428"/>
        <v/>
      </c>
      <c r="BC212" s="88" t="str">
        <f t="shared" si="429"/>
        <v/>
      </c>
      <c r="BD212" s="87" t="s">
        <v>50</v>
      </c>
      <c r="BE212" s="87" t="s">
        <v>50</v>
      </c>
      <c r="BF212" s="87" t="str">
        <f t="shared" si="430"/>
        <v/>
      </c>
      <c r="BG212" s="88" t="str">
        <f t="shared" si="431"/>
        <v/>
      </c>
      <c r="BH212" s="87" t="str">
        <f>IF(Dyn_Insured="","",IF(ISNUMBER(BD212)=FALSE,"n/a",MIN(MAX(BD212-'Layer Comparison'!Excess_Past,0),'Layer Comparison'!Limit_Past)))</f>
        <v/>
      </c>
      <c r="BI212" s="87" t="str">
        <f>IF(Dyn_Insured="","",IF(ISNUMBER(BE212)=FALSE,"n/a",MIN(MAX(BE212-'Layer Comparison'!Excess_Latest,0),'Layer Comparison'!Limit_Latest)))</f>
        <v/>
      </c>
      <c r="BJ212" s="87" t="str">
        <f t="shared" si="432"/>
        <v/>
      </c>
      <c r="BK212" s="88" t="str">
        <f t="shared" si="433"/>
        <v/>
      </c>
      <c r="BL212" s="87" t="s">
        <v>50</v>
      </c>
      <c r="BM212" s="87" t="s">
        <v>50</v>
      </c>
      <c r="BN212" s="87" t="str">
        <f t="shared" si="434"/>
        <v/>
      </c>
      <c r="BO212" s="88" t="str">
        <f t="shared" si="435"/>
        <v/>
      </c>
      <c r="BP212" s="87" t="str">
        <f>IF(Dyn_Insured="","",IF(ISNUMBER(BL212)=FALSE,"n/a",MIN(MAX(BL212-'Layer Comparison'!Excess_Past,0),'Layer Comparison'!Limit_Past)))</f>
        <v/>
      </c>
      <c r="BQ212" s="87" t="str">
        <f>IF(Dyn_Insured="","",IF(ISNUMBER(BM212)=FALSE,"n/a",MIN(MAX(BM212-'Layer Comparison'!Excess_Latest,0),'Layer Comparison'!Limit_Latest)))</f>
        <v/>
      </c>
      <c r="BR212" s="87" t="str">
        <f t="shared" si="436"/>
        <v/>
      </c>
      <c r="BS212" s="88" t="str">
        <f t="shared" si="437"/>
        <v/>
      </c>
      <c r="BT212" s="46" t="s">
        <v>13</v>
      </c>
    </row>
    <row r="213" spans="1:72" hidden="1" outlineLevel="1" x14ac:dyDescent="0.25">
      <c r="A213" s="89" t="s">
        <v>54</v>
      </c>
      <c r="B213" s="89">
        <f t="shared" si="403"/>
        <v>0</v>
      </c>
      <c r="C213" s="89">
        <f t="shared" si="404"/>
        <v>0</v>
      </c>
      <c r="D213" s="90">
        <f t="shared" si="438"/>
        <v>0</v>
      </c>
      <c r="E213" s="90">
        <f t="shared" si="438"/>
        <v>0</v>
      </c>
      <c r="F213" s="48" t="s">
        <v>50</v>
      </c>
      <c r="G213" s="38" t="s">
        <v>50</v>
      </c>
      <c r="H213" s="87" t="s">
        <v>50</v>
      </c>
      <c r="I213" s="87" t="s">
        <v>50</v>
      </c>
      <c r="J213" s="87" t="str">
        <f t="shared" si="406"/>
        <v/>
      </c>
      <c r="K213" s="88" t="str">
        <f t="shared" si="407"/>
        <v/>
      </c>
      <c r="L213" s="87" t="str">
        <f>IF(Dyn_Insured="","",IF(ISNUMBER(H213)=FALSE,"n/a",MIN(MAX(H213-'Layer Comparison'!Excess_Past,0),'Layer Comparison'!Limit_Past)))</f>
        <v/>
      </c>
      <c r="M213" s="87" t="str">
        <f>IF(Dyn_Insured="","",IF(ISNUMBER(I213)=FALSE,"n/a",MIN(MAX(I213-'Layer Comparison'!Excess_Latest,0),'Layer Comparison'!Limit_Latest)))</f>
        <v/>
      </c>
      <c r="N213" s="87" t="str">
        <f t="shared" si="408"/>
        <v/>
      </c>
      <c r="O213" s="88" t="str">
        <f t="shared" si="409"/>
        <v/>
      </c>
      <c r="P213" s="87" t="s">
        <v>50</v>
      </c>
      <c r="Q213" s="87" t="s">
        <v>50</v>
      </c>
      <c r="R213" s="87" t="str">
        <f t="shared" si="410"/>
        <v/>
      </c>
      <c r="S213" s="88" t="str">
        <f t="shared" si="411"/>
        <v/>
      </c>
      <c r="T213" s="87" t="str">
        <f>IF(Dyn_Insured="","",IF(ISNUMBER(P213)=FALSE,"n/a",MIN(MAX(P213-'Layer Comparison'!Excess_Past,0),'Layer Comparison'!Limit_Past)))</f>
        <v/>
      </c>
      <c r="U213" s="87" t="str">
        <f>IF(Dyn_Insured="","",IF(ISNUMBER(Q213)=FALSE,"n/a",MIN(MAX(Q213-'Layer Comparison'!Excess_Latest,0),'Layer Comparison'!Limit_Latest)))</f>
        <v/>
      </c>
      <c r="V213" s="87" t="str">
        <f t="shared" si="412"/>
        <v/>
      </c>
      <c r="W213" s="88" t="str">
        <f t="shared" si="413"/>
        <v/>
      </c>
      <c r="X213" s="87" t="s">
        <v>50</v>
      </c>
      <c r="Y213" s="87" t="s">
        <v>50</v>
      </c>
      <c r="Z213" s="87" t="str">
        <f t="shared" si="414"/>
        <v/>
      </c>
      <c r="AA213" s="88" t="str">
        <f t="shared" si="415"/>
        <v/>
      </c>
      <c r="AB213" s="87" t="str">
        <f>IF(Dyn_Insured="","",IF(ISNUMBER(X213)=FALSE,"n/a",MIN(MAX(X213-'Layer Comparison'!Excess_Past,0),'Layer Comparison'!Limit_Past)))</f>
        <v/>
      </c>
      <c r="AC213" s="87" t="str">
        <f>IF(Dyn_Insured="","",IF(ISNUMBER(Y213)=FALSE,"n/a",MIN(MAX(Y213-'Layer Comparison'!Excess_Latest,0),'Layer Comparison'!Limit_Latest)))</f>
        <v/>
      </c>
      <c r="AD213" s="87" t="str">
        <f t="shared" si="416"/>
        <v/>
      </c>
      <c r="AE213" s="88" t="str">
        <f t="shared" si="417"/>
        <v/>
      </c>
      <c r="AF213" s="87" t="s">
        <v>50</v>
      </c>
      <c r="AG213" s="87" t="s">
        <v>50</v>
      </c>
      <c r="AH213" s="87" t="str">
        <f t="shared" si="418"/>
        <v/>
      </c>
      <c r="AI213" s="88" t="str">
        <f t="shared" si="419"/>
        <v/>
      </c>
      <c r="AJ213" s="87" t="str">
        <f>IF(Dyn_Insured="","",IF(ISNUMBER(AF213)=FALSE,"n/a",MIN(MAX(AF213-'Layer Comparison'!Excess_Past,0),'Layer Comparison'!Limit_Past)))</f>
        <v/>
      </c>
      <c r="AK213" s="87" t="str">
        <f>IF(Dyn_Insured="","",IF(ISNUMBER(AG213)=FALSE,"n/a",MIN(MAX(AG213-'Layer Comparison'!Excess_Latest,0),'Layer Comparison'!Limit_Latest)))</f>
        <v/>
      </c>
      <c r="AL213" s="87" t="str">
        <f t="shared" si="420"/>
        <v/>
      </c>
      <c r="AM213" s="88" t="str">
        <f t="shared" si="421"/>
        <v/>
      </c>
      <c r="AN213" s="87" t="s">
        <v>50</v>
      </c>
      <c r="AO213" s="87" t="s">
        <v>50</v>
      </c>
      <c r="AP213" s="87" t="str">
        <f t="shared" si="422"/>
        <v/>
      </c>
      <c r="AQ213" s="88" t="str">
        <f t="shared" si="423"/>
        <v/>
      </c>
      <c r="AR213" s="87" t="str">
        <f>IF(Dyn_Insured="","",IF(ISNUMBER(AN213)=FALSE,"n/a",MIN(MAX(AN213-'Layer Comparison'!Excess_Past,0),'Layer Comparison'!Limit_Past)))</f>
        <v/>
      </c>
      <c r="AS213" s="87" t="str">
        <f>IF(Dyn_Insured="","",IF(ISNUMBER(AO213)=FALSE,"n/a",MIN(MAX(AO213-'Layer Comparison'!Excess_Latest,0),'Layer Comparison'!Limit_Latest)))</f>
        <v/>
      </c>
      <c r="AT213" s="87" t="str">
        <f t="shared" si="424"/>
        <v/>
      </c>
      <c r="AU213" s="88" t="str">
        <f t="shared" si="425"/>
        <v/>
      </c>
      <c r="AV213" s="87" t="s">
        <v>50</v>
      </c>
      <c r="AW213" s="87" t="s">
        <v>50</v>
      </c>
      <c r="AX213" s="87" t="str">
        <f t="shared" si="426"/>
        <v/>
      </c>
      <c r="AY213" s="88" t="str">
        <f t="shared" si="427"/>
        <v/>
      </c>
      <c r="AZ213" s="87" t="str">
        <f>IF(Dyn_Insured="","",IF(ISNUMBER(AV213)=FALSE,"n/a",MIN(MAX(AV213-'Layer Comparison'!Excess_Past,0),'Layer Comparison'!Limit_Past)))</f>
        <v/>
      </c>
      <c r="BA213" s="87" t="str">
        <f>IF(Dyn_Insured="","",IF(ISNUMBER(AW213)=FALSE,"n/a",MIN(MAX(AW213-'Layer Comparison'!Excess_Latest,0),'Layer Comparison'!Limit_Latest)))</f>
        <v/>
      </c>
      <c r="BB213" s="87" t="str">
        <f t="shared" si="428"/>
        <v/>
      </c>
      <c r="BC213" s="88" t="str">
        <f t="shared" si="429"/>
        <v/>
      </c>
      <c r="BD213" s="87" t="s">
        <v>50</v>
      </c>
      <c r="BE213" s="87" t="s">
        <v>50</v>
      </c>
      <c r="BF213" s="87" t="str">
        <f t="shared" si="430"/>
        <v/>
      </c>
      <c r="BG213" s="88" t="str">
        <f t="shared" si="431"/>
        <v/>
      </c>
      <c r="BH213" s="87" t="str">
        <f>IF(Dyn_Insured="","",IF(ISNUMBER(BD213)=FALSE,"n/a",MIN(MAX(BD213-'Layer Comparison'!Excess_Past,0),'Layer Comparison'!Limit_Past)))</f>
        <v/>
      </c>
      <c r="BI213" s="87" t="str">
        <f>IF(Dyn_Insured="","",IF(ISNUMBER(BE213)=FALSE,"n/a",MIN(MAX(BE213-'Layer Comparison'!Excess_Latest,0),'Layer Comparison'!Limit_Latest)))</f>
        <v/>
      </c>
      <c r="BJ213" s="87" t="str">
        <f t="shared" si="432"/>
        <v/>
      </c>
      <c r="BK213" s="88" t="str">
        <f t="shared" si="433"/>
        <v/>
      </c>
      <c r="BL213" s="87" t="s">
        <v>50</v>
      </c>
      <c r="BM213" s="87" t="s">
        <v>50</v>
      </c>
      <c r="BN213" s="87" t="str">
        <f t="shared" si="434"/>
        <v/>
      </c>
      <c r="BO213" s="88" t="str">
        <f t="shared" si="435"/>
        <v/>
      </c>
      <c r="BP213" s="87" t="str">
        <f>IF(Dyn_Insured="","",IF(ISNUMBER(BL213)=FALSE,"n/a",MIN(MAX(BL213-'Layer Comparison'!Excess_Past,0),'Layer Comparison'!Limit_Past)))</f>
        <v/>
      </c>
      <c r="BQ213" s="87" t="str">
        <f>IF(Dyn_Insured="","",IF(ISNUMBER(BM213)=FALSE,"n/a",MIN(MAX(BM213-'Layer Comparison'!Excess_Latest,0),'Layer Comparison'!Limit_Latest)))</f>
        <v/>
      </c>
      <c r="BR213" s="87" t="str">
        <f t="shared" si="436"/>
        <v/>
      </c>
      <c r="BS213" s="88" t="str">
        <f t="shared" si="437"/>
        <v/>
      </c>
      <c r="BT213" s="46" t="s">
        <v>13</v>
      </c>
    </row>
    <row r="214" spans="1:72" hidden="1" outlineLevel="1" x14ac:dyDescent="0.25">
      <c r="A214" s="89" t="s">
        <v>54</v>
      </c>
      <c r="B214" s="89">
        <f t="shared" si="403"/>
        <v>0</v>
      </c>
      <c r="C214" s="89">
        <f t="shared" si="404"/>
        <v>0</v>
      </c>
      <c r="D214" s="90">
        <f t="shared" si="438"/>
        <v>0</v>
      </c>
      <c r="E214" s="90">
        <f t="shared" si="438"/>
        <v>0</v>
      </c>
      <c r="F214" s="48" t="s">
        <v>50</v>
      </c>
      <c r="G214" s="38" t="s">
        <v>50</v>
      </c>
      <c r="H214" s="87" t="s">
        <v>50</v>
      </c>
      <c r="I214" s="87" t="s">
        <v>50</v>
      </c>
      <c r="J214" s="87" t="str">
        <f t="shared" si="406"/>
        <v/>
      </c>
      <c r="K214" s="88" t="str">
        <f t="shared" si="407"/>
        <v/>
      </c>
      <c r="L214" s="87" t="str">
        <f>IF(Dyn_Insured="","",IF(ISNUMBER(H214)=FALSE,"n/a",MIN(MAX(H214-'Layer Comparison'!Excess_Past,0),'Layer Comparison'!Limit_Past)))</f>
        <v/>
      </c>
      <c r="M214" s="87" t="str">
        <f>IF(Dyn_Insured="","",IF(ISNUMBER(I214)=FALSE,"n/a",MIN(MAX(I214-'Layer Comparison'!Excess_Latest,0),'Layer Comparison'!Limit_Latest)))</f>
        <v/>
      </c>
      <c r="N214" s="87" t="str">
        <f t="shared" si="408"/>
        <v/>
      </c>
      <c r="O214" s="88" t="str">
        <f t="shared" si="409"/>
        <v/>
      </c>
      <c r="P214" s="87" t="s">
        <v>50</v>
      </c>
      <c r="Q214" s="87" t="s">
        <v>50</v>
      </c>
      <c r="R214" s="87" t="str">
        <f t="shared" si="410"/>
        <v/>
      </c>
      <c r="S214" s="88" t="str">
        <f t="shared" si="411"/>
        <v/>
      </c>
      <c r="T214" s="87" t="str">
        <f>IF(Dyn_Insured="","",IF(ISNUMBER(P214)=FALSE,"n/a",MIN(MAX(P214-'Layer Comparison'!Excess_Past,0),'Layer Comparison'!Limit_Past)))</f>
        <v/>
      </c>
      <c r="U214" s="87" t="str">
        <f>IF(Dyn_Insured="","",IF(ISNUMBER(Q214)=FALSE,"n/a",MIN(MAX(Q214-'Layer Comparison'!Excess_Latest,0),'Layer Comparison'!Limit_Latest)))</f>
        <v/>
      </c>
      <c r="V214" s="87" t="str">
        <f t="shared" si="412"/>
        <v/>
      </c>
      <c r="W214" s="88" t="str">
        <f t="shared" si="413"/>
        <v/>
      </c>
      <c r="X214" s="87" t="s">
        <v>50</v>
      </c>
      <c r="Y214" s="87" t="s">
        <v>50</v>
      </c>
      <c r="Z214" s="87" t="str">
        <f t="shared" si="414"/>
        <v/>
      </c>
      <c r="AA214" s="88" t="str">
        <f t="shared" si="415"/>
        <v/>
      </c>
      <c r="AB214" s="87" t="str">
        <f>IF(Dyn_Insured="","",IF(ISNUMBER(X214)=FALSE,"n/a",MIN(MAX(X214-'Layer Comparison'!Excess_Past,0),'Layer Comparison'!Limit_Past)))</f>
        <v/>
      </c>
      <c r="AC214" s="87" t="str">
        <f>IF(Dyn_Insured="","",IF(ISNUMBER(Y214)=FALSE,"n/a",MIN(MAX(Y214-'Layer Comparison'!Excess_Latest,0),'Layer Comparison'!Limit_Latest)))</f>
        <v/>
      </c>
      <c r="AD214" s="87" t="str">
        <f t="shared" si="416"/>
        <v/>
      </c>
      <c r="AE214" s="88" t="str">
        <f t="shared" si="417"/>
        <v/>
      </c>
      <c r="AF214" s="87" t="s">
        <v>50</v>
      </c>
      <c r="AG214" s="87" t="s">
        <v>50</v>
      </c>
      <c r="AH214" s="87" t="str">
        <f t="shared" si="418"/>
        <v/>
      </c>
      <c r="AI214" s="88" t="str">
        <f t="shared" si="419"/>
        <v/>
      </c>
      <c r="AJ214" s="87" t="str">
        <f>IF(Dyn_Insured="","",IF(ISNUMBER(AF214)=FALSE,"n/a",MIN(MAX(AF214-'Layer Comparison'!Excess_Past,0),'Layer Comparison'!Limit_Past)))</f>
        <v/>
      </c>
      <c r="AK214" s="87" t="str">
        <f>IF(Dyn_Insured="","",IF(ISNUMBER(AG214)=FALSE,"n/a",MIN(MAX(AG214-'Layer Comparison'!Excess_Latest,0),'Layer Comparison'!Limit_Latest)))</f>
        <v/>
      </c>
      <c r="AL214" s="87" t="str">
        <f t="shared" si="420"/>
        <v/>
      </c>
      <c r="AM214" s="88" t="str">
        <f t="shared" si="421"/>
        <v/>
      </c>
      <c r="AN214" s="87" t="s">
        <v>50</v>
      </c>
      <c r="AO214" s="87" t="s">
        <v>50</v>
      </c>
      <c r="AP214" s="87" t="str">
        <f t="shared" si="422"/>
        <v/>
      </c>
      <c r="AQ214" s="88" t="str">
        <f t="shared" si="423"/>
        <v/>
      </c>
      <c r="AR214" s="87" t="str">
        <f>IF(Dyn_Insured="","",IF(ISNUMBER(AN214)=FALSE,"n/a",MIN(MAX(AN214-'Layer Comparison'!Excess_Past,0),'Layer Comparison'!Limit_Past)))</f>
        <v/>
      </c>
      <c r="AS214" s="87" t="str">
        <f>IF(Dyn_Insured="","",IF(ISNUMBER(AO214)=FALSE,"n/a",MIN(MAX(AO214-'Layer Comparison'!Excess_Latest,0),'Layer Comparison'!Limit_Latest)))</f>
        <v/>
      </c>
      <c r="AT214" s="87" t="str">
        <f t="shared" si="424"/>
        <v/>
      </c>
      <c r="AU214" s="88" t="str">
        <f t="shared" si="425"/>
        <v/>
      </c>
      <c r="AV214" s="87" t="s">
        <v>50</v>
      </c>
      <c r="AW214" s="87" t="s">
        <v>50</v>
      </c>
      <c r="AX214" s="87" t="str">
        <f t="shared" si="426"/>
        <v/>
      </c>
      <c r="AY214" s="88" t="str">
        <f t="shared" si="427"/>
        <v/>
      </c>
      <c r="AZ214" s="87" t="str">
        <f>IF(Dyn_Insured="","",IF(ISNUMBER(AV214)=FALSE,"n/a",MIN(MAX(AV214-'Layer Comparison'!Excess_Past,0),'Layer Comparison'!Limit_Past)))</f>
        <v/>
      </c>
      <c r="BA214" s="87" t="str">
        <f>IF(Dyn_Insured="","",IF(ISNUMBER(AW214)=FALSE,"n/a",MIN(MAX(AW214-'Layer Comparison'!Excess_Latest,0),'Layer Comparison'!Limit_Latest)))</f>
        <v/>
      </c>
      <c r="BB214" s="87" t="str">
        <f t="shared" si="428"/>
        <v/>
      </c>
      <c r="BC214" s="88" t="str">
        <f t="shared" si="429"/>
        <v/>
      </c>
      <c r="BD214" s="87" t="s">
        <v>50</v>
      </c>
      <c r="BE214" s="87" t="s">
        <v>50</v>
      </c>
      <c r="BF214" s="87" t="str">
        <f t="shared" si="430"/>
        <v/>
      </c>
      <c r="BG214" s="88" t="str">
        <f t="shared" si="431"/>
        <v/>
      </c>
      <c r="BH214" s="87" t="str">
        <f>IF(Dyn_Insured="","",IF(ISNUMBER(BD214)=FALSE,"n/a",MIN(MAX(BD214-'Layer Comparison'!Excess_Past,0),'Layer Comparison'!Limit_Past)))</f>
        <v/>
      </c>
      <c r="BI214" s="87" t="str">
        <f>IF(Dyn_Insured="","",IF(ISNUMBER(BE214)=FALSE,"n/a",MIN(MAX(BE214-'Layer Comparison'!Excess_Latest,0),'Layer Comparison'!Limit_Latest)))</f>
        <v/>
      </c>
      <c r="BJ214" s="87" t="str">
        <f t="shared" si="432"/>
        <v/>
      </c>
      <c r="BK214" s="88" t="str">
        <f t="shared" si="433"/>
        <v/>
      </c>
      <c r="BL214" s="87" t="s">
        <v>50</v>
      </c>
      <c r="BM214" s="87" t="s">
        <v>50</v>
      </c>
      <c r="BN214" s="87" t="str">
        <f t="shared" si="434"/>
        <v/>
      </c>
      <c r="BO214" s="88" t="str">
        <f t="shared" si="435"/>
        <v/>
      </c>
      <c r="BP214" s="87" t="str">
        <f>IF(Dyn_Insured="","",IF(ISNUMBER(BL214)=FALSE,"n/a",MIN(MAX(BL214-'Layer Comparison'!Excess_Past,0),'Layer Comparison'!Limit_Past)))</f>
        <v/>
      </c>
      <c r="BQ214" s="87" t="str">
        <f>IF(Dyn_Insured="","",IF(ISNUMBER(BM214)=FALSE,"n/a",MIN(MAX(BM214-'Layer Comparison'!Excess_Latest,0),'Layer Comparison'!Limit_Latest)))</f>
        <v/>
      </c>
      <c r="BR214" s="87" t="str">
        <f t="shared" si="436"/>
        <v/>
      </c>
      <c r="BS214" s="88" t="str">
        <f t="shared" si="437"/>
        <v/>
      </c>
      <c r="BT214" s="46" t="s">
        <v>13</v>
      </c>
    </row>
    <row r="215" spans="1:72" hidden="1" outlineLevel="1" x14ac:dyDescent="0.25">
      <c r="A215" s="89" t="s">
        <v>54</v>
      </c>
      <c r="B215" s="89">
        <f t="shared" si="403"/>
        <v>0</v>
      </c>
      <c r="C215" s="89">
        <f t="shared" si="404"/>
        <v>0</v>
      </c>
      <c r="D215" s="90">
        <f t="shared" si="438"/>
        <v>0</v>
      </c>
      <c r="E215" s="90">
        <f t="shared" si="438"/>
        <v>0</v>
      </c>
      <c r="F215" s="48" t="s">
        <v>50</v>
      </c>
      <c r="G215" s="38" t="s">
        <v>50</v>
      </c>
      <c r="H215" s="87" t="s">
        <v>50</v>
      </c>
      <c r="I215" s="87" t="s">
        <v>50</v>
      </c>
      <c r="J215" s="87" t="str">
        <f t="shared" si="406"/>
        <v/>
      </c>
      <c r="K215" s="88" t="str">
        <f t="shared" si="407"/>
        <v/>
      </c>
      <c r="L215" s="87" t="str">
        <f>IF(Dyn_Insured="","",IF(ISNUMBER(H215)=FALSE,"n/a",MIN(MAX(H215-'Layer Comparison'!Excess_Past,0),'Layer Comparison'!Limit_Past)))</f>
        <v/>
      </c>
      <c r="M215" s="87" t="str">
        <f>IF(Dyn_Insured="","",IF(ISNUMBER(I215)=FALSE,"n/a",MIN(MAX(I215-'Layer Comparison'!Excess_Latest,0),'Layer Comparison'!Limit_Latest)))</f>
        <v/>
      </c>
      <c r="N215" s="87" t="str">
        <f t="shared" si="408"/>
        <v/>
      </c>
      <c r="O215" s="88" t="str">
        <f t="shared" si="409"/>
        <v/>
      </c>
      <c r="P215" s="87" t="s">
        <v>50</v>
      </c>
      <c r="Q215" s="87" t="s">
        <v>50</v>
      </c>
      <c r="R215" s="87" t="str">
        <f t="shared" si="410"/>
        <v/>
      </c>
      <c r="S215" s="88" t="str">
        <f t="shared" si="411"/>
        <v/>
      </c>
      <c r="T215" s="87" t="str">
        <f>IF(Dyn_Insured="","",IF(ISNUMBER(P215)=FALSE,"n/a",MIN(MAX(P215-'Layer Comparison'!Excess_Past,0),'Layer Comparison'!Limit_Past)))</f>
        <v/>
      </c>
      <c r="U215" s="87" t="str">
        <f>IF(Dyn_Insured="","",IF(ISNUMBER(Q215)=FALSE,"n/a",MIN(MAX(Q215-'Layer Comparison'!Excess_Latest,0),'Layer Comparison'!Limit_Latest)))</f>
        <v/>
      </c>
      <c r="V215" s="87" t="str">
        <f t="shared" si="412"/>
        <v/>
      </c>
      <c r="W215" s="88" t="str">
        <f t="shared" si="413"/>
        <v/>
      </c>
      <c r="X215" s="87" t="s">
        <v>50</v>
      </c>
      <c r="Y215" s="87" t="s">
        <v>50</v>
      </c>
      <c r="Z215" s="87" t="str">
        <f t="shared" si="414"/>
        <v/>
      </c>
      <c r="AA215" s="88" t="str">
        <f t="shared" si="415"/>
        <v/>
      </c>
      <c r="AB215" s="87" t="str">
        <f>IF(Dyn_Insured="","",IF(ISNUMBER(X215)=FALSE,"n/a",MIN(MAX(X215-'Layer Comparison'!Excess_Past,0),'Layer Comparison'!Limit_Past)))</f>
        <v/>
      </c>
      <c r="AC215" s="87" t="str">
        <f>IF(Dyn_Insured="","",IF(ISNUMBER(Y215)=FALSE,"n/a",MIN(MAX(Y215-'Layer Comparison'!Excess_Latest,0),'Layer Comparison'!Limit_Latest)))</f>
        <v/>
      </c>
      <c r="AD215" s="87" t="str">
        <f t="shared" si="416"/>
        <v/>
      </c>
      <c r="AE215" s="88" t="str">
        <f t="shared" si="417"/>
        <v/>
      </c>
      <c r="AF215" s="87" t="s">
        <v>50</v>
      </c>
      <c r="AG215" s="87" t="s">
        <v>50</v>
      </c>
      <c r="AH215" s="87" t="str">
        <f t="shared" si="418"/>
        <v/>
      </c>
      <c r="AI215" s="88" t="str">
        <f t="shared" si="419"/>
        <v/>
      </c>
      <c r="AJ215" s="87" t="str">
        <f>IF(Dyn_Insured="","",IF(ISNUMBER(AF215)=FALSE,"n/a",MIN(MAX(AF215-'Layer Comparison'!Excess_Past,0),'Layer Comparison'!Limit_Past)))</f>
        <v/>
      </c>
      <c r="AK215" s="87" t="str">
        <f>IF(Dyn_Insured="","",IF(ISNUMBER(AG215)=FALSE,"n/a",MIN(MAX(AG215-'Layer Comparison'!Excess_Latest,0),'Layer Comparison'!Limit_Latest)))</f>
        <v/>
      </c>
      <c r="AL215" s="87" t="str">
        <f t="shared" si="420"/>
        <v/>
      </c>
      <c r="AM215" s="88" t="str">
        <f t="shared" si="421"/>
        <v/>
      </c>
      <c r="AN215" s="87" t="s">
        <v>50</v>
      </c>
      <c r="AO215" s="87" t="s">
        <v>50</v>
      </c>
      <c r="AP215" s="87" t="str">
        <f t="shared" si="422"/>
        <v/>
      </c>
      <c r="AQ215" s="88" t="str">
        <f t="shared" si="423"/>
        <v/>
      </c>
      <c r="AR215" s="87" t="str">
        <f>IF(Dyn_Insured="","",IF(ISNUMBER(AN215)=FALSE,"n/a",MIN(MAX(AN215-'Layer Comparison'!Excess_Past,0),'Layer Comparison'!Limit_Past)))</f>
        <v/>
      </c>
      <c r="AS215" s="87" t="str">
        <f>IF(Dyn_Insured="","",IF(ISNUMBER(AO215)=FALSE,"n/a",MIN(MAX(AO215-'Layer Comparison'!Excess_Latest,0),'Layer Comparison'!Limit_Latest)))</f>
        <v/>
      </c>
      <c r="AT215" s="87" t="str">
        <f t="shared" si="424"/>
        <v/>
      </c>
      <c r="AU215" s="88" t="str">
        <f t="shared" si="425"/>
        <v/>
      </c>
      <c r="AV215" s="87" t="s">
        <v>50</v>
      </c>
      <c r="AW215" s="87" t="s">
        <v>50</v>
      </c>
      <c r="AX215" s="87" t="str">
        <f t="shared" si="426"/>
        <v/>
      </c>
      <c r="AY215" s="88" t="str">
        <f t="shared" si="427"/>
        <v/>
      </c>
      <c r="AZ215" s="87" t="str">
        <f>IF(Dyn_Insured="","",IF(ISNUMBER(AV215)=FALSE,"n/a",MIN(MAX(AV215-'Layer Comparison'!Excess_Past,0),'Layer Comparison'!Limit_Past)))</f>
        <v/>
      </c>
      <c r="BA215" s="87" t="str">
        <f>IF(Dyn_Insured="","",IF(ISNUMBER(AW215)=FALSE,"n/a",MIN(MAX(AW215-'Layer Comparison'!Excess_Latest,0),'Layer Comparison'!Limit_Latest)))</f>
        <v/>
      </c>
      <c r="BB215" s="87" t="str">
        <f t="shared" si="428"/>
        <v/>
      </c>
      <c r="BC215" s="88" t="str">
        <f t="shared" si="429"/>
        <v/>
      </c>
      <c r="BD215" s="87" t="s">
        <v>50</v>
      </c>
      <c r="BE215" s="87" t="s">
        <v>50</v>
      </c>
      <c r="BF215" s="87" t="str">
        <f t="shared" si="430"/>
        <v/>
      </c>
      <c r="BG215" s="88" t="str">
        <f t="shared" si="431"/>
        <v/>
      </c>
      <c r="BH215" s="87" t="str">
        <f>IF(Dyn_Insured="","",IF(ISNUMBER(BD215)=FALSE,"n/a",MIN(MAX(BD215-'Layer Comparison'!Excess_Past,0),'Layer Comparison'!Limit_Past)))</f>
        <v/>
      </c>
      <c r="BI215" s="87" t="str">
        <f>IF(Dyn_Insured="","",IF(ISNUMBER(BE215)=FALSE,"n/a",MIN(MAX(BE215-'Layer Comparison'!Excess_Latest,0),'Layer Comparison'!Limit_Latest)))</f>
        <v/>
      </c>
      <c r="BJ215" s="87" t="str">
        <f t="shared" si="432"/>
        <v/>
      </c>
      <c r="BK215" s="88" t="str">
        <f t="shared" si="433"/>
        <v/>
      </c>
      <c r="BL215" s="87" t="s">
        <v>50</v>
      </c>
      <c r="BM215" s="87" t="s">
        <v>50</v>
      </c>
      <c r="BN215" s="87" t="str">
        <f t="shared" si="434"/>
        <v/>
      </c>
      <c r="BO215" s="88" t="str">
        <f t="shared" si="435"/>
        <v/>
      </c>
      <c r="BP215" s="87" t="str">
        <f>IF(Dyn_Insured="","",IF(ISNUMBER(BL215)=FALSE,"n/a",MIN(MAX(BL215-'Layer Comparison'!Excess_Past,0),'Layer Comparison'!Limit_Past)))</f>
        <v/>
      </c>
      <c r="BQ215" s="87" t="str">
        <f>IF(Dyn_Insured="","",IF(ISNUMBER(BM215)=FALSE,"n/a",MIN(MAX(BM215-'Layer Comparison'!Excess_Latest,0),'Layer Comparison'!Limit_Latest)))</f>
        <v/>
      </c>
      <c r="BR215" s="87" t="str">
        <f t="shared" si="436"/>
        <v/>
      </c>
      <c r="BS215" s="88" t="str">
        <f t="shared" si="437"/>
        <v/>
      </c>
      <c r="BT215" s="46" t="s">
        <v>13</v>
      </c>
    </row>
    <row r="216" spans="1:72" hidden="1" outlineLevel="1" x14ac:dyDescent="0.25">
      <c r="A216" s="89" t="s">
        <v>54</v>
      </c>
      <c r="B216" s="89">
        <f t="shared" si="403"/>
        <v>0</v>
      </c>
      <c r="C216" s="89">
        <f t="shared" si="404"/>
        <v>0</v>
      </c>
      <c r="D216" s="90">
        <f t="shared" si="438"/>
        <v>0</v>
      </c>
      <c r="E216" s="90">
        <f t="shared" si="438"/>
        <v>0</v>
      </c>
      <c r="F216" s="48" t="s">
        <v>50</v>
      </c>
      <c r="G216" s="38" t="s">
        <v>50</v>
      </c>
      <c r="H216" s="87" t="s">
        <v>50</v>
      </c>
      <c r="I216" s="87" t="s">
        <v>50</v>
      </c>
      <c r="J216" s="87" t="str">
        <f t="shared" si="406"/>
        <v/>
      </c>
      <c r="K216" s="88" t="str">
        <f t="shared" si="407"/>
        <v/>
      </c>
      <c r="L216" s="87" t="str">
        <f>IF(Dyn_Insured="","",IF(ISNUMBER(H216)=FALSE,"n/a",MIN(MAX(H216-'Layer Comparison'!Excess_Past,0),'Layer Comparison'!Limit_Past)))</f>
        <v/>
      </c>
      <c r="M216" s="87" t="str">
        <f>IF(Dyn_Insured="","",IF(ISNUMBER(I216)=FALSE,"n/a",MIN(MAX(I216-'Layer Comparison'!Excess_Latest,0),'Layer Comparison'!Limit_Latest)))</f>
        <v/>
      </c>
      <c r="N216" s="87" t="str">
        <f t="shared" si="408"/>
        <v/>
      </c>
      <c r="O216" s="88" t="str">
        <f t="shared" si="409"/>
        <v/>
      </c>
      <c r="P216" s="87" t="s">
        <v>50</v>
      </c>
      <c r="Q216" s="87" t="s">
        <v>50</v>
      </c>
      <c r="R216" s="87" t="str">
        <f t="shared" si="410"/>
        <v/>
      </c>
      <c r="S216" s="88" t="str">
        <f t="shared" si="411"/>
        <v/>
      </c>
      <c r="T216" s="87" t="str">
        <f>IF(Dyn_Insured="","",IF(ISNUMBER(P216)=FALSE,"n/a",MIN(MAX(P216-'Layer Comparison'!Excess_Past,0),'Layer Comparison'!Limit_Past)))</f>
        <v/>
      </c>
      <c r="U216" s="87" t="str">
        <f>IF(Dyn_Insured="","",IF(ISNUMBER(Q216)=FALSE,"n/a",MIN(MAX(Q216-'Layer Comparison'!Excess_Latest,0),'Layer Comparison'!Limit_Latest)))</f>
        <v/>
      </c>
      <c r="V216" s="87" t="str">
        <f t="shared" si="412"/>
        <v/>
      </c>
      <c r="W216" s="88" t="str">
        <f t="shared" si="413"/>
        <v/>
      </c>
      <c r="X216" s="87" t="s">
        <v>50</v>
      </c>
      <c r="Y216" s="87" t="s">
        <v>50</v>
      </c>
      <c r="Z216" s="87" t="str">
        <f t="shared" si="414"/>
        <v/>
      </c>
      <c r="AA216" s="88" t="str">
        <f t="shared" si="415"/>
        <v/>
      </c>
      <c r="AB216" s="87" t="str">
        <f>IF(Dyn_Insured="","",IF(ISNUMBER(X216)=FALSE,"n/a",MIN(MAX(X216-'Layer Comparison'!Excess_Past,0),'Layer Comparison'!Limit_Past)))</f>
        <v/>
      </c>
      <c r="AC216" s="87" t="str">
        <f>IF(Dyn_Insured="","",IF(ISNUMBER(Y216)=FALSE,"n/a",MIN(MAX(Y216-'Layer Comparison'!Excess_Latest,0),'Layer Comparison'!Limit_Latest)))</f>
        <v/>
      </c>
      <c r="AD216" s="87" t="str">
        <f t="shared" si="416"/>
        <v/>
      </c>
      <c r="AE216" s="88" t="str">
        <f t="shared" si="417"/>
        <v/>
      </c>
      <c r="AF216" s="87" t="s">
        <v>50</v>
      </c>
      <c r="AG216" s="87" t="s">
        <v>50</v>
      </c>
      <c r="AH216" s="87" t="str">
        <f t="shared" si="418"/>
        <v/>
      </c>
      <c r="AI216" s="88" t="str">
        <f t="shared" si="419"/>
        <v/>
      </c>
      <c r="AJ216" s="87" t="str">
        <f>IF(Dyn_Insured="","",IF(ISNUMBER(AF216)=FALSE,"n/a",MIN(MAX(AF216-'Layer Comparison'!Excess_Past,0),'Layer Comparison'!Limit_Past)))</f>
        <v/>
      </c>
      <c r="AK216" s="87" t="str">
        <f>IF(Dyn_Insured="","",IF(ISNUMBER(AG216)=FALSE,"n/a",MIN(MAX(AG216-'Layer Comparison'!Excess_Latest,0),'Layer Comparison'!Limit_Latest)))</f>
        <v/>
      </c>
      <c r="AL216" s="87" t="str">
        <f t="shared" si="420"/>
        <v/>
      </c>
      <c r="AM216" s="88" t="str">
        <f t="shared" si="421"/>
        <v/>
      </c>
      <c r="AN216" s="87" t="s">
        <v>50</v>
      </c>
      <c r="AO216" s="87" t="s">
        <v>50</v>
      </c>
      <c r="AP216" s="87" t="str">
        <f t="shared" si="422"/>
        <v/>
      </c>
      <c r="AQ216" s="88" t="str">
        <f t="shared" si="423"/>
        <v/>
      </c>
      <c r="AR216" s="87" t="str">
        <f>IF(Dyn_Insured="","",IF(ISNUMBER(AN216)=FALSE,"n/a",MIN(MAX(AN216-'Layer Comparison'!Excess_Past,0),'Layer Comparison'!Limit_Past)))</f>
        <v/>
      </c>
      <c r="AS216" s="87" t="str">
        <f>IF(Dyn_Insured="","",IF(ISNUMBER(AO216)=FALSE,"n/a",MIN(MAX(AO216-'Layer Comparison'!Excess_Latest,0),'Layer Comparison'!Limit_Latest)))</f>
        <v/>
      </c>
      <c r="AT216" s="87" t="str">
        <f t="shared" si="424"/>
        <v/>
      </c>
      <c r="AU216" s="88" t="str">
        <f t="shared" si="425"/>
        <v/>
      </c>
      <c r="AV216" s="87" t="s">
        <v>50</v>
      </c>
      <c r="AW216" s="87" t="s">
        <v>50</v>
      </c>
      <c r="AX216" s="87" t="str">
        <f t="shared" si="426"/>
        <v/>
      </c>
      <c r="AY216" s="88" t="str">
        <f t="shared" si="427"/>
        <v/>
      </c>
      <c r="AZ216" s="87" t="str">
        <f>IF(Dyn_Insured="","",IF(ISNUMBER(AV216)=FALSE,"n/a",MIN(MAX(AV216-'Layer Comparison'!Excess_Past,0),'Layer Comparison'!Limit_Past)))</f>
        <v/>
      </c>
      <c r="BA216" s="87" t="str">
        <f>IF(Dyn_Insured="","",IF(ISNUMBER(AW216)=FALSE,"n/a",MIN(MAX(AW216-'Layer Comparison'!Excess_Latest,0),'Layer Comparison'!Limit_Latest)))</f>
        <v/>
      </c>
      <c r="BB216" s="87" t="str">
        <f t="shared" si="428"/>
        <v/>
      </c>
      <c r="BC216" s="88" t="str">
        <f t="shared" si="429"/>
        <v/>
      </c>
      <c r="BD216" s="87" t="s">
        <v>50</v>
      </c>
      <c r="BE216" s="87" t="s">
        <v>50</v>
      </c>
      <c r="BF216" s="87" t="str">
        <f t="shared" si="430"/>
        <v/>
      </c>
      <c r="BG216" s="88" t="str">
        <f t="shared" si="431"/>
        <v/>
      </c>
      <c r="BH216" s="87" t="str">
        <f>IF(Dyn_Insured="","",IF(ISNUMBER(BD216)=FALSE,"n/a",MIN(MAX(BD216-'Layer Comparison'!Excess_Past,0),'Layer Comparison'!Limit_Past)))</f>
        <v/>
      </c>
      <c r="BI216" s="87" t="str">
        <f>IF(Dyn_Insured="","",IF(ISNUMBER(BE216)=FALSE,"n/a",MIN(MAX(BE216-'Layer Comparison'!Excess_Latest,0),'Layer Comparison'!Limit_Latest)))</f>
        <v/>
      </c>
      <c r="BJ216" s="87" t="str">
        <f t="shared" si="432"/>
        <v/>
      </c>
      <c r="BK216" s="88" t="str">
        <f t="shared" si="433"/>
        <v/>
      </c>
      <c r="BL216" s="87" t="s">
        <v>50</v>
      </c>
      <c r="BM216" s="87" t="s">
        <v>50</v>
      </c>
      <c r="BN216" s="87" t="str">
        <f t="shared" si="434"/>
        <v/>
      </c>
      <c r="BO216" s="88" t="str">
        <f t="shared" si="435"/>
        <v/>
      </c>
      <c r="BP216" s="87" t="str">
        <f>IF(Dyn_Insured="","",IF(ISNUMBER(BL216)=FALSE,"n/a",MIN(MAX(BL216-'Layer Comparison'!Excess_Past,0),'Layer Comparison'!Limit_Past)))</f>
        <v/>
      </c>
      <c r="BQ216" s="87" t="str">
        <f>IF(Dyn_Insured="","",IF(ISNUMBER(BM216)=FALSE,"n/a",MIN(MAX(BM216-'Layer Comparison'!Excess_Latest,0),'Layer Comparison'!Limit_Latest)))</f>
        <v/>
      </c>
      <c r="BR216" s="87" t="str">
        <f t="shared" si="436"/>
        <v/>
      </c>
      <c r="BS216" s="88" t="str">
        <f t="shared" si="437"/>
        <v/>
      </c>
      <c r="BT216" s="46" t="s">
        <v>13</v>
      </c>
    </row>
    <row r="217" spans="1:72" hidden="1" outlineLevel="1" x14ac:dyDescent="0.25">
      <c r="A217" s="89" t="s">
        <v>54</v>
      </c>
      <c r="B217" s="89">
        <f t="shared" si="403"/>
        <v>0</v>
      </c>
      <c r="C217" s="89">
        <f t="shared" si="404"/>
        <v>0</v>
      </c>
      <c r="D217" s="90">
        <f t="shared" si="438"/>
        <v>0</v>
      </c>
      <c r="E217" s="90">
        <f t="shared" si="438"/>
        <v>0</v>
      </c>
      <c r="F217" s="48" t="s">
        <v>50</v>
      </c>
      <c r="G217" s="38" t="s">
        <v>50</v>
      </c>
      <c r="H217" s="87" t="s">
        <v>50</v>
      </c>
      <c r="I217" s="87" t="s">
        <v>50</v>
      </c>
      <c r="J217" s="87" t="str">
        <f t="shared" si="406"/>
        <v/>
      </c>
      <c r="K217" s="88" t="str">
        <f t="shared" si="407"/>
        <v/>
      </c>
      <c r="L217" s="87" t="str">
        <f>IF(Dyn_Insured="","",IF(ISNUMBER(H217)=FALSE,"n/a",MIN(MAX(H217-'Layer Comparison'!Excess_Past,0),'Layer Comparison'!Limit_Past)))</f>
        <v/>
      </c>
      <c r="M217" s="87" t="str">
        <f>IF(Dyn_Insured="","",IF(ISNUMBER(I217)=FALSE,"n/a",MIN(MAX(I217-'Layer Comparison'!Excess_Latest,0),'Layer Comparison'!Limit_Latest)))</f>
        <v/>
      </c>
      <c r="N217" s="87" t="str">
        <f t="shared" si="408"/>
        <v/>
      </c>
      <c r="O217" s="88" t="str">
        <f t="shared" si="409"/>
        <v/>
      </c>
      <c r="P217" s="87" t="s">
        <v>50</v>
      </c>
      <c r="Q217" s="87" t="s">
        <v>50</v>
      </c>
      <c r="R217" s="87" t="str">
        <f t="shared" si="410"/>
        <v/>
      </c>
      <c r="S217" s="88" t="str">
        <f t="shared" si="411"/>
        <v/>
      </c>
      <c r="T217" s="87" t="str">
        <f>IF(Dyn_Insured="","",IF(ISNUMBER(P217)=FALSE,"n/a",MIN(MAX(P217-'Layer Comparison'!Excess_Past,0),'Layer Comparison'!Limit_Past)))</f>
        <v/>
      </c>
      <c r="U217" s="87" t="str">
        <f>IF(Dyn_Insured="","",IF(ISNUMBER(Q217)=FALSE,"n/a",MIN(MAX(Q217-'Layer Comparison'!Excess_Latest,0),'Layer Comparison'!Limit_Latest)))</f>
        <v/>
      </c>
      <c r="V217" s="87" t="str">
        <f t="shared" si="412"/>
        <v/>
      </c>
      <c r="W217" s="88" t="str">
        <f t="shared" si="413"/>
        <v/>
      </c>
      <c r="X217" s="87" t="s">
        <v>50</v>
      </c>
      <c r="Y217" s="87" t="s">
        <v>50</v>
      </c>
      <c r="Z217" s="87" t="str">
        <f t="shared" si="414"/>
        <v/>
      </c>
      <c r="AA217" s="88" t="str">
        <f t="shared" si="415"/>
        <v/>
      </c>
      <c r="AB217" s="87" t="str">
        <f>IF(Dyn_Insured="","",IF(ISNUMBER(X217)=FALSE,"n/a",MIN(MAX(X217-'Layer Comparison'!Excess_Past,0),'Layer Comparison'!Limit_Past)))</f>
        <v/>
      </c>
      <c r="AC217" s="87" t="str">
        <f>IF(Dyn_Insured="","",IF(ISNUMBER(Y217)=FALSE,"n/a",MIN(MAX(Y217-'Layer Comparison'!Excess_Latest,0),'Layer Comparison'!Limit_Latest)))</f>
        <v/>
      </c>
      <c r="AD217" s="87" t="str">
        <f t="shared" si="416"/>
        <v/>
      </c>
      <c r="AE217" s="88" t="str">
        <f t="shared" si="417"/>
        <v/>
      </c>
      <c r="AF217" s="87" t="s">
        <v>50</v>
      </c>
      <c r="AG217" s="87" t="s">
        <v>50</v>
      </c>
      <c r="AH217" s="87" t="str">
        <f t="shared" si="418"/>
        <v/>
      </c>
      <c r="AI217" s="88" t="str">
        <f t="shared" si="419"/>
        <v/>
      </c>
      <c r="AJ217" s="87" t="str">
        <f>IF(Dyn_Insured="","",IF(ISNUMBER(AF217)=FALSE,"n/a",MIN(MAX(AF217-'Layer Comparison'!Excess_Past,0),'Layer Comparison'!Limit_Past)))</f>
        <v/>
      </c>
      <c r="AK217" s="87" t="str">
        <f>IF(Dyn_Insured="","",IF(ISNUMBER(AG217)=FALSE,"n/a",MIN(MAX(AG217-'Layer Comparison'!Excess_Latest,0),'Layer Comparison'!Limit_Latest)))</f>
        <v/>
      </c>
      <c r="AL217" s="87" t="str">
        <f t="shared" si="420"/>
        <v/>
      </c>
      <c r="AM217" s="88" t="str">
        <f t="shared" si="421"/>
        <v/>
      </c>
      <c r="AN217" s="87" t="s">
        <v>50</v>
      </c>
      <c r="AO217" s="87" t="s">
        <v>50</v>
      </c>
      <c r="AP217" s="87" t="str">
        <f t="shared" si="422"/>
        <v/>
      </c>
      <c r="AQ217" s="88" t="str">
        <f t="shared" si="423"/>
        <v/>
      </c>
      <c r="AR217" s="87" t="str">
        <f>IF(Dyn_Insured="","",IF(ISNUMBER(AN217)=FALSE,"n/a",MIN(MAX(AN217-'Layer Comparison'!Excess_Past,0),'Layer Comparison'!Limit_Past)))</f>
        <v/>
      </c>
      <c r="AS217" s="87" t="str">
        <f>IF(Dyn_Insured="","",IF(ISNUMBER(AO217)=FALSE,"n/a",MIN(MAX(AO217-'Layer Comparison'!Excess_Latest,0),'Layer Comparison'!Limit_Latest)))</f>
        <v/>
      </c>
      <c r="AT217" s="87" t="str">
        <f t="shared" si="424"/>
        <v/>
      </c>
      <c r="AU217" s="88" t="str">
        <f t="shared" si="425"/>
        <v/>
      </c>
      <c r="AV217" s="87" t="s">
        <v>50</v>
      </c>
      <c r="AW217" s="87" t="s">
        <v>50</v>
      </c>
      <c r="AX217" s="87" t="str">
        <f t="shared" si="426"/>
        <v/>
      </c>
      <c r="AY217" s="88" t="str">
        <f t="shared" si="427"/>
        <v/>
      </c>
      <c r="AZ217" s="87" t="str">
        <f>IF(Dyn_Insured="","",IF(ISNUMBER(AV217)=FALSE,"n/a",MIN(MAX(AV217-'Layer Comparison'!Excess_Past,0),'Layer Comparison'!Limit_Past)))</f>
        <v/>
      </c>
      <c r="BA217" s="87" t="str">
        <f>IF(Dyn_Insured="","",IF(ISNUMBER(AW217)=FALSE,"n/a",MIN(MAX(AW217-'Layer Comparison'!Excess_Latest,0),'Layer Comparison'!Limit_Latest)))</f>
        <v/>
      </c>
      <c r="BB217" s="87" t="str">
        <f t="shared" si="428"/>
        <v/>
      </c>
      <c r="BC217" s="88" t="str">
        <f t="shared" si="429"/>
        <v/>
      </c>
      <c r="BD217" s="87" t="s">
        <v>50</v>
      </c>
      <c r="BE217" s="87" t="s">
        <v>50</v>
      </c>
      <c r="BF217" s="87" t="str">
        <f t="shared" si="430"/>
        <v/>
      </c>
      <c r="BG217" s="88" t="str">
        <f t="shared" si="431"/>
        <v/>
      </c>
      <c r="BH217" s="87" t="str">
        <f>IF(Dyn_Insured="","",IF(ISNUMBER(BD217)=FALSE,"n/a",MIN(MAX(BD217-'Layer Comparison'!Excess_Past,0),'Layer Comparison'!Limit_Past)))</f>
        <v/>
      </c>
      <c r="BI217" s="87" t="str">
        <f>IF(Dyn_Insured="","",IF(ISNUMBER(BE217)=FALSE,"n/a",MIN(MAX(BE217-'Layer Comparison'!Excess_Latest,0),'Layer Comparison'!Limit_Latest)))</f>
        <v/>
      </c>
      <c r="BJ217" s="87" t="str">
        <f t="shared" si="432"/>
        <v/>
      </c>
      <c r="BK217" s="88" t="str">
        <f t="shared" si="433"/>
        <v/>
      </c>
      <c r="BL217" s="87" t="s">
        <v>50</v>
      </c>
      <c r="BM217" s="87" t="s">
        <v>50</v>
      </c>
      <c r="BN217" s="87" t="str">
        <f t="shared" si="434"/>
        <v/>
      </c>
      <c r="BO217" s="88" t="str">
        <f t="shared" si="435"/>
        <v/>
      </c>
      <c r="BP217" s="87" t="str">
        <f>IF(Dyn_Insured="","",IF(ISNUMBER(BL217)=FALSE,"n/a",MIN(MAX(BL217-'Layer Comparison'!Excess_Past,0),'Layer Comparison'!Limit_Past)))</f>
        <v/>
      </c>
      <c r="BQ217" s="87" t="str">
        <f>IF(Dyn_Insured="","",IF(ISNUMBER(BM217)=FALSE,"n/a",MIN(MAX(BM217-'Layer Comparison'!Excess_Latest,0),'Layer Comparison'!Limit_Latest)))</f>
        <v/>
      </c>
      <c r="BR217" s="87" t="str">
        <f t="shared" si="436"/>
        <v/>
      </c>
      <c r="BS217" s="88" t="str">
        <f t="shared" si="437"/>
        <v/>
      </c>
      <c r="BT217" s="46" t="s">
        <v>13</v>
      </c>
    </row>
    <row r="218" spans="1:72" hidden="1" outlineLevel="1" x14ac:dyDescent="0.25">
      <c r="A218" s="89" t="s">
        <v>54</v>
      </c>
      <c r="B218" s="89">
        <f t="shared" si="403"/>
        <v>0</v>
      </c>
      <c r="C218" s="89">
        <f t="shared" si="404"/>
        <v>0</v>
      </c>
      <c r="D218" s="90">
        <f t="shared" si="438"/>
        <v>0</v>
      </c>
      <c r="E218" s="90">
        <f t="shared" si="438"/>
        <v>0</v>
      </c>
      <c r="F218" s="48" t="s">
        <v>50</v>
      </c>
      <c r="G218" s="38" t="s">
        <v>50</v>
      </c>
      <c r="H218" s="87" t="s">
        <v>50</v>
      </c>
      <c r="I218" s="87" t="s">
        <v>50</v>
      </c>
      <c r="J218" s="87" t="str">
        <f t="shared" si="406"/>
        <v/>
      </c>
      <c r="K218" s="88" t="str">
        <f t="shared" si="407"/>
        <v/>
      </c>
      <c r="L218" s="87" t="str">
        <f>IF(Dyn_Insured="","",IF(ISNUMBER(H218)=FALSE,"n/a",MIN(MAX(H218-'Layer Comparison'!Excess_Past,0),'Layer Comparison'!Limit_Past)))</f>
        <v/>
      </c>
      <c r="M218" s="87" t="str">
        <f>IF(Dyn_Insured="","",IF(ISNUMBER(I218)=FALSE,"n/a",MIN(MAX(I218-'Layer Comparison'!Excess_Latest,0),'Layer Comparison'!Limit_Latest)))</f>
        <v/>
      </c>
      <c r="N218" s="87" t="str">
        <f t="shared" si="408"/>
        <v/>
      </c>
      <c r="O218" s="88" t="str">
        <f t="shared" si="409"/>
        <v/>
      </c>
      <c r="P218" s="87" t="s">
        <v>50</v>
      </c>
      <c r="Q218" s="87" t="s">
        <v>50</v>
      </c>
      <c r="R218" s="87" t="str">
        <f t="shared" si="410"/>
        <v/>
      </c>
      <c r="S218" s="88" t="str">
        <f t="shared" si="411"/>
        <v/>
      </c>
      <c r="T218" s="87" t="str">
        <f>IF(Dyn_Insured="","",IF(ISNUMBER(P218)=FALSE,"n/a",MIN(MAX(P218-'Layer Comparison'!Excess_Past,0),'Layer Comparison'!Limit_Past)))</f>
        <v/>
      </c>
      <c r="U218" s="87" t="str">
        <f>IF(Dyn_Insured="","",IF(ISNUMBER(Q218)=FALSE,"n/a",MIN(MAX(Q218-'Layer Comparison'!Excess_Latest,0),'Layer Comparison'!Limit_Latest)))</f>
        <v/>
      </c>
      <c r="V218" s="87" t="str">
        <f t="shared" si="412"/>
        <v/>
      </c>
      <c r="W218" s="88" t="str">
        <f t="shared" si="413"/>
        <v/>
      </c>
      <c r="X218" s="87" t="s">
        <v>50</v>
      </c>
      <c r="Y218" s="87" t="s">
        <v>50</v>
      </c>
      <c r="Z218" s="87" t="str">
        <f t="shared" si="414"/>
        <v/>
      </c>
      <c r="AA218" s="88" t="str">
        <f t="shared" si="415"/>
        <v/>
      </c>
      <c r="AB218" s="87" t="str">
        <f>IF(Dyn_Insured="","",IF(ISNUMBER(X218)=FALSE,"n/a",MIN(MAX(X218-'Layer Comparison'!Excess_Past,0),'Layer Comparison'!Limit_Past)))</f>
        <v/>
      </c>
      <c r="AC218" s="87" t="str">
        <f>IF(Dyn_Insured="","",IF(ISNUMBER(Y218)=FALSE,"n/a",MIN(MAX(Y218-'Layer Comparison'!Excess_Latest,0),'Layer Comparison'!Limit_Latest)))</f>
        <v/>
      </c>
      <c r="AD218" s="87" t="str">
        <f t="shared" si="416"/>
        <v/>
      </c>
      <c r="AE218" s="88" t="str">
        <f t="shared" si="417"/>
        <v/>
      </c>
      <c r="AF218" s="87" t="s">
        <v>50</v>
      </c>
      <c r="AG218" s="87" t="s">
        <v>50</v>
      </c>
      <c r="AH218" s="87" t="str">
        <f t="shared" si="418"/>
        <v/>
      </c>
      <c r="AI218" s="88" t="str">
        <f t="shared" si="419"/>
        <v/>
      </c>
      <c r="AJ218" s="87" t="str">
        <f>IF(Dyn_Insured="","",IF(ISNUMBER(AF218)=FALSE,"n/a",MIN(MAX(AF218-'Layer Comparison'!Excess_Past,0),'Layer Comparison'!Limit_Past)))</f>
        <v/>
      </c>
      <c r="AK218" s="87" t="str">
        <f>IF(Dyn_Insured="","",IF(ISNUMBER(AG218)=FALSE,"n/a",MIN(MAX(AG218-'Layer Comparison'!Excess_Latest,0),'Layer Comparison'!Limit_Latest)))</f>
        <v/>
      </c>
      <c r="AL218" s="87" t="str">
        <f t="shared" si="420"/>
        <v/>
      </c>
      <c r="AM218" s="88" t="str">
        <f t="shared" si="421"/>
        <v/>
      </c>
      <c r="AN218" s="87" t="s">
        <v>50</v>
      </c>
      <c r="AO218" s="87" t="s">
        <v>50</v>
      </c>
      <c r="AP218" s="87" t="str">
        <f t="shared" si="422"/>
        <v/>
      </c>
      <c r="AQ218" s="88" t="str">
        <f t="shared" si="423"/>
        <v/>
      </c>
      <c r="AR218" s="87" t="str">
        <f>IF(Dyn_Insured="","",IF(ISNUMBER(AN218)=FALSE,"n/a",MIN(MAX(AN218-'Layer Comparison'!Excess_Past,0),'Layer Comparison'!Limit_Past)))</f>
        <v/>
      </c>
      <c r="AS218" s="87" t="str">
        <f>IF(Dyn_Insured="","",IF(ISNUMBER(AO218)=FALSE,"n/a",MIN(MAX(AO218-'Layer Comparison'!Excess_Latest,0),'Layer Comparison'!Limit_Latest)))</f>
        <v/>
      </c>
      <c r="AT218" s="87" t="str">
        <f t="shared" si="424"/>
        <v/>
      </c>
      <c r="AU218" s="88" t="str">
        <f t="shared" si="425"/>
        <v/>
      </c>
      <c r="AV218" s="87" t="s">
        <v>50</v>
      </c>
      <c r="AW218" s="87" t="s">
        <v>50</v>
      </c>
      <c r="AX218" s="87" t="str">
        <f t="shared" si="426"/>
        <v/>
      </c>
      <c r="AY218" s="88" t="str">
        <f t="shared" si="427"/>
        <v/>
      </c>
      <c r="AZ218" s="87" t="str">
        <f>IF(Dyn_Insured="","",IF(ISNUMBER(AV218)=FALSE,"n/a",MIN(MAX(AV218-'Layer Comparison'!Excess_Past,0),'Layer Comparison'!Limit_Past)))</f>
        <v/>
      </c>
      <c r="BA218" s="87" t="str">
        <f>IF(Dyn_Insured="","",IF(ISNUMBER(AW218)=FALSE,"n/a",MIN(MAX(AW218-'Layer Comparison'!Excess_Latest,0),'Layer Comparison'!Limit_Latest)))</f>
        <v/>
      </c>
      <c r="BB218" s="87" t="str">
        <f t="shared" si="428"/>
        <v/>
      </c>
      <c r="BC218" s="88" t="str">
        <f t="shared" si="429"/>
        <v/>
      </c>
      <c r="BD218" s="87" t="s">
        <v>50</v>
      </c>
      <c r="BE218" s="87" t="s">
        <v>50</v>
      </c>
      <c r="BF218" s="87" t="str">
        <f t="shared" si="430"/>
        <v/>
      </c>
      <c r="BG218" s="88" t="str">
        <f t="shared" si="431"/>
        <v/>
      </c>
      <c r="BH218" s="87" t="str">
        <f>IF(Dyn_Insured="","",IF(ISNUMBER(BD218)=FALSE,"n/a",MIN(MAX(BD218-'Layer Comparison'!Excess_Past,0),'Layer Comparison'!Limit_Past)))</f>
        <v/>
      </c>
      <c r="BI218" s="87" t="str">
        <f>IF(Dyn_Insured="","",IF(ISNUMBER(BE218)=FALSE,"n/a",MIN(MAX(BE218-'Layer Comparison'!Excess_Latest,0),'Layer Comparison'!Limit_Latest)))</f>
        <v/>
      </c>
      <c r="BJ218" s="87" t="str">
        <f t="shared" si="432"/>
        <v/>
      </c>
      <c r="BK218" s="88" t="str">
        <f t="shared" si="433"/>
        <v/>
      </c>
      <c r="BL218" s="87" t="s">
        <v>50</v>
      </c>
      <c r="BM218" s="87" t="s">
        <v>50</v>
      </c>
      <c r="BN218" s="87" t="str">
        <f t="shared" si="434"/>
        <v/>
      </c>
      <c r="BO218" s="88" t="str">
        <f t="shared" si="435"/>
        <v/>
      </c>
      <c r="BP218" s="87" t="str">
        <f>IF(Dyn_Insured="","",IF(ISNUMBER(BL218)=FALSE,"n/a",MIN(MAX(BL218-'Layer Comparison'!Excess_Past,0),'Layer Comparison'!Limit_Past)))</f>
        <v/>
      </c>
      <c r="BQ218" s="87" t="str">
        <f>IF(Dyn_Insured="","",IF(ISNUMBER(BM218)=FALSE,"n/a",MIN(MAX(BM218-'Layer Comparison'!Excess_Latest,0),'Layer Comparison'!Limit_Latest)))</f>
        <v/>
      </c>
      <c r="BR218" s="87" t="str">
        <f t="shared" si="436"/>
        <v/>
      </c>
      <c r="BS218" s="88" t="str">
        <f t="shared" si="437"/>
        <v/>
      </c>
      <c r="BT218" s="46" t="s">
        <v>13</v>
      </c>
    </row>
    <row r="219" spans="1:72" hidden="1" outlineLevel="1" x14ac:dyDescent="0.25">
      <c r="A219" s="89" t="s">
        <v>54</v>
      </c>
      <c r="B219" s="89">
        <f t="shared" si="403"/>
        <v>0</v>
      </c>
      <c r="C219" s="89">
        <f t="shared" si="404"/>
        <v>0</v>
      </c>
      <c r="D219" s="90">
        <f t="shared" si="438"/>
        <v>0</v>
      </c>
      <c r="E219" s="90">
        <f t="shared" si="438"/>
        <v>0</v>
      </c>
      <c r="F219" s="48" t="s">
        <v>50</v>
      </c>
      <c r="G219" s="38" t="s">
        <v>50</v>
      </c>
      <c r="H219" s="87" t="s">
        <v>50</v>
      </c>
      <c r="I219" s="87" t="s">
        <v>50</v>
      </c>
      <c r="J219" s="87" t="str">
        <f t="shared" si="406"/>
        <v/>
      </c>
      <c r="K219" s="88" t="str">
        <f t="shared" si="407"/>
        <v/>
      </c>
      <c r="L219" s="87" t="str">
        <f>IF(Dyn_Insured="","",IF(ISNUMBER(H219)=FALSE,"n/a",MIN(MAX(H219-'Layer Comparison'!Excess_Past,0),'Layer Comparison'!Limit_Past)))</f>
        <v/>
      </c>
      <c r="M219" s="87" t="str">
        <f>IF(Dyn_Insured="","",IF(ISNUMBER(I219)=FALSE,"n/a",MIN(MAX(I219-'Layer Comparison'!Excess_Latest,0),'Layer Comparison'!Limit_Latest)))</f>
        <v/>
      </c>
      <c r="N219" s="87" t="str">
        <f t="shared" si="408"/>
        <v/>
      </c>
      <c r="O219" s="88" t="str">
        <f t="shared" si="409"/>
        <v/>
      </c>
      <c r="P219" s="87" t="s">
        <v>50</v>
      </c>
      <c r="Q219" s="87" t="s">
        <v>50</v>
      </c>
      <c r="R219" s="87" t="str">
        <f t="shared" si="410"/>
        <v/>
      </c>
      <c r="S219" s="88" t="str">
        <f t="shared" si="411"/>
        <v/>
      </c>
      <c r="T219" s="87" t="str">
        <f>IF(Dyn_Insured="","",IF(ISNUMBER(P219)=FALSE,"n/a",MIN(MAX(P219-'Layer Comparison'!Excess_Past,0),'Layer Comparison'!Limit_Past)))</f>
        <v/>
      </c>
      <c r="U219" s="87" t="str">
        <f>IF(Dyn_Insured="","",IF(ISNUMBER(Q219)=FALSE,"n/a",MIN(MAX(Q219-'Layer Comparison'!Excess_Latest,0),'Layer Comparison'!Limit_Latest)))</f>
        <v/>
      </c>
      <c r="V219" s="87" t="str">
        <f t="shared" si="412"/>
        <v/>
      </c>
      <c r="W219" s="88" t="str">
        <f t="shared" si="413"/>
        <v/>
      </c>
      <c r="X219" s="87" t="s">
        <v>50</v>
      </c>
      <c r="Y219" s="87" t="s">
        <v>50</v>
      </c>
      <c r="Z219" s="87" t="str">
        <f t="shared" si="414"/>
        <v/>
      </c>
      <c r="AA219" s="88" t="str">
        <f t="shared" si="415"/>
        <v/>
      </c>
      <c r="AB219" s="87" t="str">
        <f>IF(Dyn_Insured="","",IF(ISNUMBER(X219)=FALSE,"n/a",MIN(MAX(X219-'Layer Comparison'!Excess_Past,0),'Layer Comparison'!Limit_Past)))</f>
        <v/>
      </c>
      <c r="AC219" s="87" t="str">
        <f>IF(Dyn_Insured="","",IF(ISNUMBER(Y219)=FALSE,"n/a",MIN(MAX(Y219-'Layer Comparison'!Excess_Latest,0),'Layer Comparison'!Limit_Latest)))</f>
        <v/>
      </c>
      <c r="AD219" s="87" t="str">
        <f t="shared" si="416"/>
        <v/>
      </c>
      <c r="AE219" s="88" t="str">
        <f t="shared" si="417"/>
        <v/>
      </c>
      <c r="AF219" s="87" t="s">
        <v>50</v>
      </c>
      <c r="AG219" s="87" t="s">
        <v>50</v>
      </c>
      <c r="AH219" s="87" t="str">
        <f t="shared" si="418"/>
        <v/>
      </c>
      <c r="AI219" s="88" t="str">
        <f t="shared" si="419"/>
        <v/>
      </c>
      <c r="AJ219" s="87" t="str">
        <f>IF(Dyn_Insured="","",IF(ISNUMBER(AF219)=FALSE,"n/a",MIN(MAX(AF219-'Layer Comparison'!Excess_Past,0),'Layer Comparison'!Limit_Past)))</f>
        <v/>
      </c>
      <c r="AK219" s="87" t="str">
        <f>IF(Dyn_Insured="","",IF(ISNUMBER(AG219)=FALSE,"n/a",MIN(MAX(AG219-'Layer Comparison'!Excess_Latest,0),'Layer Comparison'!Limit_Latest)))</f>
        <v/>
      </c>
      <c r="AL219" s="87" t="str">
        <f t="shared" si="420"/>
        <v/>
      </c>
      <c r="AM219" s="88" t="str">
        <f t="shared" si="421"/>
        <v/>
      </c>
      <c r="AN219" s="87" t="s">
        <v>50</v>
      </c>
      <c r="AO219" s="87" t="s">
        <v>50</v>
      </c>
      <c r="AP219" s="87" t="str">
        <f t="shared" si="422"/>
        <v/>
      </c>
      <c r="AQ219" s="88" t="str">
        <f t="shared" si="423"/>
        <v/>
      </c>
      <c r="AR219" s="87" t="str">
        <f>IF(Dyn_Insured="","",IF(ISNUMBER(AN219)=FALSE,"n/a",MIN(MAX(AN219-'Layer Comparison'!Excess_Past,0),'Layer Comparison'!Limit_Past)))</f>
        <v/>
      </c>
      <c r="AS219" s="87" t="str">
        <f>IF(Dyn_Insured="","",IF(ISNUMBER(AO219)=FALSE,"n/a",MIN(MAX(AO219-'Layer Comparison'!Excess_Latest,0),'Layer Comparison'!Limit_Latest)))</f>
        <v/>
      </c>
      <c r="AT219" s="87" t="str">
        <f t="shared" si="424"/>
        <v/>
      </c>
      <c r="AU219" s="88" t="str">
        <f t="shared" si="425"/>
        <v/>
      </c>
      <c r="AV219" s="87" t="s">
        <v>50</v>
      </c>
      <c r="AW219" s="87" t="s">
        <v>50</v>
      </c>
      <c r="AX219" s="87" t="str">
        <f t="shared" si="426"/>
        <v/>
      </c>
      <c r="AY219" s="88" t="str">
        <f t="shared" si="427"/>
        <v/>
      </c>
      <c r="AZ219" s="87" t="str">
        <f>IF(Dyn_Insured="","",IF(ISNUMBER(AV219)=FALSE,"n/a",MIN(MAX(AV219-'Layer Comparison'!Excess_Past,0),'Layer Comparison'!Limit_Past)))</f>
        <v/>
      </c>
      <c r="BA219" s="87" t="str">
        <f>IF(Dyn_Insured="","",IF(ISNUMBER(AW219)=FALSE,"n/a",MIN(MAX(AW219-'Layer Comparison'!Excess_Latest,0),'Layer Comparison'!Limit_Latest)))</f>
        <v/>
      </c>
      <c r="BB219" s="87" t="str">
        <f t="shared" si="428"/>
        <v/>
      </c>
      <c r="BC219" s="88" t="str">
        <f t="shared" si="429"/>
        <v/>
      </c>
      <c r="BD219" s="87" t="s">
        <v>50</v>
      </c>
      <c r="BE219" s="87" t="s">
        <v>50</v>
      </c>
      <c r="BF219" s="87" t="str">
        <f t="shared" si="430"/>
        <v/>
      </c>
      <c r="BG219" s="88" t="str">
        <f t="shared" si="431"/>
        <v/>
      </c>
      <c r="BH219" s="87" t="str">
        <f>IF(Dyn_Insured="","",IF(ISNUMBER(BD219)=FALSE,"n/a",MIN(MAX(BD219-'Layer Comparison'!Excess_Past,0),'Layer Comparison'!Limit_Past)))</f>
        <v/>
      </c>
      <c r="BI219" s="87" t="str">
        <f>IF(Dyn_Insured="","",IF(ISNUMBER(BE219)=FALSE,"n/a",MIN(MAX(BE219-'Layer Comparison'!Excess_Latest,0),'Layer Comparison'!Limit_Latest)))</f>
        <v/>
      </c>
      <c r="BJ219" s="87" t="str">
        <f t="shared" si="432"/>
        <v/>
      </c>
      <c r="BK219" s="88" t="str">
        <f t="shared" si="433"/>
        <v/>
      </c>
      <c r="BL219" s="87" t="s">
        <v>50</v>
      </c>
      <c r="BM219" s="87" t="s">
        <v>50</v>
      </c>
      <c r="BN219" s="87" t="str">
        <f t="shared" si="434"/>
        <v/>
      </c>
      <c r="BO219" s="88" t="str">
        <f t="shared" si="435"/>
        <v/>
      </c>
      <c r="BP219" s="87" t="str">
        <f>IF(Dyn_Insured="","",IF(ISNUMBER(BL219)=FALSE,"n/a",MIN(MAX(BL219-'Layer Comparison'!Excess_Past,0),'Layer Comparison'!Limit_Past)))</f>
        <v/>
      </c>
      <c r="BQ219" s="87" t="str">
        <f>IF(Dyn_Insured="","",IF(ISNUMBER(BM219)=FALSE,"n/a",MIN(MAX(BM219-'Layer Comparison'!Excess_Latest,0),'Layer Comparison'!Limit_Latest)))</f>
        <v/>
      </c>
      <c r="BR219" s="87" t="str">
        <f t="shared" si="436"/>
        <v/>
      </c>
      <c r="BS219" s="88" t="str">
        <f t="shared" si="437"/>
        <v/>
      </c>
      <c r="BT219" s="46" t="s">
        <v>13</v>
      </c>
    </row>
    <row r="220" spans="1:72" hidden="1" outlineLevel="1" x14ac:dyDescent="0.25">
      <c r="A220" s="89" t="s">
        <v>54</v>
      </c>
      <c r="B220" s="89">
        <f t="shared" si="403"/>
        <v>0</v>
      </c>
      <c r="C220" s="89">
        <f t="shared" si="404"/>
        <v>0</v>
      </c>
      <c r="D220" s="90">
        <f t="shared" si="438"/>
        <v>0</v>
      </c>
      <c r="E220" s="90">
        <f t="shared" si="438"/>
        <v>0</v>
      </c>
      <c r="F220" s="48" t="s">
        <v>50</v>
      </c>
      <c r="G220" s="38" t="s">
        <v>50</v>
      </c>
      <c r="H220" s="87" t="s">
        <v>50</v>
      </c>
      <c r="I220" s="87" t="s">
        <v>50</v>
      </c>
      <c r="J220" s="87" t="str">
        <f t="shared" si="406"/>
        <v/>
      </c>
      <c r="K220" s="88" t="str">
        <f t="shared" si="407"/>
        <v/>
      </c>
      <c r="L220" s="87" t="str">
        <f>IF(Dyn_Insured="","",IF(ISNUMBER(H220)=FALSE,"n/a",MIN(MAX(H220-'Layer Comparison'!Excess_Past,0),'Layer Comparison'!Limit_Past)))</f>
        <v/>
      </c>
      <c r="M220" s="87" t="str">
        <f>IF(Dyn_Insured="","",IF(ISNUMBER(I220)=FALSE,"n/a",MIN(MAX(I220-'Layer Comparison'!Excess_Latest,0),'Layer Comparison'!Limit_Latest)))</f>
        <v/>
      </c>
      <c r="N220" s="87" t="str">
        <f t="shared" si="408"/>
        <v/>
      </c>
      <c r="O220" s="88" t="str">
        <f t="shared" si="409"/>
        <v/>
      </c>
      <c r="P220" s="87" t="s">
        <v>50</v>
      </c>
      <c r="Q220" s="87" t="s">
        <v>50</v>
      </c>
      <c r="R220" s="87" t="str">
        <f t="shared" si="410"/>
        <v/>
      </c>
      <c r="S220" s="88" t="str">
        <f t="shared" si="411"/>
        <v/>
      </c>
      <c r="T220" s="87" t="str">
        <f>IF(Dyn_Insured="","",IF(ISNUMBER(P220)=FALSE,"n/a",MIN(MAX(P220-'Layer Comparison'!Excess_Past,0),'Layer Comparison'!Limit_Past)))</f>
        <v/>
      </c>
      <c r="U220" s="87" t="str">
        <f>IF(Dyn_Insured="","",IF(ISNUMBER(Q220)=FALSE,"n/a",MIN(MAX(Q220-'Layer Comparison'!Excess_Latest,0),'Layer Comparison'!Limit_Latest)))</f>
        <v/>
      </c>
      <c r="V220" s="87" t="str">
        <f t="shared" si="412"/>
        <v/>
      </c>
      <c r="W220" s="88" t="str">
        <f t="shared" si="413"/>
        <v/>
      </c>
      <c r="X220" s="87" t="s">
        <v>50</v>
      </c>
      <c r="Y220" s="87" t="s">
        <v>50</v>
      </c>
      <c r="Z220" s="87" t="str">
        <f t="shared" si="414"/>
        <v/>
      </c>
      <c r="AA220" s="88" t="str">
        <f t="shared" si="415"/>
        <v/>
      </c>
      <c r="AB220" s="87" t="str">
        <f>IF(Dyn_Insured="","",IF(ISNUMBER(X220)=FALSE,"n/a",MIN(MAX(X220-'Layer Comparison'!Excess_Past,0),'Layer Comparison'!Limit_Past)))</f>
        <v/>
      </c>
      <c r="AC220" s="87" t="str">
        <f>IF(Dyn_Insured="","",IF(ISNUMBER(Y220)=FALSE,"n/a",MIN(MAX(Y220-'Layer Comparison'!Excess_Latest,0),'Layer Comparison'!Limit_Latest)))</f>
        <v/>
      </c>
      <c r="AD220" s="87" t="str">
        <f t="shared" si="416"/>
        <v/>
      </c>
      <c r="AE220" s="88" t="str">
        <f t="shared" si="417"/>
        <v/>
      </c>
      <c r="AF220" s="87" t="s">
        <v>50</v>
      </c>
      <c r="AG220" s="87" t="s">
        <v>50</v>
      </c>
      <c r="AH220" s="87" t="str">
        <f t="shared" si="418"/>
        <v/>
      </c>
      <c r="AI220" s="88" t="str">
        <f t="shared" si="419"/>
        <v/>
      </c>
      <c r="AJ220" s="87" t="str">
        <f>IF(Dyn_Insured="","",IF(ISNUMBER(AF220)=FALSE,"n/a",MIN(MAX(AF220-'Layer Comparison'!Excess_Past,0),'Layer Comparison'!Limit_Past)))</f>
        <v/>
      </c>
      <c r="AK220" s="87" t="str">
        <f>IF(Dyn_Insured="","",IF(ISNUMBER(AG220)=FALSE,"n/a",MIN(MAX(AG220-'Layer Comparison'!Excess_Latest,0),'Layer Comparison'!Limit_Latest)))</f>
        <v/>
      </c>
      <c r="AL220" s="87" t="str">
        <f t="shared" si="420"/>
        <v/>
      </c>
      <c r="AM220" s="88" t="str">
        <f t="shared" si="421"/>
        <v/>
      </c>
      <c r="AN220" s="87" t="s">
        <v>50</v>
      </c>
      <c r="AO220" s="87" t="s">
        <v>50</v>
      </c>
      <c r="AP220" s="87" t="str">
        <f t="shared" si="422"/>
        <v/>
      </c>
      <c r="AQ220" s="88" t="str">
        <f t="shared" si="423"/>
        <v/>
      </c>
      <c r="AR220" s="87" t="str">
        <f>IF(Dyn_Insured="","",IF(ISNUMBER(AN220)=FALSE,"n/a",MIN(MAX(AN220-'Layer Comparison'!Excess_Past,0),'Layer Comparison'!Limit_Past)))</f>
        <v/>
      </c>
      <c r="AS220" s="87" t="str">
        <f>IF(Dyn_Insured="","",IF(ISNUMBER(AO220)=FALSE,"n/a",MIN(MAX(AO220-'Layer Comparison'!Excess_Latest,0),'Layer Comparison'!Limit_Latest)))</f>
        <v/>
      </c>
      <c r="AT220" s="87" t="str">
        <f t="shared" si="424"/>
        <v/>
      </c>
      <c r="AU220" s="88" t="str">
        <f t="shared" si="425"/>
        <v/>
      </c>
      <c r="AV220" s="87" t="s">
        <v>50</v>
      </c>
      <c r="AW220" s="87" t="s">
        <v>50</v>
      </c>
      <c r="AX220" s="87" t="str">
        <f t="shared" si="426"/>
        <v/>
      </c>
      <c r="AY220" s="88" t="str">
        <f t="shared" si="427"/>
        <v/>
      </c>
      <c r="AZ220" s="87" t="str">
        <f>IF(Dyn_Insured="","",IF(ISNUMBER(AV220)=FALSE,"n/a",MIN(MAX(AV220-'Layer Comparison'!Excess_Past,0),'Layer Comparison'!Limit_Past)))</f>
        <v/>
      </c>
      <c r="BA220" s="87" t="str">
        <f>IF(Dyn_Insured="","",IF(ISNUMBER(AW220)=FALSE,"n/a",MIN(MAX(AW220-'Layer Comparison'!Excess_Latest,0),'Layer Comparison'!Limit_Latest)))</f>
        <v/>
      </c>
      <c r="BB220" s="87" t="str">
        <f t="shared" si="428"/>
        <v/>
      </c>
      <c r="BC220" s="88" t="str">
        <f t="shared" si="429"/>
        <v/>
      </c>
      <c r="BD220" s="87" t="s">
        <v>50</v>
      </c>
      <c r="BE220" s="87" t="s">
        <v>50</v>
      </c>
      <c r="BF220" s="87" t="str">
        <f t="shared" si="430"/>
        <v/>
      </c>
      <c r="BG220" s="88" t="str">
        <f t="shared" si="431"/>
        <v/>
      </c>
      <c r="BH220" s="87" t="str">
        <f>IF(Dyn_Insured="","",IF(ISNUMBER(BD220)=FALSE,"n/a",MIN(MAX(BD220-'Layer Comparison'!Excess_Past,0),'Layer Comparison'!Limit_Past)))</f>
        <v/>
      </c>
      <c r="BI220" s="87" t="str">
        <f>IF(Dyn_Insured="","",IF(ISNUMBER(BE220)=FALSE,"n/a",MIN(MAX(BE220-'Layer Comparison'!Excess_Latest,0),'Layer Comparison'!Limit_Latest)))</f>
        <v/>
      </c>
      <c r="BJ220" s="87" t="str">
        <f t="shared" si="432"/>
        <v/>
      </c>
      <c r="BK220" s="88" t="str">
        <f t="shared" si="433"/>
        <v/>
      </c>
      <c r="BL220" s="87" t="s">
        <v>50</v>
      </c>
      <c r="BM220" s="87" t="s">
        <v>50</v>
      </c>
      <c r="BN220" s="87" t="str">
        <f t="shared" si="434"/>
        <v/>
      </c>
      <c r="BO220" s="88" t="str">
        <f t="shared" si="435"/>
        <v/>
      </c>
      <c r="BP220" s="87" t="str">
        <f>IF(Dyn_Insured="","",IF(ISNUMBER(BL220)=FALSE,"n/a",MIN(MAX(BL220-'Layer Comparison'!Excess_Past,0),'Layer Comparison'!Limit_Past)))</f>
        <v/>
      </c>
      <c r="BQ220" s="87" t="str">
        <f>IF(Dyn_Insured="","",IF(ISNUMBER(BM220)=FALSE,"n/a",MIN(MAX(BM220-'Layer Comparison'!Excess_Latest,0),'Layer Comparison'!Limit_Latest)))</f>
        <v/>
      </c>
      <c r="BR220" s="87" t="str">
        <f t="shared" si="436"/>
        <v/>
      </c>
      <c r="BS220" s="88" t="str">
        <f t="shared" si="437"/>
        <v/>
      </c>
      <c r="BT220" s="46" t="s">
        <v>13</v>
      </c>
    </row>
    <row r="221" spans="1:72" hidden="1" outlineLevel="1" x14ac:dyDescent="0.25">
      <c r="A221" s="89" t="s">
        <v>54</v>
      </c>
      <c r="B221" s="89">
        <f t="shared" si="403"/>
        <v>0</v>
      </c>
      <c r="C221" s="89">
        <f t="shared" si="404"/>
        <v>0</v>
      </c>
      <c r="D221" s="90">
        <f t="shared" si="438"/>
        <v>0</v>
      </c>
      <c r="E221" s="90">
        <f t="shared" si="438"/>
        <v>0</v>
      </c>
      <c r="F221" s="48" t="s">
        <v>50</v>
      </c>
      <c r="G221" s="38" t="s">
        <v>50</v>
      </c>
      <c r="H221" s="87" t="s">
        <v>50</v>
      </c>
      <c r="I221" s="87" t="s">
        <v>50</v>
      </c>
      <c r="J221" s="87" t="str">
        <f t="shared" si="406"/>
        <v/>
      </c>
      <c r="K221" s="88" t="str">
        <f t="shared" si="407"/>
        <v/>
      </c>
      <c r="L221" s="87" t="str">
        <f>IF(Dyn_Insured="","",IF(ISNUMBER(H221)=FALSE,"n/a",MIN(MAX(H221-'Layer Comparison'!Excess_Past,0),'Layer Comparison'!Limit_Past)))</f>
        <v/>
      </c>
      <c r="M221" s="87" t="str">
        <f>IF(Dyn_Insured="","",IF(ISNUMBER(I221)=FALSE,"n/a",MIN(MAX(I221-'Layer Comparison'!Excess_Latest,0),'Layer Comparison'!Limit_Latest)))</f>
        <v/>
      </c>
      <c r="N221" s="87" t="str">
        <f t="shared" si="408"/>
        <v/>
      </c>
      <c r="O221" s="88" t="str">
        <f t="shared" si="409"/>
        <v/>
      </c>
      <c r="P221" s="87" t="s">
        <v>50</v>
      </c>
      <c r="Q221" s="87" t="s">
        <v>50</v>
      </c>
      <c r="R221" s="87" t="str">
        <f t="shared" si="410"/>
        <v/>
      </c>
      <c r="S221" s="88" t="str">
        <f t="shared" si="411"/>
        <v/>
      </c>
      <c r="T221" s="87" t="str">
        <f>IF(Dyn_Insured="","",IF(ISNUMBER(P221)=FALSE,"n/a",MIN(MAX(P221-'Layer Comparison'!Excess_Past,0),'Layer Comparison'!Limit_Past)))</f>
        <v/>
      </c>
      <c r="U221" s="87" t="str">
        <f>IF(Dyn_Insured="","",IF(ISNUMBER(Q221)=FALSE,"n/a",MIN(MAX(Q221-'Layer Comparison'!Excess_Latest,0),'Layer Comparison'!Limit_Latest)))</f>
        <v/>
      </c>
      <c r="V221" s="87" t="str">
        <f t="shared" si="412"/>
        <v/>
      </c>
      <c r="W221" s="88" t="str">
        <f t="shared" si="413"/>
        <v/>
      </c>
      <c r="X221" s="87" t="s">
        <v>50</v>
      </c>
      <c r="Y221" s="87" t="s">
        <v>50</v>
      </c>
      <c r="Z221" s="87" t="str">
        <f t="shared" si="414"/>
        <v/>
      </c>
      <c r="AA221" s="88" t="str">
        <f t="shared" si="415"/>
        <v/>
      </c>
      <c r="AB221" s="87" t="str">
        <f>IF(Dyn_Insured="","",IF(ISNUMBER(X221)=FALSE,"n/a",MIN(MAX(X221-'Layer Comparison'!Excess_Past,0),'Layer Comparison'!Limit_Past)))</f>
        <v/>
      </c>
      <c r="AC221" s="87" t="str">
        <f>IF(Dyn_Insured="","",IF(ISNUMBER(Y221)=FALSE,"n/a",MIN(MAX(Y221-'Layer Comparison'!Excess_Latest,0),'Layer Comparison'!Limit_Latest)))</f>
        <v/>
      </c>
      <c r="AD221" s="87" t="str">
        <f t="shared" si="416"/>
        <v/>
      </c>
      <c r="AE221" s="88" t="str">
        <f t="shared" si="417"/>
        <v/>
      </c>
      <c r="AF221" s="87" t="s">
        <v>50</v>
      </c>
      <c r="AG221" s="87" t="s">
        <v>50</v>
      </c>
      <c r="AH221" s="87" t="str">
        <f t="shared" si="418"/>
        <v/>
      </c>
      <c r="AI221" s="88" t="str">
        <f t="shared" si="419"/>
        <v/>
      </c>
      <c r="AJ221" s="87" t="str">
        <f>IF(Dyn_Insured="","",IF(ISNUMBER(AF221)=FALSE,"n/a",MIN(MAX(AF221-'Layer Comparison'!Excess_Past,0),'Layer Comparison'!Limit_Past)))</f>
        <v/>
      </c>
      <c r="AK221" s="87" t="str">
        <f>IF(Dyn_Insured="","",IF(ISNUMBER(AG221)=FALSE,"n/a",MIN(MAX(AG221-'Layer Comparison'!Excess_Latest,0),'Layer Comparison'!Limit_Latest)))</f>
        <v/>
      </c>
      <c r="AL221" s="87" t="str">
        <f t="shared" si="420"/>
        <v/>
      </c>
      <c r="AM221" s="88" t="str">
        <f t="shared" si="421"/>
        <v/>
      </c>
      <c r="AN221" s="87" t="s">
        <v>50</v>
      </c>
      <c r="AO221" s="87" t="s">
        <v>50</v>
      </c>
      <c r="AP221" s="87" t="str">
        <f t="shared" si="422"/>
        <v/>
      </c>
      <c r="AQ221" s="88" t="str">
        <f t="shared" si="423"/>
        <v/>
      </c>
      <c r="AR221" s="87" t="str">
        <f>IF(Dyn_Insured="","",IF(ISNUMBER(AN221)=FALSE,"n/a",MIN(MAX(AN221-'Layer Comparison'!Excess_Past,0),'Layer Comparison'!Limit_Past)))</f>
        <v/>
      </c>
      <c r="AS221" s="87" t="str">
        <f>IF(Dyn_Insured="","",IF(ISNUMBER(AO221)=FALSE,"n/a",MIN(MAX(AO221-'Layer Comparison'!Excess_Latest,0),'Layer Comparison'!Limit_Latest)))</f>
        <v/>
      </c>
      <c r="AT221" s="87" t="str">
        <f t="shared" si="424"/>
        <v/>
      </c>
      <c r="AU221" s="88" t="str">
        <f t="shared" si="425"/>
        <v/>
      </c>
      <c r="AV221" s="87" t="s">
        <v>50</v>
      </c>
      <c r="AW221" s="87" t="s">
        <v>50</v>
      </c>
      <c r="AX221" s="87" t="str">
        <f t="shared" si="426"/>
        <v/>
      </c>
      <c r="AY221" s="88" t="str">
        <f t="shared" si="427"/>
        <v/>
      </c>
      <c r="AZ221" s="87" t="str">
        <f>IF(Dyn_Insured="","",IF(ISNUMBER(AV221)=FALSE,"n/a",MIN(MAX(AV221-'Layer Comparison'!Excess_Past,0),'Layer Comparison'!Limit_Past)))</f>
        <v/>
      </c>
      <c r="BA221" s="87" t="str">
        <f>IF(Dyn_Insured="","",IF(ISNUMBER(AW221)=FALSE,"n/a",MIN(MAX(AW221-'Layer Comparison'!Excess_Latest,0),'Layer Comparison'!Limit_Latest)))</f>
        <v/>
      </c>
      <c r="BB221" s="87" t="str">
        <f t="shared" si="428"/>
        <v/>
      </c>
      <c r="BC221" s="88" t="str">
        <f t="shared" si="429"/>
        <v/>
      </c>
      <c r="BD221" s="87" t="s">
        <v>50</v>
      </c>
      <c r="BE221" s="87" t="s">
        <v>50</v>
      </c>
      <c r="BF221" s="87" t="str">
        <f t="shared" si="430"/>
        <v/>
      </c>
      <c r="BG221" s="88" t="str">
        <f t="shared" si="431"/>
        <v/>
      </c>
      <c r="BH221" s="87" t="str">
        <f>IF(Dyn_Insured="","",IF(ISNUMBER(BD221)=FALSE,"n/a",MIN(MAX(BD221-'Layer Comparison'!Excess_Past,0),'Layer Comparison'!Limit_Past)))</f>
        <v/>
      </c>
      <c r="BI221" s="87" t="str">
        <f>IF(Dyn_Insured="","",IF(ISNUMBER(BE221)=FALSE,"n/a",MIN(MAX(BE221-'Layer Comparison'!Excess_Latest,0),'Layer Comparison'!Limit_Latest)))</f>
        <v/>
      </c>
      <c r="BJ221" s="87" t="str">
        <f t="shared" si="432"/>
        <v/>
      </c>
      <c r="BK221" s="88" t="str">
        <f t="shared" si="433"/>
        <v/>
      </c>
      <c r="BL221" s="87" t="s">
        <v>50</v>
      </c>
      <c r="BM221" s="87" t="s">
        <v>50</v>
      </c>
      <c r="BN221" s="87" t="str">
        <f t="shared" si="434"/>
        <v/>
      </c>
      <c r="BO221" s="88" t="str">
        <f t="shared" si="435"/>
        <v/>
      </c>
      <c r="BP221" s="87" t="str">
        <f>IF(Dyn_Insured="","",IF(ISNUMBER(BL221)=FALSE,"n/a",MIN(MAX(BL221-'Layer Comparison'!Excess_Past,0),'Layer Comparison'!Limit_Past)))</f>
        <v/>
      </c>
      <c r="BQ221" s="87" t="str">
        <f>IF(Dyn_Insured="","",IF(ISNUMBER(BM221)=FALSE,"n/a",MIN(MAX(BM221-'Layer Comparison'!Excess_Latest,0),'Layer Comparison'!Limit_Latest)))</f>
        <v/>
      </c>
      <c r="BR221" s="87" t="str">
        <f t="shared" si="436"/>
        <v/>
      </c>
      <c r="BS221" s="88" t="str">
        <f t="shared" si="437"/>
        <v/>
      </c>
      <c r="BT221" s="46" t="s">
        <v>13</v>
      </c>
    </row>
    <row r="222" spans="1:72" ht="13.8" collapsed="1" thickBot="1" x14ac:dyDescent="0.3">
      <c r="A222" s="91" t="s">
        <v>14</v>
      </c>
      <c r="B222" s="91"/>
      <c r="C222" s="91"/>
      <c r="D222" s="92"/>
      <c r="E222" s="92"/>
      <c r="F222" s="93"/>
      <c r="G222" s="94"/>
      <c r="H222" s="131"/>
      <c r="I222" s="131"/>
      <c r="J222" s="131"/>
      <c r="K222" s="94"/>
      <c r="L222" s="131"/>
      <c r="M222" s="131"/>
      <c r="N222" s="131"/>
      <c r="O222" s="94"/>
      <c r="P222" s="131"/>
      <c r="Q222" s="131"/>
      <c r="R222" s="131"/>
      <c r="S222" s="94"/>
      <c r="T222" s="131"/>
      <c r="U222" s="131"/>
      <c r="V222" s="131"/>
      <c r="W222" s="94"/>
      <c r="X222" s="131"/>
      <c r="Y222" s="131"/>
      <c r="Z222" s="131"/>
      <c r="AA222" s="94"/>
      <c r="AB222" s="131"/>
      <c r="AC222" s="131"/>
      <c r="AD222" s="131"/>
      <c r="AE222" s="94"/>
      <c r="AF222" s="131"/>
      <c r="AG222" s="131"/>
      <c r="AH222" s="131"/>
      <c r="AI222" s="94"/>
      <c r="AJ222" s="131"/>
      <c r="AK222" s="131"/>
      <c r="AL222" s="131"/>
      <c r="AM222" s="94"/>
      <c r="AN222" s="131"/>
      <c r="AO222" s="131"/>
      <c r="AP222" s="131"/>
      <c r="AQ222" s="94"/>
      <c r="AR222" s="131"/>
      <c r="AS222" s="131"/>
      <c r="AT222" s="131"/>
      <c r="AU222" s="94"/>
      <c r="AV222" s="131"/>
      <c r="AW222" s="131"/>
      <c r="AX222" s="131"/>
      <c r="AY222" s="94"/>
      <c r="AZ222" s="131"/>
      <c r="BA222" s="131"/>
      <c r="BB222" s="131"/>
      <c r="BC222" s="94"/>
      <c r="BD222" s="131"/>
      <c r="BE222" s="131"/>
      <c r="BF222" s="131"/>
      <c r="BG222" s="94"/>
      <c r="BH222" s="131"/>
      <c r="BI222" s="131"/>
      <c r="BJ222" s="131"/>
      <c r="BK222" s="94"/>
      <c r="BL222" s="131"/>
      <c r="BM222" s="131"/>
      <c r="BN222" s="131"/>
      <c r="BO222" s="94"/>
      <c r="BP222" s="131"/>
      <c r="BQ222" s="131"/>
      <c r="BR222" s="131"/>
      <c r="BS222" s="94"/>
      <c r="BT222" s="97"/>
    </row>
    <row r="223" spans="1:72" x14ac:dyDescent="0.25">
      <c r="A223" s="126" t="s">
        <v>15</v>
      </c>
      <c r="D223" s="99"/>
      <c r="E223" s="99"/>
      <c r="F223" s="99" t="str">
        <f>$F$95</f>
        <v>Total</v>
      </c>
      <c r="G223" s="100" t="s">
        <v>38</v>
      </c>
      <c r="H223" s="99">
        <f ca="1">SUBTOTAL(9,H$182:OFFSET(H223,-1,0))</f>
        <v>36084867.9991</v>
      </c>
      <c r="I223" s="99">
        <f ca="1">SUBTOTAL(9,I$182:OFFSET(I223,-1,0))</f>
        <v>36726370.884600006</v>
      </c>
      <c r="J223" s="99">
        <f t="shared" ref="J223:J228" ca="1" si="439">SUM(I223,-H223)</f>
        <v>641502.88550000638</v>
      </c>
      <c r="K223" s="101">
        <f t="shared" ref="K223:K229" ca="1" si="440">SUM(J223)</f>
        <v>641502.88550000638</v>
      </c>
      <c r="L223" s="99">
        <f ca="1">SUBTOTAL(9,L$182:OFFSET(L223,-1,0))</f>
        <v>0</v>
      </c>
      <c r="M223" s="99">
        <f ca="1">SUBTOTAL(9,M$182:OFFSET(M223,-1,0))</f>
        <v>0</v>
      </c>
      <c r="N223" s="99">
        <f t="shared" ref="N223:N228" ca="1" si="441">SUM(M223,-L223)</f>
        <v>0</v>
      </c>
      <c r="O223" s="101">
        <f t="shared" ref="O223:O228" ca="1" si="442">SUM(N223)</f>
        <v>0</v>
      </c>
      <c r="P223" s="99">
        <f ca="1">SUBTOTAL(9,P$182:OFFSET(P223,-1,0))</f>
        <v>232636060.77100006</v>
      </c>
      <c r="Q223" s="99">
        <f ca="1">SUBTOTAL(9,Q$182:OFFSET(Q223,-1,0))</f>
        <v>220455735.91000003</v>
      </c>
      <c r="R223" s="99">
        <f t="shared" ref="R223:R228" ca="1" si="443">SUM(Q223,-P223)</f>
        <v>-12180324.861000031</v>
      </c>
      <c r="S223" s="101">
        <f t="shared" ref="S223:S229" ca="1" si="444">SUM(R223)</f>
        <v>-12180324.861000031</v>
      </c>
      <c r="T223" s="99">
        <f ca="1">SUBTOTAL(9,T$182:OFFSET(T223,-1,0))</f>
        <v>0</v>
      </c>
      <c r="U223" s="99">
        <f ca="1">SUBTOTAL(9,U$182:OFFSET(U223,-1,0))</f>
        <v>0</v>
      </c>
      <c r="V223" s="99">
        <f t="shared" ref="V223:V228" ca="1" si="445">SUM(U223,-T223)</f>
        <v>0</v>
      </c>
      <c r="W223" s="101">
        <f t="shared" ref="W223:W228" ca="1" si="446">SUM(V223)</f>
        <v>0</v>
      </c>
      <c r="X223" s="99">
        <f ca="1">SUBTOTAL(9,X$182:OFFSET(X223,-1,0))</f>
        <v>455199823.29330009</v>
      </c>
      <c r="Y223" s="99">
        <f ca="1">SUBTOTAL(9,Y$182:OFFSET(Y223,-1,0))</f>
        <v>441256371.24089998</v>
      </c>
      <c r="Z223" s="99">
        <f t="shared" ref="Z223:Z228" ca="1" si="447">SUM(Y223,-X223)</f>
        <v>-13943452.052400112</v>
      </c>
      <c r="AA223" s="101">
        <f t="shared" ref="AA223:AA229" ca="1" si="448">SUM(Z223)</f>
        <v>-13943452.052400112</v>
      </c>
      <c r="AB223" s="99">
        <f ca="1">SUBTOTAL(9,AB$182:OFFSET(AB223,-1,0))</f>
        <v>133718614.26919998</v>
      </c>
      <c r="AC223" s="99">
        <f ca="1">SUBTOTAL(9,AC$182:OFFSET(AC223,-1,0))</f>
        <v>131877106.31559996</v>
      </c>
      <c r="AD223" s="99">
        <f t="shared" ref="AD223:AD228" ca="1" si="449">SUM(AC223,-AB223)</f>
        <v>-1841507.9536000192</v>
      </c>
      <c r="AE223" s="101">
        <f t="shared" ref="AE223:AE228" ca="1" si="450">SUM(AD223)</f>
        <v>-1841507.9536000192</v>
      </c>
      <c r="AF223" s="99">
        <f ca="1">SUBTOTAL(9,AF$182:OFFSET(AF223,-1,0))</f>
        <v>699458664.22710025</v>
      </c>
      <c r="AG223" s="99">
        <f ca="1">SUBTOTAL(9,AG$182:OFFSET(AG223,-1,0))</f>
        <v>685447969.22880006</v>
      </c>
      <c r="AH223" s="99">
        <f t="shared" ref="AH223:AH228" ca="1" si="451">SUM(AG223,-AF223)</f>
        <v>-14010694.998300195</v>
      </c>
      <c r="AI223" s="101">
        <f t="shared" ref="AI223:AI229" ca="1" si="452">SUM(AH223)</f>
        <v>-14010694.998300195</v>
      </c>
      <c r="AJ223" s="99">
        <f ca="1">SUBTOTAL(9,AJ$182:OFFSET(AJ223,-1,0))</f>
        <v>374536200.98179996</v>
      </c>
      <c r="AK223" s="99">
        <f ca="1">SUBTOTAL(9,AK$182:OFFSET(AK223,-1,0))</f>
        <v>370603002.45270002</v>
      </c>
      <c r="AL223" s="99">
        <f t="shared" ref="AL223:AL228" ca="1" si="453">SUM(AK223,-AJ223)</f>
        <v>-3933198.5290999413</v>
      </c>
      <c r="AM223" s="101">
        <f t="shared" ref="AM223:AM228" ca="1" si="454">SUM(AL223)</f>
        <v>-3933198.5290999413</v>
      </c>
      <c r="AN223" s="99">
        <f ca="1">SUBTOTAL(9,AN$182:OFFSET(AN223,-1,0))</f>
        <v>1177961479.1996</v>
      </c>
      <c r="AO223" s="99">
        <f ca="1">SUBTOTAL(9,AO$182:OFFSET(AO223,-1,0))</f>
        <v>1176274795.8149002</v>
      </c>
      <c r="AP223" s="99">
        <f t="shared" ref="AP223:AP228" ca="1" si="455">SUM(AO223,-AN223)</f>
        <v>-1686683.3846998215</v>
      </c>
      <c r="AQ223" s="101">
        <f t="shared" ref="AQ223:AQ229" ca="1" si="456">SUM(AP223)</f>
        <v>-1686683.3846998215</v>
      </c>
      <c r="AR223" s="99">
        <f ca="1">SUBTOTAL(9,AR$182:OFFSET(AR223,-1,0))</f>
        <v>847961479.19959998</v>
      </c>
      <c r="AS223" s="99">
        <f ca="1">SUBTOTAL(9,AS$182:OFFSET(AS223,-1,0))</f>
        <v>861055158.72800004</v>
      </c>
      <c r="AT223" s="99">
        <f t="shared" ref="AT223:AT228" ca="1" si="457">SUM(AS223,-AR223)</f>
        <v>13093679.528400064</v>
      </c>
      <c r="AU223" s="101">
        <f t="shared" ref="AU223:AU228" ca="1" si="458">SUM(AT223)</f>
        <v>13093679.528400064</v>
      </c>
      <c r="AV223" s="99">
        <f ca="1">SUBTOTAL(9,AV$182:OFFSET(AV223,-1,0))</f>
        <v>1531047771.5895004</v>
      </c>
      <c r="AW223" s="99">
        <f ca="1">SUBTOTAL(9,AW$182:OFFSET(AW223,-1,0))</f>
        <v>1531887713.8573999</v>
      </c>
      <c r="AX223" s="99">
        <f t="shared" ref="AX223:AX228" ca="1" si="459">SUM(AW223,-AV223)</f>
        <v>839942.26789951324</v>
      </c>
      <c r="AY223" s="101">
        <f t="shared" ref="AY223:AY229" ca="1" si="460">SUM(AX223)</f>
        <v>839942.26789951324</v>
      </c>
      <c r="AZ223" s="99">
        <f ca="1">SUBTOTAL(9,AZ$182:OFFSET(AZ223,-1,0))</f>
        <v>1201047771.5895</v>
      </c>
      <c r="BA223" s="99">
        <f ca="1">SUBTOTAL(9,BA$182:OFFSET(BA223,-1,0))</f>
        <v>1216649260.7498996</v>
      </c>
      <c r="BB223" s="99">
        <f t="shared" ref="BB223:BB228" ca="1" si="461">SUM(BA223,-AZ223)</f>
        <v>15601489.160399675</v>
      </c>
      <c r="BC223" s="101">
        <f t="shared" ref="BC223:BC228" ca="1" si="462">SUM(BB223)</f>
        <v>15601489.160399675</v>
      </c>
      <c r="BD223" s="99">
        <f ca="1">SUBTOTAL(9,BD$182:OFFSET(BD223,-1,0))</f>
        <v>1711337044.7375</v>
      </c>
      <c r="BE223" s="99">
        <f ca="1">SUBTOTAL(9,BE$182:OFFSET(BE223,-1,0))</f>
        <v>1707418339.9008002</v>
      </c>
      <c r="BF223" s="99">
        <f t="shared" ref="BF223:BF228" ca="1" si="463">SUM(BE223,-BD223)</f>
        <v>-3918704.8366997242</v>
      </c>
      <c r="BG223" s="101">
        <f t="shared" ref="BG223:BG229" ca="1" si="464">SUM(BF223)</f>
        <v>-3918704.8366997242</v>
      </c>
      <c r="BH223" s="99">
        <f ca="1">SUBTOTAL(9,BH$182:OFFSET(BH223,-1,0))</f>
        <v>1381337044.7375</v>
      </c>
      <c r="BI223" s="99">
        <f ca="1">SUBTOTAL(9,BI$182:OFFSET(BI223,-1,0))</f>
        <v>1392179886.7933002</v>
      </c>
      <c r="BJ223" s="99">
        <f t="shared" ref="BJ223:BJ228" ca="1" si="465">SUM(BI223,-BH223)</f>
        <v>10842842.0558002</v>
      </c>
      <c r="BK223" s="101">
        <f t="shared" ref="BK223:BK228" ca="1" si="466">SUM(BJ223)</f>
        <v>10842842.0558002</v>
      </c>
      <c r="BL223" s="99">
        <f ca="1">SUBTOTAL(9,BL$182:OFFSET(BL223,-1,0))</f>
        <v>1810297800.2920003</v>
      </c>
      <c r="BM223" s="99">
        <f ca="1">SUBTOTAL(9,BM$182:OFFSET(BM223,-1,0))</f>
        <v>1788401600.4424005</v>
      </c>
      <c r="BN223" s="99">
        <f t="shared" ref="BN223:BN228" ca="1" si="467">SUM(BM223,-BL223)</f>
        <v>-21896199.849599838</v>
      </c>
      <c r="BO223" s="101">
        <f t="shared" ref="BO223:BO229" ca="1" si="468">SUM(BN223)</f>
        <v>-21896199.849599838</v>
      </c>
      <c r="BP223" s="99">
        <f ca="1">SUBTOTAL(9,BP$182:OFFSET(BP223,-1,0))</f>
        <v>1480297800.2920003</v>
      </c>
      <c r="BQ223" s="99">
        <f ca="1">SUBTOTAL(9,BQ$182:OFFSET(BQ223,-1,0))</f>
        <v>1473163147.3348999</v>
      </c>
      <c r="BR223" s="99">
        <f t="shared" ref="BR223:BR228" ca="1" si="469">SUM(BQ223,-BP223)</f>
        <v>-7134652.9571003914</v>
      </c>
      <c r="BS223" s="101">
        <f t="shared" ref="BS223:BS228" ca="1" si="470">SUM(BR223)</f>
        <v>-7134652.9571003914</v>
      </c>
    </row>
    <row r="224" spans="1:72" x14ac:dyDescent="0.25">
      <c r="A224" s="126" t="s">
        <v>15</v>
      </c>
      <c r="D224" s="102"/>
      <c r="E224" s="102"/>
      <c r="F224" s="102" t="str">
        <f>$F$96</f>
        <v>Max</v>
      </c>
      <c r="G224" s="103" t="s">
        <v>38</v>
      </c>
      <c r="H224" s="102">
        <f ca="1">SUBTOTAL(4,H$182:OFFSET(H223,-1,0))</f>
        <v>3634158.0537000005</v>
      </c>
      <c r="I224" s="102">
        <f ca="1">SUBTOTAL(4,I$182:OFFSET(I223,-1,0))</f>
        <v>3490312.6297000004</v>
      </c>
      <c r="J224" s="102">
        <f t="shared" ca="1" si="439"/>
        <v>-143845.42400000012</v>
      </c>
      <c r="K224" s="104">
        <f t="shared" ca="1" si="440"/>
        <v>-143845.42400000012</v>
      </c>
      <c r="L224" s="102">
        <f ca="1">SUBTOTAL(4,L$182:OFFSET(L223,-1,0))</f>
        <v>0</v>
      </c>
      <c r="M224" s="102">
        <f ca="1">SUBTOTAL(4,M$182:OFFSET(M223,-1,0))</f>
        <v>0</v>
      </c>
      <c r="N224" s="102">
        <f t="shared" ca="1" si="441"/>
        <v>0</v>
      </c>
      <c r="O224" s="104">
        <f t="shared" ca="1" si="442"/>
        <v>0</v>
      </c>
      <c r="P224" s="102">
        <f ca="1">SUBTOTAL(4,P$182:OFFSET(P223,-1,0))</f>
        <v>14278239.619900001</v>
      </c>
      <c r="Q224" s="102">
        <f ca="1">SUBTOTAL(4,Q$182:OFFSET(Q223,-1,0))</f>
        <v>14553985.009699998</v>
      </c>
      <c r="R224" s="102">
        <f t="shared" ca="1" si="443"/>
        <v>275745.38979999721</v>
      </c>
      <c r="S224" s="104">
        <f t="shared" ca="1" si="444"/>
        <v>275745.38979999721</v>
      </c>
      <c r="T224" s="102">
        <f ca="1">SUBTOTAL(4,T$182:OFFSET(T223,-1,0))</f>
        <v>0</v>
      </c>
      <c r="U224" s="102">
        <f ca="1">SUBTOTAL(4,U$182:OFFSET(U223,-1,0))</f>
        <v>0</v>
      </c>
      <c r="V224" s="102">
        <f t="shared" ca="1" si="445"/>
        <v>0</v>
      </c>
      <c r="W224" s="104">
        <f t="shared" ca="1" si="446"/>
        <v>0</v>
      </c>
      <c r="X224" s="102">
        <f ca="1">SUBTOTAL(4,X$182:OFFSET(X223,-1,0))</f>
        <v>27511643.653699998</v>
      </c>
      <c r="Y224" s="102">
        <f ca="1">SUBTOTAL(4,Y$182:OFFSET(Y223,-1,0))</f>
        <v>28515143.750399996</v>
      </c>
      <c r="Z224" s="102">
        <f t="shared" ca="1" si="447"/>
        <v>1003500.0966999978</v>
      </c>
      <c r="AA224" s="104">
        <f t="shared" ca="1" si="448"/>
        <v>1003500.0966999978</v>
      </c>
      <c r="AB224" s="102">
        <f ca="1">SUBTOTAL(4,AB$182:OFFSET(AB223,-1,0))</f>
        <v>12511643.653699998</v>
      </c>
      <c r="AC224" s="102">
        <f ca="1">SUBTOTAL(4,AC$182:OFFSET(AC223,-1,0))</f>
        <v>13515143.750399996</v>
      </c>
      <c r="AD224" s="102">
        <f t="shared" ca="1" si="449"/>
        <v>1003500.0966999978</v>
      </c>
      <c r="AE224" s="104">
        <f t="shared" ca="1" si="450"/>
        <v>1003500.0966999978</v>
      </c>
      <c r="AF224" s="102">
        <f ca="1">SUBTOTAL(4,AF$182:OFFSET(AF223,-1,0))</f>
        <v>42307095.322699994</v>
      </c>
      <c r="AG224" s="102">
        <f ca="1">SUBTOTAL(4,AG$182:OFFSET(AG223,-1,0))</f>
        <v>46590644.781400003</v>
      </c>
      <c r="AH224" s="102">
        <f t="shared" ca="1" si="451"/>
        <v>4283549.4587000087</v>
      </c>
      <c r="AI224" s="104">
        <f t="shared" ca="1" si="452"/>
        <v>4283549.4587000087</v>
      </c>
      <c r="AJ224" s="102">
        <f ca="1">SUBTOTAL(4,AJ$182:OFFSET(AJ223,-1,0))</f>
        <v>27307095.322699994</v>
      </c>
      <c r="AK224" s="102">
        <f ca="1">SUBTOTAL(4,AK$182:OFFSET(AK223,-1,0))</f>
        <v>31590644.781400003</v>
      </c>
      <c r="AL224" s="102">
        <f t="shared" ca="1" si="453"/>
        <v>4283549.4587000087</v>
      </c>
      <c r="AM224" s="104">
        <f t="shared" ca="1" si="454"/>
        <v>4283549.4587000087</v>
      </c>
      <c r="AN224" s="102">
        <f ca="1">SUBTOTAL(4,AN$182:OFFSET(AN223,-1,0))</f>
        <v>72275967.707000017</v>
      </c>
      <c r="AO224" s="102">
        <f ca="1">SUBTOTAL(4,AO$182:OFFSET(AO223,-1,0))</f>
        <v>82789936.040699989</v>
      </c>
      <c r="AP224" s="102">
        <f t="shared" ca="1" si="455"/>
        <v>10513968.333699971</v>
      </c>
      <c r="AQ224" s="104">
        <f t="shared" ca="1" si="456"/>
        <v>10513968.333699971</v>
      </c>
      <c r="AR224" s="102">
        <f ca="1">SUBTOTAL(4,AR$182:OFFSET(AR223,-1,0))</f>
        <v>57275967.707000017</v>
      </c>
      <c r="AS224" s="102">
        <f ca="1">SUBTOTAL(4,AS$182:OFFSET(AS223,-1,0))</f>
        <v>67789936.040699989</v>
      </c>
      <c r="AT224" s="102">
        <f t="shared" ca="1" si="457"/>
        <v>10513968.333699971</v>
      </c>
      <c r="AU224" s="104">
        <f t="shared" ca="1" si="458"/>
        <v>10513968.333699971</v>
      </c>
      <c r="AV224" s="102">
        <f ca="1">SUBTOTAL(4,AV$182:OFFSET(AV223,-1,0))</f>
        <v>100680486.4094</v>
      </c>
      <c r="AW224" s="102">
        <f ca="1">SUBTOTAL(4,AW$182:OFFSET(AW223,-1,0))</f>
        <v>113082102.79339999</v>
      </c>
      <c r="AX224" s="102">
        <f t="shared" ca="1" si="459"/>
        <v>12401616.383999988</v>
      </c>
      <c r="AY224" s="104">
        <f t="shared" ca="1" si="460"/>
        <v>12401616.383999988</v>
      </c>
      <c r="AZ224" s="102">
        <f ca="1">SUBTOTAL(4,AZ$182:OFFSET(AZ223,-1,0))</f>
        <v>85680486.409400001</v>
      </c>
      <c r="BA224" s="102">
        <f ca="1">SUBTOTAL(4,BA$182:OFFSET(BA223,-1,0))</f>
        <v>98082102.79339999</v>
      </c>
      <c r="BB224" s="102">
        <f t="shared" ca="1" si="461"/>
        <v>12401616.383999988</v>
      </c>
      <c r="BC224" s="104">
        <f t="shared" ca="1" si="462"/>
        <v>12401616.383999988</v>
      </c>
      <c r="BD224" s="102">
        <f ca="1">SUBTOTAL(4,BD$182:OFFSET(BD223,-1,0))</f>
        <v>122894165.81909998</v>
      </c>
      <c r="BE224" s="102">
        <f ca="1">SUBTOTAL(4,BE$182:OFFSET(BE223,-1,0))</f>
        <v>124353872.69489996</v>
      </c>
      <c r="BF224" s="102">
        <f t="shared" ca="1" si="463"/>
        <v>1459706.8757999837</v>
      </c>
      <c r="BG224" s="104">
        <f t="shared" ca="1" si="464"/>
        <v>1459706.8757999837</v>
      </c>
      <c r="BH224" s="102">
        <f ca="1">SUBTOTAL(4,BH$182:OFFSET(BH223,-1,0))</f>
        <v>107894165.81909998</v>
      </c>
      <c r="BI224" s="102">
        <f ca="1">SUBTOTAL(4,BI$182:OFFSET(BI223,-1,0))</f>
        <v>109353872.69489996</v>
      </c>
      <c r="BJ224" s="102">
        <f t="shared" ca="1" si="465"/>
        <v>1459706.8757999837</v>
      </c>
      <c r="BK224" s="104">
        <f t="shared" ca="1" si="466"/>
        <v>1459706.8757999837</v>
      </c>
      <c r="BL224" s="102">
        <f ca="1">SUBTOTAL(4,BL$182:OFFSET(BL223,-1,0))</f>
        <v>140069599.79790002</v>
      </c>
      <c r="BM224" s="102">
        <f ca="1">SUBTOTAL(4,BM$182:OFFSET(BM223,-1,0))</f>
        <v>131835522.79810001</v>
      </c>
      <c r="BN224" s="102">
        <f t="shared" ca="1" si="467"/>
        <v>-8234076.9998000115</v>
      </c>
      <c r="BO224" s="104">
        <f t="shared" ca="1" si="468"/>
        <v>-8234076.9998000115</v>
      </c>
      <c r="BP224" s="102">
        <f ca="1">SUBTOTAL(4,BP$182:OFFSET(BP223,-1,0))</f>
        <v>125069599.79790002</v>
      </c>
      <c r="BQ224" s="102">
        <f ca="1">SUBTOTAL(4,BQ$182:OFFSET(BQ223,-1,0))</f>
        <v>116835522.79810001</v>
      </c>
      <c r="BR224" s="102">
        <f t="shared" ca="1" si="469"/>
        <v>-8234076.9998000115</v>
      </c>
      <c r="BS224" s="104">
        <f t="shared" ca="1" si="470"/>
        <v>-8234076.9998000115</v>
      </c>
    </row>
    <row r="225" spans="1:72" hidden="1" outlineLevel="1" x14ac:dyDescent="0.25">
      <c r="A225" s="105" t="s">
        <v>19</v>
      </c>
      <c r="B225" s="105"/>
      <c r="C225" s="105"/>
      <c r="D225" s="102"/>
      <c r="E225" s="102"/>
      <c r="F225" s="102" t="str">
        <f>$F$97</f>
        <v>Min</v>
      </c>
      <c r="G225" s="103" t="s">
        <v>38</v>
      </c>
      <c r="H225" s="102">
        <f ca="1">SUBTOTAL(5,H$182:OFFSET(H223,-1,0))</f>
        <v>433053.33810000005</v>
      </c>
      <c r="I225" s="102">
        <f ca="1">SUBTOTAL(5,I$182:OFFSET(I223,-1,0))</f>
        <v>2118.5446000000002</v>
      </c>
      <c r="J225" s="102">
        <f t="shared" ca="1" si="439"/>
        <v>-430934.79350000003</v>
      </c>
      <c r="K225" s="104">
        <f t="shared" ca="1" si="440"/>
        <v>-430934.79350000003</v>
      </c>
      <c r="L225" s="102">
        <f ca="1">SUBTOTAL(5,L$182:OFFSET(L223,-1,0))</f>
        <v>0</v>
      </c>
      <c r="M225" s="102">
        <f ca="1">SUBTOTAL(5,M$182:OFFSET(M223,-1,0))</f>
        <v>0</v>
      </c>
      <c r="N225" s="102">
        <f t="shared" ca="1" si="441"/>
        <v>0</v>
      </c>
      <c r="O225" s="104">
        <f t="shared" ca="1" si="442"/>
        <v>0</v>
      </c>
      <c r="P225" s="102">
        <f ca="1">SUBTOTAL(5,P$182:OFFSET(P223,-1,0))</f>
        <v>3438835.4995999997</v>
      </c>
      <c r="Q225" s="102">
        <f ca="1">SUBTOTAL(5,Q$182:OFFSET(Q223,-1,0))</f>
        <v>66582.030999999988</v>
      </c>
      <c r="R225" s="102">
        <f t="shared" ca="1" si="443"/>
        <v>-3372253.4685999998</v>
      </c>
      <c r="S225" s="104">
        <f t="shared" ca="1" si="444"/>
        <v>-3372253.4685999998</v>
      </c>
      <c r="T225" s="102">
        <f ca="1">SUBTOTAL(5,T$182:OFFSET(T223,-1,0))</f>
        <v>0</v>
      </c>
      <c r="U225" s="102">
        <f ca="1">SUBTOTAL(5,U$182:OFFSET(U223,-1,0))</f>
        <v>0</v>
      </c>
      <c r="V225" s="102">
        <f t="shared" ca="1" si="445"/>
        <v>0</v>
      </c>
      <c r="W225" s="104">
        <f t="shared" ca="1" si="446"/>
        <v>0</v>
      </c>
      <c r="X225" s="102">
        <f ca="1">SUBTOTAL(5,X$182:OFFSET(X223,-1,0))</f>
        <v>6481209.0241</v>
      </c>
      <c r="Y225" s="102">
        <f ca="1">SUBTOTAL(5,Y$182:OFFSET(Y223,-1,0))</f>
        <v>115297.40609999999</v>
      </c>
      <c r="Z225" s="102">
        <f t="shared" ca="1" si="447"/>
        <v>-6365911.6179999998</v>
      </c>
      <c r="AA225" s="104">
        <f t="shared" ca="1" si="448"/>
        <v>-6365911.6179999998</v>
      </c>
      <c r="AB225" s="102">
        <f ca="1">SUBTOTAL(5,AB$182:OFFSET(AB223,-1,0))</f>
        <v>0</v>
      </c>
      <c r="AC225" s="102">
        <f ca="1">SUBTOTAL(5,AC$182:OFFSET(AC223,-1,0))</f>
        <v>0</v>
      </c>
      <c r="AD225" s="102">
        <f t="shared" ca="1" si="449"/>
        <v>0</v>
      </c>
      <c r="AE225" s="104">
        <f t="shared" ca="1" si="450"/>
        <v>0</v>
      </c>
      <c r="AF225" s="102">
        <f ca="1">SUBTOTAL(5,AF$182:OFFSET(AF223,-1,0))</f>
        <v>9922463.2452999987</v>
      </c>
      <c r="AG225" s="102">
        <f ca="1">SUBTOTAL(5,AG$182:OFFSET(AG223,-1,0))</f>
        <v>159841.93830000001</v>
      </c>
      <c r="AH225" s="102">
        <f t="shared" ca="1" si="451"/>
        <v>-9762621.3069999982</v>
      </c>
      <c r="AI225" s="104">
        <f t="shared" ca="1" si="452"/>
        <v>-9762621.3069999982</v>
      </c>
      <c r="AJ225" s="102">
        <f ca="1">SUBTOTAL(5,AJ$182:OFFSET(AJ223,-1,0))</f>
        <v>0</v>
      </c>
      <c r="AK225" s="102">
        <f ca="1">SUBTOTAL(5,AK$182:OFFSET(AK223,-1,0))</f>
        <v>0</v>
      </c>
      <c r="AL225" s="102">
        <f t="shared" ca="1" si="453"/>
        <v>0</v>
      </c>
      <c r="AM225" s="104">
        <f t="shared" ca="1" si="454"/>
        <v>0</v>
      </c>
      <c r="AN225" s="102">
        <f ca="1">SUBTOTAL(5,AN$182:OFFSET(AN223,-1,0))</f>
        <v>18656000.451499999</v>
      </c>
      <c r="AO225" s="102">
        <f ca="1">SUBTOTAL(5,AO$182:OFFSET(AO223,-1,0))</f>
        <v>219637.08689999999</v>
      </c>
      <c r="AP225" s="102">
        <f t="shared" ca="1" si="455"/>
        <v>-18436363.364599999</v>
      </c>
      <c r="AQ225" s="104">
        <f t="shared" ca="1" si="456"/>
        <v>-18436363.364599999</v>
      </c>
      <c r="AR225" s="102">
        <f ca="1">SUBTOTAL(5,AR$182:OFFSET(AR223,-1,0))</f>
        <v>3656000.4514999986</v>
      </c>
      <c r="AS225" s="102">
        <f ca="1">SUBTOTAL(5,AS$182:OFFSET(AS223,-1,0))</f>
        <v>0</v>
      </c>
      <c r="AT225" s="102">
        <f t="shared" ca="1" si="457"/>
        <v>-3656000.4514999986</v>
      </c>
      <c r="AU225" s="104">
        <f t="shared" ca="1" si="458"/>
        <v>-3656000.4514999986</v>
      </c>
      <c r="AV225" s="102">
        <f ca="1">SUBTOTAL(5,AV$182:OFFSET(AV223,-1,0))</f>
        <v>21569353.562200002</v>
      </c>
      <c r="AW225" s="102">
        <f ca="1">SUBTOTAL(5,AW$182:OFFSET(AW223,-1,0))</f>
        <v>238453.10749999998</v>
      </c>
      <c r="AX225" s="102">
        <f t="shared" ca="1" si="459"/>
        <v>-21330900.454700001</v>
      </c>
      <c r="AY225" s="104">
        <f t="shared" ca="1" si="460"/>
        <v>-21330900.454700001</v>
      </c>
      <c r="AZ225" s="102">
        <f ca="1">SUBTOTAL(5,AZ$182:OFFSET(AZ223,-1,0))</f>
        <v>6569353.5622000024</v>
      </c>
      <c r="BA225" s="102">
        <f ca="1">SUBTOTAL(5,BA$182:OFFSET(BA223,-1,0))</f>
        <v>0</v>
      </c>
      <c r="BB225" s="102">
        <f t="shared" ca="1" si="461"/>
        <v>-6569353.5622000024</v>
      </c>
      <c r="BC225" s="104">
        <f t="shared" ca="1" si="462"/>
        <v>-6569353.5622000024</v>
      </c>
      <c r="BD225" s="102">
        <f ca="1">SUBTOTAL(5,BD$182:OFFSET(BD223,-1,0))</f>
        <v>21569353.562200002</v>
      </c>
      <c r="BE225" s="102">
        <f ca="1">SUBTOTAL(5,BE$182:OFFSET(BE223,-1,0))</f>
        <v>238453.10749999998</v>
      </c>
      <c r="BF225" s="102">
        <f t="shared" ca="1" si="463"/>
        <v>-21330900.454700001</v>
      </c>
      <c r="BG225" s="104">
        <f t="shared" ca="1" si="464"/>
        <v>-21330900.454700001</v>
      </c>
      <c r="BH225" s="102">
        <f ca="1">SUBTOTAL(5,BH$182:OFFSET(BH223,-1,0))</f>
        <v>6569353.5622000024</v>
      </c>
      <c r="BI225" s="102">
        <f ca="1">SUBTOTAL(5,BI$182:OFFSET(BI223,-1,0))</f>
        <v>0</v>
      </c>
      <c r="BJ225" s="102">
        <f t="shared" ca="1" si="465"/>
        <v>-6569353.5622000024</v>
      </c>
      <c r="BK225" s="104">
        <f t="shared" ca="1" si="466"/>
        <v>-6569353.5622000024</v>
      </c>
      <c r="BL225" s="102">
        <f ca="1">SUBTOTAL(5,BL$182:OFFSET(BL223,-1,0))</f>
        <v>21569353.562200002</v>
      </c>
      <c r="BM225" s="102">
        <f ca="1">SUBTOTAL(5,BM$182:OFFSET(BM223,-1,0))</f>
        <v>238453.10749999998</v>
      </c>
      <c r="BN225" s="102">
        <f t="shared" ca="1" si="467"/>
        <v>-21330900.454700001</v>
      </c>
      <c r="BO225" s="104">
        <f t="shared" ca="1" si="468"/>
        <v>-21330900.454700001</v>
      </c>
      <c r="BP225" s="102">
        <f ca="1">SUBTOTAL(5,BP$182:OFFSET(BP223,-1,0))</f>
        <v>6569353.5622000024</v>
      </c>
      <c r="BQ225" s="102">
        <f ca="1">SUBTOTAL(5,BQ$182:OFFSET(BQ223,-1,0))</f>
        <v>0</v>
      </c>
      <c r="BR225" s="102">
        <f t="shared" ca="1" si="469"/>
        <v>-6569353.5622000024</v>
      </c>
      <c r="BS225" s="104">
        <f t="shared" ca="1" si="470"/>
        <v>-6569353.5622000024</v>
      </c>
      <c r="BT225" s="127"/>
    </row>
    <row r="226" spans="1:72" collapsed="1" x14ac:dyDescent="0.25">
      <c r="A226" s="105" t="s">
        <v>19</v>
      </c>
      <c r="B226" s="105"/>
      <c r="C226" s="105"/>
      <c r="D226" s="102"/>
      <c r="E226" s="106" t="s">
        <v>21</v>
      </c>
      <c r="F226" s="102" t="str">
        <f>$F$98</f>
        <v>Min (&gt;0)</v>
      </c>
      <c r="G226" s="103" t="s">
        <v>38</v>
      </c>
      <c r="H226" s="102">
        <f t="array" aca="1" ref="H226" ca="1">MIN(IF(H$182:OFFSET(H223,-1,0)&gt;0,IF(SUBTOTAL(109,OFFSET(H$182:OFFSET(H223,-1,0),ROW(H$182:OFFSET(H223,-1,0))-MIN(ROW(H$182:OFFSET(H223,-1,0))),0,1))&gt;0,H$182:OFFSET(H223,-1,0))))</f>
        <v>433053.33810000005</v>
      </c>
      <c r="I226" s="102">
        <f t="array" aca="1" ref="I226" ca="1">MIN(IF(I$182:OFFSET(I223,-1,0)&gt;0,IF(SUBTOTAL(109,OFFSET(I$182:OFFSET(I223,-1,0),ROW(I$182:OFFSET(I223,-1,0))-MIN(ROW(I$182:OFFSET(I223,-1,0))),0,1))&gt;0,I$182:OFFSET(I223,-1,0))))</f>
        <v>2118.5446000000002</v>
      </c>
      <c r="J226" s="102">
        <f t="shared" ca="1" si="439"/>
        <v>-430934.79350000003</v>
      </c>
      <c r="K226" s="104">
        <f t="shared" ca="1" si="440"/>
        <v>-430934.79350000003</v>
      </c>
      <c r="L226" s="102">
        <f t="array" aca="1" ref="L226" ca="1">MIN(IF(L$182:OFFSET(L223,-1,0)&gt;0,IF(SUBTOTAL(109,OFFSET(L$182:OFFSET(L223,-1,0),ROW(L$182:OFFSET(L223,-1,0))-MIN(ROW(L$182:OFFSET(L223,-1,0))),0,1))&gt;0,L$182:OFFSET(L223,-1,0))))</f>
        <v>0</v>
      </c>
      <c r="M226" s="102">
        <f t="array" aca="1" ref="M226" ca="1">MIN(IF(M$182:OFFSET(M223,-1,0)&gt;0,IF(SUBTOTAL(109,OFFSET(M$182:OFFSET(M223,-1,0),ROW(M$182:OFFSET(M223,-1,0))-MIN(ROW(M$182:OFFSET(M223,-1,0))),0,1))&gt;0,M$182:OFFSET(M223,-1,0))))</f>
        <v>0</v>
      </c>
      <c r="N226" s="102">
        <f t="shared" ca="1" si="441"/>
        <v>0</v>
      </c>
      <c r="O226" s="104">
        <f t="shared" ca="1" si="442"/>
        <v>0</v>
      </c>
      <c r="P226" s="102">
        <f t="array" aca="1" ref="P226" ca="1">MIN(IF(P$182:OFFSET(P223,-1,0)&gt;0,IF(SUBTOTAL(109,OFFSET(P$182:OFFSET(P223,-1,0),ROW(P$182:OFFSET(P223,-1,0))-MIN(ROW(P$182:OFFSET(P223,-1,0))),0,1))&gt;0,P$182:OFFSET(P223,-1,0))))</f>
        <v>3438835.4995999997</v>
      </c>
      <c r="Q226" s="102">
        <f t="array" aca="1" ref="Q226" ca="1">MIN(IF(Q$182:OFFSET(Q223,-1,0)&gt;0,IF(SUBTOTAL(109,OFFSET(Q$182:OFFSET(Q223,-1,0),ROW(Q$182:OFFSET(Q223,-1,0))-MIN(ROW(Q$182:OFFSET(Q223,-1,0))),0,1))&gt;0,Q$182:OFFSET(Q223,-1,0))))</f>
        <v>66582.030999999988</v>
      </c>
      <c r="R226" s="102">
        <f t="shared" ca="1" si="443"/>
        <v>-3372253.4685999998</v>
      </c>
      <c r="S226" s="104">
        <f t="shared" ca="1" si="444"/>
        <v>-3372253.4685999998</v>
      </c>
      <c r="T226" s="102">
        <f t="array" aca="1" ref="T226" ca="1">MIN(IF(T$182:OFFSET(T223,-1,0)&gt;0,IF(SUBTOTAL(109,OFFSET(T$182:OFFSET(T223,-1,0),ROW(T$182:OFFSET(T223,-1,0))-MIN(ROW(T$182:OFFSET(T223,-1,0))),0,1))&gt;0,T$182:OFFSET(T223,-1,0))))</f>
        <v>0</v>
      </c>
      <c r="U226" s="102">
        <f t="array" aca="1" ref="U226" ca="1">MIN(IF(U$182:OFFSET(U223,-1,0)&gt;0,IF(SUBTOTAL(109,OFFSET(U$182:OFFSET(U223,-1,0),ROW(U$182:OFFSET(U223,-1,0))-MIN(ROW(U$182:OFFSET(U223,-1,0))),0,1))&gt;0,U$182:OFFSET(U223,-1,0))))</f>
        <v>0</v>
      </c>
      <c r="V226" s="102">
        <f t="shared" ca="1" si="445"/>
        <v>0</v>
      </c>
      <c r="W226" s="104">
        <f t="shared" ca="1" si="446"/>
        <v>0</v>
      </c>
      <c r="X226" s="102">
        <f t="array" aca="1" ref="X226" ca="1">MIN(IF(X$182:OFFSET(X223,-1,0)&gt;0,IF(SUBTOTAL(109,OFFSET(X$182:OFFSET(X223,-1,0),ROW(X$182:OFFSET(X223,-1,0))-MIN(ROW(X$182:OFFSET(X223,-1,0))),0,1))&gt;0,X$182:OFFSET(X223,-1,0))))</f>
        <v>6481209.0241</v>
      </c>
      <c r="Y226" s="102">
        <f t="array" aca="1" ref="Y226" ca="1">MIN(IF(Y$182:OFFSET(Y223,-1,0)&gt;0,IF(SUBTOTAL(109,OFFSET(Y$182:OFFSET(Y223,-1,0),ROW(Y$182:OFFSET(Y223,-1,0))-MIN(ROW(Y$182:OFFSET(Y223,-1,0))),0,1))&gt;0,Y$182:OFFSET(Y223,-1,0))))</f>
        <v>115297.40609999999</v>
      </c>
      <c r="Z226" s="102">
        <f t="shared" ca="1" si="447"/>
        <v>-6365911.6179999998</v>
      </c>
      <c r="AA226" s="104">
        <f t="shared" ca="1" si="448"/>
        <v>-6365911.6179999998</v>
      </c>
      <c r="AB226" s="102">
        <f t="array" aca="1" ref="AB226" ca="1">MIN(IF(AB$182:OFFSET(AB223,-1,0)&gt;0,IF(SUBTOTAL(109,OFFSET(AB$182:OFFSET(AB223,-1,0),ROW(AB$182:OFFSET(AB223,-1,0))-MIN(ROW(AB$182:OFFSET(AB223,-1,0))),0,1))&gt;0,AB$182:OFFSET(AB223,-1,0))))</f>
        <v>1811631.4543000013</v>
      </c>
      <c r="AC226" s="102">
        <f t="array" aca="1" ref="AC226" ca="1">MIN(IF(AC$182:OFFSET(AC223,-1,0)&gt;0,IF(SUBTOTAL(109,OFFSET(AC$182:OFFSET(AC223,-1,0),ROW(AC$182:OFFSET(AC223,-1,0))-MIN(ROW(AC$182:OFFSET(AC223,-1,0))),0,1))&gt;0,AC$182:OFFSET(AC223,-1,0))))</f>
        <v>405796.83639999852</v>
      </c>
      <c r="AD226" s="102">
        <f t="shared" ca="1" si="449"/>
        <v>-1405834.6179000027</v>
      </c>
      <c r="AE226" s="104">
        <f t="shared" ca="1" si="450"/>
        <v>-1405834.6179000027</v>
      </c>
      <c r="AF226" s="102">
        <f t="array" aca="1" ref="AF226" ca="1">MIN(IF(AF$182:OFFSET(AF223,-1,0)&gt;0,IF(SUBTOTAL(109,OFFSET(AF$182:OFFSET(AF223,-1,0),ROW(AF$182:OFFSET(AF223,-1,0))-MIN(ROW(AF$182:OFFSET(AF223,-1,0))),0,1))&gt;0,AF$182:OFFSET(AF223,-1,0))))</f>
        <v>9922463.2452999987</v>
      </c>
      <c r="AG226" s="102">
        <f t="array" aca="1" ref="AG226" ca="1">MIN(IF(AG$182:OFFSET(AG223,-1,0)&gt;0,IF(SUBTOTAL(109,OFFSET(AG$182:OFFSET(AG223,-1,0),ROW(AG$182:OFFSET(AG223,-1,0))-MIN(ROW(AG$182:OFFSET(AG223,-1,0))),0,1))&gt;0,AG$182:OFFSET(AG223,-1,0))))</f>
        <v>159841.93830000001</v>
      </c>
      <c r="AH226" s="102">
        <f t="shared" ca="1" si="451"/>
        <v>-9762621.3069999982</v>
      </c>
      <c r="AI226" s="104">
        <f t="shared" ca="1" si="452"/>
        <v>-9762621.3069999982</v>
      </c>
      <c r="AJ226" s="102">
        <f t="array" aca="1" ref="AJ226" ca="1">MIN(IF(AJ$182:OFFSET(AJ223,-1,0)&gt;0,IF(SUBTOTAL(109,OFFSET(AJ$182:OFFSET(AJ223,-1,0),ROW(AJ$182:OFFSET(AJ223,-1,0))-MIN(ROW(AJ$182:OFFSET(AJ223,-1,0))),0,1))&gt;0,AJ$182:OFFSET(AJ223,-1,0))))</f>
        <v>9987992.1805000007</v>
      </c>
      <c r="AK226" s="102">
        <f t="array" aca="1" ref="AK226" ca="1">MIN(IF(AK$182:OFFSET(AK223,-1,0)&gt;0,IF(SUBTOTAL(109,OFFSET(AK$182:OFFSET(AK223,-1,0),ROW(AK$182:OFFSET(AK223,-1,0))-MIN(ROW(AK$182:OFFSET(AK223,-1,0))),0,1))&gt;0,AK$182:OFFSET(AK223,-1,0))))</f>
        <v>8428967.2221000008</v>
      </c>
      <c r="AL226" s="102">
        <f t="shared" ca="1" si="453"/>
        <v>-1559024.9583999999</v>
      </c>
      <c r="AM226" s="104">
        <f t="shared" ca="1" si="454"/>
        <v>-1559024.9583999999</v>
      </c>
      <c r="AN226" s="102">
        <f t="array" aca="1" ref="AN226" ca="1">MIN(IF(AN$182:OFFSET(AN223,-1,0)&gt;0,IF(SUBTOTAL(109,OFFSET(AN$182:OFFSET(AN223,-1,0),ROW(AN$182:OFFSET(AN223,-1,0))-MIN(ROW(AN$182:OFFSET(AN223,-1,0))),0,1))&gt;0,AN$182:OFFSET(AN223,-1,0))))</f>
        <v>18656000.451499999</v>
      </c>
      <c r="AO226" s="102">
        <f t="array" aca="1" ref="AO226" ca="1">MIN(IF(AO$182:OFFSET(AO223,-1,0)&gt;0,IF(SUBTOTAL(109,OFFSET(AO$182:OFFSET(AO223,-1,0),ROW(AO$182:OFFSET(AO223,-1,0))-MIN(ROW(AO$182:OFFSET(AO223,-1,0))),0,1))&gt;0,AO$182:OFFSET(AO223,-1,0))))</f>
        <v>219637.08689999999</v>
      </c>
      <c r="AP226" s="102">
        <f t="shared" ca="1" si="455"/>
        <v>-18436363.364599999</v>
      </c>
      <c r="AQ226" s="104">
        <f t="shared" ca="1" si="456"/>
        <v>-18436363.364599999</v>
      </c>
      <c r="AR226" s="102">
        <f t="array" aca="1" ref="AR226" ca="1">MIN(IF(AR$182:OFFSET(AR223,-1,0)&gt;0,IF(SUBTOTAL(109,OFFSET(AR$182:OFFSET(AR223,-1,0),ROW(AR$182:OFFSET(AR223,-1,0))-MIN(ROW(AR$182:OFFSET(AR223,-1,0))),0,1))&gt;0,AR$182:OFFSET(AR223,-1,0))))</f>
        <v>3656000.4514999986</v>
      </c>
      <c r="AS226" s="102">
        <f t="array" aca="1" ref="AS226" ca="1">MIN(IF(AS$182:OFFSET(AS223,-1,0)&gt;0,IF(SUBTOTAL(109,OFFSET(AS$182:OFFSET(AS223,-1,0),ROW(AS$182:OFFSET(AS223,-1,0))-MIN(ROW(AS$182:OFFSET(AS223,-1,0))),0,1))&gt;0,AS$182:OFFSET(AS223,-1,0))))</f>
        <v>12719806.560600005</v>
      </c>
      <c r="AT226" s="102">
        <f t="shared" ca="1" si="457"/>
        <v>9063806.1091000065</v>
      </c>
      <c r="AU226" s="104">
        <f t="shared" ca="1" si="458"/>
        <v>9063806.1091000065</v>
      </c>
      <c r="AV226" s="102">
        <f t="array" aca="1" ref="AV226" ca="1">MIN(IF(AV$182:OFFSET(AV223,-1,0)&gt;0,IF(SUBTOTAL(109,OFFSET(AV$182:OFFSET(AV223,-1,0),ROW(AV$182:OFFSET(AV223,-1,0))-MIN(ROW(AV$182:OFFSET(AV223,-1,0))),0,1))&gt;0,AV$182:OFFSET(AV223,-1,0))))</f>
        <v>21569353.562200002</v>
      </c>
      <c r="AW226" s="102">
        <f t="array" aca="1" ref="AW226" ca="1">MIN(IF(AW$182:OFFSET(AW223,-1,0)&gt;0,IF(SUBTOTAL(109,OFFSET(AW$182:OFFSET(AW223,-1,0),ROW(AW$182:OFFSET(AW223,-1,0))-MIN(ROW(AW$182:OFFSET(AW223,-1,0))),0,1))&gt;0,AW$182:OFFSET(AW223,-1,0))))</f>
        <v>238453.10749999998</v>
      </c>
      <c r="AX226" s="102">
        <f t="shared" ca="1" si="459"/>
        <v>-21330900.454700001</v>
      </c>
      <c r="AY226" s="104">
        <f t="shared" ca="1" si="460"/>
        <v>-21330900.454700001</v>
      </c>
      <c r="AZ226" s="102">
        <f t="array" aca="1" ref="AZ226" ca="1">MIN(IF(AZ$182:OFFSET(AZ223,-1,0)&gt;0,IF(SUBTOTAL(109,OFFSET(AZ$182:OFFSET(AZ223,-1,0),ROW(AZ$182:OFFSET(AZ223,-1,0))-MIN(ROW(AZ$182:OFFSET(AZ223,-1,0))),0,1))&gt;0,AZ$182:OFFSET(AZ223,-1,0))))</f>
        <v>6569353.5622000024</v>
      </c>
      <c r="BA226" s="102">
        <f t="array" aca="1" ref="BA226" ca="1">MIN(IF(BA$182:OFFSET(BA223,-1,0)&gt;0,IF(SUBTOTAL(109,OFFSET(BA$182:OFFSET(BA223,-1,0),ROW(BA$182:OFFSET(BA223,-1,0))-MIN(ROW(BA$182:OFFSET(BA223,-1,0))),0,1))&gt;0,BA$182:OFFSET(BA223,-1,0))))</f>
        <v>19310091.070599996</v>
      </c>
      <c r="BB226" s="102">
        <f t="shared" ca="1" si="461"/>
        <v>12740737.508399993</v>
      </c>
      <c r="BC226" s="104">
        <f t="shared" ca="1" si="462"/>
        <v>12740737.508399993</v>
      </c>
      <c r="BD226" s="102">
        <f t="array" aca="1" ref="BD226" ca="1">MIN(IF(BD$182:OFFSET(BD223,-1,0)&gt;0,IF(SUBTOTAL(109,OFFSET(BD$182:OFFSET(BD223,-1,0),ROW(BD$182:OFFSET(BD223,-1,0))-MIN(ROW(BD$182:OFFSET(BD223,-1,0))),0,1))&gt;0,BD$182:OFFSET(BD223,-1,0))))</f>
        <v>21569353.562200002</v>
      </c>
      <c r="BE226" s="102">
        <f t="array" aca="1" ref="BE226" ca="1">MIN(IF(BE$182:OFFSET(BE223,-1,0)&gt;0,IF(SUBTOTAL(109,OFFSET(BE$182:OFFSET(BE223,-1,0),ROW(BE$182:OFFSET(BE223,-1,0))-MIN(ROW(BE$182:OFFSET(BE223,-1,0))),0,1))&gt;0,BE$182:OFFSET(BE223,-1,0))))</f>
        <v>238453.10749999998</v>
      </c>
      <c r="BF226" s="102">
        <f t="shared" ca="1" si="463"/>
        <v>-21330900.454700001</v>
      </c>
      <c r="BG226" s="104">
        <f t="shared" ca="1" si="464"/>
        <v>-21330900.454700001</v>
      </c>
      <c r="BH226" s="102">
        <f t="array" aca="1" ref="BH226" ca="1">MIN(IF(BH$182:OFFSET(BH223,-1,0)&gt;0,IF(SUBTOTAL(109,OFFSET(BH$182:OFFSET(BH223,-1,0),ROW(BH$182:OFFSET(BH223,-1,0))-MIN(ROW(BH$182:OFFSET(BH223,-1,0))),0,1))&gt;0,BH$182:OFFSET(BH223,-1,0))))</f>
        <v>6569353.5622000024</v>
      </c>
      <c r="BI226" s="102">
        <f t="array" aca="1" ref="BI226" ca="1">MIN(IF(BI$182:OFFSET(BI223,-1,0)&gt;0,IF(SUBTOTAL(109,OFFSET(BI$182:OFFSET(BI223,-1,0),ROW(BI$182:OFFSET(BI223,-1,0))-MIN(ROW(BI$182:OFFSET(BI223,-1,0))),0,1))&gt;0,BI$182:OFFSET(BI223,-1,0))))</f>
        <v>19310091.070599996</v>
      </c>
      <c r="BJ226" s="102">
        <f t="shared" ca="1" si="465"/>
        <v>12740737.508399993</v>
      </c>
      <c r="BK226" s="104">
        <f t="shared" ca="1" si="466"/>
        <v>12740737.508399993</v>
      </c>
      <c r="BL226" s="102">
        <f t="array" aca="1" ref="BL226" ca="1">MIN(IF(BL$182:OFFSET(BL223,-1,0)&gt;0,IF(SUBTOTAL(109,OFFSET(BL$182:OFFSET(BL223,-1,0),ROW(BL$182:OFFSET(BL223,-1,0))-MIN(ROW(BL$182:OFFSET(BL223,-1,0))),0,1))&gt;0,BL$182:OFFSET(BL223,-1,0))))</f>
        <v>21569353.562200002</v>
      </c>
      <c r="BM226" s="102">
        <f t="array" aca="1" ref="BM226" ca="1">MIN(IF(BM$182:OFFSET(BM223,-1,0)&gt;0,IF(SUBTOTAL(109,OFFSET(BM$182:OFFSET(BM223,-1,0),ROW(BM$182:OFFSET(BM223,-1,0))-MIN(ROW(BM$182:OFFSET(BM223,-1,0))),0,1))&gt;0,BM$182:OFFSET(BM223,-1,0))))</f>
        <v>238453.10749999998</v>
      </c>
      <c r="BN226" s="102">
        <f t="shared" ca="1" si="467"/>
        <v>-21330900.454700001</v>
      </c>
      <c r="BO226" s="104">
        <f t="shared" ca="1" si="468"/>
        <v>-21330900.454700001</v>
      </c>
      <c r="BP226" s="102">
        <f t="array" aca="1" ref="BP226" ca="1">MIN(IF(BP$182:OFFSET(BP223,-1,0)&gt;0,IF(SUBTOTAL(109,OFFSET(BP$182:OFFSET(BP223,-1,0),ROW(BP$182:OFFSET(BP223,-1,0))-MIN(ROW(BP$182:OFFSET(BP223,-1,0))),0,1))&gt;0,BP$182:OFFSET(BP223,-1,0))))</f>
        <v>6569353.5622000024</v>
      </c>
      <c r="BQ226" s="102">
        <f t="array" aca="1" ref="BQ226" ca="1">MIN(IF(BQ$182:OFFSET(BQ223,-1,0)&gt;0,IF(SUBTOTAL(109,OFFSET(BQ$182:OFFSET(BQ223,-1,0),ROW(BQ$182:OFFSET(BQ223,-1,0))-MIN(ROW(BQ$182:OFFSET(BQ223,-1,0))),0,1))&gt;0,BQ$182:OFFSET(BQ223,-1,0))))</f>
        <v>19310091.070599988</v>
      </c>
      <c r="BR226" s="102">
        <f t="shared" ca="1" si="469"/>
        <v>12740737.508399986</v>
      </c>
      <c r="BS226" s="104">
        <f t="shared" ca="1" si="470"/>
        <v>12740737.508399986</v>
      </c>
      <c r="BT226" s="127"/>
    </row>
    <row r="227" spans="1:72" x14ac:dyDescent="0.25">
      <c r="A227" s="126" t="s">
        <v>15</v>
      </c>
      <c r="B227" s="127"/>
      <c r="C227" s="127"/>
      <c r="D227" s="102"/>
      <c r="E227" s="106" t="s">
        <v>21</v>
      </c>
      <c r="F227" s="102" t="str">
        <f>$F$99</f>
        <v>Count (&gt;0)</v>
      </c>
      <c r="G227" s="103" t="s">
        <v>38</v>
      </c>
      <c r="H227" s="108">
        <f t="array" aca="1" ref="H227" ca="1">COUNT(IF(H$182:OFFSET(H223,-1,0)&gt;0,IF(SUBTOTAL(109,OFFSET(H$182:OFFSET(H223,-1,0),ROW(H$182:OFFSET(H223,-1,0))-MIN(ROW(H$182:OFFSET(H223,-1,0))),0,1))&gt;0,H$182:OFFSET(H223,-1,0))))</f>
        <v>22</v>
      </c>
      <c r="I227" s="108">
        <f t="array" aca="1" ref="I227" ca="1">COUNT(IF(I$182:OFFSET(I223,-1,0)&gt;0,IF(SUBTOTAL(109,OFFSET(I$182:OFFSET(I223,-1,0),ROW(I$182:OFFSET(I223,-1,0))-MIN(ROW(I$182:OFFSET(I223,-1,0))),0,1))&gt;0,I$182:OFFSET(I223,-1,0))))</f>
        <v>22</v>
      </c>
      <c r="J227" s="102">
        <f t="shared" ca="1" si="439"/>
        <v>0</v>
      </c>
      <c r="K227" s="104">
        <f t="shared" ca="1" si="440"/>
        <v>0</v>
      </c>
      <c r="L227" s="108">
        <f t="array" aca="1" ref="L227" ca="1">COUNT(IF(L$182:OFFSET(L223,-1,0)&gt;0,IF(SUBTOTAL(109,OFFSET(L$182:OFFSET(L223,-1,0),ROW(L$182:OFFSET(L223,-1,0))-MIN(ROW(L$182:OFFSET(L223,-1,0))),0,1))&gt;0,L$182:OFFSET(L223,-1,0))))</f>
        <v>0</v>
      </c>
      <c r="M227" s="108">
        <f t="array" aca="1" ref="M227" ca="1">COUNT(IF(M$182:OFFSET(M223,-1,0)&gt;0,IF(SUBTOTAL(109,OFFSET(M$182:OFFSET(M223,-1,0),ROW(M$182:OFFSET(M223,-1,0))-MIN(ROW(M$182:OFFSET(M223,-1,0))),0,1))&gt;0,M$182:OFFSET(M223,-1,0))))</f>
        <v>0</v>
      </c>
      <c r="N227" s="102">
        <f t="shared" ca="1" si="441"/>
        <v>0</v>
      </c>
      <c r="O227" s="104">
        <f t="shared" ca="1" si="442"/>
        <v>0</v>
      </c>
      <c r="P227" s="108">
        <f t="array" aca="1" ref="P227" ca="1">COUNT(IF(P$182:OFFSET(P223,-1,0)&gt;0,IF(SUBTOTAL(109,OFFSET(P$182:OFFSET(P223,-1,0),ROW(P$182:OFFSET(P223,-1,0))-MIN(ROW(P$182:OFFSET(P223,-1,0))),0,1))&gt;0,P$182:OFFSET(P223,-1,0))))</f>
        <v>22</v>
      </c>
      <c r="Q227" s="108">
        <f t="array" aca="1" ref="Q227" ca="1">COUNT(IF(Q$182:OFFSET(Q223,-1,0)&gt;0,IF(SUBTOTAL(109,OFFSET(Q$182:OFFSET(Q223,-1,0),ROW(Q$182:OFFSET(Q223,-1,0))-MIN(ROW(Q$182:OFFSET(Q223,-1,0))),0,1))&gt;0,Q$182:OFFSET(Q223,-1,0))))</f>
        <v>22</v>
      </c>
      <c r="R227" s="102">
        <f t="shared" ca="1" si="443"/>
        <v>0</v>
      </c>
      <c r="S227" s="104">
        <f t="shared" ca="1" si="444"/>
        <v>0</v>
      </c>
      <c r="T227" s="108">
        <f t="array" aca="1" ref="T227" ca="1">COUNT(IF(T$182:OFFSET(T223,-1,0)&gt;0,IF(SUBTOTAL(109,OFFSET(T$182:OFFSET(T223,-1,0),ROW(T$182:OFFSET(T223,-1,0))-MIN(ROW(T$182:OFFSET(T223,-1,0))),0,1))&gt;0,T$182:OFFSET(T223,-1,0))))</f>
        <v>0</v>
      </c>
      <c r="U227" s="108">
        <f t="array" aca="1" ref="U227" ca="1">COUNT(IF(U$182:OFFSET(U223,-1,0)&gt;0,IF(SUBTOTAL(109,OFFSET(U$182:OFFSET(U223,-1,0),ROW(U$182:OFFSET(U223,-1,0))-MIN(ROW(U$182:OFFSET(U223,-1,0))),0,1))&gt;0,U$182:OFFSET(U223,-1,0))))</f>
        <v>0</v>
      </c>
      <c r="V227" s="102">
        <f t="shared" ca="1" si="445"/>
        <v>0</v>
      </c>
      <c r="W227" s="104">
        <f t="shared" ca="1" si="446"/>
        <v>0</v>
      </c>
      <c r="X227" s="108">
        <f t="array" aca="1" ref="X227" ca="1">COUNT(IF(X$182:OFFSET(X223,-1,0)&gt;0,IF(SUBTOTAL(109,OFFSET(X$182:OFFSET(X223,-1,0),ROW(X$182:OFFSET(X223,-1,0))-MIN(ROW(X$182:OFFSET(X223,-1,0))),0,1))&gt;0,X$182:OFFSET(X223,-1,0))))</f>
        <v>22</v>
      </c>
      <c r="Y227" s="108">
        <f t="array" aca="1" ref="Y227" ca="1">COUNT(IF(Y$182:OFFSET(Y223,-1,0)&gt;0,IF(SUBTOTAL(109,OFFSET(Y$182:OFFSET(Y223,-1,0),ROW(Y$182:OFFSET(Y223,-1,0))-MIN(ROW(Y$182:OFFSET(Y223,-1,0))),0,1))&gt;0,Y$182:OFFSET(Y223,-1,0))))</f>
        <v>22</v>
      </c>
      <c r="Z227" s="102">
        <f t="shared" ca="1" si="447"/>
        <v>0</v>
      </c>
      <c r="AA227" s="104">
        <f t="shared" ca="1" si="448"/>
        <v>0</v>
      </c>
      <c r="AB227" s="108">
        <f t="array" aca="1" ref="AB227" ca="1">COUNT(IF(AB$182:OFFSET(AB223,-1,0)&gt;0,IF(SUBTOTAL(109,OFFSET(AB$182:OFFSET(AB223,-1,0),ROW(AB$182:OFFSET(AB223,-1,0))-MIN(ROW(AB$182:OFFSET(AB223,-1,0))),0,1))&gt;0,AB$182:OFFSET(AB223,-1,0))))</f>
        <v>21</v>
      </c>
      <c r="AC227" s="108">
        <f t="array" aca="1" ref="AC227" ca="1">COUNT(IF(AC$182:OFFSET(AC223,-1,0)&gt;0,IF(SUBTOTAL(109,OFFSET(AC$182:OFFSET(AC223,-1,0),ROW(AC$182:OFFSET(AC223,-1,0))-MIN(ROW(AC$182:OFFSET(AC223,-1,0))),0,1))&gt;0,AC$182:OFFSET(AC223,-1,0))))</f>
        <v>20</v>
      </c>
      <c r="AD227" s="102">
        <f t="shared" ca="1" si="449"/>
        <v>-1</v>
      </c>
      <c r="AE227" s="104">
        <f t="shared" ca="1" si="450"/>
        <v>-1</v>
      </c>
      <c r="AF227" s="108">
        <f t="array" aca="1" ref="AF227" ca="1">COUNT(IF(AF$182:OFFSET(AF223,-1,0)&gt;0,IF(SUBTOTAL(109,OFFSET(AF$182:OFFSET(AF223,-1,0),ROW(AF$182:OFFSET(AF223,-1,0))-MIN(ROW(AF$182:OFFSET(AF223,-1,0))),0,1))&gt;0,AF$182:OFFSET(AF223,-1,0))))</f>
        <v>22</v>
      </c>
      <c r="AG227" s="108">
        <f t="array" aca="1" ref="AG227" ca="1">COUNT(IF(AG$182:OFFSET(AG223,-1,0)&gt;0,IF(SUBTOTAL(109,OFFSET(AG$182:OFFSET(AG223,-1,0),ROW(AG$182:OFFSET(AG223,-1,0))-MIN(ROW(AG$182:OFFSET(AG223,-1,0))),0,1))&gt;0,AG$182:OFFSET(AG223,-1,0))))</f>
        <v>22</v>
      </c>
      <c r="AH227" s="102">
        <f t="shared" ca="1" si="451"/>
        <v>0</v>
      </c>
      <c r="AI227" s="104">
        <f t="shared" ca="1" si="452"/>
        <v>0</v>
      </c>
      <c r="AJ227" s="108">
        <f t="array" aca="1" ref="AJ227" ca="1">COUNT(IF(AJ$182:OFFSET(AJ223,-1,0)&gt;0,IF(SUBTOTAL(109,OFFSET(AJ$182:OFFSET(AJ223,-1,0),ROW(AJ$182:OFFSET(AJ223,-1,0))-MIN(ROW(AJ$182:OFFSET(AJ223,-1,0))),0,1))&gt;0,AJ$182:OFFSET(AJ223,-1,0))))</f>
        <v>21</v>
      </c>
      <c r="AK227" s="108">
        <f t="array" aca="1" ref="AK227" ca="1">COUNT(IF(AK$182:OFFSET(AK223,-1,0)&gt;0,IF(SUBTOTAL(109,OFFSET(AK$182:OFFSET(AK223,-1,0),ROW(AK$182:OFFSET(AK223,-1,0))-MIN(ROW(AK$182:OFFSET(AK223,-1,0))),0,1))&gt;0,AK$182:OFFSET(AK223,-1,0))))</f>
        <v>20</v>
      </c>
      <c r="AL227" s="102">
        <f t="shared" ca="1" si="453"/>
        <v>-1</v>
      </c>
      <c r="AM227" s="104">
        <f t="shared" ca="1" si="454"/>
        <v>-1</v>
      </c>
      <c r="AN227" s="108">
        <f t="array" aca="1" ref="AN227" ca="1">COUNT(IF(AN$182:OFFSET(AN223,-1,0)&gt;0,IF(SUBTOTAL(109,OFFSET(AN$182:OFFSET(AN223,-1,0),ROW(AN$182:OFFSET(AN223,-1,0))-MIN(ROW(AN$182:OFFSET(AN223,-1,0))),0,1))&gt;0,AN$182:OFFSET(AN223,-1,0))))</f>
        <v>22</v>
      </c>
      <c r="AO227" s="108">
        <f t="array" aca="1" ref="AO227" ca="1">COUNT(IF(AO$182:OFFSET(AO223,-1,0)&gt;0,IF(SUBTOTAL(109,OFFSET(AO$182:OFFSET(AO223,-1,0),ROW(AO$182:OFFSET(AO223,-1,0))-MIN(ROW(AO$182:OFFSET(AO223,-1,0))),0,1))&gt;0,AO$182:OFFSET(AO223,-1,0))))</f>
        <v>22</v>
      </c>
      <c r="AP227" s="102">
        <f t="shared" ca="1" si="455"/>
        <v>0</v>
      </c>
      <c r="AQ227" s="104">
        <f t="shared" ca="1" si="456"/>
        <v>0</v>
      </c>
      <c r="AR227" s="108">
        <f t="array" aca="1" ref="AR227" ca="1">COUNT(IF(AR$182:OFFSET(AR223,-1,0)&gt;0,IF(SUBTOTAL(109,OFFSET(AR$182:OFFSET(AR223,-1,0),ROW(AR$182:OFFSET(AR223,-1,0))-MIN(ROW(AR$182:OFFSET(AR223,-1,0))),0,1))&gt;0,AR$182:OFFSET(AR223,-1,0))))</f>
        <v>22</v>
      </c>
      <c r="AS227" s="108">
        <f t="array" aca="1" ref="AS227" ca="1">COUNT(IF(AS$182:OFFSET(AS223,-1,0)&gt;0,IF(SUBTOTAL(109,OFFSET(AS$182:OFFSET(AS223,-1,0),ROW(AS$182:OFFSET(AS223,-1,0))-MIN(ROW(AS$182:OFFSET(AS223,-1,0))),0,1))&gt;0,AS$182:OFFSET(AS223,-1,0))))</f>
        <v>21</v>
      </c>
      <c r="AT227" s="102">
        <f t="shared" ca="1" si="457"/>
        <v>-1</v>
      </c>
      <c r="AU227" s="104">
        <f t="shared" ca="1" si="458"/>
        <v>-1</v>
      </c>
      <c r="AV227" s="108">
        <f t="array" aca="1" ref="AV227" ca="1">COUNT(IF(AV$182:OFFSET(AV223,-1,0)&gt;0,IF(SUBTOTAL(109,OFFSET(AV$182:OFFSET(AV223,-1,0),ROW(AV$182:OFFSET(AV223,-1,0))-MIN(ROW(AV$182:OFFSET(AV223,-1,0))),0,1))&gt;0,AV$182:OFFSET(AV223,-1,0))))</f>
        <v>22</v>
      </c>
      <c r="AW227" s="108">
        <f t="array" aca="1" ref="AW227" ca="1">COUNT(IF(AW$182:OFFSET(AW223,-1,0)&gt;0,IF(SUBTOTAL(109,OFFSET(AW$182:OFFSET(AW223,-1,0),ROW(AW$182:OFFSET(AW223,-1,0))-MIN(ROW(AW$182:OFFSET(AW223,-1,0))),0,1))&gt;0,AW$182:OFFSET(AW223,-1,0))))</f>
        <v>22</v>
      </c>
      <c r="AX227" s="102">
        <f t="shared" ca="1" si="459"/>
        <v>0</v>
      </c>
      <c r="AY227" s="104">
        <f t="shared" ca="1" si="460"/>
        <v>0</v>
      </c>
      <c r="AZ227" s="108">
        <f t="array" aca="1" ref="AZ227" ca="1">COUNT(IF(AZ$182:OFFSET(AZ223,-1,0)&gt;0,IF(SUBTOTAL(109,OFFSET(AZ$182:OFFSET(AZ223,-1,0),ROW(AZ$182:OFFSET(AZ223,-1,0))-MIN(ROW(AZ$182:OFFSET(AZ223,-1,0))),0,1))&gt;0,AZ$182:OFFSET(AZ223,-1,0))))</f>
        <v>22</v>
      </c>
      <c r="BA227" s="108">
        <f t="array" aca="1" ref="BA227" ca="1">COUNT(IF(BA$182:OFFSET(BA223,-1,0)&gt;0,IF(SUBTOTAL(109,OFFSET(BA$182:OFFSET(BA223,-1,0),ROW(BA$182:OFFSET(BA223,-1,0))-MIN(ROW(BA$182:OFFSET(BA223,-1,0))),0,1))&gt;0,BA$182:OFFSET(BA223,-1,0))))</f>
        <v>21</v>
      </c>
      <c r="BB227" s="102">
        <f t="shared" ca="1" si="461"/>
        <v>-1</v>
      </c>
      <c r="BC227" s="104">
        <f t="shared" ca="1" si="462"/>
        <v>-1</v>
      </c>
      <c r="BD227" s="108">
        <f t="array" aca="1" ref="BD227" ca="1">COUNT(IF(BD$182:OFFSET(BD223,-1,0)&gt;0,IF(SUBTOTAL(109,OFFSET(BD$182:OFFSET(BD223,-1,0),ROW(BD$182:OFFSET(BD223,-1,0))-MIN(ROW(BD$182:OFFSET(BD223,-1,0))),0,1))&gt;0,BD$182:OFFSET(BD223,-1,0))))</f>
        <v>22</v>
      </c>
      <c r="BE227" s="108">
        <f t="array" aca="1" ref="BE227" ca="1">COUNT(IF(BE$182:OFFSET(BE223,-1,0)&gt;0,IF(SUBTOTAL(109,OFFSET(BE$182:OFFSET(BE223,-1,0),ROW(BE$182:OFFSET(BE223,-1,0))-MIN(ROW(BE$182:OFFSET(BE223,-1,0))),0,1))&gt;0,BE$182:OFFSET(BE223,-1,0))))</f>
        <v>22</v>
      </c>
      <c r="BF227" s="102">
        <f t="shared" ca="1" si="463"/>
        <v>0</v>
      </c>
      <c r="BG227" s="104">
        <f t="shared" ca="1" si="464"/>
        <v>0</v>
      </c>
      <c r="BH227" s="108">
        <f t="array" aca="1" ref="BH227" ca="1">COUNT(IF(BH$182:OFFSET(BH223,-1,0)&gt;0,IF(SUBTOTAL(109,OFFSET(BH$182:OFFSET(BH223,-1,0),ROW(BH$182:OFFSET(BH223,-1,0))-MIN(ROW(BH$182:OFFSET(BH223,-1,0))),0,1))&gt;0,BH$182:OFFSET(BH223,-1,0))))</f>
        <v>22</v>
      </c>
      <c r="BI227" s="108">
        <f t="array" aca="1" ref="BI227" ca="1">COUNT(IF(BI$182:OFFSET(BI223,-1,0)&gt;0,IF(SUBTOTAL(109,OFFSET(BI$182:OFFSET(BI223,-1,0),ROW(BI$182:OFFSET(BI223,-1,0))-MIN(ROW(BI$182:OFFSET(BI223,-1,0))),0,1))&gt;0,BI$182:OFFSET(BI223,-1,0))))</f>
        <v>21</v>
      </c>
      <c r="BJ227" s="102">
        <f t="shared" ca="1" si="465"/>
        <v>-1</v>
      </c>
      <c r="BK227" s="104">
        <f t="shared" ca="1" si="466"/>
        <v>-1</v>
      </c>
      <c r="BL227" s="108">
        <f t="array" aca="1" ref="BL227" ca="1">COUNT(IF(BL$182:OFFSET(BL223,-1,0)&gt;0,IF(SUBTOTAL(109,OFFSET(BL$182:OFFSET(BL223,-1,0),ROW(BL$182:OFFSET(BL223,-1,0))-MIN(ROW(BL$182:OFFSET(BL223,-1,0))),0,1))&gt;0,BL$182:OFFSET(BL223,-1,0))))</f>
        <v>22</v>
      </c>
      <c r="BM227" s="108">
        <f t="array" aca="1" ref="BM227" ca="1">COUNT(IF(BM$182:OFFSET(BM223,-1,0)&gt;0,IF(SUBTOTAL(109,OFFSET(BM$182:OFFSET(BM223,-1,0),ROW(BM$182:OFFSET(BM223,-1,0))-MIN(ROW(BM$182:OFFSET(BM223,-1,0))),0,1))&gt;0,BM$182:OFFSET(BM223,-1,0))))</f>
        <v>22</v>
      </c>
      <c r="BN227" s="102">
        <f t="shared" ca="1" si="467"/>
        <v>0</v>
      </c>
      <c r="BO227" s="104">
        <f t="shared" ca="1" si="468"/>
        <v>0</v>
      </c>
      <c r="BP227" s="108">
        <f t="array" aca="1" ref="BP227" ca="1">COUNT(IF(BP$182:OFFSET(BP223,-1,0)&gt;0,IF(SUBTOTAL(109,OFFSET(BP$182:OFFSET(BP223,-1,0),ROW(BP$182:OFFSET(BP223,-1,0))-MIN(ROW(BP$182:OFFSET(BP223,-1,0))),0,1))&gt;0,BP$182:OFFSET(BP223,-1,0))))</f>
        <v>22</v>
      </c>
      <c r="BQ227" s="108">
        <f t="array" aca="1" ref="BQ227" ca="1">COUNT(IF(BQ$182:OFFSET(BQ223,-1,0)&gt;0,IF(SUBTOTAL(109,OFFSET(BQ$182:OFFSET(BQ223,-1,0),ROW(BQ$182:OFFSET(BQ223,-1,0))-MIN(ROW(BQ$182:OFFSET(BQ223,-1,0))),0,1))&gt;0,BQ$182:OFFSET(BQ223,-1,0))))</f>
        <v>21</v>
      </c>
      <c r="BR227" s="102">
        <f t="shared" ca="1" si="469"/>
        <v>-1</v>
      </c>
      <c r="BS227" s="104">
        <f t="shared" ca="1" si="470"/>
        <v>-1</v>
      </c>
      <c r="BT227" s="127"/>
    </row>
    <row r="228" spans="1:72" x14ac:dyDescent="0.25">
      <c r="A228" s="126" t="s">
        <v>15</v>
      </c>
      <c r="D228" s="132"/>
      <c r="E228" s="132"/>
      <c r="F228" s="132" t="str">
        <f>$F$100</f>
        <v>Average</v>
      </c>
      <c r="G228" s="133" t="s">
        <v>38</v>
      </c>
      <c r="H228" s="109">
        <f ca="1">IF(H227=0,0,H223/H227)</f>
        <v>1640221.2726863637</v>
      </c>
      <c r="I228" s="109">
        <f ca="1">IF(I227=0,0,I223/I227)</f>
        <v>1669380.4947545456</v>
      </c>
      <c r="J228" s="109">
        <f t="shared" ca="1" si="439"/>
        <v>29159.22206818196</v>
      </c>
      <c r="K228" s="111">
        <f t="shared" ca="1" si="440"/>
        <v>29159.22206818196</v>
      </c>
      <c r="L228" s="109">
        <f ca="1">IF(L227=0,0,L223/L227)</f>
        <v>0</v>
      </c>
      <c r="M228" s="109">
        <f ca="1">IF(M227=0,0,M223/M227)</f>
        <v>0</v>
      </c>
      <c r="N228" s="109">
        <f t="shared" ca="1" si="441"/>
        <v>0</v>
      </c>
      <c r="O228" s="111">
        <f t="shared" ca="1" si="442"/>
        <v>0</v>
      </c>
      <c r="P228" s="109">
        <f t="shared" ref="P228:Q228" ca="1" si="471">IF(P227=0,0,P223/P227)</f>
        <v>10574366.398681821</v>
      </c>
      <c r="Q228" s="109">
        <f t="shared" ca="1" si="471"/>
        <v>10020715.268636364</v>
      </c>
      <c r="R228" s="109">
        <f t="shared" ca="1" si="443"/>
        <v>-553651.13004545681</v>
      </c>
      <c r="S228" s="111">
        <f t="shared" ca="1" si="444"/>
        <v>-553651.13004545681</v>
      </c>
      <c r="T228" s="109">
        <f t="shared" ref="T228:U228" ca="1" si="472">IF(T227=0,0,T223/T227)</f>
        <v>0</v>
      </c>
      <c r="U228" s="109">
        <f t="shared" ca="1" si="472"/>
        <v>0</v>
      </c>
      <c r="V228" s="109">
        <f t="shared" ca="1" si="445"/>
        <v>0</v>
      </c>
      <c r="W228" s="111">
        <f t="shared" ca="1" si="446"/>
        <v>0</v>
      </c>
      <c r="X228" s="109">
        <f t="shared" ref="X228:Y228" ca="1" si="473">IF(X227=0,0,X223/X227)</f>
        <v>20690901.058786366</v>
      </c>
      <c r="Y228" s="109">
        <f t="shared" ca="1" si="473"/>
        <v>20057107.783677272</v>
      </c>
      <c r="Z228" s="109">
        <f t="shared" ca="1" si="447"/>
        <v>-633793.27510909364</v>
      </c>
      <c r="AA228" s="111">
        <f t="shared" ca="1" si="448"/>
        <v>-633793.27510909364</v>
      </c>
      <c r="AB228" s="109">
        <f t="shared" ref="AB228:AC228" ca="1" si="474">IF(AB227=0,0,AB223/AB227)</f>
        <v>6367553.0604380947</v>
      </c>
      <c r="AC228" s="109">
        <f t="shared" ca="1" si="474"/>
        <v>6593855.315779998</v>
      </c>
      <c r="AD228" s="109">
        <f t="shared" ca="1" si="449"/>
        <v>226302.25534190331</v>
      </c>
      <c r="AE228" s="111">
        <f t="shared" ca="1" si="450"/>
        <v>226302.25534190331</v>
      </c>
      <c r="AF228" s="109">
        <f t="shared" ref="AF228:AG228" ca="1" si="475">IF(AF227=0,0,AF223/AF227)</f>
        <v>31793575.646686375</v>
      </c>
      <c r="AG228" s="109">
        <f t="shared" ca="1" si="475"/>
        <v>31156725.874036368</v>
      </c>
      <c r="AH228" s="109">
        <f t="shared" ca="1" si="451"/>
        <v>-636849.77265000716</v>
      </c>
      <c r="AI228" s="111">
        <f t="shared" ca="1" si="452"/>
        <v>-636849.77265000716</v>
      </c>
      <c r="AJ228" s="109">
        <f t="shared" ref="AJ228:AK228" ca="1" si="476">IF(AJ227=0,0,AJ223/AJ227)</f>
        <v>17835057.18960952</v>
      </c>
      <c r="AK228" s="109">
        <f t="shared" ca="1" si="476"/>
        <v>18530150.122634999</v>
      </c>
      <c r="AL228" s="109">
        <f t="shared" ca="1" si="453"/>
        <v>695092.93302547932</v>
      </c>
      <c r="AM228" s="111">
        <f t="shared" ca="1" si="454"/>
        <v>695092.93302547932</v>
      </c>
      <c r="AN228" s="109">
        <f t="shared" ref="AN228:AO228" ca="1" si="477">IF(AN227=0,0,AN223/AN227)</f>
        <v>53543703.599981815</v>
      </c>
      <c r="AO228" s="109">
        <f t="shared" ca="1" si="477"/>
        <v>53467036.173404552</v>
      </c>
      <c r="AP228" s="109">
        <f t="shared" ca="1" si="455"/>
        <v>-76667.42657726258</v>
      </c>
      <c r="AQ228" s="111">
        <f t="shared" ca="1" si="456"/>
        <v>-76667.42657726258</v>
      </c>
      <c r="AR228" s="109">
        <f t="shared" ref="AR228:AS228" ca="1" si="478">IF(AR227=0,0,AR223/AR227)</f>
        <v>38543703.599981815</v>
      </c>
      <c r="AS228" s="109">
        <f t="shared" ca="1" si="478"/>
        <v>41002626.60609524</v>
      </c>
      <c r="AT228" s="109">
        <f t="shared" ca="1" si="457"/>
        <v>2458923.0061134249</v>
      </c>
      <c r="AU228" s="111">
        <f t="shared" ca="1" si="458"/>
        <v>2458923.0061134249</v>
      </c>
      <c r="AV228" s="109">
        <f t="shared" ref="AV228:AW228" ca="1" si="479">IF(AV227=0,0,AV223/AV227)</f>
        <v>69593080.526795477</v>
      </c>
      <c r="AW228" s="109">
        <f t="shared" ca="1" si="479"/>
        <v>69631259.720790908</v>
      </c>
      <c r="AX228" s="109">
        <f t="shared" ca="1" si="459"/>
        <v>38179.193995431066</v>
      </c>
      <c r="AY228" s="111">
        <f t="shared" ca="1" si="460"/>
        <v>38179.193995431066</v>
      </c>
      <c r="AZ228" s="109">
        <f t="shared" ref="AZ228:BA228" ca="1" si="480">IF(AZ227=0,0,AZ223/AZ227)</f>
        <v>54593080.526795454</v>
      </c>
      <c r="BA228" s="109">
        <f t="shared" ca="1" si="480"/>
        <v>57935679.083328553</v>
      </c>
      <c r="BB228" s="109">
        <f t="shared" ca="1" si="461"/>
        <v>3342598.5565330982</v>
      </c>
      <c r="BC228" s="111">
        <f t="shared" ca="1" si="462"/>
        <v>3342598.5565330982</v>
      </c>
      <c r="BD228" s="109">
        <f t="shared" ref="BD228:BE228" ca="1" si="481">IF(BD227=0,0,BD223/BD227)</f>
        <v>77788047.488068178</v>
      </c>
      <c r="BE228" s="109">
        <f t="shared" ca="1" si="481"/>
        <v>77609924.54094547</v>
      </c>
      <c r="BF228" s="109">
        <f t="shared" ca="1" si="463"/>
        <v>-178122.94712270796</v>
      </c>
      <c r="BG228" s="111">
        <f t="shared" ca="1" si="464"/>
        <v>-178122.94712270796</v>
      </c>
      <c r="BH228" s="109">
        <f t="shared" ref="BH228:BI228" ca="1" si="482">IF(BH227=0,0,BH223/BH227)</f>
        <v>62788047.488068178</v>
      </c>
      <c r="BI228" s="109">
        <f t="shared" ca="1" si="482"/>
        <v>66294280.323490486</v>
      </c>
      <c r="BJ228" s="109">
        <f t="shared" ca="1" si="465"/>
        <v>3506232.8354223073</v>
      </c>
      <c r="BK228" s="111">
        <f t="shared" ca="1" si="466"/>
        <v>3506232.8354223073</v>
      </c>
      <c r="BL228" s="109">
        <f t="shared" ref="BL228:BM228" ca="1" si="483">IF(BL227=0,0,BL223/BL227)</f>
        <v>82286263.649636373</v>
      </c>
      <c r="BM228" s="109">
        <f t="shared" ca="1" si="483"/>
        <v>81290981.83829093</v>
      </c>
      <c r="BN228" s="109">
        <f t="shared" ca="1" si="467"/>
        <v>-995281.81134544313</v>
      </c>
      <c r="BO228" s="111">
        <f t="shared" ca="1" si="468"/>
        <v>-995281.81134544313</v>
      </c>
      <c r="BP228" s="109">
        <f t="shared" ref="BP228:BQ228" ca="1" si="484">IF(BP227=0,0,BP223/BP227)</f>
        <v>67286263.649636373</v>
      </c>
      <c r="BQ228" s="109">
        <f t="shared" ca="1" si="484"/>
        <v>70150626.063566655</v>
      </c>
      <c r="BR228" s="109">
        <f t="shared" ca="1" si="469"/>
        <v>2864362.413930282</v>
      </c>
      <c r="BS228" s="111">
        <f t="shared" ca="1" si="470"/>
        <v>2864362.413930282</v>
      </c>
      <c r="BT228" s="127"/>
    </row>
    <row r="229" spans="1:72" ht="13.8" thickBot="1" x14ac:dyDescent="0.3">
      <c r="A229" s="126" t="s">
        <v>15</v>
      </c>
      <c r="D229" s="112"/>
      <c r="E229" s="112"/>
      <c r="F229" s="112" t="str">
        <f>$F$101</f>
        <v>Average Market Share</v>
      </c>
      <c r="G229" s="113" t="s">
        <v>38</v>
      </c>
      <c r="H229" s="114">
        <f ca="1">IF(H$12=0,0,H228/H$12)</f>
        <v>6.5608850907454544E-3</v>
      </c>
      <c r="I229" s="114">
        <f ca="1">IF(I$12=0,0,I228/I$12)</f>
        <v>6.6775219790181821E-3</v>
      </c>
      <c r="J229" s="115">
        <f ca="1">IFERROR(SUM(I229,-H229),"")</f>
        <v>1.1663688827272777E-4</v>
      </c>
      <c r="K229" s="116">
        <f t="shared" ca="1" si="440"/>
        <v>1.1663688827272777E-4</v>
      </c>
      <c r="L229" s="114"/>
      <c r="M229" s="114"/>
      <c r="N229" s="115"/>
      <c r="O229" s="116"/>
      <c r="P229" s="114">
        <f t="shared" ref="P229:Q229" ca="1" si="485">IF(P$12=0,0,P228/P$12)</f>
        <v>2.1148732797363644E-2</v>
      </c>
      <c r="Q229" s="114">
        <f t="shared" ca="1" si="485"/>
        <v>2.0041430537272729E-2</v>
      </c>
      <c r="R229" s="115">
        <f t="shared" ref="R229" ca="1" si="486">IFERROR(SUM(Q229,-P229),"")</f>
        <v>-1.1073022600909151E-3</v>
      </c>
      <c r="S229" s="116">
        <f t="shared" ca="1" si="444"/>
        <v>-1.1073022600909151E-3</v>
      </c>
      <c r="T229" s="114"/>
      <c r="U229" s="114"/>
      <c r="V229" s="115"/>
      <c r="W229" s="116"/>
      <c r="X229" s="114">
        <f t="shared" ref="X229:Y229" ca="1" si="487">IF(X$12=0,0,X228/X$12)</f>
        <v>2.758786807838182E-2</v>
      </c>
      <c r="Y229" s="114">
        <f t="shared" ca="1" si="487"/>
        <v>2.6742810378236365E-2</v>
      </c>
      <c r="Z229" s="115">
        <f t="shared" ref="Z229" ca="1" si="488">IFERROR(SUM(Y229,-X229),"")</f>
        <v>-8.4505770014545525E-4</v>
      </c>
      <c r="AA229" s="116">
        <f t="shared" ca="1" si="448"/>
        <v>-8.4505770014545525E-4</v>
      </c>
      <c r="AB229" s="114"/>
      <c r="AC229" s="114"/>
      <c r="AD229" s="115"/>
      <c r="AE229" s="116"/>
      <c r="AF229" s="114">
        <f t="shared" ref="AF229:AG229" ca="1" si="489">IF(AF$12=0,0,AF228/AF$12)</f>
        <v>3.1793575646686376E-2</v>
      </c>
      <c r="AG229" s="114">
        <f t="shared" ca="1" si="489"/>
        <v>3.1156725874036367E-2</v>
      </c>
      <c r="AH229" s="115">
        <f t="shared" ref="AH229" ca="1" si="490">IFERROR(SUM(AG229,-AF229),"")</f>
        <v>-6.3684977265000831E-4</v>
      </c>
      <c r="AI229" s="116">
        <f t="shared" ca="1" si="452"/>
        <v>-6.3684977265000831E-4</v>
      </c>
      <c r="AJ229" s="114"/>
      <c r="AK229" s="114"/>
      <c r="AL229" s="115"/>
      <c r="AM229" s="116"/>
      <c r="AN229" s="114">
        <f t="shared" ref="AN229:AO229" ca="1" si="491">IF(AN$12=0,0,AN228/AN$12)</f>
        <v>3.5695802399987875E-2</v>
      </c>
      <c r="AO229" s="114">
        <f t="shared" ca="1" si="491"/>
        <v>3.56446907822697E-2</v>
      </c>
      <c r="AP229" s="115">
        <f t="shared" ref="AP229" ca="1" si="492">IFERROR(SUM(AO229,-AN229),"")</f>
        <v>-5.111161771817474E-5</v>
      </c>
      <c r="AQ229" s="116">
        <f t="shared" ca="1" si="456"/>
        <v>-5.111161771817474E-5</v>
      </c>
      <c r="AR229" s="114"/>
      <c r="AS229" s="114"/>
      <c r="AT229" s="115"/>
      <c r="AU229" s="116"/>
      <c r="AV229" s="114">
        <f t="shared" ref="AV229:AW229" ca="1" si="493">IF(AV$12=0,0,AV228/AV$12)</f>
        <v>3.4796540263397735E-2</v>
      </c>
      <c r="AW229" s="114">
        <f t="shared" ca="1" si="493"/>
        <v>3.4815629860395457E-2</v>
      </c>
      <c r="AX229" s="115">
        <f t="shared" ref="AX229" ca="1" si="494">IFERROR(SUM(AW229,-AV229),"")</f>
        <v>1.9089596997722003E-5</v>
      </c>
      <c r="AY229" s="116">
        <f t="shared" ca="1" si="460"/>
        <v>1.9089596997722003E-5</v>
      </c>
      <c r="AZ229" s="114"/>
      <c r="BA229" s="114"/>
      <c r="BB229" s="115"/>
      <c r="BC229" s="116"/>
      <c r="BD229" s="114">
        <f t="shared" ref="BD229:BE229" ca="1" si="495">IF(BD$12=0,0,BD228/BD$12)</f>
        <v>3.1115218995227272E-2</v>
      </c>
      <c r="BE229" s="114">
        <f t="shared" ca="1" si="495"/>
        <v>3.1043969816378188E-2</v>
      </c>
      <c r="BF229" s="115">
        <f t="shared" ref="BF229" ca="1" si="496">IFERROR(SUM(BE229,-BD229),"")</f>
        <v>-7.1249178849083772E-5</v>
      </c>
      <c r="BG229" s="116">
        <f t="shared" ca="1" si="464"/>
        <v>-7.1249178849083772E-5</v>
      </c>
      <c r="BH229" s="114"/>
      <c r="BI229" s="114"/>
      <c r="BJ229" s="115"/>
      <c r="BK229" s="116"/>
      <c r="BL229" s="114">
        <f t="shared" ref="BL229:BM229" ca="1" si="497">IF(BL$12=0,0,BL228/BL$12)</f>
        <v>2.7428754549878791E-2</v>
      </c>
      <c r="BM229" s="114">
        <f t="shared" ca="1" si="497"/>
        <v>2.7096993946096978E-2</v>
      </c>
      <c r="BN229" s="115">
        <f t="shared" ref="BN229" ca="1" si="498">IFERROR(SUM(BM229,-BL229),"")</f>
        <v>-3.3176060378181313E-4</v>
      </c>
      <c r="BO229" s="116">
        <f t="shared" ca="1" si="468"/>
        <v>-3.3176060378181313E-4</v>
      </c>
      <c r="BP229" s="114"/>
      <c r="BQ229" s="114"/>
      <c r="BR229" s="115"/>
      <c r="BS229" s="116"/>
      <c r="BT229" s="127"/>
    </row>
    <row r="230" spans="1:72" x14ac:dyDescent="0.25">
      <c r="A230" s="126" t="s">
        <v>15</v>
      </c>
      <c r="D230" s="134"/>
      <c r="E230" s="134"/>
      <c r="F230" s="134" t="str">
        <f>$F$102</f>
        <v>Change in average (%)</v>
      </c>
      <c r="G230" s="135" t="s">
        <v>38</v>
      </c>
      <c r="H230" s="119"/>
      <c r="I230" s="119"/>
      <c r="J230" s="120">
        <f ca="1">IF(H228=0,0,SUM(I228/H228,-1))</f>
        <v>1.7777614858283552E-2</v>
      </c>
      <c r="K230" s="121">
        <f ca="1">J230</f>
        <v>1.7777614858283552E-2</v>
      </c>
      <c r="L230" s="119"/>
      <c r="M230" s="119"/>
      <c r="N230" s="120">
        <f ca="1">IF(L228=0,0,SUM(M228/L228,-1))</f>
        <v>0</v>
      </c>
      <c r="O230" s="121">
        <f ca="1">N230</f>
        <v>0</v>
      </c>
      <c r="P230" s="119"/>
      <c r="Q230" s="119"/>
      <c r="R230" s="120">
        <f t="shared" ref="R230" ca="1" si="499">IF(P228=0,0,SUM(Q228/P228,-1))</f>
        <v>-5.235785381093605E-2</v>
      </c>
      <c r="S230" s="121">
        <f t="shared" ref="S230" ca="1" si="500">R230</f>
        <v>-5.235785381093605E-2</v>
      </c>
      <c r="T230" s="119"/>
      <c r="U230" s="119"/>
      <c r="V230" s="120">
        <f t="shared" ref="V230" ca="1" si="501">IF(T228=0,0,SUM(U228/T228,-1))</f>
        <v>0</v>
      </c>
      <c r="W230" s="121">
        <f t="shared" ref="W230" ca="1" si="502">V230</f>
        <v>0</v>
      </c>
      <c r="X230" s="119"/>
      <c r="Y230" s="119"/>
      <c r="Z230" s="120">
        <f t="shared" ref="Z230" ca="1" si="503">IF(X228=0,0,SUM(Y228/X228,-1))</f>
        <v>-3.0631497067642455E-2</v>
      </c>
      <c r="AA230" s="121">
        <f t="shared" ref="AA230" ca="1" si="504">Z230</f>
        <v>-3.0631497067642455E-2</v>
      </c>
      <c r="AB230" s="119"/>
      <c r="AC230" s="119"/>
      <c r="AD230" s="120">
        <f t="shared" ref="AD230" ca="1" si="505">IF(AB228=0,0,SUM(AC228/AB228,-1))</f>
        <v>3.5539908846292878E-2</v>
      </c>
      <c r="AE230" s="121">
        <f t="shared" ref="AE230" ca="1" si="506">AD230</f>
        <v>3.5539908846292878E-2</v>
      </c>
      <c r="AF230" s="119"/>
      <c r="AG230" s="119"/>
      <c r="AH230" s="120">
        <f t="shared" ref="AH230" ca="1" si="507">IF(AF228=0,0,SUM(AG228/AF228,-1))</f>
        <v>-2.0030769100246926E-2</v>
      </c>
      <c r="AI230" s="121">
        <f t="shared" ref="AI230" ca="1" si="508">AH230</f>
        <v>-2.0030769100246926E-2</v>
      </c>
      <c r="AJ230" s="119"/>
      <c r="AK230" s="119"/>
      <c r="AL230" s="120">
        <f t="shared" ref="AL230" ca="1" si="509">IF(AJ228=0,0,SUM(AK228/AJ228,-1))</f>
        <v>3.8973406456494608E-2</v>
      </c>
      <c r="AM230" s="121">
        <f t="shared" ref="AM230" ca="1" si="510">AL230</f>
        <v>3.8973406456494608E-2</v>
      </c>
      <c r="AN230" s="119"/>
      <c r="AO230" s="119"/>
      <c r="AP230" s="120">
        <f t="shared" ref="AP230" ca="1" si="511">IF(AN228=0,0,SUM(AO228/AN228,-1))</f>
        <v>-1.4318663339023541E-3</v>
      </c>
      <c r="AQ230" s="121">
        <f t="shared" ref="AQ230" ca="1" si="512">AP230</f>
        <v>-1.4318663339023541E-3</v>
      </c>
      <c r="AR230" s="119"/>
      <c r="AS230" s="119"/>
      <c r="AT230" s="120">
        <f t="shared" ref="AT230" ca="1" si="513">IF(AR228=0,0,SUM(AS228/AR228,-1))</f>
        <v>6.3795711788178666E-2</v>
      </c>
      <c r="AU230" s="121">
        <f t="shared" ref="AU230" ca="1" si="514">AT230</f>
        <v>6.3795711788178666E-2</v>
      </c>
      <c r="AV230" s="119"/>
      <c r="AW230" s="119"/>
      <c r="AX230" s="120">
        <f t="shared" ref="AX230" ca="1" si="515">IF(AV228=0,0,SUM(AW228/AV228,-1))</f>
        <v>5.4860617904006759E-4</v>
      </c>
      <c r="AY230" s="121">
        <f t="shared" ref="AY230" ca="1" si="516">AX230</f>
        <v>5.4860617904006759E-4</v>
      </c>
      <c r="AZ230" s="119"/>
      <c r="BA230" s="119"/>
      <c r="BB230" s="120">
        <f t="shared" ref="BB230" ca="1" si="517">IF(AZ228=0,0,SUM(BA228/AZ228,-1))</f>
        <v>6.1227513162450675E-2</v>
      </c>
      <c r="BC230" s="121">
        <f t="shared" ref="BC230" ca="1" si="518">BB230</f>
        <v>6.1227513162450675E-2</v>
      </c>
      <c r="BD230" s="119"/>
      <c r="BE230" s="119"/>
      <c r="BF230" s="120">
        <f t="shared" ref="BF230" ca="1" si="519">IF(BD228=0,0,SUM(BE228/BD228,-1))</f>
        <v>-2.2898498275075729E-3</v>
      </c>
      <c r="BG230" s="121">
        <f t="shared" ref="BG230" ca="1" si="520">BF230</f>
        <v>-2.2898498275075729E-3</v>
      </c>
      <c r="BH230" s="119"/>
      <c r="BI230" s="119"/>
      <c r="BJ230" s="120">
        <f t="shared" ref="BJ230" ca="1" si="521">IF(BH228=0,0,SUM(BI228/BH228,-1))</f>
        <v>5.584236133618603E-2</v>
      </c>
      <c r="BK230" s="121">
        <f t="shared" ref="BK230" ca="1" si="522">BJ230</f>
        <v>5.584236133618603E-2</v>
      </c>
      <c r="BL230" s="119"/>
      <c r="BM230" s="119"/>
      <c r="BN230" s="120">
        <f t="shared" ref="BN230" ca="1" si="523">IF(BL228=0,0,SUM(BM228/BL228,-1))</f>
        <v>-1.2095357927335404E-2</v>
      </c>
      <c r="BO230" s="121">
        <f t="shared" ref="BO230" ca="1" si="524">BN230</f>
        <v>-1.2095357927335404E-2</v>
      </c>
      <c r="BP230" s="119"/>
      <c r="BQ230" s="119"/>
      <c r="BR230" s="120">
        <f t="shared" ref="BR230" ca="1" si="525">IF(BP228=0,0,SUM(BQ228/BP228,-1))</f>
        <v>4.2569794465705302E-2</v>
      </c>
      <c r="BS230" s="121">
        <f t="shared" ref="BS230" ca="1" si="526">BR230</f>
        <v>4.2569794465705302E-2</v>
      </c>
      <c r="BT230" s="127"/>
    </row>
    <row r="231" spans="1:72" hidden="1" outlineLevel="1" x14ac:dyDescent="0.25">
      <c r="A231" s="122"/>
      <c r="B231" s="122"/>
      <c r="C231" s="122"/>
      <c r="D231" s="99"/>
      <c r="E231" s="99"/>
      <c r="F231" s="99" t="str">
        <f>$F$103</f>
        <v>#▲ Number Increased</v>
      </c>
      <c r="G231" s="100" t="s">
        <v>38</v>
      </c>
      <c r="H231" s="99"/>
      <c r="I231" s="99"/>
      <c r="J231" s="99">
        <f t="array" aca="1" ref="J231" ca="1">COUNT(IF(J$182:OFFSET(J223,-1,0)&gt;0,IF(SUBTOTAL(109,OFFSET(J$182:OFFSET(J223,-1,0),ROW(J$182:OFFSET(J223,-1,0))-MIN(ROW(J$182:OFFSET(J223,-1,0))),0,1))&gt;0,J$182:OFFSET(J223,-1,0))))</f>
        <v>10</v>
      </c>
      <c r="K231" s="123"/>
      <c r="L231" s="99"/>
      <c r="M231" s="99"/>
      <c r="N231" s="99">
        <f t="array" aca="1" ref="N231" ca="1">COUNT(IF(N$182:OFFSET(N223,-1,0)&gt;0,IF(SUBTOTAL(109,OFFSET(N$182:OFFSET(N223,-1,0),ROW(N$182:OFFSET(N223,-1,0))-MIN(ROW(N$182:OFFSET(N223,-1,0))),0,1))&gt;0,N$182:OFFSET(N223,-1,0))))</f>
        <v>0</v>
      </c>
      <c r="O231" s="123"/>
      <c r="P231" s="99"/>
      <c r="Q231" s="99"/>
      <c r="R231" s="99">
        <f t="array" aca="1" ref="R231" ca="1">COUNT(IF(R$182:OFFSET(R223,-1,0)&gt;0,IF(SUBTOTAL(109,OFFSET(R$182:OFFSET(R223,-1,0),ROW(R$182:OFFSET(R223,-1,0))-MIN(ROW(R$182:OFFSET(R223,-1,0))),0,1))&gt;0,R$182:OFFSET(R223,-1,0))))</f>
        <v>7</v>
      </c>
      <c r="S231" s="123"/>
      <c r="T231" s="99"/>
      <c r="U231" s="99"/>
      <c r="V231" s="99">
        <f t="array" aca="1" ref="V231" ca="1">COUNT(IF(V$182:OFFSET(V223,-1,0)&gt;0,IF(SUBTOTAL(109,OFFSET(V$182:OFFSET(V223,-1,0),ROW(V$182:OFFSET(V223,-1,0))-MIN(ROW(V$182:OFFSET(V223,-1,0))),0,1))&gt;0,V$182:OFFSET(V223,-1,0))))</f>
        <v>0</v>
      </c>
      <c r="W231" s="123"/>
      <c r="X231" s="99"/>
      <c r="Y231" s="99"/>
      <c r="Z231" s="99">
        <f t="array" aca="1" ref="Z231" ca="1">COUNT(IF(Z$182:OFFSET(Z223,-1,0)&gt;0,IF(SUBTOTAL(109,OFFSET(Z$182:OFFSET(Z223,-1,0),ROW(Z$182:OFFSET(Z223,-1,0))-MIN(ROW(Z$182:OFFSET(Z223,-1,0))),0,1))&gt;0,Z$182:OFFSET(Z223,-1,0))))</f>
        <v>8</v>
      </c>
      <c r="AA231" s="123"/>
      <c r="AB231" s="99"/>
      <c r="AC231" s="99"/>
      <c r="AD231" s="99">
        <f t="array" aca="1" ref="AD231" ca="1">COUNT(IF(AD$182:OFFSET(AD223,-1,0)&gt;0,IF(SUBTOTAL(109,OFFSET(AD$182:OFFSET(AD223,-1,0),ROW(AD$182:OFFSET(AD223,-1,0))-MIN(ROW(AD$182:OFFSET(AD223,-1,0))),0,1))&gt;0,AD$182:OFFSET(AD223,-1,0))))</f>
        <v>8</v>
      </c>
      <c r="AE231" s="123"/>
      <c r="AF231" s="99"/>
      <c r="AG231" s="99"/>
      <c r="AH231" s="99">
        <f t="array" aca="1" ref="AH231" ca="1">COUNT(IF(AH$182:OFFSET(AH223,-1,0)&gt;0,IF(SUBTOTAL(109,OFFSET(AH$182:OFFSET(AH223,-1,0),ROW(AH$182:OFFSET(AH223,-1,0))-MIN(ROW(AH$182:OFFSET(AH223,-1,0))),0,1))&gt;0,AH$182:OFFSET(AH223,-1,0))))</f>
        <v>9</v>
      </c>
      <c r="AI231" s="123"/>
      <c r="AJ231" s="99"/>
      <c r="AK231" s="99"/>
      <c r="AL231" s="99">
        <f t="array" aca="1" ref="AL231" ca="1">COUNT(IF(AL$182:OFFSET(AL223,-1,0)&gt;0,IF(SUBTOTAL(109,OFFSET(AL$182:OFFSET(AL223,-1,0),ROW(AL$182:OFFSET(AL223,-1,0))-MIN(ROW(AL$182:OFFSET(AL223,-1,0))),0,1))&gt;0,AL$182:OFFSET(AL223,-1,0))))</f>
        <v>9</v>
      </c>
      <c r="AM231" s="123"/>
      <c r="AN231" s="99"/>
      <c r="AO231" s="99"/>
      <c r="AP231" s="99">
        <f t="array" aca="1" ref="AP231" ca="1">COUNT(IF(AP$182:OFFSET(AP223,-1,0)&gt;0,IF(SUBTOTAL(109,OFFSET(AP$182:OFFSET(AP223,-1,0),ROW(AP$182:OFFSET(AP223,-1,0))-MIN(ROW(AP$182:OFFSET(AP223,-1,0))),0,1))&gt;0,AP$182:OFFSET(AP223,-1,0))))</f>
        <v>10</v>
      </c>
      <c r="AQ231" s="123"/>
      <c r="AR231" s="99"/>
      <c r="AS231" s="99"/>
      <c r="AT231" s="99">
        <f t="array" aca="1" ref="AT231" ca="1">COUNT(IF(AT$182:OFFSET(AT223,-1,0)&gt;0,IF(SUBTOTAL(109,OFFSET(AT$182:OFFSET(AT223,-1,0),ROW(AT$182:OFFSET(AT223,-1,0))-MIN(ROW(AT$182:OFFSET(AT223,-1,0))),0,1))&gt;0,AT$182:OFFSET(AT223,-1,0))))</f>
        <v>10</v>
      </c>
      <c r="AU231" s="123"/>
      <c r="AV231" s="99"/>
      <c r="AW231" s="99"/>
      <c r="AX231" s="99">
        <f t="array" aca="1" ref="AX231" ca="1">COUNT(IF(AX$182:OFFSET(AX223,-1,0)&gt;0,IF(SUBTOTAL(109,OFFSET(AX$182:OFFSET(AX223,-1,0),ROW(AX$182:OFFSET(AX223,-1,0))-MIN(ROW(AX$182:OFFSET(AX223,-1,0))),0,1))&gt;0,AX$182:OFFSET(AX223,-1,0))))</f>
        <v>9</v>
      </c>
      <c r="AY231" s="123"/>
      <c r="AZ231" s="99"/>
      <c r="BA231" s="99"/>
      <c r="BB231" s="99">
        <f t="array" aca="1" ref="BB231" ca="1">COUNT(IF(BB$182:OFFSET(BB223,-1,0)&gt;0,IF(SUBTOTAL(109,OFFSET(BB$182:OFFSET(BB223,-1,0),ROW(BB$182:OFFSET(BB223,-1,0))-MIN(ROW(BB$182:OFFSET(BB223,-1,0))),0,1))&gt;0,BB$182:OFFSET(BB223,-1,0))))</f>
        <v>9</v>
      </c>
      <c r="BC231" s="123"/>
      <c r="BD231" s="99"/>
      <c r="BE231" s="99"/>
      <c r="BF231" s="99">
        <f t="array" aca="1" ref="BF231" ca="1">COUNT(IF(BF$182:OFFSET(BF223,-1,0)&gt;0,IF(SUBTOTAL(109,OFFSET(BF$182:OFFSET(BF223,-1,0),ROW(BF$182:OFFSET(BF223,-1,0))-MIN(ROW(BF$182:OFFSET(BF223,-1,0))),0,1))&gt;0,BF$182:OFFSET(BF223,-1,0))))</f>
        <v>11</v>
      </c>
      <c r="BG231" s="123"/>
      <c r="BH231" s="99"/>
      <c r="BI231" s="99"/>
      <c r="BJ231" s="99">
        <f t="array" aca="1" ref="BJ231" ca="1">COUNT(IF(BJ$182:OFFSET(BJ223,-1,0)&gt;0,IF(SUBTOTAL(109,OFFSET(BJ$182:OFFSET(BJ223,-1,0),ROW(BJ$182:OFFSET(BJ223,-1,0))-MIN(ROW(BJ$182:OFFSET(BJ223,-1,0))),0,1))&gt;0,BJ$182:OFFSET(BJ223,-1,0))))</f>
        <v>11</v>
      </c>
      <c r="BK231" s="123"/>
      <c r="BL231" s="99"/>
      <c r="BM231" s="99"/>
      <c r="BN231" s="99">
        <f t="array" aca="1" ref="BN231" ca="1">COUNT(IF(BN$182:OFFSET(BN223,-1,0)&gt;0,IF(SUBTOTAL(109,OFFSET(BN$182:OFFSET(BN223,-1,0),ROW(BN$182:OFFSET(BN223,-1,0))-MIN(ROW(BN$182:OFFSET(BN223,-1,0))),0,1))&gt;0,BN$182:OFFSET(BN223,-1,0))))</f>
        <v>10</v>
      </c>
      <c r="BO231" s="123"/>
      <c r="BP231" s="99"/>
      <c r="BQ231" s="99"/>
      <c r="BR231" s="99">
        <f t="array" aca="1" ref="BR231" ca="1">COUNT(IF(BR$182:OFFSET(BR223,-1,0)&gt;0,IF(SUBTOTAL(109,OFFSET(BR$182:OFFSET(BR223,-1,0),ROW(BR$182:OFFSET(BR223,-1,0))-MIN(ROW(BR$182:OFFSET(BR223,-1,0))),0,1))&gt;0,BR$182:OFFSET(BR223,-1,0))))</f>
        <v>10</v>
      </c>
      <c r="BS231" s="123"/>
      <c r="BT231" s="127"/>
    </row>
    <row r="232" spans="1:72" hidden="1" outlineLevel="1" x14ac:dyDescent="0.25">
      <c r="A232" s="122"/>
      <c r="B232" s="122"/>
      <c r="C232" s="122"/>
      <c r="D232" s="102"/>
      <c r="E232" s="102"/>
      <c r="F232" s="102" t="str">
        <f>$F$104</f>
        <v>Σ▲ Total Increased</v>
      </c>
      <c r="G232" s="103" t="s">
        <v>38</v>
      </c>
      <c r="H232" s="102"/>
      <c r="I232" s="102"/>
      <c r="J232" s="102">
        <f t="array" aca="1" ref="J232" ca="1">SUM(IF(J$182:OFFSET(J223,-1,0)&gt;0,IF(SUBTOTAL(109,OFFSET(J$182:OFFSET(J223,-1,0),ROW(J$182:OFFSET(J223,-1,0))-MIN(ROW(J$182:OFFSET(J223,-1,0))),0,1))&gt;0,J$182:OFFSET(J223,-1,0))))</f>
        <v>5327815.5919000013</v>
      </c>
      <c r="K232" s="124"/>
      <c r="L232" s="102"/>
      <c r="M232" s="102"/>
      <c r="N232" s="102">
        <f t="array" aca="1" ref="N232" ca="1">SUM(IF(N$182:OFFSET(N223,-1,0)&gt;0,IF(SUBTOTAL(109,OFFSET(N$182:OFFSET(N223,-1,0),ROW(N$182:OFFSET(N223,-1,0))-MIN(ROW(N$182:OFFSET(N223,-1,0))),0,1))&gt;0,N$182:OFFSET(N223,-1,0))))</f>
        <v>0</v>
      </c>
      <c r="O232" s="124"/>
      <c r="P232" s="102"/>
      <c r="Q232" s="102"/>
      <c r="R232" s="102">
        <f t="array" aca="1" ref="R232" ca="1">SUM(IF(R$182:OFFSET(R223,-1,0)&gt;0,IF(SUBTOTAL(109,OFFSET(R$182:OFFSET(R223,-1,0),ROW(R$182:OFFSET(R223,-1,0))-MIN(ROW(R$182:OFFSET(R223,-1,0))),0,1))&gt;0,R$182:OFFSET(R223,-1,0))))</f>
        <v>12531094.482900003</v>
      </c>
      <c r="S232" s="124"/>
      <c r="T232" s="102"/>
      <c r="U232" s="102"/>
      <c r="V232" s="102">
        <f t="array" aca="1" ref="V232" ca="1">SUM(IF(V$182:OFFSET(V223,-1,0)&gt;0,IF(SUBTOTAL(109,OFFSET(V$182:OFFSET(V223,-1,0),ROW(V$182:OFFSET(V223,-1,0))-MIN(ROW(V$182:OFFSET(V223,-1,0))),0,1))&gt;0,V$182:OFFSET(V223,-1,0))))</f>
        <v>0</v>
      </c>
      <c r="W232" s="124"/>
      <c r="X232" s="102"/>
      <c r="Y232" s="102"/>
      <c r="Z232" s="102">
        <f t="array" aca="1" ref="Z232" ca="1">SUM(IF(Z$182:OFFSET(Z223,-1,0)&gt;0,IF(SUBTOTAL(109,OFFSET(Z$182:OFFSET(Z223,-1,0),ROW(Z$182:OFFSET(Z223,-1,0))-MIN(ROW(Z$182:OFFSET(Z223,-1,0))),0,1))&gt;0,Z$182:OFFSET(Z223,-1,0))))</f>
        <v>25756212.302799989</v>
      </c>
      <c r="AA232" s="124"/>
      <c r="AB232" s="102"/>
      <c r="AC232" s="102"/>
      <c r="AD232" s="102">
        <f t="array" aca="1" ref="AD232" ca="1">SUM(IF(AD$182:OFFSET(AD223,-1,0)&gt;0,IF(SUBTOTAL(109,OFFSET(AD$182:OFFSET(AD223,-1,0),ROW(AD$182:OFFSET(AD223,-1,0))-MIN(ROW(AD$182:OFFSET(AD223,-1,0))),0,1))&gt;0,AD$182:OFFSET(AD223,-1,0))))</f>
        <v>25756212.302799989</v>
      </c>
      <c r="AE232" s="124"/>
      <c r="AF232" s="102"/>
      <c r="AG232" s="102"/>
      <c r="AH232" s="102">
        <f t="array" aca="1" ref="AH232" ca="1">SUM(IF(AH$182:OFFSET(AH223,-1,0)&gt;0,IF(SUBTOTAL(109,OFFSET(AH$182:OFFSET(AH223,-1,0),ROW(AH$182:OFFSET(AH223,-1,0))-MIN(ROW(AH$182:OFFSET(AH223,-1,0))),0,1))&gt;0,AH$182:OFFSET(AH223,-1,0))))</f>
        <v>43117015.665599987</v>
      </c>
      <c r="AI232" s="124"/>
      <c r="AJ232" s="102"/>
      <c r="AK232" s="102"/>
      <c r="AL232" s="102">
        <f t="array" aca="1" ref="AL232" ca="1">SUM(IF(AL$182:OFFSET(AL223,-1,0)&gt;0,IF(SUBTOTAL(109,OFFSET(AL$182:OFFSET(AL223,-1,0),ROW(AL$182:OFFSET(AL223,-1,0))-MIN(ROW(AL$182:OFFSET(AL223,-1,0))),0,1))&gt;0,AL$182:OFFSET(AL223,-1,0))))</f>
        <v>43117015.665599987</v>
      </c>
      <c r="AM232" s="124"/>
      <c r="AN232" s="102"/>
      <c r="AO232" s="102"/>
      <c r="AP232" s="102">
        <f t="array" aca="1" ref="AP232" ca="1">SUM(IF(AP$182:OFFSET(AP223,-1,0)&gt;0,IF(SUBTOTAL(109,OFFSET(AP$182:OFFSET(AP223,-1,0),ROW(AP$182:OFFSET(AP223,-1,0))-MIN(ROW(AP$182:OFFSET(AP223,-1,0))),0,1))&gt;0,AP$182:OFFSET(AP223,-1,0))))</f>
        <v>80998006.117399961</v>
      </c>
      <c r="AQ232" s="124"/>
      <c r="AR232" s="102"/>
      <c r="AS232" s="102"/>
      <c r="AT232" s="102">
        <f t="array" aca="1" ref="AT232" ca="1">SUM(IF(AT$182:OFFSET(AT223,-1,0)&gt;0,IF(SUBTOTAL(109,OFFSET(AT$182:OFFSET(AT223,-1,0),ROW(AT$182:OFFSET(AT223,-1,0))-MIN(ROW(AT$182:OFFSET(AT223,-1,0))),0,1))&gt;0,AT$182:OFFSET(AT223,-1,0))))</f>
        <v>80998006.117399961</v>
      </c>
      <c r="AU232" s="124"/>
      <c r="AV232" s="102"/>
      <c r="AW232" s="102"/>
      <c r="AX232" s="102">
        <f t="array" aca="1" ref="AX232" ca="1">SUM(IF(AX$182:OFFSET(AX223,-1,0)&gt;0,IF(SUBTOTAL(109,OFFSET(AX$182:OFFSET(AX223,-1,0),ROW(AX$182:OFFSET(AX223,-1,0))-MIN(ROW(AX$182:OFFSET(AX223,-1,0))),0,1))&gt;0,AX$182:OFFSET(AX223,-1,0))))</f>
        <v>108850534.26389998</v>
      </c>
      <c r="AY232" s="124"/>
      <c r="AZ232" s="102"/>
      <c r="BA232" s="102"/>
      <c r="BB232" s="102">
        <f t="array" aca="1" ref="BB232" ca="1">SUM(IF(BB$182:OFFSET(BB223,-1,0)&gt;0,IF(SUBTOTAL(109,OFFSET(BB$182:OFFSET(BB223,-1,0),ROW(BB$182:OFFSET(BB223,-1,0))-MIN(ROW(BB$182:OFFSET(BB223,-1,0))),0,1))&gt;0,BB$182:OFFSET(BB223,-1,0))))</f>
        <v>108850534.26389998</v>
      </c>
      <c r="BC232" s="124"/>
      <c r="BD232" s="102"/>
      <c r="BE232" s="102"/>
      <c r="BF232" s="102">
        <f t="array" aca="1" ref="BF232" ca="1">SUM(IF(BF$182:OFFSET(BF223,-1,0)&gt;0,IF(SUBTOTAL(109,OFFSET(BF$182:OFFSET(BF223,-1,0),ROW(BF$182:OFFSET(BF223,-1,0))-MIN(ROW(BF$182:OFFSET(BF223,-1,0))),0,1))&gt;0,BF$182:OFFSET(BF223,-1,0))))</f>
        <v>115340673.04139994</v>
      </c>
      <c r="BG232" s="124"/>
      <c r="BH232" s="102"/>
      <c r="BI232" s="102"/>
      <c r="BJ232" s="102">
        <f t="array" aca="1" ref="BJ232" ca="1">SUM(IF(BJ$182:OFFSET(BJ223,-1,0)&gt;0,IF(SUBTOTAL(109,OFFSET(BJ$182:OFFSET(BJ223,-1,0),ROW(BJ$182:OFFSET(BJ223,-1,0))-MIN(ROW(BJ$182:OFFSET(BJ223,-1,0))),0,1))&gt;0,BJ$182:OFFSET(BJ223,-1,0))))</f>
        <v>115340673.04139994</v>
      </c>
      <c r="BK232" s="124"/>
      <c r="BL232" s="102"/>
      <c r="BM232" s="102"/>
      <c r="BN232" s="102">
        <f t="array" aca="1" ref="BN232" ca="1">SUM(IF(BN$182:OFFSET(BN223,-1,0)&gt;0,IF(SUBTOTAL(109,OFFSET(BN$182:OFFSET(BN223,-1,0),ROW(BN$182:OFFSET(BN223,-1,0))-MIN(ROW(BN$182:OFFSET(BN223,-1,0))),0,1))&gt;0,BN$182:OFFSET(BN223,-1,0))))</f>
        <v>118950446.34159993</v>
      </c>
      <c r="BO232" s="124"/>
      <c r="BP232" s="102"/>
      <c r="BQ232" s="102"/>
      <c r="BR232" s="102">
        <f t="array" aca="1" ref="BR232" ca="1">SUM(IF(BR$182:OFFSET(BR223,-1,0)&gt;0,IF(SUBTOTAL(109,OFFSET(BR$182:OFFSET(BR223,-1,0),ROW(BR$182:OFFSET(BR223,-1,0))-MIN(ROW(BR$182:OFFSET(BR223,-1,0))),0,1))&gt;0,BR$182:OFFSET(BR223,-1,0))))</f>
        <v>118950446.34159993</v>
      </c>
      <c r="BS232" s="124"/>
      <c r="BT232" s="127"/>
    </row>
    <row r="233" spans="1:72" ht="13.8" hidden="1" outlineLevel="1" thickBot="1" x14ac:dyDescent="0.3">
      <c r="A233" s="122"/>
      <c r="B233" s="122"/>
      <c r="C233" s="122"/>
      <c r="D233" s="112"/>
      <c r="E233" s="112"/>
      <c r="F233" s="112" t="str">
        <f>$F$105</f>
        <v>Χ▲ Average Increased</v>
      </c>
      <c r="G233" s="113" t="s">
        <v>38</v>
      </c>
      <c r="H233" s="112"/>
      <c r="I233" s="112"/>
      <c r="J233" s="112">
        <f ca="1">IF(J231=0,0,J232/J231)</f>
        <v>532781.55919000017</v>
      </c>
      <c r="K233" s="125"/>
      <c r="L233" s="112"/>
      <c r="M233" s="112"/>
      <c r="N233" s="112">
        <f ca="1">IF(N231=0,0,N232/N231)</f>
        <v>0</v>
      </c>
      <c r="O233" s="125"/>
      <c r="P233" s="112"/>
      <c r="Q233" s="112"/>
      <c r="R233" s="112">
        <f t="shared" ref="R233" ca="1" si="527">IF(R231=0,0,R232/R231)</f>
        <v>1790156.3547000005</v>
      </c>
      <c r="S233" s="125"/>
      <c r="T233" s="112"/>
      <c r="U233" s="112"/>
      <c r="V233" s="112">
        <f t="shared" ref="V233" ca="1" si="528">IF(V231=0,0,V232/V231)</f>
        <v>0</v>
      </c>
      <c r="W233" s="125"/>
      <c r="X233" s="112"/>
      <c r="Y233" s="112"/>
      <c r="Z233" s="112">
        <f t="shared" ref="Z233" ca="1" si="529">IF(Z231=0,0,Z232/Z231)</f>
        <v>3219526.5378499986</v>
      </c>
      <c r="AA233" s="125"/>
      <c r="AB233" s="112"/>
      <c r="AC233" s="112"/>
      <c r="AD233" s="112">
        <f t="shared" ref="AD233" ca="1" si="530">IF(AD231=0,0,AD232/AD231)</f>
        <v>3219526.5378499986</v>
      </c>
      <c r="AE233" s="125"/>
      <c r="AF233" s="112"/>
      <c r="AG233" s="112"/>
      <c r="AH233" s="112">
        <f t="shared" ref="AH233" ca="1" si="531">IF(AH231=0,0,AH232/AH231)</f>
        <v>4790779.5183999985</v>
      </c>
      <c r="AI233" s="125"/>
      <c r="AJ233" s="112"/>
      <c r="AK233" s="112"/>
      <c r="AL233" s="112">
        <f t="shared" ref="AL233" ca="1" si="532">IF(AL231=0,0,AL232/AL231)</f>
        <v>4790779.5183999985</v>
      </c>
      <c r="AM233" s="125"/>
      <c r="AN233" s="112"/>
      <c r="AO233" s="112"/>
      <c r="AP233" s="112">
        <f t="shared" ref="AP233" ca="1" si="533">IF(AP231=0,0,AP232/AP231)</f>
        <v>8099800.6117399959</v>
      </c>
      <c r="AQ233" s="125"/>
      <c r="AR233" s="112"/>
      <c r="AS233" s="112"/>
      <c r="AT233" s="112">
        <f t="shared" ref="AT233" ca="1" si="534">IF(AT231=0,0,AT232/AT231)</f>
        <v>8099800.6117399959</v>
      </c>
      <c r="AU233" s="125"/>
      <c r="AV233" s="112"/>
      <c r="AW233" s="112"/>
      <c r="AX233" s="112">
        <f t="shared" ref="AX233" ca="1" si="535">IF(AX231=0,0,AX232/AX231)</f>
        <v>12094503.807099998</v>
      </c>
      <c r="AY233" s="125"/>
      <c r="AZ233" s="112"/>
      <c r="BA233" s="112"/>
      <c r="BB233" s="112">
        <f t="shared" ref="BB233" ca="1" si="536">IF(BB231=0,0,BB232/BB231)</f>
        <v>12094503.807099998</v>
      </c>
      <c r="BC233" s="125"/>
      <c r="BD233" s="112"/>
      <c r="BE233" s="112"/>
      <c r="BF233" s="112">
        <f t="shared" ref="BF233" ca="1" si="537">IF(BF231=0,0,BF232/BF231)</f>
        <v>10485515.731036358</v>
      </c>
      <c r="BG233" s="125"/>
      <c r="BH233" s="112"/>
      <c r="BI233" s="112"/>
      <c r="BJ233" s="112">
        <f t="shared" ref="BJ233" ca="1" si="538">IF(BJ231=0,0,BJ232/BJ231)</f>
        <v>10485515.731036358</v>
      </c>
      <c r="BK233" s="125"/>
      <c r="BL233" s="112"/>
      <c r="BM233" s="112"/>
      <c r="BN233" s="112">
        <f t="shared" ref="BN233" ca="1" si="539">IF(BN231=0,0,BN232/BN231)</f>
        <v>11895044.634159993</v>
      </c>
      <c r="BO233" s="125"/>
      <c r="BP233" s="112"/>
      <c r="BQ233" s="112"/>
      <c r="BR233" s="112">
        <f t="shared" ref="BR233" ca="1" si="540">IF(BR231=0,0,BR232/BR231)</f>
        <v>11895044.634159993</v>
      </c>
      <c r="BS233" s="125"/>
      <c r="BT233" s="127"/>
    </row>
    <row r="234" spans="1:72" hidden="1" outlineLevel="1" x14ac:dyDescent="0.25">
      <c r="A234" s="122"/>
      <c r="B234" s="122"/>
      <c r="C234" s="122"/>
      <c r="D234" s="99"/>
      <c r="E234" s="99"/>
      <c r="F234" s="99" t="str">
        <f>$F$106</f>
        <v>#▼ Number Decreased</v>
      </c>
      <c r="G234" s="100" t="s">
        <v>38</v>
      </c>
      <c r="H234" s="99"/>
      <c r="I234" s="99"/>
      <c r="J234" s="99">
        <f t="array" aca="1" ref="J234" ca="1">COUNT(IF(J$182:OFFSET(J223,-1,0)&lt;0,IF(SUBTOTAL(109,OFFSET(J$182:OFFSET(J223,-1,0),ROW(J$182:OFFSET(J223,-1,0))-MIN(ROW(J$182:OFFSET(J223,-1,0))),0,1))&lt;0,J$182:OFFSET(J223,-1,0))))</f>
        <v>12</v>
      </c>
      <c r="K234" s="123"/>
      <c r="L234" s="99"/>
      <c r="M234" s="99"/>
      <c r="N234" s="99">
        <f t="array" aca="1" ref="N234" ca="1">COUNT(IF(N$182:OFFSET(N223,-1,0)&lt;0,IF(SUBTOTAL(109,OFFSET(N$182:OFFSET(N223,-1,0),ROW(N$182:OFFSET(N223,-1,0))-MIN(ROW(N$182:OFFSET(N223,-1,0))),0,1))&lt;0,N$182:OFFSET(N223,-1,0))))</f>
        <v>0</v>
      </c>
      <c r="O234" s="123"/>
      <c r="P234" s="99"/>
      <c r="Q234" s="99"/>
      <c r="R234" s="99">
        <f t="array" aca="1" ref="R234" ca="1">COUNT(IF(R$182:OFFSET(R223,-1,0)&lt;0,IF(SUBTOTAL(109,OFFSET(R$182:OFFSET(R223,-1,0),ROW(R$182:OFFSET(R223,-1,0))-MIN(ROW(R$182:OFFSET(R223,-1,0))),0,1))&lt;0,R$182:OFFSET(R223,-1,0))))</f>
        <v>15</v>
      </c>
      <c r="S234" s="123"/>
      <c r="T234" s="99"/>
      <c r="U234" s="99"/>
      <c r="V234" s="99">
        <f t="array" aca="1" ref="V234" ca="1">COUNT(IF(V$182:OFFSET(V223,-1,0)&lt;0,IF(SUBTOTAL(109,OFFSET(V$182:OFFSET(V223,-1,0),ROW(V$182:OFFSET(V223,-1,0))-MIN(ROW(V$182:OFFSET(V223,-1,0))),0,1))&lt;0,V$182:OFFSET(V223,-1,0))))</f>
        <v>0</v>
      </c>
      <c r="W234" s="123"/>
      <c r="X234" s="99"/>
      <c r="Y234" s="99"/>
      <c r="Z234" s="99">
        <f t="array" aca="1" ref="Z234" ca="1">COUNT(IF(Z$182:OFFSET(Z223,-1,0)&lt;0,IF(SUBTOTAL(109,OFFSET(Z$182:OFFSET(Z223,-1,0),ROW(Z$182:OFFSET(Z223,-1,0))-MIN(ROW(Z$182:OFFSET(Z223,-1,0))),0,1))&lt;0,Z$182:OFFSET(Z223,-1,0))))</f>
        <v>14</v>
      </c>
      <c r="AA234" s="123"/>
      <c r="AB234" s="99"/>
      <c r="AC234" s="99"/>
      <c r="AD234" s="99">
        <f t="array" aca="1" ref="AD234" ca="1">COUNT(IF(AD$182:OFFSET(AD223,-1,0)&lt;0,IF(SUBTOTAL(109,OFFSET(AD$182:OFFSET(AD223,-1,0),ROW(AD$182:OFFSET(AD223,-1,0))-MIN(ROW(AD$182:OFFSET(AD223,-1,0))),0,1))&lt;0,AD$182:OFFSET(AD223,-1,0))))</f>
        <v>13</v>
      </c>
      <c r="AE234" s="123"/>
      <c r="AF234" s="99"/>
      <c r="AG234" s="99"/>
      <c r="AH234" s="99">
        <f t="array" aca="1" ref="AH234" ca="1">COUNT(IF(AH$182:OFFSET(AH223,-1,0)&lt;0,IF(SUBTOTAL(109,OFFSET(AH$182:OFFSET(AH223,-1,0),ROW(AH$182:OFFSET(AH223,-1,0))-MIN(ROW(AH$182:OFFSET(AH223,-1,0))),0,1))&lt;0,AH$182:OFFSET(AH223,-1,0))))</f>
        <v>13</v>
      </c>
      <c r="AI234" s="123"/>
      <c r="AJ234" s="99"/>
      <c r="AK234" s="99"/>
      <c r="AL234" s="99">
        <f t="array" aca="1" ref="AL234" ca="1">COUNT(IF(AL$182:OFFSET(AL223,-1,0)&lt;0,IF(SUBTOTAL(109,OFFSET(AL$182:OFFSET(AL223,-1,0),ROW(AL$182:OFFSET(AL223,-1,0))-MIN(ROW(AL$182:OFFSET(AL223,-1,0))),0,1))&lt;0,AL$182:OFFSET(AL223,-1,0))))</f>
        <v>12</v>
      </c>
      <c r="AM234" s="123"/>
      <c r="AN234" s="99"/>
      <c r="AO234" s="99"/>
      <c r="AP234" s="99">
        <f t="array" aca="1" ref="AP234" ca="1">COUNT(IF(AP$182:OFFSET(AP223,-1,0)&lt;0,IF(SUBTOTAL(109,OFFSET(AP$182:OFFSET(AP223,-1,0),ROW(AP$182:OFFSET(AP223,-1,0))-MIN(ROW(AP$182:OFFSET(AP223,-1,0))),0,1))&lt;0,AP$182:OFFSET(AP223,-1,0))))</f>
        <v>12</v>
      </c>
      <c r="AQ234" s="123"/>
      <c r="AR234" s="99"/>
      <c r="AS234" s="99"/>
      <c r="AT234" s="99">
        <f t="array" aca="1" ref="AT234" ca="1">COUNT(IF(AT$182:OFFSET(AT223,-1,0)&lt;0,IF(SUBTOTAL(109,OFFSET(AT$182:OFFSET(AT223,-1,0),ROW(AT$182:OFFSET(AT223,-1,0))-MIN(ROW(AT$182:OFFSET(AT223,-1,0))),0,1))&lt;0,AT$182:OFFSET(AT223,-1,0))))</f>
        <v>12</v>
      </c>
      <c r="AU234" s="123"/>
      <c r="AV234" s="99"/>
      <c r="AW234" s="99"/>
      <c r="AX234" s="99">
        <f t="array" aca="1" ref="AX234" ca="1">COUNT(IF(AX$182:OFFSET(AX223,-1,0)&lt;0,IF(SUBTOTAL(109,OFFSET(AX$182:OFFSET(AX223,-1,0),ROW(AX$182:OFFSET(AX223,-1,0))-MIN(ROW(AX$182:OFFSET(AX223,-1,0))),0,1))&lt;0,AX$182:OFFSET(AX223,-1,0))))</f>
        <v>13</v>
      </c>
      <c r="AY234" s="123"/>
      <c r="AZ234" s="99"/>
      <c r="BA234" s="99"/>
      <c r="BB234" s="99">
        <f t="array" aca="1" ref="BB234" ca="1">COUNT(IF(BB$182:OFFSET(BB223,-1,0)&lt;0,IF(SUBTOTAL(109,OFFSET(BB$182:OFFSET(BB223,-1,0),ROW(BB$182:OFFSET(BB223,-1,0))-MIN(ROW(BB$182:OFFSET(BB223,-1,0))),0,1))&lt;0,BB$182:OFFSET(BB223,-1,0))))</f>
        <v>13</v>
      </c>
      <c r="BC234" s="123"/>
      <c r="BD234" s="99"/>
      <c r="BE234" s="99"/>
      <c r="BF234" s="99">
        <f t="array" aca="1" ref="BF234" ca="1">COUNT(IF(BF$182:OFFSET(BF223,-1,0)&lt;0,IF(SUBTOTAL(109,OFFSET(BF$182:OFFSET(BF223,-1,0),ROW(BF$182:OFFSET(BF223,-1,0))-MIN(ROW(BF$182:OFFSET(BF223,-1,0))),0,1))&lt;0,BF$182:OFFSET(BF223,-1,0))))</f>
        <v>11</v>
      </c>
      <c r="BG234" s="123"/>
      <c r="BH234" s="99"/>
      <c r="BI234" s="99"/>
      <c r="BJ234" s="99">
        <f t="array" aca="1" ref="BJ234" ca="1">COUNT(IF(BJ$182:OFFSET(BJ223,-1,0)&lt;0,IF(SUBTOTAL(109,OFFSET(BJ$182:OFFSET(BJ223,-1,0),ROW(BJ$182:OFFSET(BJ223,-1,0))-MIN(ROW(BJ$182:OFFSET(BJ223,-1,0))),0,1))&lt;0,BJ$182:OFFSET(BJ223,-1,0))))</f>
        <v>11</v>
      </c>
      <c r="BK234" s="123"/>
      <c r="BL234" s="99"/>
      <c r="BM234" s="99"/>
      <c r="BN234" s="99">
        <f t="array" aca="1" ref="BN234" ca="1">COUNT(IF(BN$182:OFFSET(BN223,-1,0)&lt;0,IF(SUBTOTAL(109,OFFSET(BN$182:OFFSET(BN223,-1,0),ROW(BN$182:OFFSET(BN223,-1,0))-MIN(ROW(BN$182:OFFSET(BN223,-1,0))),0,1))&lt;0,BN$182:OFFSET(BN223,-1,0))))</f>
        <v>12</v>
      </c>
      <c r="BO234" s="123"/>
      <c r="BP234" s="99"/>
      <c r="BQ234" s="99"/>
      <c r="BR234" s="99">
        <f t="array" aca="1" ref="BR234" ca="1">COUNT(IF(BR$182:OFFSET(BR223,-1,0)&lt;0,IF(SUBTOTAL(109,OFFSET(BR$182:OFFSET(BR223,-1,0),ROW(BR$182:OFFSET(BR223,-1,0))-MIN(ROW(BR$182:OFFSET(BR223,-1,0))),0,1))&lt;0,BR$182:OFFSET(BR223,-1,0))))</f>
        <v>12</v>
      </c>
      <c r="BS234" s="123"/>
      <c r="BT234" s="127"/>
    </row>
    <row r="235" spans="1:72" hidden="1" outlineLevel="1" x14ac:dyDescent="0.25">
      <c r="A235" s="122"/>
      <c r="B235" s="122"/>
      <c r="C235" s="122"/>
      <c r="D235" s="102"/>
      <c r="E235" s="102"/>
      <c r="F235" s="102" t="str">
        <f>$F$107</f>
        <v>Σ▼ Total Decreased</v>
      </c>
      <c r="G235" s="103" t="s">
        <v>38</v>
      </c>
      <c r="H235" s="102"/>
      <c r="I235" s="102"/>
      <c r="J235" s="102">
        <f t="array" aca="1" ref="J235" ca="1">SUM(IF(J$182:OFFSET(J223,-1,0)&lt;0,IF(SUBTOTAL(109,OFFSET(J$182:OFFSET(J223,-1,0),ROW(J$182:OFFSET(J223,-1,0))-MIN(ROW(J$182:OFFSET(J223,-1,0))),0,1))&lt;0,J$182:OFFSET(J223,-1,0))))</f>
        <v>-4686312.7063999996</v>
      </c>
      <c r="K235" s="124"/>
      <c r="L235" s="102"/>
      <c r="M235" s="102"/>
      <c r="N235" s="102">
        <f t="array" aca="1" ref="N235" ca="1">SUM(IF(N$182:OFFSET(N223,-1,0)&lt;0,IF(SUBTOTAL(109,OFFSET(N$182:OFFSET(N223,-1,0),ROW(N$182:OFFSET(N223,-1,0))-MIN(ROW(N$182:OFFSET(N223,-1,0))),0,1))&lt;0,N$182:OFFSET(N223,-1,0))))</f>
        <v>0</v>
      </c>
      <c r="O235" s="124"/>
      <c r="P235" s="102"/>
      <c r="Q235" s="102"/>
      <c r="R235" s="102">
        <f t="array" aca="1" ref="R235" ca="1">SUM(IF(R$182:OFFSET(R223,-1,0)&lt;0,IF(SUBTOTAL(109,OFFSET(R$182:OFFSET(R223,-1,0),ROW(R$182:OFFSET(R223,-1,0))-MIN(ROW(R$182:OFFSET(R223,-1,0))),0,1))&lt;0,R$182:OFFSET(R223,-1,0))))</f>
        <v>-24711419.343899995</v>
      </c>
      <c r="S235" s="124"/>
      <c r="T235" s="102"/>
      <c r="U235" s="102"/>
      <c r="V235" s="102">
        <f t="array" aca="1" ref="V235" ca="1">SUM(IF(V$182:OFFSET(V223,-1,0)&lt;0,IF(SUBTOTAL(109,OFFSET(V$182:OFFSET(V223,-1,0),ROW(V$182:OFFSET(V223,-1,0))-MIN(ROW(V$182:OFFSET(V223,-1,0))),0,1))&lt;0,V$182:OFFSET(V223,-1,0))))</f>
        <v>0</v>
      </c>
      <c r="W235" s="124"/>
      <c r="X235" s="102"/>
      <c r="Y235" s="102"/>
      <c r="Z235" s="102">
        <f t="array" aca="1" ref="Z235" ca="1">SUM(IF(Z$182:OFFSET(Z223,-1,0)&lt;0,IF(SUBTOTAL(109,OFFSET(Z$182:OFFSET(Z223,-1,0),ROW(Z$182:OFFSET(Z223,-1,0))-MIN(ROW(Z$182:OFFSET(Z223,-1,0))),0,1))&lt;0,Z$182:OFFSET(Z223,-1,0))))</f>
        <v>-39699664.355199985</v>
      </c>
      <c r="AA235" s="124"/>
      <c r="AB235" s="102"/>
      <c r="AC235" s="102"/>
      <c r="AD235" s="102">
        <f t="array" aca="1" ref="AD235" ca="1">SUM(IF(AD$182:OFFSET(AD223,-1,0)&lt;0,IF(SUBTOTAL(109,OFFSET(AD$182:OFFSET(AD223,-1,0),ROW(AD$182:OFFSET(AD223,-1,0))-MIN(ROW(AD$182:OFFSET(AD223,-1,0))),0,1))&lt;0,AD$182:OFFSET(AD223,-1,0))))</f>
        <v>-27597720.256399989</v>
      </c>
      <c r="AE235" s="124"/>
      <c r="AF235" s="102"/>
      <c r="AG235" s="102"/>
      <c r="AH235" s="102">
        <f t="array" aca="1" ref="AH235" ca="1">SUM(IF(AH$182:OFFSET(AH223,-1,0)&lt;0,IF(SUBTOTAL(109,OFFSET(AH$182:OFFSET(AH223,-1,0),ROW(AH$182:OFFSET(AH223,-1,0))-MIN(ROW(AH$182:OFFSET(AH223,-1,0))),0,1))&lt;0,AH$182:OFFSET(AH223,-1,0))))</f>
        <v>-57127710.66390001</v>
      </c>
      <c r="AI235" s="124"/>
      <c r="AJ235" s="102"/>
      <c r="AK235" s="102"/>
      <c r="AL235" s="102">
        <f t="array" aca="1" ref="AL235" ca="1">SUM(IF(AL$182:OFFSET(AL223,-1,0)&lt;0,IF(SUBTOTAL(109,OFFSET(AL$182:OFFSET(AL223,-1,0),ROW(AL$182:OFFSET(AL223,-1,0))-MIN(ROW(AL$182:OFFSET(AL223,-1,0))),0,1))&lt;0,AL$182:OFFSET(AL223,-1,0))))</f>
        <v>-47050214.19470001</v>
      </c>
      <c r="AM235" s="124"/>
      <c r="AN235" s="102"/>
      <c r="AO235" s="102"/>
      <c r="AP235" s="102">
        <f t="array" aca="1" ref="AP235" ca="1">SUM(IF(AP$182:OFFSET(AP223,-1,0)&lt;0,IF(SUBTOTAL(109,OFFSET(AP$182:OFFSET(AP223,-1,0),ROW(AP$182:OFFSET(AP223,-1,0))-MIN(ROW(AP$182:OFFSET(AP223,-1,0))),0,1))&lt;0,AP$182:OFFSET(AP223,-1,0))))</f>
        <v>-82684689.502099946</v>
      </c>
      <c r="AQ235" s="124"/>
      <c r="AR235" s="102"/>
      <c r="AS235" s="102"/>
      <c r="AT235" s="102">
        <f t="array" aca="1" ref="AT235" ca="1">SUM(IF(AT$182:OFFSET(AT223,-1,0)&lt;0,IF(SUBTOTAL(109,OFFSET(AT$182:OFFSET(AT223,-1,0),ROW(AT$182:OFFSET(AT223,-1,0))-MIN(ROW(AT$182:OFFSET(AT223,-1,0))),0,1))&lt;0,AT$182:OFFSET(AT223,-1,0))))</f>
        <v>-67904326.588999957</v>
      </c>
      <c r="AU235" s="124"/>
      <c r="AV235" s="102"/>
      <c r="AW235" s="102"/>
      <c r="AX235" s="102">
        <f t="array" aca="1" ref="AX235" ca="1">SUM(IF(AX$182:OFFSET(AX223,-1,0)&lt;0,IF(SUBTOTAL(109,OFFSET(AX$182:OFFSET(AX223,-1,0),ROW(AX$182:OFFSET(AX223,-1,0))-MIN(ROW(AX$182:OFFSET(AX223,-1,0))),0,1))&lt;0,AX$182:OFFSET(AX223,-1,0))))</f>
        <v>-108010591.99600011</v>
      </c>
      <c r="AY235" s="124"/>
      <c r="AZ235" s="102"/>
      <c r="BA235" s="102"/>
      <c r="BB235" s="102">
        <f t="array" aca="1" ref="BB235" ca="1">SUM(IF(BB$182:OFFSET(BB223,-1,0)&lt;0,IF(SUBTOTAL(109,OFFSET(BB$182:OFFSET(BB223,-1,0),ROW(BB$182:OFFSET(BB223,-1,0))-MIN(ROW(BB$182:OFFSET(BB223,-1,0))),0,1))&lt;0,BB$182:OFFSET(BB223,-1,0))))</f>
        <v>-93249045.103500128</v>
      </c>
      <c r="BC235" s="124"/>
      <c r="BD235" s="102"/>
      <c r="BE235" s="102"/>
      <c r="BF235" s="102">
        <f t="array" aca="1" ref="BF235" ca="1">SUM(IF(BF$182:OFFSET(BF223,-1,0)&lt;0,IF(SUBTOTAL(109,OFFSET(BF$182:OFFSET(BF223,-1,0),ROW(BF$182:OFFSET(BF223,-1,0))-MIN(ROW(BF$182:OFFSET(BF223,-1,0))),0,1))&lt;0,BF$182:OFFSET(BF223,-1,0))))</f>
        <v>-119259377.87810005</v>
      </c>
      <c r="BG235" s="124"/>
      <c r="BH235" s="102"/>
      <c r="BI235" s="102"/>
      <c r="BJ235" s="102">
        <f t="array" aca="1" ref="BJ235" ca="1">SUM(IF(BJ$182:OFFSET(BJ223,-1,0)&lt;0,IF(SUBTOTAL(109,OFFSET(BJ$182:OFFSET(BJ223,-1,0),ROW(BJ$182:OFFSET(BJ223,-1,0))-MIN(ROW(BJ$182:OFFSET(BJ223,-1,0))),0,1))&lt;0,BJ$182:OFFSET(BJ223,-1,0))))</f>
        <v>-104497830.98560007</v>
      </c>
      <c r="BK235" s="124"/>
      <c r="BL235" s="102"/>
      <c r="BM235" s="102"/>
      <c r="BN235" s="102">
        <f t="array" aca="1" ref="BN235" ca="1">SUM(IF(BN$182:OFFSET(BN223,-1,0)&lt;0,IF(SUBTOTAL(109,OFFSET(BN$182:OFFSET(BN223,-1,0),ROW(BN$182:OFFSET(BN223,-1,0))-MIN(ROW(BN$182:OFFSET(BN223,-1,0))),0,1))&lt;0,BN$182:OFFSET(BN223,-1,0))))</f>
        <v>-140846646.19120011</v>
      </c>
      <c r="BO235" s="124"/>
      <c r="BP235" s="102"/>
      <c r="BQ235" s="102"/>
      <c r="BR235" s="102">
        <f t="array" aca="1" ref="BR235" ca="1">SUM(IF(BR$182:OFFSET(BR223,-1,0)&lt;0,IF(SUBTOTAL(109,OFFSET(BR$182:OFFSET(BR223,-1,0),ROW(BR$182:OFFSET(BR223,-1,0))-MIN(ROW(BR$182:OFFSET(BR223,-1,0))),0,1))&lt;0,BR$182:OFFSET(BR223,-1,0))))</f>
        <v>-126085099.29870012</v>
      </c>
      <c r="BS235" s="124"/>
      <c r="BT235" s="127"/>
    </row>
    <row r="236" spans="1:72" ht="13.8" hidden="1" outlineLevel="1" thickBot="1" x14ac:dyDescent="0.3">
      <c r="A236" s="122"/>
      <c r="B236" s="122"/>
      <c r="C236" s="122"/>
      <c r="D236" s="112"/>
      <c r="E236" s="112"/>
      <c r="F236" s="112" t="str">
        <f>$F$108</f>
        <v>Χ▼ Average Decreased</v>
      </c>
      <c r="G236" s="113" t="s">
        <v>38</v>
      </c>
      <c r="H236" s="112"/>
      <c r="I236" s="112"/>
      <c r="J236" s="112">
        <f ca="1">IF(J234=0,0,J235/J234)</f>
        <v>-390526.05886666663</v>
      </c>
      <c r="K236" s="125"/>
      <c r="L236" s="112"/>
      <c r="M236" s="112"/>
      <c r="N236" s="112">
        <f ca="1">IF(N234=0,0,N235/N234)</f>
        <v>0</v>
      </c>
      <c r="O236" s="125"/>
      <c r="P236" s="112"/>
      <c r="Q236" s="112"/>
      <c r="R236" s="112">
        <f t="shared" ref="R236" ca="1" si="541">IF(R234=0,0,R235/R234)</f>
        <v>-1647427.9562599997</v>
      </c>
      <c r="S236" s="125"/>
      <c r="T236" s="112"/>
      <c r="U236" s="112"/>
      <c r="V236" s="112">
        <f t="shared" ref="V236" ca="1" si="542">IF(V234=0,0,V235/V234)</f>
        <v>0</v>
      </c>
      <c r="W236" s="125"/>
      <c r="X236" s="112"/>
      <c r="Y236" s="112"/>
      <c r="Z236" s="112">
        <f t="shared" ref="Z236" ca="1" si="543">IF(Z234=0,0,Z235/Z234)</f>
        <v>-2835690.3110857131</v>
      </c>
      <c r="AA236" s="125"/>
      <c r="AB236" s="112"/>
      <c r="AC236" s="112"/>
      <c r="AD236" s="112">
        <f t="shared" ref="AD236" ca="1" si="544">IF(AD234=0,0,AD235/AD234)</f>
        <v>-2122901.5581846144</v>
      </c>
      <c r="AE236" s="125"/>
      <c r="AF236" s="112"/>
      <c r="AG236" s="112"/>
      <c r="AH236" s="112">
        <f t="shared" ref="AH236" ca="1" si="545">IF(AH234=0,0,AH235/AH234)</f>
        <v>-4394439.2818384627</v>
      </c>
      <c r="AI236" s="125"/>
      <c r="AJ236" s="112"/>
      <c r="AK236" s="112"/>
      <c r="AL236" s="112">
        <f t="shared" ref="AL236" ca="1" si="546">IF(AL234=0,0,AL235/AL234)</f>
        <v>-3920851.1828916674</v>
      </c>
      <c r="AM236" s="125"/>
      <c r="AN236" s="112"/>
      <c r="AO236" s="112"/>
      <c r="AP236" s="112">
        <f t="shared" ref="AP236" ca="1" si="547">IF(AP234=0,0,AP235/AP234)</f>
        <v>-6890390.7918416625</v>
      </c>
      <c r="AQ236" s="125"/>
      <c r="AR236" s="112"/>
      <c r="AS236" s="112"/>
      <c r="AT236" s="112">
        <f t="shared" ref="AT236" ca="1" si="548">IF(AT234=0,0,AT235/AT234)</f>
        <v>-5658693.8824166628</v>
      </c>
      <c r="AU236" s="125"/>
      <c r="AV236" s="112"/>
      <c r="AW236" s="112"/>
      <c r="AX236" s="112">
        <f t="shared" ref="AX236" ca="1" si="549">IF(AX234=0,0,AX235/AX234)</f>
        <v>-8308507.0766153932</v>
      </c>
      <c r="AY236" s="125"/>
      <c r="AZ236" s="112"/>
      <c r="BA236" s="112"/>
      <c r="BB236" s="112">
        <f t="shared" ref="BB236" ca="1" si="550">IF(BB234=0,0,BB235/BB234)</f>
        <v>-7173003.4695000099</v>
      </c>
      <c r="BC236" s="125"/>
      <c r="BD236" s="112"/>
      <c r="BE236" s="112"/>
      <c r="BF236" s="112">
        <f t="shared" ref="BF236" ca="1" si="551">IF(BF234=0,0,BF235/BF234)</f>
        <v>-10841761.625281824</v>
      </c>
      <c r="BG236" s="125"/>
      <c r="BH236" s="112"/>
      <c r="BI236" s="112"/>
      <c r="BJ236" s="112">
        <f t="shared" ref="BJ236" ca="1" si="552">IF(BJ234=0,0,BJ235/BJ234)</f>
        <v>-9499802.8168727327</v>
      </c>
      <c r="BK236" s="125"/>
      <c r="BL236" s="112"/>
      <c r="BM236" s="112"/>
      <c r="BN236" s="112">
        <f t="shared" ref="BN236" ca="1" si="553">IF(BN234=0,0,BN235/BN234)</f>
        <v>-11737220.515933342</v>
      </c>
      <c r="BO236" s="125"/>
      <c r="BP236" s="112"/>
      <c r="BQ236" s="112"/>
      <c r="BR236" s="112">
        <f t="shared" ref="BR236" ca="1" si="554">IF(BR234=0,0,BR235/BR234)</f>
        <v>-10507091.60822501</v>
      </c>
      <c r="BS236" s="125"/>
      <c r="BT236" s="127"/>
    </row>
    <row r="237" spans="1:72" hidden="1" outlineLevel="1" x14ac:dyDescent="0.25">
      <c r="A237" s="122"/>
      <c r="B237" s="122"/>
      <c r="C237" s="122"/>
      <c r="D237" s="99"/>
      <c r="E237" s="99"/>
      <c r="F237" s="99" t="str">
        <f>$F$109</f>
        <v>#&gt;&lt; Number Unchanged</v>
      </c>
      <c r="G237" s="100" t="s">
        <v>38</v>
      </c>
      <c r="H237" s="99"/>
      <c r="I237" s="99"/>
      <c r="J237" s="99">
        <f t="array" aca="1" ref="J237" ca="1">COUNT(IF((J$182:OFFSET(J223,-1,0)=0)*(J$182:OFFSET(J223,-1,0)&lt;&gt;"")*(J223&lt;&gt;0),IF(SUBTOTAL(109,OFFSET(J$182:OFFSET(J223,-1,0),ROW(J$182:OFFSET(J223,-1,0))-MIN(ROW(J$182:OFFSET(J223,-1,0))),0,1))=0,J$182:OFFSET(J223,-1,0))))</f>
        <v>0</v>
      </c>
      <c r="K237" s="123"/>
      <c r="L237" s="99"/>
      <c r="M237" s="99"/>
      <c r="N237" s="99">
        <f t="array" aca="1" ref="N237" ca="1">COUNT(IF((N$182:OFFSET(N223,-1,0)=0)*(N$182:OFFSET(N223,-1,0)&lt;&gt;"")*(N223&lt;&gt;0),IF(SUBTOTAL(109,OFFSET(N$182:OFFSET(N223,-1,0),ROW(N$182:OFFSET(N223,-1,0))-MIN(ROW(N$182:OFFSET(N223,-1,0))),0,1))=0,N$182:OFFSET(N223,-1,0))))</f>
        <v>0</v>
      </c>
      <c r="O237" s="123"/>
      <c r="P237" s="99"/>
      <c r="Q237" s="99"/>
      <c r="R237" s="99">
        <f t="array" aca="1" ref="R237" ca="1">COUNT(IF((R$182:OFFSET(R223,-1,0)=0)*(R$182:OFFSET(R223,-1,0)&lt;&gt;"")*(R223&lt;&gt;0),IF(SUBTOTAL(109,OFFSET(R$182:OFFSET(R223,-1,0),ROW(R$182:OFFSET(R223,-1,0))-MIN(ROW(R$182:OFFSET(R223,-1,0))),0,1))=0,R$182:OFFSET(R223,-1,0))))</f>
        <v>0</v>
      </c>
      <c r="S237" s="123"/>
      <c r="T237" s="99"/>
      <c r="U237" s="99"/>
      <c r="V237" s="99">
        <f t="array" aca="1" ref="V237" ca="1">COUNT(IF((V$182:OFFSET(V223,-1,0)=0)*(V$182:OFFSET(V223,-1,0)&lt;&gt;"")*(V223&lt;&gt;0),IF(SUBTOTAL(109,OFFSET(V$182:OFFSET(V223,-1,0),ROW(V$182:OFFSET(V223,-1,0))-MIN(ROW(V$182:OFFSET(V223,-1,0))),0,1))=0,V$182:OFFSET(V223,-1,0))))</f>
        <v>0</v>
      </c>
      <c r="W237" s="123"/>
      <c r="X237" s="99"/>
      <c r="Y237" s="99"/>
      <c r="Z237" s="99">
        <f t="array" aca="1" ref="Z237" ca="1">COUNT(IF((Z$182:OFFSET(Z223,-1,0)=0)*(Z$182:OFFSET(Z223,-1,0)&lt;&gt;"")*(Z223&lt;&gt;0),IF(SUBTOTAL(109,OFFSET(Z$182:OFFSET(Z223,-1,0),ROW(Z$182:OFFSET(Z223,-1,0))-MIN(ROW(Z$182:OFFSET(Z223,-1,0))),0,1))=0,Z$182:OFFSET(Z223,-1,0))))</f>
        <v>0</v>
      </c>
      <c r="AA237" s="123"/>
      <c r="AB237" s="99"/>
      <c r="AC237" s="99"/>
      <c r="AD237" s="99">
        <f t="array" aca="1" ref="AD237" ca="1">COUNT(IF((AD$182:OFFSET(AD223,-1,0)=0)*(AD$182:OFFSET(AD223,-1,0)&lt;&gt;"")*(AD223&lt;&gt;0),IF(SUBTOTAL(109,OFFSET(AD$182:OFFSET(AD223,-1,0),ROW(AD$182:OFFSET(AD223,-1,0))-MIN(ROW(AD$182:OFFSET(AD223,-1,0))),0,1))=0,AD$182:OFFSET(AD223,-1,0))))</f>
        <v>1</v>
      </c>
      <c r="AE237" s="123"/>
      <c r="AF237" s="99"/>
      <c r="AG237" s="99"/>
      <c r="AH237" s="99">
        <f t="array" aca="1" ref="AH237" ca="1">COUNT(IF((AH$182:OFFSET(AH223,-1,0)=0)*(AH$182:OFFSET(AH223,-1,0)&lt;&gt;"")*(AH223&lt;&gt;0),IF(SUBTOTAL(109,OFFSET(AH$182:OFFSET(AH223,-1,0),ROW(AH$182:OFFSET(AH223,-1,0))-MIN(ROW(AH$182:OFFSET(AH223,-1,0))),0,1))=0,AH$182:OFFSET(AH223,-1,0))))</f>
        <v>0</v>
      </c>
      <c r="AI237" s="123"/>
      <c r="AJ237" s="99"/>
      <c r="AK237" s="99"/>
      <c r="AL237" s="99">
        <f t="array" aca="1" ref="AL237" ca="1">COUNT(IF((AL$182:OFFSET(AL223,-1,0)=0)*(AL$182:OFFSET(AL223,-1,0)&lt;&gt;"")*(AL223&lt;&gt;0),IF(SUBTOTAL(109,OFFSET(AL$182:OFFSET(AL223,-1,0),ROW(AL$182:OFFSET(AL223,-1,0))-MIN(ROW(AL$182:OFFSET(AL223,-1,0))),0,1))=0,AL$182:OFFSET(AL223,-1,0))))</f>
        <v>1</v>
      </c>
      <c r="AM237" s="123"/>
      <c r="AN237" s="99"/>
      <c r="AO237" s="99"/>
      <c r="AP237" s="99">
        <f t="array" aca="1" ref="AP237" ca="1">COUNT(IF((AP$182:OFFSET(AP223,-1,0)=0)*(AP$182:OFFSET(AP223,-1,0)&lt;&gt;"")*(AP223&lt;&gt;0),IF(SUBTOTAL(109,OFFSET(AP$182:OFFSET(AP223,-1,0),ROW(AP$182:OFFSET(AP223,-1,0))-MIN(ROW(AP$182:OFFSET(AP223,-1,0))),0,1))=0,AP$182:OFFSET(AP223,-1,0))))</f>
        <v>0</v>
      </c>
      <c r="AQ237" s="123"/>
      <c r="AR237" s="99"/>
      <c r="AS237" s="99"/>
      <c r="AT237" s="99">
        <f t="array" aca="1" ref="AT237" ca="1">COUNT(IF((AT$182:OFFSET(AT223,-1,0)=0)*(AT$182:OFFSET(AT223,-1,0)&lt;&gt;"")*(AT223&lt;&gt;0),IF(SUBTOTAL(109,OFFSET(AT$182:OFFSET(AT223,-1,0),ROW(AT$182:OFFSET(AT223,-1,0))-MIN(ROW(AT$182:OFFSET(AT223,-1,0))),0,1))=0,AT$182:OFFSET(AT223,-1,0))))</f>
        <v>0</v>
      </c>
      <c r="AU237" s="123"/>
      <c r="AV237" s="99"/>
      <c r="AW237" s="99"/>
      <c r="AX237" s="99">
        <f t="array" aca="1" ref="AX237" ca="1">COUNT(IF((AX$182:OFFSET(AX223,-1,0)=0)*(AX$182:OFFSET(AX223,-1,0)&lt;&gt;"")*(AX223&lt;&gt;0),IF(SUBTOTAL(109,OFFSET(AX$182:OFFSET(AX223,-1,0),ROW(AX$182:OFFSET(AX223,-1,0))-MIN(ROW(AX$182:OFFSET(AX223,-1,0))),0,1))=0,AX$182:OFFSET(AX223,-1,0))))</f>
        <v>0</v>
      </c>
      <c r="AY237" s="123"/>
      <c r="AZ237" s="99"/>
      <c r="BA237" s="99"/>
      <c r="BB237" s="99">
        <f t="array" aca="1" ref="BB237" ca="1">COUNT(IF((BB$182:OFFSET(BB223,-1,0)=0)*(BB$182:OFFSET(BB223,-1,0)&lt;&gt;"")*(BB223&lt;&gt;0),IF(SUBTOTAL(109,OFFSET(BB$182:OFFSET(BB223,-1,0),ROW(BB$182:OFFSET(BB223,-1,0))-MIN(ROW(BB$182:OFFSET(BB223,-1,0))),0,1))=0,BB$182:OFFSET(BB223,-1,0))))</f>
        <v>0</v>
      </c>
      <c r="BC237" s="123"/>
      <c r="BD237" s="99"/>
      <c r="BE237" s="99"/>
      <c r="BF237" s="99">
        <f t="array" aca="1" ref="BF237" ca="1">COUNT(IF((BF$182:OFFSET(BF223,-1,0)=0)*(BF$182:OFFSET(BF223,-1,0)&lt;&gt;"")*(BF223&lt;&gt;0),IF(SUBTOTAL(109,OFFSET(BF$182:OFFSET(BF223,-1,0),ROW(BF$182:OFFSET(BF223,-1,0))-MIN(ROW(BF$182:OFFSET(BF223,-1,0))),0,1))=0,BF$182:OFFSET(BF223,-1,0))))</f>
        <v>0</v>
      </c>
      <c r="BG237" s="123"/>
      <c r="BH237" s="99"/>
      <c r="BI237" s="99"/>
      <c r="BJ237" s="99">
        <f t="array" aca="1" ref="BJ237" ca="1">COUNT(IF((BJ$182:OFFSET(BJ223,-1,0)=0)*(BJ$182:OFFSET(BJ223,-1,0)&lt;&gt;"")*(BJ223&lt;&gt;0),IF(SUBTOTAL(109,OFFSET(BJ$182:OFFSET(BJ223,-1,0),ROW(BJ$182:OFFSET(BJ223,-1,0))-MIN(ROW(BJ$182:OFFSET(BJ223,-1,0))),0,1))=0,BJ$182:OFFSET(BJ223,-1,0))))</f>
        <v>0</v>
      </c>
      <c r="BK237" s="123"/>
      <c r="BL237" s="99"/>
      <c r="BM237" s="99"/>
      <c r="BN237" s="99">
        <f t="array" aca="1" ref="BN237" ca="1">COUNT(IF((BN$182:OFFSET(BN223,-1,0)=0)*(BN$182:OFFSET(BN223,-1,0)&lt;&gt;"")*(BN223&lt;&gt;0),IF(SUBTOTAL(109,OFFSET(BN$182:OFFSET(BN223,-1,0),ROW(BN$182:OFFSET(BN223,-1,0))-MIN(ROW(BN$182:OFFSET(BN223,-1,0))),0,1))=0,BN$182:OFFSET(BN223,-1,0))))</f>
        <v>0</v>
      </c>
      <c r="BO237" s="123"/>
      <c r="BP237" s="99"/>
      <c r="BQ237" s="99"/>
      <c r="BR237" s="99">
        <f t="array" aca="1" ref="BR237" ca="1">COUNT(IF((BR$182:OFFSET(BR223,-1,0)=0)*(BR$182:OFFSET(BR223,-1,0)&lt;&gt;"")*(BR223&lt;&gt;0),IF(SUBTOTAL(109,OFFSET(BR$182:OFFSET(BR223,-1,0),ROW(BR$182:OFFSET(BR223,-1,0))-MIN(ROW(BR$182:OFFSET(BR223,-1,0))),0,1))=0,BR$182:OFFSET(BR223,-1,0))))</f>
        <v>0</v>
      </c>
      <c r="BS237" s="123"/>
      <c r="BT237" s="127"/>
    </row>
    <row r="238" spans="1:72" ht="13.8" hidden="1" outlineLevel="1" thickBot="1" x14ac:dyDescent="0.3">
      <c r="A238" s="126" t="s">
        <v>15</v>
      </c>
      <c r="D238" s="112"/>
      <c r="E238" s="112"/>
      <c r="F238" s="112" t="str">
        <f>$F$110</f>
        <v>Σ# Total Number</v>
      </c>
      <c r="G238" s="113" t="s">
        <v>38</v>
      </c>
      <c r="H238" s="112"/>
      <c r="I238" s="112"/>
      <c r="J238" s="112">
        <f ca="1">SUM(J231,J234,J237)</f>
        <v>22</v>
      </c>
      <c r="K238" s="125"/>
      <c r="L238" s="112"/>
      <c r="M238" s="112"/>
      <c r="N238" s="112">
        <f ca="1">SUM(N231,N234,N237)</f>
        <v>0</v>
      </c>
      <c r="O238" s="125"/>
      <c r="P238" s="112"/>
      <c r="Q238" s="112"/>
      <c r="R238" s="112">
        <f t="shared" ref="R238" ca="1" si="555">SUM(R231,R234,R237)</f>
        <v>22</v>
      </c>
      <c r="S238" s="125"/>
      <c r="T238" s="112"/>
      <c r="U238" s="112"/>
      <c r="V238" s="112">
        <f t="shared" ref="V238" ca="1" si="556">SUM(V231,V234,V237)</f>
        <v>0</v>
      </c>
      <c r="W238" s="125"/>
      <c r="X238" s="112"/>
      <c r="Y238" s="112"/>
      <c r="Z238" s="112">
        <f t="shared" ref="Z238" ca="1" si="557">SUM(Z231,Z234,Z237)</f>
        <v>22</v>
      </c>
      <c r="AA238" s="125"/>
      <c r="AB238" s="112"/>
      <c r="AC238" s="112"/>
      <c r="AD238" s="112">
        <f t="shared" ref="AD238" ca="1" si="558">SUM(AD231,AD234,AD237)</f>
        <v>22</v>
      </c>
      <c r="AE238" s="125"/>
      <c r="AF238" s="112"/>
      <c r="AG238" s="112"/>
      <c r="AH238" s="112">
        <f t="shared" ref="AH238" ca="1" si="559">SUM(AH231,AH234,AH237)</f>
        <v>22</v>
      </c>
      <c r="AI238" s="125"/>
      <c r="AJ238" s="112"/>
      <c r="AK238" s="112"/>
      <c r="AL238" s="112">
        <f t="shared" ref="AL238" ca="1" si="560">SUM(AL231,AL234,AL237)</f>
        <v>22</v>
      </c>
      <c r="AM238" s="125"/>
      <c r="AN238" s="112"/>
      <c r="AO238" s="112"/>
      <c r="AP238" s="112">
        <f t="shared" ref="AP238" ca="1" si="561">SUM(AP231,AP234,AP237)</f>
        <v>22</v>
      </c>
      <c r="AQ238" s="125"/>
      <c r="AR238" s="112"/>
      <c r="AS238" s="112"/>
      <c r="AT238" s="112">
        <f t="shared" ref="AT238" ca="1" si="562">SUM(AT231,AT234,AT237)</f>
        <v>22</v>
      </c>
      <c r="AU238" s="125"/>
      <c r="AV238" s="112"/>
      <c r="AW238" s="112"/>
      <c r="AX238" s="112">
        <f t="shared" ref="AX238" ca="1" si="563">SUM(AX231,AX234,AX237)</f>
        <v>22</v>
      </c>
      <c r="AY238" s="125"/>
      <c r="AZ238" s="112"/>
      <c r="BA238" s="112"/>
      <c r="BB238" s="112">
        <f t="shared" ref="BB238" ca="1" si="564">SUM(BB231,BB234,BB237)</f>
        <v>22</v>
      </c>
      <c r="BC238" s="125"/>
      <c r="BD238" s="112"/>
      <c r="BE238" s="112"/>
      <c r="BF238" s="112">
        <f t="shared" ref="BF238" ca="1" si="565">SUM(BF231,BF234,BF237)</f>
        <v>22</v>
      </c>
      <c r="BG238" s="125"/>
      <c r="BH238" s="112"/>
      <c r="BI238" s="112"/>
      <c r="BJ238" s="112">
        <f t="shared" ref="BJ238" ca="1" si="566">SUM(BJ231,BJ234,BJ237)</f>
        <v>22</v>
      </c>
      <c r="BK238" s="125"/>
      <c r="BL238" s="112"/>
      <c r="BM238" s="112"/>
      <c r="BN238" s="112">
        <f t="shared" ref="BN238" ca="1" si="567">SUM(BN231,BN234,BN237)</f>
        <v>22</v>
      </c>
      <c r="BO238" s="125"/>
      <c r="BP238" s="112"/>
      <c r="BQ238" s="112"/>
      <c r="BR238" s="112">
        <f t="shared" ref="BR238" ca="1" si="568">SUM(BR231,BR234,BR237)</f>
        <v>22</v>
      </c>
      <c r="BS238" s="125"/>
      <c r="BT238" s="127"/>
    </row>
    <row r="239" spans="1:72" collapsed="1" x14ac:dyDescent="0.25">
      <c r="A239" s="126" t="s">
        <v>39</v>
      </c>
      <c r="BT239" s="127"/>
    </row>
    <row r="240" spans="1:72" x14ac:dyDescent="0.25">
      <c r="A240" s="137" t="s">
        <v>40</v>
      </c>
      <c r="B240" s="137"/>
      <c r="C240" s="137"/>
      <c r="BT240" s="127"/>
    </row>
    <row r="241" spans="1:72" ht="18" customHeight="1" thickBot="1" x14ac:dyDescent="0.3">
      <c r="A241" s="98" t="s">
        <v>15</v>
      </c>
      <c r="B241" s="98"/>
      <c r="C241" s="98"/>
      <c r="D241" s="138"/>
      <c r="E241" s="138"/>
      <c r="F241" s="139" t="s">
        <v>15</v>
      </c>
      <c r="K241" s="136"/>
      <c r="O241" s="136"/>
      <c r="S241" s="136"/>
      <c r="W241" s="136"/>
      <c r="AA241" s="136"/>
      <c r="AE241" s="136"/>
      <c r="AI241" s="136"/>
      <c r="AM241" s="136"/>
      <c r="AQ241" s="136"/>
      <c r="AU241" s="136"/>
      <c r="AY241" s="136"/>
      <c r="BC241" s="136"/>
      <c r="BG241" s="136"/>
      <c r="BK241" s="136"/>
      <c r="BO241" s="136"/>
      <c r="BS241" s="136"/>
    </row>
    <row r="242" spans="1:72" x14ac:dyDescent="0.25">
      <c r="A242" s="98" t="s">
        <v>15</v>
      </c>
      <c r="B242" s="98"/>
      <c r="C242" s="98"/>
      <c r="D242" s="140"/>
      <c r="E242" s="140"/>
      <c r="F242" s="140" t="str">
        <f>$F$95</f>
        <v>Total</v>
      </c>
      <c r="G242" s="141" t="s">
        <v>17</v>
      </c>
      <c r="H242" s="99">
        <f ca="1">H95</f>
        <v>220979473.54789999</v>
      </c>
      <c r="I242" s="99">
        <f ca="1">I95</f>
        <v>142680068.22660002</v>
      </c>
      <c r="J242" s="99">
        <f ca="1">J95</f>
        <v>-78299405.32129997</v>
      </c>
      <c r="K242" s="142">
        <f t="shared" ref="K242:K249" ca="1" si="569">SUM(J242)</f>
        <v>-78299405.32129997</v>
      </c>
      <c r="L242" s="99">
        <f t="shared" ref="L242:N242" ca="1" si="570">L95</f>
        <v>0</v>
      </c>
      <c r="M242" s="99">
        <f t="shared" ca="1" si="570"/>
        <v>0</v>
      </c>
      <c r="N242" s="99">
        <f t="shared" ca="1" si="570"/>
        <v>0</v>
      </c>
      <c r="O242" s="142">
        <f t="shared" ref="O242:O257" ca="1" si="571">SUM(N242)</f>
        <v>0</v>
      </c>
      <c r="P242" s="99">
        <f t="shared" ref="P242:R242" ca="1" si="572">P95</f>
        <v>852212136.95500028</v>
      </c>
      <c r="Q242" s="99">
        <f t="shared" ca="1" si="572"/>
        <v>653948129.96600008</v>
      </c>
      <c r="R242" s="99">
        <f t="shared" ca="1" si="572"/>
        <v>-198264006.9890002</v>
      </c>
      <c r="S242" s="142">
        <f t="shared" ref="S242:S257" ca="1" si="573">SUM(R242)</f>
        <v>-198264006.9890002</v>
      </c>
      <c r="T242" s="99">
        <f t="shared" ref="T242:V242" ca="1" si="574">T95</f>
        <v>58292056.314499982</v>
      </c>
      <c r="U242" s="99">
        <f t="shared" ca="1" si="574"/>
        <v>20438076.306700017</v>
      </c>
      <c r="V242" s="99">
        <f t="shared" ca="1" si="574"/>
        <v>-37853980.007799968</v>
      </c>
      <c r="W242" s="142">
        <f t="shared" ref="W242:W257" ca="1" si="575">SUM(V242)</f>
        <v>-37853980.007799968</v>
      </c>
      <c r="X242" s="99">
        <f t="shared" ref="X242:Z242" ca="1" si="576">X95</f>
        <v>1554079541.424299</v>
      </c>
      <c r="Y242" s="99">
        <f t="shared" ca="1" si="576"/>
        <v>1262301698.5726001</v>
      </c>
      <c r="Z242" s="99">
        <f t="shared" ca="1" si="576"/>
        <v>-291777842.85169888</v>
      </c>
      <c r="AA242" s="142">
        <f t="shared" ref="AA242:AA257" ca="1" si="577">SUM(Z242)</f>
        <v>-291777842.85169888</v>
      </c>
      <c r="AB242" s="99">
        <f t="shared" ref="AB242:AD242" ca="1" si="578">AB95</f>
        <v>630797916.19369984</v>
      </c>
      <c r="AC242" s="99">
        <f t="shared" ca="1" si="578"/>
        <v>358414537.00139999</v>
      </c>
      <c r="AD242" s="99">
        <f t="shared" ca="1" si="578"/>
        <v>-272383379.19229984</v>
      </c>
      <c r="AE242" s="142">
        <f t="shared" ref="AE242:AE257" ca="1" si="579">SUM(AD242)</f>
        <v>-272383379.19229984</v>
      </c>
      <c r="AF242" s="99">
        <f t="shared" ref="AF242:AH242" ca="1" si="580">AF95</f>
        <v>2246318049.9154005</v>
      </c>
      <c r="AG242" s="99">
        <f t="shared" ca="1" si="580"/>
        <v>1871185829.9728997</v>
      </c>
      <c r="AH242" s="99">
        <f t="shared" ca="1" si="580"/>
        <v>-375132219.94250083</v>
      </c>
      <c r="AI242" s="142">
        <f t="shared" ref="AI242:AI257" ca="1" si="581">SUM(AH242)</f>
        <v>-375132219.94250083</v>
      </c>
      <c r="AJ242" s="99">
        <f t="shared" ref="AJ242:AL242" ca="1" si="582">AJ95</f>
        <v>1316318049.9153998</v>
      </c>
      <c r="AK242" s="99">
        <f t="shared" ca="1" si="582"/>
        <v>960683930.32310009</v>
      </c>
      <c r="AL242" s="99">
        <f t="shared" ca="1" si="582"/>
        <v>-355634119.5922997</v>
      </c>
      <c r="AM242" s="142">
        <f t="shared" ref="AM242:AM257" ca="1" si="583">SUM(AL242)</f>
        <v>-355634119.5922997</v>
      </c>
      <c r="AN242" s="99">
        <f t="shared" ref="AN242:AP242" ca="1" si="584">AN95</f>
        <v>3507034331.0141006</v>
      </c>
      <c r="AO242" s="99">
        <f t="shared" ca="1" si="584"/>
        <v>3019763890.1243992</v>
      </c>
      <c r="AP242" s="99">
        <f t="shared" ca="1" si="584"/>
        <v>-487270440.88970137</v>
      </c>
      <c r="AQ242" s="142">
        <f t="shared" ref="AQ242:AQ257" ca="1" si="585">SUM(AP242)</f>
        <v>-487270440.88970137</v>
      </c>
      <c r="AR242" s="99">
        <f t="shared" ref="AR242:AT242" ca="1" si="586">AR95</f>
        <v>2577034331.0141006</v>
      </c>
      <c r="AS242" s="99">
        <f t="shared" ca="1" si="586"/>
        <v>2101122015.8763001</v>
      </c>
      <c r="AT242" s="99">
        <f t="shared" ca="1" si="586"/>
        <v>-475912315.13780046</v>
      </c>
      <c r="AU242" s="142">
        <f t="shared" ref="AU242:AU257" ca="1" si="587">SUM(AT242)</f>
        <v>-475912315.13780046</v>
      </c>
      <c r="AV242" s="99">
        <f t="shared" ref="AV242:AX242" ca="1" si="588">AV95</f>
        <v>4389672880.138299</v>
      </c>
      <c r="AW242" s="99">
        <f t="shared" ca="1" si="588"/>
        <v>3840180074.8326015</v>
      </c>
      <c r="AX242" s="99">
        <f t="shared" ca="1" si="588"/>
        <v>-549492805.30569744</v>
      </c>
      <c r="AY242" s="142">
        <f t="shared" ref="AY242:AY257" ca="1" si="589">SUM(AX242)</f>
        <v>-549492805.30569744</v>
      </c>
      <c r="AZ242" s="99">
        <f t="shared" ref="AZ242:BB242" ca="1" si="590">AZ95</f>
        <v>3459672880.1382995</v>
      </c>
      <c r="BA242" s="99">
        <f t="shared" ca="1" si="590"/>
        <v>2920642262.3338008</v>
      </c>
      <c r="BB242" s="99">
        <f t="shared" ca="1" si="590"/>
        <v>-539030617.80449867</v>
      </c>
      <c r="BC242" s="142">
        <f t="shared" ref="BC242:BC257" ca="1" si="591">SUM(BB242)</f>
        <v>-539030617.80449867</v>
      </c>
      <c r="BD242" s="99">
        <f t="shared" ref="BD242:BF242" ca="1" si="592">BD95</f>
        <v>4891059848.7005997</v>
      </c>
      <c r="BE242" s="99">
        <f t="shared" ca="1" si="592"/>
        <v>4306580995.9436989</v>
      </c>
      <c r="BF242" s="99">
        <f t="shared" ca="1" si="592"/>
        <v>-584478852.75690079</v>
      </c>
      <c r="BG242" s="142">
        <f t="shared" ref="BG242:BG257" ca="1" si="593">SUM(BF242)</f>
        <v>-584478852.75690079</v>
      </c>
      <c r="BH242" s="99">
        <f t="shared" ref="BH242:BJ242" ca="1" si="594">BH95</f>
        <v>3961059848.7005992</v>
      </c>
      <c r="BI242" s="99">
        <f t="shared" ca="1" si="594"/>
        <v>3387043183.4449</v>
      </c>
      <c r="BJ242" s="99">
        <f t="shared" ca="1" si="594"/>
        <v>-574016665.25569916</v>
      </c>
      <c r="BK242" s="142">
        <f t="shared" ref="BK242:BK257" ca="1" si="595">SUM(BJ242)</f>
        <v>-574016665.25569916</v>
      </c>
      <c r="BL242" s="99">
        <f t="shared" ref="BL242:BN242" ca="1" si="596">BL95</f>
        <v>4951058927.490799</v>
      </c>
      <c r="BM242" s="99">
        <f t="shared" ca="1" si="596"/>
        <v>4362502205.3941002</v>
      </c>
      <c r="BN242" s="99">
        <f t="shared" ca="1" si="596"/>
        <v>-588556722.09669876</v>
      </c>
      <c r="BO242" s="142">
        <f t="shared" ref="BO242:BO257" ca="1" si="597">SUM(BN242)</f>
        <v>-588556722.09669876</v>
      </c>
      <c r="BP242" s="99">
        <f t="shared" ref="BP242:BR242" ca="1" si="598">BP95</f>
        <v>4021058927.4907994</v>
      </c>
      <c r="BQ242" s="99">
        <f t="shared" ca="1" si="598"/>
        <v>3442964392.8952999</v>
      </c>
      <c r="BR242" s="99">
        <f t="shared" ca="1" si="598"/>
        <v>-578094534.59549952</v>
      </c>
      <c r="BS242" s="142">
        <f t="shared" ref="BS242:BS257" ca="1" si="599">SUM(BR242)</f>
        <v>-578094534.59549952</v>
      </c>
    </row>
    <row r="243" spans="1:72" x14ac:dyDescent="0.25">
      <c r="A243" s="98" t="s">
        <v>15</v>
      </c>
      <c r="B243" s="98"/>
      <c r="C243" s="98"/>
      <c r="D243" s="48"/>
      <c r="E243" s="48"/>
      <c r="F243" s="143" t="str">
        <f>F242</f>
        <v>Total</v>
      </c>
      <c r="G243" s="144" t="s">
        <v>36</v>
      </c>
      <c r="H243" s="102">
        <f ca="1">H164</f>
        <v>46278454.270500004</v>
      </c>
      <c r="I243" s="102">
        <f ca="1">I164</f>
        <v>32479291.827499997</v>
      </c>
      <c r="J243" s="102">
        <f ca="1">J164</f>
        <v>-13799162.443000007</v>
      </c>
      <c r="K243" s="145">
        <f t="shared" ca="1" si="569"/>
        <v>-13799162.443000007</v>
      </c>
      <c r="L243" s="102">
        <f t="shared" ref="L243:N243" ca="1" si="600">L164</f>
        <v>0</v>
      </c>
      <c r="M243" s="102">
        <f t="shared" ca="1" si="600"/>
        <v>0</v>
      </c>
      <c r="N243" s="102">
        <f t="shared" ca="1" si="600"/>
        <v>0</v>
      </c>
      <c r="O243" s="145">
        <f t="shared" ca="1" si="571"/>
        <v>0</v>
      </c>
      <c r="P243" s="102">
        <f t="shared" ref="P243:R243" ca="1" si="601">P164</f>
        <v>179008463.23830003</v>
      </c>
      <c r="Q243" s="102">
        <f t="shared" ca="1" si="601"/>
        <v>153473705.56020004</v>
      </c>
      <c r="R243" s="102">
        <f t="shared" ca="1" si="601"/>
        <v>-25534757.67809999</v>
      </c>
      <c r="S243" s="145">
        <f t="shared" ca="1" si="573"/>
        <v>-25534757.67809999</v>
      </c>
      <c r="T243" s="102">
        <f t="shared" ref="T243:V243" ca="1" si="602">T164</f>
        <v>6390574.0620999988</v>
      </c>
      <c r="U243" s="102">
        <f t="shared" ca="1" si="602"/>
        <v>0</v>
      </c>
      <c r="V243" s="102">
        <f t="shared" ca="1" si="602"/>
        <v>-6390574.0620999988</v>
      </c>
      <c r="W243" s="145">
        <f t="shared" ca="1" si="575"/>
        <v>-6390574.0620999988</v>
      </c>
      <c r="X243" s="102">
        <f t="shared" ref="X243:Z243" ca="1" si="603">X164</f>
        <v>336639976.96969998</v>
      </c>
      <c r="Y243" s="102">
        <f t="shared" ca="1" si="603"/>
        <v>296015999.76090002</v>
      </c>
      <c r="Z243" s="102">
        <f t="shared" ca="1" si="603"/>
        <v>-40623977.208799958</v>
      </c>
      <c r="AA243" s="145">
        <f t="shared" ca="1" si="577"/>
        <v>-40623977.208799958</v>
      </c>
      <c r="AB243" s="102">
        <f t="shared" ref="AB243:AD243" ca="1" si="604">AB164</f>
        <v>126639976.96969996</v>
      </c>
      <c r="AC243" s="102">
        <f t="shared" ca="1" si="604"/>
        <v>86015999.760899991</v>
      </c>
      <c r="AD243" s="102">
        <f t="shared" ca="1" si="604"/>
        <v>-40623977.208799973</v>
      </c>
      <c r="AE243" s="145">
        <f t="shared" ca="1" si="579"/>
        <v>-40623977.208799973</v>
      </c>
      <c r="AF243" s="102">
        <f t="shared" ref="AF243:AH243" ca="1" si="605">AF164</f>
        <v>491854045.38819999</v>
      </c>
      <c r="AG243" s="102">
        <f t="shared" ca="1" si="605"/>
        <v>438353719.60499996</v>
      </c>
      <c r="AH243" s="102">
        <f t="shared" ca="1" si="605"/>
        <v>-53500325.783200026</v>
      </c>
      <c r="AI243" s="145">
        <f t="shared" ca="1" si="581"/>
        <v>-53500325.783200026</v>
      </c>
      <c r="AJ243" s="102">
        <f t="shared" ref="AJ243:AL243" ca="1" si="606">AJ164</f>
        <v>281854045.38820004</v>
      </c>
      <c r="AK243" s="102">
        <f t="shared" ca="1" si="606"/>
        <v>228353719.60500002</v>
      </c>
      <c r="AL243" s="102">
        <f t="shared" ca="1" si="606"/>
        <v>-53500325.783200026</v>
      </c>
      <c r="AM243" s="145">
        <f t="shared" ca="1" si="583"/>
        <v>-53500325.783200026</v>
      </c>
      <c r="AN243" s="102">
        <f t="shared" ref="AN243:AP243" ca="1" si="607">AN164</f>
        <v>785020068.21259999</v>
      </c>
      <c r="AO243" s="102">
        <f t="shared" ca="1" si="607"/>
        <v>733400872.04439986</v>
      </c>
      <c r="AP243" s="102">
        <f t="shared" ca="1" si="607"/>
        <v>-51619196.168200135</v>
      </c>
      <c r="AQ243" s="145">
        <f t="shared" ca="1" si="585"/>
        <v>-51619196.168200135</v>
      </c>
      <c r="AR243" s="102">
        <f t="shared" ref="AR243:AT243" ca="1" si="608">AR164</f>
        <v>575020068.21259999</v>
      </c>
      <c r="AS243" s="102">
        <f t="shared" ca="1" si="608"/>
        <v>523400872.04440004</v>
      </c>
      <c r="AT243" s="102">
        <f t="shared" ca="1" si="608"/>
        <v>-51619196.168199956</v>
      </c>
      <c r="AU243" s="145">
        <f t="shared" ca="1" si="587"/>
        <v>-51619196.168199956</v>
      </c>
      <c r="AV243" s="102">
        <f t="shared" ref="AV243:AX243" ca="1" si="609">AV164</f>
        <v>949392383.72360003</v>
      </c>
      <c r="AW243" s="102">
        <f t="shared" ca="1" si="609"/>
        <v>897444086.96260011</v>
      </c>
      <c r="AX243" s="102">
        <f t="shared" ca="1" si="609"/>
        <v>-51948296.760999918</v>
      </c>
      <c r="AY243" s="145">
        <f t="shared" ca="1" si="589"/>
        <v>-51948296.760999918</v>
      </c>
      <c r="AZ243" s="102">
        <f t="shared" ref="AZ243:BB243" ca="1" si="610">AZ164</f>
        <v>739392383.72360003</v>
      </c>
      <c r="BA243" s="102">
        <f t="shared" ca="1" si="610"/>
        <v>687444086.96260011</v>
      </c>
      <c r="BB243" s="102">
        <f t="shared" ca="1" si="610"/>
        <v>-51948296.760999918</v>
      </c>
      <c r="BC243" s="145">
        <f t="shared" ca="1" si="591"/>
        <v>-51948296.760999918</v>
      </c>
      <c r="BD243" s="102">
        <f t="shared" ref="BD243:BF243" ca="1" si="611">BD164</f>
        <v>983355264.68879998</v>
      </c>
      <c r="BE243" s="102">
        <f t="shared" ca="1" si="611"/>
        <v>929261688.54180014</v>
      </c>
      <c r="BF243" s="102">
        <f t="shared" ca="1" si="611"/>
        <v>-54093576.146999836</v>
      </c>
      <c r="BG243" s="145">
        <f t="shared" ca="1" si="593"/>
        <v>-54093576.146999836</v>
      </c>
      <c r="BH243" s="102">
        <f t="shared" ref="BH243:BJ243" ca="1" si="612">BH164</f>
        <v>773355264.68879998</v>
      </c>
      <c r="BI243" s="102">
        <f t="shared" ca="1" si="612"/>
        <v>719261688.54180014</v>
      </c>
      <c r="BJ243" s="102">
        <f t="shared" ca="1" si="612"/>
        <v>-54093576.146999836</v>
      </c>
      <c r="BK243" s="145">
        <f t="shared" ca="1" si="595"/>
        <v>-54093576.146999836</v>
      </c>
      <c r="BL243" s="102">
        <f t="shared" ref="BL243:BN243" ca="1" si="613">BL164</f>
        <v>983355264.68879998</v>
      </c>
      <c r="BM243" s="102">
        <f t="shared" ca="1" si="613"/>
        <v>929261688.54180026</v>
      </c>
      <c r="BN243" s="102">
        <f t="shared" ca="1" si="613"/>
        <v>-54093576.146999717</v>
      </c>
      <c r="BO243" s="145">
        <f t="shared" ca="1" si="597"/>
        <v>-54093576.146999717</v>
      </c>
      <c r="BP243" s="102">
        <f t="shared" ref="BP243:BR243" ca="1" si="614">BP164</f>
        <v>773355264.68879998</v>
      </c>
      <c r="BQ243" s="102">
        <f t="shared" ca="1" si="614"/>
        <v>719261688.54180002</v>
      </c>
      <c r="BR243" s="102">
        <f t="shared" ca="1" si="614"/>
        <v>-54093576.146999955</v>
      </c>
      <c r="BS243" s="145">
        <f t="shared" ca="1" si="599"/>
        <v>-54093576.146999955</v>
      </c>
    </row>
    <row r="244" spans="1:72" x14ac:dyDescent="0.25">
      <c r="A244" s="98" t="s">
        <v>15</v>
      </c>
      <c r="B244" s="98"/>
      <c r="C244" s="98"/>
      <c r="D244" s="48"/>
      <c r="E244" s="48"/>
      <c r="F244" s="143" t="str">
        <f>F242</f>
        <v>Total</v>
      </c>
      <c r="G244" s="144" t="s">
        <v>38</v>
      </c>
      <c r="H244" s="102">
        <f ca="1">H223</f>
        <v>36084867.9991</v>
      </c>
      <c r="I244" s="102">
        <f ca="1">I223</f>
        <v>36726370.884600006</v>
      </c>
      <c r="J244" s="102">
        <f ca="1">J223</f>
        <v>641502.88550000638</v>
      </c>
      <c r="K244" s="145">
        <f t="shared" ca="1" si="569"/>
        <v>641502.88550000638</v>
      </c>
      <c r="L244" s="102">
        <f t="shared" ref="L244:N244" ca="1" si="615">L223</f>
        <v>0</v>
      </c>
      <c r="M244" s="102">
        <f t="shared" ca="1" si="615"/>
        <v>0</v>
      </c>
      <c r="N244" s="102">
        <f t="shared" ca="1" si="615"/>
        <v>0</v>
      </c>
      <c r="O244" s="145">
        <f t="shared" ca="1" si="571"/>
        <v>0</v>
      </c>
      <c r="P244" s="102">
        <f t="shared" ref="P244:R244" ca="1" si="616">P223</f>
        <v>232636060.77100006</v>
      </c>
      <c r="Q244" s="102">
        <f t="shared" ca="1" si="616"/>
        <v>220455735.91000003</v>
      </c>
      <c r="R244" s="102">
        <f t="shared" ca="1" si="616"/>
        <v>-12180324.861000031</v>
      </c>
      <c r="S244" s="145">
        <f t="shared" ca="1" si="573"/>
        <v>-12180324.861000031</v>
      </c>
      <c r="T244" s="102">
        <f t="shared" ref="T244:V244" ca="1" si="617">T223</f>
        <v>0</v>
      </c>
      <c r="U244" s="102">
        <f t="shared" ca="1" si="617"/>
        <v>0</v>
      </c>
      <c r="V244" s="102">
        <f t="shared" ca="1" si="617"/>
        <v>0</v>
      </c>
      <c r="W244" s="145">
        <f t="shared" ca="1" si="575"/>
        <v>0</v>
      </c>
      <c r="X244" s="102">
        <f t="shared" ref="X244:Z244" ca="1" si="618">X223</f>
        <v>455199823.29330009</v>
      </c>
      <c r="Y244" s="102">
        <f t="shared" ca="1" si="618"/>
        <v>441256371.24089998</v>
      </c>
      <c r="Z244" s="102">
        <f t="shared" ca="1" si="618"/>
        <v>-13943452.052400112</v>
      </c>
      <c r="AA244" s="145">
        <f t="shared" ca="1" si="577"/>
        <v>-13943452.052400112</v>
      </c>
      <c r="AB244" s="102">
        <f t="shared" ref="AB244:AD244" ca="1" si="619">AB223</f>
        <v>133718614.26919998</v>
      </c>
      <c r="AC244" s="102">
        <f t="shared" ca="1" si="619"/>
        <v>131877106.31559996</v>
      </c>
      <c r="AD244" s="102">
        <f t="shared" ca="1" si="619"/>
        <v>-1841507.9536000192</v>
      </c>
      <c r="AE244" s="145">
        <f t="shared" ca="1" si="579"/>
        <v>-1841507.9536000192</v>
      </c>
      <c r="AF244" s="102">
        <f t="shared" ref="AF244:AH244" ca="1" si="620">AF223</f>
        <v>699458664.22710025</v>
      </c>
      <c r="AG244" s="102">
        <f t="shared" ca="1" si="620"/>
        <v>685447969.22880006</v>
      </c>
      <c r="AH244" s="102">
        <f t="shared" ca="1" si="620"/>
        <v>-14010694.998300195</v>
      </c>
      <c r="AI244" s="145">
        <f t="shared" ca="1" si="581"/>
        <v>-14010694.998300195</v>
      </c>
      <c r="AJ244" s="102">
        <f t="shared" ref="AJ244:AL244" ca="1" si="621">AJ223</f>
        <v>374536200.98179996</v>
      </c>
      <c r="AK244" s="102">
        <f t="shared" ca="1" si="621"/>
        <v>370603002.45270002</v>
      </c>
      <c r="AL244" s="102">
        <f t="shared" ca="1" si="621"/>
        <v>-3933198.5290999413</v>
      </c>
      <c r="AM244" s="145">
        <f t="shared" ca="1" si="583"/>
        <v>-3933198.5290999413</v>
      </c>
      <c r="AN244" s="102">
        <f t="shared" ref="AN244:AP244" ca="1" si="622">AN223</f>
        <v>1177961479.1996</v>
      </c>
      <c r="AO244" s="102">
        <f t="shared" ca="1" si="622"/>
        <v>1176274795.8149002</v>
      </c>
      <c r="AP244" s="102">
        <f t="shared" ca="1" si="622"/>
        <v>-1686683.3846998215</v>
      </c>
      <c r="AQ244" s="145">
        <f t="shared" ca="1" si="585"/>
        <v>-1686683.3846998215</v>
      </c>
      <c r="AR244" s="102">
        <f t="shared" ref="AR244:AT244" ca="1" si="623">AR223</f>
        <v>847961479.19959998</v>
      </c>
      <c r="AS244" s="102">
        <f t="shared" ca="1" si="623"/>
        <v>861055158.72800004</v>
      </c>
      <c r="AT244" s="102">
        <f t="shared" ca="1" si="623"/>
        <v>13093679.528400064</v>
      </c>
      <c r="AU244" s="145">
        <f t="shared" ca="1" si="587"/>
        <v>13093679.528400064</v>
      </c>
      <c r="AV244" s="102">
        <f t="shared" ref="AV244:AX244" ca="1" si="624">AV223</f>
        <v>1531047771.5895004</v>
      </c>
      <c r="AW244" s="102">
        <f t="shared" ca="1" si="624"/>
        <v>1531887713.8573999</v>
      </c>
      <c r="AX244" s="102">
        <f t="shared" ca="1" si="624"/>
        <v>839942.26789951324</v>
      </c>
      <c r="AY244" s="145">
        <f t="shared" ca="1" si="589"/>
        <v>839942.26789951324</v>
      </c>
      <c r="AZ244" s="102">
        <f t="shared" ref="AZ244:BB244" ca="1" si="625">AZ223</f>
        <v>1201047771.5895</v>
      </c>
      <c r="BA244" s="102">
        <f t="shared" ca="1" si="625"/>
        <v>1216649260.7498996</v>
      </c>
      <c r="BB244" s="102">
        <f t="shared" ca="1" si="625"/>
        <v>15601489.160399675</v>
      </c>
      <c r="BC244" s="145">
        <f t="shared" ca="1" si="591"/>
        <v>15601489.160399675</v>
      </c>
      <c r="BD244" s="102">
        <f t="shared" ref="BD244:BF244" ca="1" si="626">BD223</f>
        <v>1711337044.7375</v>
      </c>
      <c r="BE244" s="102">
        <f t="shared" ca="1" si="626"/>
        <v>1707418339.9008002</v>
      </c>
      <c r="BF244" s="102">
        <f t="shared" ca="1" si="626"/>
        <v>-3918704.8366997242</v>
      </c>
      <c r="BG244" s="145">
        <f t="shared" ca="1" si="593"/>
        <v>-3918704.8366997242</v>
      </c>
      <c r="BH244" s="102">
        <f t="shared" ref="BH244:BJ244" ca="1" si="627">BH223</f>
        <v>1381337044.7375</v>
      </c>
      <c r="BI244" s="102">
        <f t="shared" ca="1" si="627"/>
        <v>1392179886.7933002</v>
      </c>
      <c r="BJ244" s="102">
        <f t="shared" ca="1" si="627"/>
        <v>10842842.0558002</v>
      </c>
      <c r="BK244" s="145">
        <f t="shared" ca="1" si="595"/>
        <v>10842842.0558002</v>
      </c>
      <c r="BL244" s="102">
        <f t="shared" ref="BL244:BN244" ca="1" si="628">BL223</f>
        <v>1810297800.2920003</v>
      </c>
      <c r="BM244" s="102">
        <f t="shared" ca="1" si="628"/>
        <v>1788401600.4424005</v>
      </c>
      <c r="BN244" s="102">
        <f t="shared" ca="1" si="628"/>
        <v>-21896199.849599838</v>
      </c>
      <c r="BO244" s="145">
        <f t="shared" ca="1" si="597"/>
        <v>-21896199.849599838</v>
      </c>
      <c r="BP244" s="102">
        <f t="shared" ref="BP244:BR244" ca="1" si="629">BP223</f>
        <v>1480297800.2920003</v>
      </c>
      <c r="BQ244" s="102">
        <f t="shared" ca="1" si="629"/>
        <v>1473163147.3348999</v>
      </c>
      <c r="BR244" s="102">
        <f t="shared" ca="1" si="629"/>
        <v>-7134652.9571003914</v>
      </c>
      <c r="BS244" s="145">
        <f t="shared" ca="1" si="599"/>
        <v>-7134652.9571003914</v>
      </c>
    </row>
    <row r="245" spans="1:72" ht="13.8" thickBot="1" x14ac:dyDescent="0.3">
      <c r="A245" s="146" t="s">
        <v>15</v>
      </c>
      <c r="B245" s="146"/>
      <c r="C245" s="146"/>
      <c r="D245" s="147"/>
      <c r="E245" s="147"/>
      <c r="F245" s="148" t="str">
        <f>F242</f>
        <v>Total</v>
      </c>
      <c r="G245" s="149" t="s">
        <v>41</v>
      </c>
      <c r="H245" s="150">
        <f ca="1">SUM(H242:H244)</f>
        <v>303342795.8175</v>
      </c>
      <c r="I245" s="150">
        <f ca="1">SUM(I242:I244)</f>
        <v>211885730.93870002</v>
      </c>
      <c r="J245" s="150">
        <f ca="1">SUM(J242:J244)</f>
        <v>-91457064.878799975</v>
      </c>
      <c r="K245" s="151">
        <f t="shared" ca="1" si="569"/>
        <v>-91457064.878799975</v>
      </c>
      <c r="L245" s="150">
        <f t="shared" ref="L245:N245" ca="1" si="630">SUM(L242:L244)</f>
        <v>0</v>
      </c>
      <c r="M245" s="150">
        <f t="shared" ca="1" si="630"/>
        <v>0</v>
      </c>
      <c r="N245" s="150">
        <f t="shared" ca="1" si="630"/>
        <v>0</v>
      </c>
      <c r="O245" s="151">
        <f t="shared" ca="1" si="571"/>
        <v>0</v>
      </c>
      <c r="P245" s="150">
        <f t="shared" ref="P245:R245" ca="1" si="631">SUM(P242:P244)</f>
        <v>1263856660.9643004</v>
      </c>
      <c r="Q245" s="150">
        <f t="shared" ca="1" si="631"/>
        <v>1027877571.4362001</v>
      </c>
      <c r="R245" s="150">
        <f t="shared" ca="1" si="631"/>
        <v>-235979089.52810022</v>
      </c>
      <c r="S245" s="151">
        <f t="shared" ca="1" si="573"/>
        <v>-235979089.52810022</v>
      </c>
      <c r="T245" s="150">
        <f t="shared" ref="T245:V245" ca="1" si="632">SUM(T242:T244)</f>
        <v>64682630.376599982</v>
      </c>
      <c r="U245" s="150">
        <f t="shared" ca="1" si="632"/>
        <v>20438076.306700017</v>
      </c>
      <c r="V245" s="150">
        <f t="shared" ca="1" si="632"/>
        <v>-44244554.069899969</v>
      </c>
      <c r="W245" s="151">
        <f t="shared" ca="1" si="575"/>
        <v>-44244554.069899969</v>
      </c>
      <c r="X245" s="150">
        <f t="shared" ref="X245:Z245" ca="1" si="633">SUM(X242:X244)</f>
        <v>2345919341.6872993</v>
      </c>
      <c r="Y245" s="150">
        <f t="shared" ca="1" si="633"/>
        <v>1999574069.5744002</v>
      </c>
      <c r="Z245" s="150">
        <f t="shared" ca="1" si="633"/>
        <v>-346345272.11289895</v>
      </c>
      <c r="AA245" s="151">
        <f t="shared" ca="1" si="577"/>
        <v>-346345272.11289895</v>
      </c>
      <c r="AB245" s="150">
        <f t="shared" ref="AB245:AD245" ca="1" si="634">SUM(AB242:AB244)</f>
        <v>891156507.43259978</v>
      </c>
      <c r="AC245" s="150">
        <f t="shared" ca="1" si="634"/>
        <v>576307643.07789993</v>
      </c>
      <c r="AD245" s="150">
        <f t="shared" ca="1" si="634"/>
        <v>-314848864.35469985</v>
      </c>
      <c r="AE245" s="151">
        <f t="shared" ca="1" si="579"/>
        <v>-314848864.35469985</v>
      </c>
      <c r="AF245" s="150">
        <f t="shared" ref="AF245:AH245" ca="1" si="635">SUM(AF242:AF244)</f>
        <v>3437630759.5307007</v>
      </c>
      <c r="AG245" s="150">
        <f t="shared" ca="1" si="635"/>
        <v>2994987518.8066998</v>
      </c>
      <c r="AH245" s="150">
        <f t="shared" ca="1" si="635"/>
        <v>-442643240.72400105</v>
      </c>
      <c r="AI245" s="151">
        <f t="shared" ca="1" si="581"/>
        <v>-442643240.72400105</v>
      </c>
      <c r="AJ245" s="150">
        <f t="shared" ref="AJ245:AL245" ca="1" si="636">SUM(AJ242:AJ244)</f>
        <v>1972708296.2853999</v>
      </c>
      <c r="AK245" s="150">
        <f t="shared" ca="1" si="636"/>
        <v>1559640652.3808002</v>
      </c>
      <c r="AL245" s="150">
        <f t="shared" ca="1" si="636"/>
        <v>-413067643.90459967</v>
      </c>
      <c r="AM245" s="151">
        <f t="shared" ca="1" si="583"/>
        <v>-413067643.90459967</v>
      </c>
      <c r="AN245" s="150">
        <f t="shared" ref="AN245:AP245" ca="1" si="637">SUM(AN242:AN244)</f>
        <v>5470015878.426301</v>
      </c>
      <c r="AO245" s="150">
        <f t="shared" ca="1" si="637"/>
        <v>4929439557.9836988</v>
      </c>
      <c r="AP245" s="150">
        <f t="shared" ca="1" si="637"/>
        <v>-540576320.44260132</v>
      </c>
      <c r="AQ245" s="151">
        <f t="shared" ca="1" si="585"/>
        <v>-540576320.44260132</v>
      </c>
      <c r="AR245" s="150">
        <f t="shared" ref="AR245:AT245" ca="1" si="638">SUM(AR242:AR244)</f>
        <v>4000015878.426301</v>
      </c>
      <c r="AS245" s="150">
        <f t="shared" ca="1" si="638"/>
        <v>3485578046.6487002</v>
      </c>
      <c r="AT245" s="150">
        <f t="shared" ca="1" si="638"/>
        <v>-514437831.77760035</v>
      </c>
      <c r="AU245" s="151">
        <f t="shared" ca="1" si="587"/>
        <v>-514437831.77760035</v>
      </c>
      <c r="AV245" s="150">
        <f t="shared" ref="AV245:AX245" ca="1" si="639">SUM(AV242:AV244)</f>
        <v>6870113035.4513998</v>
      </c>
      <c r="AW245" s="150">
        <f t="shared" ca="1" si="639"/>
        <v>6269511875.6526012</v>
      </c>
      <c r="AX245" s="150">
        <f t="shared" ca="1" si="639"/>
        <v>-600601159.79879785</v>
      </c>
      <c r="AY245" s="151">
        <f t="shared" ca="1" si="589"/>
        <v>-600601159.79879785</v>
      </c>
      <c r="AZ245" s="150">
        <f t="shared" ref="AZ245:BB245" ca="1" si="640">SUM(AZ242:AZ244)</f>
        <v>5400113035.4513988</v>
      </c>
      <c r="BA245" s="150">
        <f t="shared" ca="1" si="640"/>
        <v>4824735610.0463009</v>
      </c>
      <c r="BB245" s="150">
        <f t="shared" ca="1" si="640"/>
        <v>-575377425.40509892</v>
      </c>
      <c r="BC245" s="151">
        <f t="shared" ca="1" si="591"/>
        <v>-575377425.40509892</v>
      </c>
      <c r="BD245" s="150">
        <f t="shared" ref="BD245:BF245" ca="1" si="641">SUM(BD242:BD244)</f>
        <v>7585752158.1268997</v>
      </c>
      <c r="BE245" s="150">
        <f t="shared" ca="1" si="641"/>
        <v>6943261024.3862991</v>
      </c>
      <c r="BF245" s="150">
        <f t="shared" ca="1" si="641"/>
        <v>-642491133.74060035</v>
      </c>
      <c r="BG245" s="151">
        <f t="shared" ca="1" si="593"/>
        <v>-642491133.74060035</v>
      </c>
      <c r="BH245" s="150">
        <f t="shared" ref="BH245:BJ245" ca="1" si="642">SUM(BH242:BH244)</f>
        <v>6115752158.1268997</v>
      </c>
      <c r="BI245" s="150">
        <f t="shared" ca="1" si="642"/>
        <v>5498484758.7800007</v>
      </c>
      <c r="BJ245" s="150">
        <f t="shared" ca="1" si="642"/>
        <v>-617267399.34689879</v>
      </c>
      <c r="BK245" s="151">
        <f t="shared" ca="1" si="595"/>
        <v>-617267399.34689879</v>
      </c>
      <c r="BL245" s="150">
        <f t="shared" ref="BL245:BN245" ca="1" si="643">SUM(BL242:BL244)</f>
        <v>7744711992.4715996</v>
      </c>
      <c r="BM245" s="150">
        <f t="shared" ca="1" si="643"/>
        <v>7080165494.3783016</v>
      </c>
      <c r="BN245" s="150">
        <f t="shared" ca="1" si="643"/>
        <v>-664546498.09329832</v>
      </c>
      <c r="BO245" s="151">
        <f t="shared" ca="1" si="597"/>
        <v>-664546498.09329832</v>
      </c>
      <c r="BP245" s="150">
        <f t="shared" ref="BP245:BR245" ca="1" si="644">SUM(BP242:BP244)</f>
        <v>6274711992.4715996</v>
      </c>
      <c r="BQ245" s="150">
        <f t="shared" ca="1" si="644"/>
        <v>5635389228.7719994</v>
      </c>
      <c r="BR245" s="150">
        <f t="shared" ca="1" si="644"/>
        <v>-639322763.69959986</v>
      </c>
      <c r="BS245" s="151">
        <f t="shared" ca="1" si="599"/>
        <v>-639322763.69959986</v>
      </c>
      <c r="BT245" s="152"/>
    </row>
    <row r="246" spans="1:72" x14ac:dyDescent="0.25">
      <c r="A246" s="98" t="s">
        <v>15</v>
      </c>
      <c r="B246" s="98"/>
      <c r="C246" s="98"/>
      <c r="D246" s="48"/>
      <c r="E246" s="48"/>
      <c r="F246" s="48" t="str">
        <f>$F$96</f>
        <v>Max</v>
      </c>
      <c r="G246" s="141" t="s">
        <v>17</v>
      </c>
      <c r="H246" s="99">
        <f ca="1">H96</f>
        <v>9458935.3363000005</v>
      </c>
      <c r="I246" s="99">
        <f ca="1">I96</f>
        <v>9264252.9970000014</v>
      </c>
      <c r="J246" s="99">
        <f ca="1">J96</f>
        <v>-194682.33929999918</v>
      </c>
      <c r="K246" s="142">
        <f t="shared" ca="1" si="569"/>
        <v>-194682.33929999918</v>
      </c>
      <c r="L246" s="99">
        <f t="shared" ref="L246:N246" ca="1" si="645">L96</f>
        <v>0</v>
      </c>
      <c r="M246" s="99">
        <f t="shared" ca="1" si="645"/>
        <v>0</v>
      </c>
      <c r="N246" s="99">
        <f t="shared" ca="1" si="645"/>
        <v>0</v>
      </c>
      <c r="O246" s="142">
        <f t="shared" ca="1" si="571"/>
        <v>0</v>
      </c>
      <c r="P246" s="99">
        <f t="shared" ref="P246:R246" ca="1" si="646">P96</f>
        <v>28028277.180399995</v>
      </c>
      <c r="Q246" s="99">
        <f t="shared" ca="1" si="646"/>
        <v>24080829.658100009</v>
      </c>
      <c r="R246" s="99">
        <f t="shared" ca="1" si="646"/>
        <v>-3947447.5222999863</v>
      </c>
      <c r="S246" s="142">
        <f t="shared" ca="1" si="573"/>
        <v>-3947447.5222999863</v>
      </c>
      <c r="T246" s="99">
        <f t="shared" ref="T246:V246" ca="1" si="647">T96</f>
        <v>13028277.180399995</v>
      </c>
      <c r="U246" s="99">
        <f t="shared" ca="1" si="647"/>
        <v>9080829.658100009</v>
      </c>
      <c r="V246" s="99">
        <f t="shared" ca="1" si="647"/>
        <v>-3947447.5222999863</v>
      </c>
      <c r="W246" s="142">
        <f t="shared" ca="1" si="575"/>
        <v>-3947447.5222999863</v>
      </c>
      <c r="X246" s="99">
        <f t="shared" ref="X246:Z246" ca="1" si="648">X96</f>
        <v>45192314.177600004</v>
      </c>
      <c r="Y246" s="99">
        <f t="shared" ca="1" si="648"/>
        <v>38372251.535900004</v>
      </c>
      <c r="Z246" s="99">
        <f t="shared" ca="1" si="648"/>
        <v>-6820062.6416999996</v>
      </c>
      <c r="AA246" s="142">
        <f t="shared" ca="1" si="577"/>
        <v>-6820062.6416999996</v>
      </c>
      <c r="AB246" s="99">
        <f t="shared" ref="AB246:AD246" ca="1" si="649">AB96</f>
        <v>30192314.177600004</v>
      </c>
      <c r="AC246" s="99">
        <f t="shared" ca="1" si="649"/>
        <v>23372251.535900004</v>
      </c>
      <c r="AD246" s="99">
        <f t="shared" ca="1" si="649"/>
        <v>-6820062.6416999996</v>
      </c>
      <c r="AE246" s="142">
        <f t="shared" ca="1" si="579"/>
        <v>-6820062.6416999996</v>
      </c>
      <c r="AF246" s="99">
        <f t="shared" ref="AF246:AH246" ca="1" si="650">AF96</f>
        <v>50651280.644799985</v>
      </c>
      <c r="AG246" s="99">
        <f t="shared" ca="1" si="650"/>
        <v>44791127.226099983</v>
      </c>
      <c r="AH246" s="99">
        <f t="shared" ca="1" si="650"/>
        <v>-5860153.4187000021</v>
      </c>
      <c r="AI246" s="142">
        <f t="shared" ca="1" si="581"/>
        <v>-5860153.4187000021</v>
      </c>
      <c r="AJ246" s="99">
        <f t="shared" ref="AJ246:AL246" ca="1" si="651">AJ96</f>
        <v>35651280.644799985</v>
      </c>
      <c r="AK246" s="99">
        <f t="shared" ca="1" si="651"/>
        <v>29791127.226099983</v>
      </c>
      <c r="AL246" s="99">
        <f t="shared" ca="1" si="651"/>
        <v>-5860153.4187000021</v>
      </c>
      <c r="AM246" s="142">
        <f t="shared" ca="1" si="583"/>
        <v>-5860153.4187000021</v>
      </c>
      <c r="AN246" s="99">
        <f t="shared" ref="AN246:AP246" ca="1" si="652">AN96</f>
        <v>77634536.858300015</v>
      </c>
      <c r="AO246" s="99">
        <f t="shared" ca="1" si="652"/>
        <v>72366558.811199993</v>
      </c>
      <c r="AP246" s="99">
        <f t="shared" ca="1" si="652"/>
        <v>-5267978.0471000224</v>
      </c>
      <c r="AQ246" s="142">
        <f t="shared" ca="1" si="585"/>
        <v>-5267978.0471000224</v>
      </c>
      <c r="AR246" s="99">
        <f t="shared" ref="AR246:AT246" ca="1" si="653">AR96</f>
        <v>62634536.858300015</v>
      </c>
      <c r="AS246" s="99">
        <f t="shared" ca="1" si="653"/>
        <v>57366558.811199993</v>
      </c>
      <c r="AT246" s="99">
        <f t="shared" ca="1" si="653"/>
        <v>-5267978.0471000224</v>
      </c>
      <c r="AU246" s="142">
        <f t="shared" ca="1" si="587"/>
        <v>-5267978.0471000224</v>
      </c>
      <c r="AV246" s="99">
        <f t="shared" ref="AV246:AX246" ca="1" si="654">AV96</f>
        <v>102266404.02160002</v>
      </c>
      <c r="AW246" s="99">
        <f t="shared" ca="1" si="654"/>
        <v>89007034.858199999</v>
      </c>
      <c r="AX246" s="99">
        <f t="shared" ca="1" si="654"/>
        <v>-13259369.163400024</v>
      </c>
      <c r="AY246" s="142">
        <f t="shared" ca="1" si="589"/>
        <v>-13259369.163400024</v>
      </c>
      <c r="AZ246" s="99">
        <f t="shared" ref="AZ246:BB246" ca="1" si="655">AZ96</f>
        <v>87266404.021600023</v>
      </c>
      <c r="BA246" s="99">
        <f t="shared" ca="1" si="655"/>
        <v>74007034.858199999</v>
      </c>
      <c r="BB246" s="99">
        <f t="shared" ca="1" si="655"/>
        <v>-13259369.163400024</v>
      </c>
      <c r="BC246" s="142">
        <f t="shared" ca="1" si="591"/>
        <v>-13259369.163400024</v>
      </c>
      <c r="BD246" s="99">
        <f t="shared" ref="BD246:BF246" ca="1" si="656">BD96</f>
        <v>125644478.87509999</v>
      </c>
      <c r="BE246" s="99">
        <f t="shared" ca="1" si="656"/>
        <v>111004435.13650003</v>
      </c>
      <c r="BF246" s="99">
        <f t="shared" ca="1" si="656"/>
        <v>-14640043.738599956</v>
      </c>
      <c r="BG246" s="142">
        <f t="shared" ca="1" si="593"/>
        <v>-14640043.738599956</v>
      </c>
      <c r="BH246" s="99">
        <f t="shared" ref="BH246:BJ246" ca="1" si="657">BH96</f>
        <v>110644478.87509999</v>
      </c>
      <c r="BI246" s="99">
        <f t="shared" ca="1" si="657"/>
        <v>96004435.136500031</v>
      </c>
      <c r="BJ246" s="99">
        <f t="shared" ca="1" si="657"/>
        <v>-14640043.738599956</v>
      </c>
      <c r="BK246" s="142">
        <f t="shared" ca="1" si="595"/>
        <v>-14640043.738599956</v>
      </c>
      <c r="BL246" s="99">
        <f t="shared" ref="BL246:BN246" ca="1" si="658">BL96</f>
        <v>128334786.45680007</v>
      </c>
      <c r="BM246" s="99">
        <f t="shared" ca="1" si="658"/>
        <v>113401447.22860001</v>
      </c>
      <c r="BN246" s="99">
        <f t="shared" ca="1" si="658"/>
        <v>-14933339.228200063</v>
      </c>
      <c r="BO246" s="142">
        <f t="shared" ca="1" si="597"/>
        <v>-14933339.228200063</v>
      </c>
      <c r="BP246" s="99">
        <f t="shared" ref="BP246:BR246" ca="1" si="659">BP96</f>
        <v>113334786.45680007</v>
      </c>
      <c r="BQ246" s="99">
        <f t="shared" ca="1" si="659"/>
        <v>98401447.22860001</v>
      </c>
      <c r="BR246" s="99">
        <f t="shared" ca="1" si="659"/>
        <v>-14933339.228200063</v>
      </c>
      <c r="BS246" s="142">
        <f t="shared" ca="1" si="599"/>
        <v>-14933339.228200063</v>
      </c>
    </row>
    <row r="247" spans="1:72" x14ac:dyDescent="0.25">
      <c r="A247" s="98" t="s">
        <v>15</v>
      </c>
      <c r="B247" s="98"/>
      <c r="C247" s="98"/>
      <c r="D247" s="48"/>
      <c r="E247" s="48"/>
      <c r="F247" s="143" t="str">
        <f>F246</f>
        <v>Max</v>
      </c>
      <c r="G247" s="144" t="s">
        <v>36</v>
      </c>
      <c r="H247" s="102">
        <f ca="1">H165</f>
        <v>5539095.8702999996</v>
      </c>
      <c r="I247" s="102">
        <f ca="1">I165</f>
        <v>3383672.8585000001</v>
      </c>
      <c r="J247" s="102">
        <f ca="1">J165</f>
        <v>-2155423.0117999995</v>
      </c>
      <c r="K247" s="145">
        <f t="shared" ca="1" si="569"/>
        <v>-2155423.0117999995</v>
      </c>
      <c r="L247" s="102">
        <f t="shared" ref="L247:N247" ca="1" si="660">L165</f>
        <v>0</v>
      </c>
      <c r="M247" s="102">
        <f t="shared" ca="1" si="660"/>
        <v>0</v>
      </c>
      <c r="N247" s="102">
        <f t="shared" ca="1" si="660"/>
        <v>0</v>
      </c>
      <c r="O247" s="145">
        <f t="shared" ca="1" si="571"/>
        <v>0</v>
      </c>
      <c r="P247" s="102">
        <f t="shared" ref="P247:R247" ca="1" si="661">P165</f>
        <v>16786950.971000001</v>
      </c>
      <c r="Q247" s="102">
        <f t="shared" ca="1" si="661"/>
        <v>13146815.426500004</v>
      </c>
      <c r="R247" s="102">
        <f t="shared" ca="1" si="661"/>
        <v>-3640135.544499997</v>
      </c>
      <c r="S247" s="145">
        <f t="shared" ca="1" si="573"/>
        <v>-3640135.544499997</v>
      </c>
      <c r="T247" s="102">
        <f t="shared" ref="T247:V247" ca="1" si="662">T165</f>
        <v>1786950.9710000008</v>
      </c>
      <c r="U247" s="102">
        <f t="shared" ca="1" si="662"/>
        <v>0</v>
      </c>
      <c r="V247" s="102">
        <f t="shared" ca="1" si="662"/>
        <v>-1786950.9710000008</v>
      </c>
      <c r="W247" s="145">
        <f t="shared" ca="1" si="575"/>
        <v>-1786950.9710000008</v>
      </c>
      <c r="X247" s="102">
        <f t="shared" ref="X247:Z247" ca="1" si="663">X165</f>
        <v>31570205.544199996</v>
      </c>
      <c r="Y247" s="102">
        <f t="shared" ca="1" si="663"/>
        <v>26326587.470100001</v>
      </c>
      <c r="Z247" s="102">
        <f t="shared" ca="1" si="663"/>
        <v>-5243618.0740999952</v>
      </c>
      <c r="AA247" s="145">
        <f t="shared" ca="1" si="577"/>
        <v>-5243618.0740999952</v>
      </c>
      <c r="AB247" s="102">
        <f t="shared" ref="AB247:AD247" ca="1" si="664">AB165</f>
        <v>16570205.544199996</v>
      </c>
      <c r="AC247" s="102">
        <f t="shared" ca="1" si="664"/>
        <v>11326587.470100001</v>
      </c>
      <c r="AD247" s="102">
        <f t="shared" ca="1" si="664"/>
        <v>-5243618.0740999952</v>
      </c>
      <c r="AE247" s="145">
        <f t="shared" ca="1" si="579"/>
        <v>-5243618.0740999952</v>
      </c>
      <c r="AF247" s="102">
        <f t="shared" ref="AF247:AH247" ca="1" si="665">AF165</f>
        <v>44950433.717400007</v>
      </c>
      <c r="AG247" s="102">
        <f t="shared" ca="1" si="665"/>
        <v>40181276.232600003</v>
      </c>
      <c r="AH247" s="102">
        <f t="shared" ca="1" si="665"/>
        <v>-4769157.4848000035</v>
      </c>
      <c r="AI247" s="145">
        <f t="shared" ca="1" si="581"/>
        <v>-4769157.4848000035</v>
      </c>
      <c r="AJ247" s="102">
        <f t="shared" ref="AJ247:AL247" ca="1" si="666">AJ165</f>
        <v>29950433.717400007</v>
      </c>
      <c r="AK247" s="102">
        <f t="shared" ca="1" si="666"/>
        <v>25181276.232600003</v>
      </c>
      <c r="AL247" s="102">
        <f t="shared" ca="1" si="666"/>
        <v>-4769157.4848000035</v>
      </c>
      <c r="AM247" s="145">
        <f t="shared" ca="1" si="583"/>
        <v>-4769157.4848000035</v>
      </c>
      <c r="AN247" s="102">
        <f t="shared" ref="AN247:AP247" ca="1" si="667">AN165</f>
        <v>74066745.4067</v>
      </c>
      <c r="AO247" s="102">
        <f t="shared" ca="1" si="667"/>
        <v>68765150.45540002</v>
      </c>
      <c r="AP247" s="102">
        <f t="shared" ca="1" si="667"/>
        <v>-5301594.9512999803</v>
      </c>
      <c r="AQ247" s="145">
        <f t="shared" ca="1" si="585"/>
        <v>-5301594.9512999803</v>
      </c>
      <c r="AR247" s="102">
        <f t="shared" ref="AR247:AT247" ca="1" si="668">AR165</f>
        <v>59066745.4067</v>
      </c>
      <c r="AS247" s="102">
        <f t="shared" ca="1" si="668"/>
        <v>53765150.45540002</v>
      </c>
      <c r="AT247" s="102">
        <f t="shared" ca="1" si="668"/>
        <v>-5301594.9512999803</v>
      </c>
      <c r="AU247" s="145">
        <f t="shared" ca="1" si="587"/>
        <v>-5301594.9512999803</v>
      </c>
      <c r="AV247" s="102">
        <f t="shared" ref="AV247:AX247" ca="1" si="669">AV165</f>
        <v>104872788.1085</v>
      </c>
      <c r="AW247" s="102">
        <f t="shared" ca="1" si="669"/>
        <v>96168711.744299993</v>
      </c>
      <c r="AX247" s="102">
        <f t="shared" ca="1" si="669"/>
        <v>-8704076.3642000109</v>
      </c>
      <c r="AY247" s="145">
        <f t="shared" ca="1" si="589"/>
        <v>-8704076.3642000109</v>
      </c>
      <c r="AZ247" s="102">
        <f t="shared" ref="AZ247:BB247" ca="1" si="670">AZ165</f>
        <v>89872788.108500004</v>
      </c>
      <c r="BA247" s="102">
        <f t="shared" ca="1" si="670"/>
        <v>81168711.744299993</v>
      </c>
      <c r="BB247" s="102">
        <f t="shared" ca="1" si="670"/>
        <v>-8704076.3642000109</v>
      </c>
      <c r="BC247" s="145">
        <f t="shared" ca="1" si="591"/>
        <v>-8704076.3642000109</v>
      </c>
      <c r="BD247" s="102">
        <f t="shared" ref="BD247:BF247" ca="1" si="671">BD165</f>
        <v>117957086.03780001</v>
      </c>
      <c r="BE247" s="102">
        <f t="shared" ca="1" si="671"/>
        <v>106882691.68019998</v>
      </c>
      <c r="BF247" s="102">
        <f t="shared" ca="1" si="671"/>
        <v>-11074394.357600033</v>
      </c>
      <c r="BG247" s="145">
        <f t="shared" ca="1" si="593"/>
        <v>-11074394.357600033</v>
      </c>
      <c r="BH247" s="102">
        <f t="shared" ref="BH247:BJ247" ca="1" si="672">BH165</f>
        <v>102957086.03780001</v>
      </c>
      <c r="BI247" s="102">
        <f t="shared" ca="1" si="672"/>
        <v>91882691.680199981</v>
      </c>
      <c r="BJ247" s="102">
        <f t="shared" ca="1" si="672"/>
        <v>-11074394.357600033</v>
      </c>
      <c r="BK247" s="145">
        <f t="shared" ca="1" si="595"/>
        <v>-11074394.357600033</v>
      </c>
      <c r="BL247" s="102">
        <f t="shared" ref="BL247:BN247" ca="1" si="673">BL165</f>
        <v>117957086.03780001</v>
      </c>
      <c r="BM247" s="102">
        <f t="shared" ca="1" si="673"/>
        <v>106882691.68019998</v>
      </c>
      <c r="BN247" s="102">
        <f t="shared" ca="1" si="673"/>
        <v>-11074394.357600033</v>
      </c>
      <c r="BO247" s="145">
        <f t="shared" ca="1" si="597"/>
        <v>-11074394.357600033</v>
      </c>
      <c r="BP247" s="102">
        <f t="shared" ref="BP247:BR247" ca="1" si="674">BP165</f>
        <v>102957086.03780001</v>
      </c>
      <c r="BQ247" s="102">
        <f t="shared" ca="1" si="674"/>
        <v>91882691.680199981</v>
      </c>
      <c r="BR247" s="102">
        <f t="shared" ca="1" si="674"/>
        <v>-11074394.357600033</v>
      </c>
      <c r="BS247" s="145">
        <f t="shared" ca="1" si="599"/>
        <v>-11074394.357600033</v>
      </c>
    </row>
    <row r="248" spans="1:72" x14ac:dyDescent="0.25">
      <c r="A248" s="98" t="s">
        <v>15</v>
      </c>
      <c r="B248" s="98"/>
      <c r="C248" s="98"/>
      <c r="D248" s="48"/>
      <c r="E248" s="48"/>
      <c r="F248" s="143" t="str">
        <f>F246</f>
        <v>Max</v>
      </c>
      <c r="G248" s="144" t="s">
        <v>38</v>
      </c>
      <c r="H248" s="102">
        <f ca="1">H224</f>
        <v>3634158.0537000005</v>
      </c>
      <c r="I248" s="102">
        <f ca="1">I224</f>
        <v>3490312.6297000004</v>
      </c>
      <c r="J248" s="102">
        <f ca="1">J224</f>
        <v>-143845.42400000012</v>
      </c>
      <c r="K248" s="145">
        <f t="shared" ca="1" si="569"/>
        <v>-143845.42400000012</v>
      </c>
      <c r="L248" s="102">
        <f t="shared" ref="L248:N248" ca="1" si="675">L224</f>
        <v>0</v>
      </c>
      <c r="M248" s="102">
        <f t="shared" ca="1" si="675"/>
        <v>0</v>
      </c>
      <c r="N248" s="102">
        <f t="shared" ca="1" si="675"/>
        <v>0</v>
      </c>
      <c r="O248" s="145">
        <f t="shared" ca="1" si="571"/>
        <v>0</v>
      </c>
      <c r="P248" s="102">
        <f t="shared" ref="P248:R248" ca="1" si="676">P224</f>
        <v>14278239.619900001</v>
      </c>
      <c r="Q248" s="102">
        <f t="shared" ca="1" si="676"/>
        <v>14553985.009699998</v>
      </c>
      <c r="R248" s="102">
        <f t="shared" ca="1" si="676"/>
        <v>275745.38979999721</v>
      </c>
      <c r="S248" s="145">
        <f t="shared" ca="1" si="573"/>
        <v>275745.38979999721</v>
      </c>
      <c r="T248" s="102">
        <f t="shared" ref="T248:V248" ca="1" si="677">T224</f>
        <v>0</v>
      </c>
      <c r="U248" s="102">
        <f t="shared" ca="1" si="677"/>
        <v>0</v>
      </c>
      <c r="V248" s="102">
        <f t="shared" ca="1" si="677"/>
        <v>0</v>
      </c>
      <c r="W248" s="145">
        <f t="shared" ca="1" si="575"/>
        <v>0</v>
      </c>
      <c r="X248" s="102">
        <f t="shared" ref="X248:Z248" ca="1" si="678">X224</f>
        <v>27511643.653699998</v>
      </c>
      <c r="Y248" s="102">
        <f t="shared" ca="1" si="678"/>
        <v>28515143.750399996</v>
      </c>
      <c r="Z248" s="102">
        <f t="shared" ca="1" si="678"/>
        <v>1003500.0966999978</v>
      </c>
      <c r="AA248" s="145">
        <f t="shared" ca="1" si="577"/>
        <v>1003500.0966999978</v>
      </c>
      <c r="AB248" s="102">
        <f t="shared" ref="AB248:AD248" ca="1" si="679">AB224</f>
        <v>12511643.653699998</v>
      </c>
      <c r="AC248" s="102">
        <f t="shared" ca="1" si="679"/>
        <v>13515143.750399996</v>
      </c>
      <c r="AD248" s="102">
        <f t="shared" ca="1" si="679"/>
        <v>1003500.0966999978</v>
      </c>
      <c r="AE248" s="145">
        <f t="shared" ca="1" si="579"/>
        <v>1003500.0966999978</v>
      </c>
      <c r="AF248" s="102">
        <f t="shared" ref="AF248:AH248" ca="1" si="680">AF224</f>
        <v>42307095.322699994</v>
      </c>
      <c r="AG248" s="102">
        <f t="shared" ca="1" si="680"/>
        <v>46590644.781400003</v>
      </c>
      <c r="AH248" s="102">
        <f t="shared" ca="1" si="680"/>
        <v>4283549.4587000087</v>
      </c>
      <c r="AI248" s="145">
        <f t="shared" ca="1" si="581"/>
        <v>4283549.4587000087</v>
      </c>
      <c r="AJ248" s="102">
        <f t="shared" ref="AJ248:AL248" ca="1" si="681">AJ224</f>
        <v>27307095.322699994</v>
      </c>
      <c r="AK248" s="102">
        <f t="shared" ca="1" si="681"/>
        <v>31590644.781400003</v>
      </c>
      <c r="AL248" s="102">
        <f t="shared" ca="1" si="681"/>
        <v>4283549.4587000087</v>
      </c>
      <c r="AM248" s="145">
        <f t="shared" ca="1" si="583"/>
        <v>4283549.4587000087</v>
      </c>
      <c r="AN248" s="102">
        <f t="shared" ref="AN248:AP248" ca="1" si="682">AN224</f>
        <v>72275967.707000017</v>
      </c>
      <c r="AO248" s="102">
        <f t="shared" ca="1" si="682"/>
        <v>82789936.040699989</v>
      </c>
      <c r="AP248" s="102">
        <f t="shared" ca="1" si="682"/>
        <v>10513968.333699971</v>
      </c>
      <c r="AQ248" s="145">
        <f t="shared" ca="1" si="585"/>
        <v>10513968.333699971</v>
      </c>
      <c r="AR248" s="102">
        <f t="shared" ref="AR248:AT248" ca="1" si="683">AR224</f>
        <v>57275967.707000017</v>
      </c>
      <c r="AS248" s="102">
        <f t="shared" ca="1" si="683"/>
        <v>67789936.040699989</v>
      </c>
      <c r="AT248" s="102">
        <f t="shared" ca="1" si="683"/>
        <v>10513968.333699971</v>
      </c>
      <c r="AU248" s="145">
        <f t="shared" ca="1" si="587"/>
        <v>10513968.333699971</v>
      </c>
      <c r="AV248" s="102">
        <f t="shared" ref="AV248:AX248" ca="1" si="684">AV224</f>
        <v>100680486.4094</v>
      </c>
      <c r="AW248" s="102">
        <f t="shared" ca="1" si="684"/>
        <v>113082102.79339999</v>
      </c>
      <c r="AX248" s="102">
        <f t="shared" ca="1" si="684"/>
        <v>12401616.383999988</v>
      </c>
      <c r="AY248" s="145">
        <f t="shared" ca="1" si="589"/>
        <v>12401616.383999988</v>
      </c>
      <c r="AZ248" s="102">
        <f t="shared" ref="AZ248:BB248" ca="1" si="685">AZ224</f>
        <v>85680486.409400001</v>
      </c>
      <c r="BA248" s="102">
        <f t="shared" ca="1" si="685"/>
        <v>98082102.79339999</v>
      </c>
      <c r="BB248" s="102">
        <f t="shared" ca="1" si="685"/>
        <v>12401616.383999988</v>
      </c>
      <c r="BC248" s="145">
        <f t="shared" ca="1" si="591"/>
        <v>12401616.383999988</v>
      </c>
      <c r="BD248" s="102">
        <f t="shared" ref="BD248:BF248" ca="1" si="686">BD224</f>
        <v>122894165.81909998</v>
      </c>
      <c r="BE248" s="102">
        <f t="shared" ca="1" si="686"/>
        <v>124353872.69489996</v>
      </c>
      <c r="BF248" s="102">
        <f t="shared" ca="1" si="686"/>
        <v>1459706.8757999837</v>
      </c>
      <c r="BG248" s="145">
        <f t="shared" ca="1" si="593"/>
        <v>1459706.8757999837</v>
      </c>
      <c r="BH248" s="102">
        <f t="shared" ref="BH248:BJ248" ca="1" si="687">BH224</f>
        <v>107894165.81909998</v>
      </c>
      <c r="BI248" s="102">
        <f t="shared" ca="1" si="687"/>
        <v>109353872.69489996</v>
      </c>
      <c r="BJ248" s="102">
        <f t="shared" ca="1" si="687"/>
        <v>1459706.8757999837</v>
      </c>
      <c r="BK248" s="145">
        <f t="shared" ca="1" si="595"/>
        <v>1459706.8757999837</v>
      </c>
      <c r="BL248" s="102">
        <f t="shared" ref="BL248:BN248" ca="1" si="688">BL224</f>
        <v>140069599.79790002</v>
      </c>
      <c r="BM248" s="102">
        <f t="shared" ca="1" si="688"/>
        <v>131835522.79810001</v>
      </c>
      <c r="BN248" s="102">
        <f t="shared" ca="1" si="688"/>
        <v>-8234076.9998000115</v>
      </c>
      <c r="BO248" s="145">
        <f t="shared" ca="1" si="597"/>
        <v>-8234076.9998000115</v>
      </c>
      <c r="BP248" s="102">
        <f t="shared" ref="BP248:BR248" ca="1" si="689">BP224</f>
        <v>125069599.79790002</v>
      </c>
      <c r="BQ248" s="102">
        <f t="shared" ca="1" si="689"/>
        <v>116835522.79810001</v>
      </c>
      <c r="BR248" s="102">
        <f t="shared" ca="1" si="689"/>
        <v>-8234076.9998000115</v>
      </c>
      <c r="BS248" s="145">
        <f t="shared" ca="1" si="599"/>
        <v>-8234076.9998000115</v>
      </c>
    </row>
    <row r="249" spans="1:72" ht="13.8" thickBot="1" x14ac:dyDescent="0.3">
      <c r="A249" s="146" t="s">
        <v>15</v>
      </c>
      <c r="B249" s="146"/>
      <c r="C249" s="146"/>
      <c r="D249" s="147"/>
      <c r="E249" s="147"/>
      <c r="F249" s="148" t="str">
        <f>F246</f>
        <v>Max</v>
      </c>
      <c r="G249" s="149" t="s">
        <v>41</v>
      </c>
      <c r="H249" s="150">
        <f ca="1">MAX(H246:H248)</f>
        <v>9458935.3363000005</v>
      </c>
      <c r="I249" s="150">
        <f ca="1">MAX(I246:I248)</f>
        <v>9264252.9970000014</v>
      </c>
      <c r="J249" s="150">
        <f ca="1">MAX(J246:J248)</f>
        <v>-143845.42400000012</v>
      </c>
      <c r="K249" s="151">
        <f t="shared" ca="1" si="569"/>
        <v>-143845.42400000012</v>
      </c>
      <c r="L249" s="150">
        <f t="shared" ref="L249:N249" ca="1" si="690">MAX(L246:L248)</f>
        <v>0</v>
      </c>
      <c r="M249" s="150">
        <f t="shared" ca="1" si="690"/>
        <v>0</v>
      </c>
      <c r="N249" s="150">
        <f t="shared" ca="1" si="690"/>
        <v>0</v>
      </c>
      <c r="O249" s="151">
        <f t="shared" ca="1" si="571"/>
        <v>0</v>
      </c>
      <c r="P249" s="150">
        <f t="shared" ref="P249:R249" ca="1" si="691">MAX(P246:P248)</f>
        <v>28028277.180399995</v>
      </c>
      <c r="Q249" s="150">
        <f t="shared" ca="1" si="691"/>
        <v>24080829.658100009</v>
      </c>
      <c r="R249" s="150">
        <f t="shared" ca="1" si="691"/>
        <v>275745.38979999721</v>
      </c>
      <c r="S249" s="151">
        <f t="shared" ca="1" si="573"/>
        <v>275745.38979999721</v>
      </c>
      <c r="T249" s="150">
        <f t="shared" ref="T249:V249" ca="1" si="692">MAX(T246:T248)</f>
        <v>13028277.180399995</v>
      </c>
      <c r="U249" s="150">
        <f t="shared" ca="1" si="692"/>
        <v>9080829.658100009</v>
      </c>
      <c r="V249" s="150">
        <f t="shared" ca="1" si="692"/>
        <v>0</v>
      </c>
      <c r="W249" s="151">
        <f t="shared" ca="1" si="575"/>
        <v>0</v>
      </c>
      <c r="X249" s="150">
        <f t="shared" ref="X249:Z249" ca="1" si="693">MAX(X246:X248)</f>
        <v>45192314.177600004</v>
      </c>
      <c r="Y249" s="150">
        <f t="shared" ca="1" si="693"/>
        <v>38372251.535900004</v>
      </c>
      <c r="Z249" s="150">
        <f t="shared" ca="1" si="693"/>
        <v>1003500.0966999978</v>
      </c>
      <c r="AA249" s="151">
        <f t="shared" ca="1" si="577"/>
        <v>1003500.0966999978</v>
      </c>
      <c r="AB249" s="150">
        <f t="shared" ref="AB249:AD249" ca="1" si="694">MAX(AB246:AB248)</f>
        <v>30192314.177600004</v>
      </c>
      <c r="AC249" s="150">
        <f t="shared" ca="1" si="694"/>
        <v>23372251.535900004</v>
      </c>
      <c r="AD249" s="150">
        <f t="shared" ca="1" si="694"/>
        <v>1003500.0966999978</v>
      </c>
      <c r="AE249" s="151">
        <f t="shared" ca="1" si="579"/>
        <v>1003500.0966999978</v>
      </c>
      <c r="AF249" s="150">
        <f t="shared" ref="AF249:AH249" ca="1" si="695">MAX(AF246:AF248)</f>
        <v>50651280.644799985</v>
      </c>
      <c r="AG249" s="150">
        <f t="shared" ca="1" si="695"/>
        <v>46590644.781400003</v>
      </c>
      <c r="AH249" s="150">
        <f t="shared" ca="1" si="695"/>
        <v>4283549.4587000087</v>
      </c>
      <c r="AI249" s="151">
        <f t="shared" ca="1" si="581"/>
        <v>4283549.4587000087</v>
      </c>
      <c r="AJ249" s="150">
        <f t="shared" ref="AJ249:AL249" ca="1" si="696">MAX(AJ246:AJ248)</f>
        <v>35651280.644799985</v>
      </c>
      <c r="AK249" s="150">
        <f t="shared" ca="1" si="696"/>
        <v>31590644.781400003</v>
      </c>
      <c r="AL249" s="150">
        <f t="shared" ca="1" si="696"/>
        <v>4283549.4587000087</v>
      </c>
      <c r="AM249" s="151">
        <f t="shared" ca="1" si="583"/>
        <v>4283549.4587000087</v>
      </c>
      <c r="AN249" s="150">
        <f t="shared" ref="AN249:AP249" ca="1" si="697">MAX(AN246:AN248)</f>
        <v>77634536.858300015</v>
      </c>
      <c r="AO249" s="150">
        <f t="shared" ca="1" si="697"/>
        <v>82789936.040699989</v>
      </c>
      <c r="AP249" s="150">
        <f t="shared" ca="1" si="697"/>
        <v>10513968.333699971</v>
      </c>
      <c r="AQ249" s="151">
        <f t="shared" ca="1" si="585"/>
        <v>10513968.333699971</v>
      </c>
      <c r="AR249" s="150">
        <f t="shared" ref="AR249:AT249" ca="1" si="698">MAX(AR246:AR248)</f>
        <v>62634536.858300015</v>
      </c>
      <c r="AS249" s="150">
        <f t="shared" ca="1" si="698"/>
        <v>67789936.040699989</v>
      </c>
      <c r="AT249" s="150">
        <f t="shared" ca="1" si="698"/>
        <v>10513968.333699971</v>
      </c>
      <c r="AU249" s="151">
        <f t="shared" ca="1" si="587"/>
        <v>10513968.333699971</v>
      </c>
      <c r="AV249" s="150">
        <f t="shared" ref="AV249:AX249" ca="1" si="699">MAX(AV246:AV248)</f>
        <v>104872788.1085</v>
      </c>
      <c r="AW249" s="150">
        <f t="shared" ca="1" si="699"/>
        <v>113082102.79339999</v>
      </c>
      <c r="AX249" s="150">
        <f t="shared" ca="1" si="699"/>
        <v>12401616.383999988</v>
      </c>
      <c r="AY249" s="151">
        <f t="shared" ca="1" si="589"/>
        <v>12401616.383999988</v>
      </c>
      <c r="AZ249" s="150">
        <f t="shared" ref="AZ249:BB249" ca="1" si="700">MAX(AZ246:AZ248)</f>
        <v>89872788.108500004</v>
      </c>
      <c r="BA249" s="150">
        <f t="shared" ca="1" si="700"/>
        <v>98082102.79339999</v>
      </c>
      <c r="BB249" s="150">
        <f t="shared" ca="1" si="700"/>
        <v>12401616.383999988</v>
      </c>
      <c r="BC249" s="151">
        <f t="shared" ca="1" si="591"/>
        <v>12401616.383999988</v>
      </c>
      <c r="BD249" s="150">
        <f t="shared" ref="BD249:BF249" ca="1" si="701">MAX(BD246:BD248)</f>
        <v>125644478.87509999</v>
      </c>
      <c r="BE249" s="150">
        <f t="shared" ca="1" si="701"/>
        <v>124353872.69489996</v>
      </c>
      <c r="BF249" s="150">
        <f t="shared" ca="1" si="701"/>
        <v>1459706.8757999837</v>
      </c>
      <c r="BG249" s="151">
        <f t="shared" ca="1" si="593"/>
        <v>1459706.8757999837</v>
      </c>
      <c r="BH249" s="150">
        <f t="shared" ref="BH249:BJ249" ca="1" si="702">MAX(BH246:BH248)</f>
        <v>110644478.87509999</v>
      </c>
      <c r="BI249" s="150">
        <f t="shared" ca="1" si="702"/>
        <v>109353872.69489996</v>
      </c>
      <c r="BJ249" s="150">
        <f t="shared" ca="1" si="702"/>
        <v>1459706.8757999837</v>
      </c>
      <c r="BK249" s="151">
        <f t="shared" ca="1" si="595"/>
        <v>1459706.8757999837</v>
      </c>
      <c r="BL249" s="150">
        <f t="shared" ref="BL249:BN249" ca="1" si="703">MAX(BL246:BL248)</f>
        <v>140069599.79790002</v>
      </c>
      <c r="BM249" s="150">
        <f t="shared" ca="1" si="703"/>
        <v>131835522.79810001</v>
      </c>
      <c r="BN249" s="150">
        <f t="shared" ca="1" si="703"/>
        <v>-8234076.9998000115</v>
      </c>
      <c r="BO249" s="151">
        <f t="shared" ca="1" si="597"/>
        <v>-8234076.9998000115</v>
      </c>
      <c r="BP249" s="150">
        <f t="shared" ref="BP249:BR249" ca="1" si="704">MAX(BP246:BP248)</f>
        <v>125069599.79790002</v>
      </c>
      <c r="BQ249" s="150">
        <f t="shared" ca="1" si="704"/>
        <v>116835522.79810001</v>
      </c>
      <c r="BR249" s="150">
        <f t="shared" ca="1" si="704"/>
        <v>-8234076.9998000115</v>
      </c>
      <c r="BS249" s="151">
        <f t="shared" ca="1" si="599"/>
        <v>-8234076.9998000115</v>
      </c>
      <c r="BT249" s="152"/>
    </row>
    <row r="250" spans="1:72" ht="13.8" hidden="1" outlineLevel="1" thickBot="1" x14ac:dyDescent="0.3">
      <c r="A250" s="105" t="s">
        <v>19</v>
      </c>
      <c r="B250" s="105"/>
      <c r="C250" s="105"/>
      <c r="D250" s="140"/>
      <c r="E250" s="140"/>
      <c r="F250" s="140" t="str">
        <f>$F$97</f>
        <v>Min</v>
      </c>
      <c r="G250" s="141" t="s">
        <v>17</v>
      </c>
      <c r="H250" s="99">
        <f ca="1">H97</f>
        <v>1211026.5019</v>
      </c>
      <c r="I250" s="99">
        <f ca="1">I97</f>
        <v>5000</v>
      </c>
      <c r="J250" s="99">
        <f ca="1">J97</f>
        <v>-1206026.5019</v>
      </c>
      <c r="K250" s="142">
        <f t="shared" ref="K250:K257" ca="1" si="705">SUM(J250)</f>
        <v>-1206026.5019</v>
      </c>
      <c r="L250" s="99">
        <f t="shared" ref="L250:N250" ca="1" si="706">L97</f>
        <v>0</v>
      </c>
      <c r="M250" s="99">
        <f t="shared" ca="1" si="706"/>
        <v>0</v>
      </c>
      <c r="N250" s="99">
        <f t="shared" ca="1" si="706"/>
        <v>0</v>
      </c>
      <c r="O250" s="142">
        <f t="shared" ca="1" si="571"/>
        <v>0</v>
      </c>
      <c r="P250" s="99">
        <f t="shared" ref="P250:R250" ca="1" si="707">P97</f>
        <v>5801443.6552000009</v>
      </c>
      <c r="Q250" s="99">
        <f t="shared" ca="1" si="707"/>
        <v>642500</v>
      </c>
      <c r="R250" s="99">
        <f t="shared" ca="1" si="707"/>
        <v>-5158943.6552000009</v>
      </c>
      <c r="S250" s="142">
        <f t="shared" ca="1" si="573"/>
        <v>-5158943.6552000009</v>
      </c>
      <c r="T250" s="99">
        <f t="shared" ref="T250:V250" ca="1" si="708">T97</f>
        <v>0</v>
      </c>
      <c r="U250" s="99">
        <f t="shared" ca="1" si="708"/>
        <v>0</v>
      </c>
      <c r="V250" s="99">
        <f t="shared" ca="1" si="708"/>
        <v>0</v>
      </c>
      <c r="W250" s="142">
        <f t="shared" ca="1" si="575"/>
        <v>0</v>
      </c>
      <c r="X250" s="99">
        <f t="shared" ref="X250:Z250" ca="1" si="709">X97</f>
        <v>12233738.4813</v>
      </c>
      <c r="Y250" s="99">
        <f t="shared" ca="1" si="709"/>
        <v>2048750</v>
      </c>
      <c r="Z250" s="99">
        <f t="shared" ca="1" si="709"/>
        <v>-10184988.4813</v>
      </c>
      <c r="AA250" s="142">
        <f t="shared" ca="1" si="577"/>
        <v>-10184988.4813</v>
      </c>
      <c r="AB250" s="99">
        <f t="shared" ref="AB250:AD250" ca="1" si="710">AB97</f>
        <v>0</v>
      </c>
      <c r="AC250" s="99">
        <f t="shared" ca="1" si="710"/>
        <v>0</v>
      </c>
      <c r="AD250" s="99">
        <f t="shared" ca="1" si="710"/>
        <v>0</v>
      </c>
      <c r="AE250" s="142">
        <f t="shared" ca="1" si="579"/>
        <v>0</v>
      </c>
      <c r="AF250" s="99">
        <f t="shared" ref="AF250:AH250" ca="1" si="711">AF97</f>
        <v>18863976.9056</v>
      </c>
      <c r="AG250" s="99">
        <f t="shared" ca="1" si="711"/>
        <v>3455000</v>
      </c>
      <c r="AH250" s="99">
        <f t="shared" ca="1" si="711"/>
        <v>-15408976.9056</v>
      </c>
      <c r="AI250" s="142">
        <f t="shared" ca="1" si="581"/>
        <v>-15408976.9056</v>
      </c>
      <c r="AJ250" s="99">
        <f t="shared" ref="AJ250:AL250" ca="1" si="712">AJ97</f>
        <v>3863976.9056000002</v>
      </c>
      <c r="AK250" s="99">
        <f t="shared" ca="1" si="712"/>
        <v>0</v>
      </c>
      <c r="AL250" s="99">
        <f t="shared" ca="1" si="712"/>
        <v>-3863976.9056000002</v>
      </c>
      <c r="AM250" s="142">
        <f t="shared" ca="1" si="583"/>
        <v>-3863976.9056000002</v>
      </c>
      <c r="AN250" s="99">
        <f t="shared" ref="AN250:AP250" ca="1" si="713">AN97</f>
        <v>28060381.5352</v>
      </c>
      <c r="AO250" s="99">
        <f t="shared" ca="1" si="713"/>
        <v>4537812.4988000002</v>
      </c>
      <c r="AP250" s="99">
        <f t="shared" ca="1" si="713"/>
        <v>-23522569.036399998</v>
      </c>
      <c r="AQ250" s="142">
        <f t="shared" ca="1" si="585"/>
        <v>-23522569.036399998</v>
      </c>
      <c r="AR250" s="99">
        <f t="shared" ref="AR250:AT250" ca="1" si="714">AR97</f>
        <v>13060381.5352</v>
      </c>
      <c r="AS250" s="99">
        <f t="shared" ca="1" si="714"/>
        <v>0</v>
      </c>
      <c r="AT250" s="99">
        <f t="shared" ca="1" si="714"/>
        <v>-13060381.5352</v>
      </c>
      <c r="AU250" s="142">
        <f t="shared" ca="1" si="587"/>
        <v>-13060381.5352</v>
      </c>
      <c r="AV250" s="99">
        <f t="shared" ref="AV250:AX250" ca="1" si="715">AV97</f>
        <v>31991095.562999994</v>
      </c>
      <c r="AW250" s="99">
        <f t="shared" ca="1" si="715"/>
        <v>4537812.4988000002</v>
      </c>
      <c r="AX250" s="99">
        <f t="shared" ca="1" si="715"/>
        <v>-27453283.064199992</v>
      </c>
      <c r="AY250" s="142">
        <f t="shared" ca="1" si="589"/>
        <v>-27453283.064199992</v>
      </c>
      <c r="AZ250" s="99">
        <f t="shared" ref="AZ250:BB250" ca="1" si="716">AZ97</f>
        <v>16991095.562999994</v>
      </c>
      <c r="BA250" s="99">
        <f t="shared" ca="1" si="716"/>
        <v>0</v>
      </c>
      <c r="BB250" s="99">
        <f t="shared" ca="1" si="716"/>
        <v>-16991095.562999994</v>
      </c>
      <c r="BC250" s="142">
        <f t="shared" ca="1" si="591"/>
        <v>-16991095.562999994</v>
      </c>
      <c r="BD250" s="99">
        <f t="shared" ref="BD250:BF250" ca="1" si="717">BD97</f>
        <v>33251491.483600002</v>
      </c>
      <c r="BE250" s="99">
        <f t="shared" ca="1" si="717"/>
        <v>4537812.4988000002</v>
      </c>
      <c r="BF250" s="99">
        <f t="shared" ca="1" si="717"/>
        <v>-28713678.984800003</v>
      </c>
      <c r="BG250" s="142">
        <f t="shared" ca="1" si="593"/>
        <v>-28713678.984800003</v>
      </c>
      <c r="BH250" s="99">
        <f t="shared" ref="BH250:BJ250" ca="1" si="718">BH97</f>
        <v>18251491.483600002</v>
      </c>
      <c r="BI250" s="99">
        <f t="shared" ca="1" si="718"/>
        <v>0</v>
      </c>
      <c r="BJ250" s="99">
        <f t="shared" ca="1" si="718"/>
        <v>-18251491.483600002</v>
      </c>
      <c r="BK250" s="142">
        <f t="shared" ca="1" si="595"/>
        <v>-18251491.483600002</v>
      </c>
      <c r="BL250" s="99">
        <f t="shared" ref="BL250:BN250" ca="1" si="719">BL97</f>
        <v>33265390.145100001</v>
      </c>
      <c r="BM250" s="99">
        <f t="shared" ca="1" si="719"/>
        <v>4537812.4988000002</v>
      </c>
      <c r="BN250" s="99">
        <f t="shared" ca="1" si="719"/>
        <v>-28727577.646300003</v>
      </c>
      <c r="BO250" s="142">
        <f t="shared" ca="1" si="597"/>
        <v>-28727577.646300003</v>
      </c>
      <c r="BP250" s="99">
        <f t="shared" ref="BP250:BR250" ca="1" si="720">BP97</f>
        <v>18265390.145100001</v>
      </c>
      <c r="BQ250" s="99">
        <f t="shared" ca="1" si="720"/>
        <v>0</v>
      </c>
      <c r="BR250" s="99">
        <f t="shared" ca="1" si="720"/>
        <v>-18265390.145100001</v>
      </c>
      <c r="BS250" s="142">
        <f t="shared" ca="1" si="599"/>
        <v>-18265390.145100001</v>
      </c>
    </row>
    <row r="251" spans="1:72" ht="13.8" hidden="1" outlineLevel="1" thickBot="1" x14ac:dyDescent="0.3">
      <c r="A251" s="105" t="s">
        <v>19</v>
      </c>
      <c r="B251" s="105"/>
      <c r="C251" s="105"/>
      <c r="D251" s="48"/>
      <c r="E251" s="48"/>
      <c r="F251" s="143" t="str">
        <f>F250</f>
        <v>Min</v>
      </c>
      <c r="G251" s="144" t="s">
        <v>36</v>
      </c>
      <c r="H251" s="102">
        <f ca="1">H166</f>
        <v>1465546.5102000001</v>
      </c>
      <c r="I251" s="102">
        <f ca="1">I166</f>
        <v>873665.2527999999</v>
      </c>
      <c r="J251" s="102">
        <f ca="1">J166</f>
        <v>-591881.25740000024</v>
      </c>
      <c r="K251" s="145">
        <f t="shared" ca="1" si="705"/>
        <v>-591881.25740000024</v>
      </c>
      <c r="L251" s="102">
        <f t="shared" ref="L251:N251" ca="1" si="721">L166</f>
        <v>0</v>
      </c>
      <c r="M251" s="102">
        <f t="shared" ca="1" si="721"/>
        <v>0</v>
      </c>
      <c r="N251" s="102">
        <f t="shared" ca="1" si="721"/>
        <v>0</v>
      </c>
      <c r="O251" s="145">
        <f t="shared" ca="1" si="571"/>
        <v>0</v>
      </c>
      <c r="P251" s="102">
        <f t="shared" ref="P251:R251" ca="1" si="722">P166</f>
        <v>8439302.0966999996</v>
      </c>
      <c r="Q251" s="102">
        <f t="shared" ca="1" si="722"/>
        <v>8273767.2612000015</v>
      </c>
      <c r="R251" s="102">
        <f t="shared" ca="1" si="722"/>
        <v>-165534.83549999818</v>
      </c>
      <c r="S251" s="145">
        <f t="shared" ca="1" si="573"/>
        <v>-165534.83549999818</v>
      </c>
      <c r="T251" s="102">
        <f t="shared" ref="T251:V251" ca="1" si="723">T166</f>
        <v>0</v>
      </c>
      <c r="U251" s="102">
        <f t="shared" ca="1" si="723"/>
        <v>0</v>
      </c>
      <c r="V251" s="102">
        <f t="shared" ca="1" si="723"/>
        <v>0</v>
      </c>
      <c r="W251" s="145">
        <f t="shared" ca="1" si="575"/>
        <v>0</v>
      </c>
      <c r="X251" s="102">
        <f t="shared" ref="X251:Z251" ca="1" si="724">X166</f>
        <v>17112648.807599999</v>
      </c>
      <c r="Y251" s="102">
        <f t="shared" ca="1" si="724"/>
        <v>16200562.172</v>
      </c>
      <c r="Z251" s="102">
        <f t="shared" ca="1" si="724"/>
        <v>-912086.63559999876</v>
      </c>
      <c r="AA251" s="145">
        <f t="shared" ca="1" si="577"/>
        <v>-912086.63559999876</v>
      </c>
      <c r="AB251" s="102">
        <f t="shared" ref="AB251:AD251" ca="1" si="725">AB166</f>
        <v>2112648.807599999</v>
      </c>
      <c r="AC251" s="102">
        <f t="shared" ca="1" si="725"/>
        <v>1200562.1720000003</v>
      </c>
      <c r="AD251" s="102">
        <f t="shared" ca="1" si="725"/>
        <v>-912086.63559999876</v>
      </c>
      <c r="AE251" s="145">
        <f t="shared" ca="1" si="579"/>
        <v>-912086.63559999876</v>
      </c>
      <c r="AF251" s="102">
        <f t="shared" ref="AF251:AH251" ca="1" si="726">AF166</f>
        <v>26275206.732899997</v>
      </c>
      <c r="AG251" s="102">
        <f t="shared" ca="1" si="726"/>
        <v>22913184.617100004</v>
      </c>
      <c r="AH251" s="102">
        <f t="shared" ca="1" si="726"/>
        <v>-3362022.1157999933</v>
      </c>
      <c r="AI251" s="145">
        <f t="shared" ca="1" si="581"/>
        <v>-3362022.1157999933</v>
      </c>
      <c r="AJ251" s="102">
        <f t="shared" ref="AJ251:AL251" ca="1" si="727">AJ166</f>
        <v>11275206.732899997</v>
      </c>
      <c r="AK251" s="102">
        <f t="shared" ca="1" si="727"/>
        <v>7913184.6171000041</v>
      </c>
      <c r="AL251" s="102">
        <f t="shared" ca="1" si="727"/>
        <v>-3362022.1157999933</v>
      </c>
      <c r="AM251" s="145">
        <f t="shared" ca="1" si="583"/>
        <v>-3362022.1157999933</v>
      </c>
      <c r="AN251" s="102">
        <f t="shared" ref="AN251:AP251" ca="1" si="728">AN166</f>
        <v>36626141.717899993</v>
      </c>
      <c r="AO251" s="102">
        <f t="shared" ca="1" si="728"/>
        <v>40103227.658899993</v>
      </c>
      <c r="AP251" s="102">
        <f t="shared" ca="1" si="728"/>
        <v>3477085.9409999996</v>
      </c>
      <c r="AQ251" s="145">
        <f t="shared" ca="1" si="585"/>
        <v>3477085.9409999996</v>
      </c>
      <c r="AR251" s="102">
        <f t="shared" ref="AR251:AT251" ca="1" si="729">AR166</f>
        <v>21626141.717899993</v>
      </c>
      <c r="AS251" s="102">
        <f t="shared" ca="1" si="729"/>
        <v>25103227.658899993</v>
      </c>
      <c r="AT251" s="102">
        <f t="shared" ca="1" si="729"/>
        <v>3477085.9409999996</v>
      </c>
      <c r="AU251" s="145">
        <f t="shared" ca="1" si="587"/>
        <v>3477085.9409999996</v>
      </c>
      <c r="AV251" s="102">
        <f t="shared" ref="AV251:AX251" ca="1" si="730">AV166</f>
        <v>36626141.717900001</v>
      </c>
      <c r="AW251" s="102">
        <f t="shared" ca="1" si="730"/>
        <v>40342464.883299999</v>
      </c>
      <c r="AX251" s="102">
        <f t="shared" ca="1" si="730"/>
        <v>3716323.1653999984</v>
      </c>
      <c r="AY251" s="145">
        <f t="shared" ca="1" si="589"/>
        <v>3716323.1653999984</v>
      </c>
      <c r="AZ251" s="102">
        <f t="shared" ref="AZ251:BB251" ca="1" si="731">AZ166</f>
        <v>21626141.717900001</v>
      </c>
      <c r="BA251" s="102">
        <f t="shared" ca="1" si="731"/>
        <v>25342464.883299999</v>
      </c>
      <c r="BB251" s="102">
        <f t="shared" ca="1" si="731"/>
        <v>3716323.1653999984</v>
      </c>
      <c r="BC251" s="145">
        <f t="shared" ca="1" si="591"/>
        <v>3716323.1653999984</v>
      </c>
      <c r="BD251" s="102">
        <f t="shared" ref="BD251:BF251" ca="1" si="732">BD166</f>
        <v>36626141.717900001</v>
      </c>
      <c r="BE251" s="102">
        <f t="shared" ca="1" si="732"/>
        <v>40342464.883299999</v>
      </c>
      <c r="BF251" s="102">
        <f t="shared" ca="1" si="732"/>
        <v>3716323.1653999984</v>
      </c>
      <c r="BG251" s="145">
        <f t="shared" ca="1" si="593"/>
        <v>3716323.1653999984</v>
      </c>
      <c r="BH251" s="102">
        <f t="shared" ref="BH251:BJ251" ca="1" si="733">BH166</f>
        <v>21626141.717900001</v>
      </c>
      <c r="BI251" s="102">
        <f t="shared" ca="1" si="733"/>
        <v>25342464.883299999</v>
      </c>
      <c r="BJ251" s="102">
        <f t="shared" ca="1" si="733"/>
        <v>3716323.1653999984</v>
      </c>
      <c r="BK251" s="145">
        <f t="shared" ca="1" si="595"/>
        <v>3716323.1653999984</v>
      </c>
      <c r="BL251" s="102">
        <f t="shared" ref="BL251:BN251" ca="1" si="734">BL166</f>
        <v>36626141.717900001</v>
      </c>
      <c r="BM251" s="102">
        <f t="shared" ca="1" si="734"/>
        <v>40342464.883299991</v>
      </c>
      <c r="BN251" s="102">
        <f t="shared" ca="1" si="734"/>
        <v>3716323.165399991</v>
      </c>
      <c r="BO251" s="145">
        <f t="shared" ca="1" si="597"/>
        <v>3716323.165399991</v>
      </c>
      <c r="BP251" s="102">
        <f t="shared" ref="BP251:BR251" ca="1" si="735">BP166</f>
        <v>21626141.717900001</v>
      </c>
      <c r="BQ251" s="102">
        <f t="shared" ca="1" si="735"/>
        <v>25342464.883299991</v>
      </c>
      <c r="BR251" s="102">
        <f t="shared" ca="1" si="735"/>
        <v>3716323.165399991</v>
      </c>
      <c r="BS251" s="145">
        <f t="shared" ca="1" si="599"/>
        <v>3716323.165399991</v>
      </c>
    </row>
    <row r="252" spans="1:72" ht="13.8" hidden="1" outlineLevel="1" thickBot="1" x14ac:dyDescent="0.3">
      <c r="A252" s="105" t="s">
        <v>19</v>
      </c>
      <c r="B252" s="105"/>
      <c r="C252" s="105"/>
      <c r="D252" s="48"/>
      <c r="E252" s="48"/>
      <c r="F252" s="143" t="str">
        <f>F250</f>
        <v>Min</v>
      </c>
      <c r="G252" s="144" t="s">
        <v>38</v>
      </c>
      <c r="H252" s="102">
        <f ca="1">H225</f>
        <v>433053.33810000005</v>
      </c>
      <c r="I252" s="102">
        <f ca="1">I225</f>
        <v>2118.5446000000002</v>
      </c>
      <c r="J252" s="102">
        <f ca="1">J225</f>
        <v>-430934.79350000003</v>
      </c>
      <c r="K252" s="145">
        <f t="shared" ca="1" si="705"/>
        <v>-430934.79350000003</v>
      </c>
      <c r="L252" s="102">
        <f t="shared" ref="L252:N252" ca="1" si="736">L225</f>
        <v>0</v>
      </c>
      <c r="M252" s="102">
        <f t="shared" ca="1" si="736"/>
        <v>0</v>
      </c>
      <c r="N252" s="102">
        <f t="shared" ca="1" si="736"/>
        <v>0</v>
      </c>
      <c r="O252" s="145">
        <f t="shared" ca="1" si="571"/>
        <v>0</v>
      </c>
      <c r="P252" s="102">
        <f t="shared" ref="P252:R252" ca="1" si="737">P225</f>
        <v>3438835.4995999997</v>
      </c>
      <c r="Q252" s="102">
        <f t="shared" ca="1" si="737"/>
        <v>66582.030999999988</v>
      </c>
      <c r="R252" s="102">
        <f t="shared" ca="1" si="737"/>
        <v>-3372253.4685999998</v>
      </c>
      <c r="S252" s="145">
        <f t="shared" ca="1" si="573"/>
        <v>-3372253.4685999998</v>
      </c>
      <c r="T252" s="102">
        <f t="shared" ref="T252:V252" ca="1" si="738">T225</f>
        <v>0</v>
      </c>
      <c r="U252" s="102">
        <f t="shared" ca="1" si="738"/>
        <v>0</v>
      </c>
      <c r="V252" s="102">
        <f t="shared" ca="1" si="738"/>
        <v>0</v>
      </c>
      <c r="W252" s="145">
        <f t="shared" ca="1" si="575"/>
        <v>0</v>
      </c>
      <c r="X252" s="102">
        <f t="shared" ref="X252:Z252" ca="1" si="739">X225</f>
        <v>6481209.0241</v>
      </c>
      <c r="Y252" s="102">
        <f t="shared" ca="1" si="739"/>
        <v>115297.40609999999</v>
      </c>
      <c r="Z252" s="102">
        <f t="shared" ca="1" si="739"/>
        <v>-6365911.6179999998</v>
      </c>
      <c r="AA252" s="145">
        <f t="shared" ca="1" si="577"/>
        <v>-6365911.6179999998</v>
      </c>
      <c r="AB252" s="102">
        <f t="shared" ref="AB252:AD252" ca="1" si="740">AB225</f>
        <v>0</v>
      </c>
      <c r="AC252" s="102">
        <f t="shared" ca="1" si="740"/>
        <v>0</v>
      </c>
      <c r="AD252" s="102">
        <f t="shared" ca="1" si="740"/>
        <v>0</v>
      </c>
      <c r="AE252" s="145">
        <f t="shared" ca="1" si="579"/>
        <v>0</v>
      </c>
      <c r="AF252" s="102">
        <f t="shared" ref="AF252:AH252" ca="1" si="741">AF225</f>
        <v>9922463.2452999987</v>
      </c>
      <c r="AG252" s="102">
        <f t="shared" ca="1" si="741"/>
        <v>159841.93830000001</v>
      </c>
      <c r="AH252" s="102">
        <f t="shared" ca="1" si="741"/>
        <v>-9762621.3069999982</v>
      </c>
      <c r="AI252" s="145">
        <f t="shared" ca="1" si="581"/>
        <v>-9762621.3069999982</v>
      </c>
      <c r="AJ252" s="102">
        <f t="shared" ref="AJ252:AL252" ca="1" si="742">AJ225</f>
        <v>0</v>
      </c>
      <c r="AK252" s="102">
        <f t="shared" ca="1" si="742"/>
        <v>0</v>
      </c>
      <c r="AL252" s="102">
        <f t="shared" ca="1" si="742"/>
        <v>0</v>
      </c>
      <c r="AM252" s="145">
        <f t="shared" ca="1" si="583"/>
        <v>0</v>
      </c>
      <c r="AN252" s="102">
        <f t="shared" ref="AN252:AP252" ca="1" si="743">AN225</f>
        <v>18656000.451499999</v>
      </c>
      <c r="AO252" s="102">
        <f t="shared" ca="1" si="743"/>
        <v>219637.08689999999</v>
      </c>
      <c r="AP252" s="102">
        <f t="shared" ca="1" si="743"/>
        <v>-18436363.364599999</v>
      </c>
      <c r="AQ252" s="145">
        <f t="shared" ca="1" si="585"/>
        <v>-18436363.364599999</v>
      </c>
      <c r="AR252" s="102">
        <f t="shared" ref="AR252:AT252" ca="1" si="744">AR225</f>
        <v>3656000.4514999986</v>
      </c>
      <c r="AS252" s="102">
        <f t="shared" ca="1" si="744"/>
        <v>0</v>
      </c>
      <c r="AT252" s="102">
        <f t="shared" ca="1" si="744"/>
        <v>-3656000.4514999986</v>
      </c>
      <c r="AU252" s="145">
        <f t="shared" ca="1" si="587"/>
        <v>-3656000.4514999986</v>
      </c>
      <c r="AV252" s="102">
        <f t="shared" ref="AV252:AX252" ca="1" si="745">AV225</f>
        <v>21569353.562200002</v>
      </c>
      <c r="AW252" s="102">
        <f t="shared" ca="1" si="745"/>
        <v>238453.10749999998</v>
      </c>
      <c r="AX252" s="102">
        <f t="shared" ca="1" si="745"/>
        <v>-21330900.454700001</v>
      </c>
      <c r="AY252" s="145">
        <f t="shared" ca="1" si="589"/>
        <v>-21330900.454700001</v>
      </c>
      <c r="AZ252" s="102">
        <f t="shared" ref="AZ252:BB252" ca="1" si="746">AZ225</f>
        <v>6569353.5622000024</v>
      </c>
      <c r="BA252" s="102">
        <f t="shared" ca="1" si="746"/>
        <v>0</v>
      </c>
      <c r="BB252" s="102">
        <f t="shared" ca="1" si="746"/>
        <v>-6569353.5622000024</v>
      </c>
      <c r="BC252" s="145">
        <f t="shared" ca="1" si="591"/>
        <v>-6569353.5622000024</v>
      </c>
      <c r="BD252" s="102">
        <f t="shared" ref="BD252:BF252" ca="1" si="747">BD225</f>
        <v>21569353.562200002</v>
      </c>
      <c r="BE252" s="102">
        <f t="shared" ca="1" si="747"/>
        <v>238453.10749999998</v>
      </c>
      <c r="BF252" s="102">
        <f t="shared" ca="1" si="747"/>
        <v>-21330900.454700001</v>
      </c>
      <c r="BG252" s="145">
        <f t="shared" ca="1" si="593"/>
        <v>-21330900.454700001</v>
      </c>
      <c r="BH252" s="102">
        <f t="shared" ref="BH252:BJ252" ca="1" si="748">BH225</f>
        <v>6569353.5622000024</v>
      </c>
      <c r="BI252" s="102">
        <f t="shared" ca="1" si="748"/>
        <v>0</v>
      </c>
      <c r="BJ252" s="102">
        <f t="shared" ca="1" si="748"/>
        <v>-6569353.5622000024</v>
      </c>
      <c r="BK252" s="145">
        <f t="shared" ca="1" si="595"/>
        <v>-6569353.5622000024</v>
      </c>
      <c r="BL252" s="102">
        <f t="shared" ref="BL252:BN252" ca="1" si="749">BL225</f>
        <v>21569353.562200002</v>
      </c>
      <c r="BM252" s="102">
        <f t="shared" ca="1" si="749"/>
        <v>238453.10749999998</v>
      </c>
      <c r="BN252" s="102">
        <f t="shared" ca="1" si="749"/>
        <v>-21330900.454700001</v>
      </c>
      <c r="BO252" s="145">
        <f t="shared" ca="1" si="597"/>
        <v>-21330900.454700001</v>
      </c>
      <c r="BP252" s="102">
        <f t="shared" ref="BP252:BR252" ca="1" si="750">BP225</f>
        <v>6569353.5622000024</v>
      </c>
      <c r="BQ252" s="102">
        <f t="shared" ca="1" si="750"/>
        <v>0</v>
      </c>
      <c r="BR252" s="102">
        <f t="shared" ca="1" si="750"/>
        <v>-6569353.5622000024</v>
      </c>
      <c r="BS252" s="145">
        <f t="shared" ca="1" si="599"/>
        <v>-6569353.5622000024</v>
      </c>
    </row>
    <row r="253" spans="1:72" ht="13.8" hidden="1" outlineLevel="1" thickBot="1" x14ac:dyDescent="0.3">
      <c r="A253" s="153" t="s">
        <v>19</v>
      </c>
      <c r="B253" s="153"/>
      <c r="C253" s="153"/>
      <c r="D253" s="147"/>
      <c r="E253" s="147"/>
      <c r="F253" s="148" t="str">
        <f>F250</f>
        <v>Min</v>
      </c>
      <c r="G253" s="149" t="s">
        <v>41</v>
      </c>
      <c r="H253" s="150">
        <f ca="1">MIN(H250:H252)</f>
        <v>433053.33810000005</v>
      </c>
      <c r="I253" s="150">
        <f ca="1">MIN(I250:I252)</f>
        <v>2118.5446000000002</v>
      </c>
      <c r="J253" s="150">
        <f ca="1">MIN(J250:J252)</f>
        <v>-1206026.5019</v>
      </c>
      <c r="K253" s="151">
        <f t="shared" ca="1" si="705"/>
        <v>-1206026.5019</v>
      </c>
      <c r="L253" s="150">
        <f t="shared" ref="L253:N253" ca="1" si="751">MIN(L250:L252)</f>
        <v>0</v>
      </c>
      <c r="M253" s="150">
        <f t="shared" ca="1" si="751"/>
        <v>0</v>
      </c>
      <c r="N253" s="150">
        <f t="shared" ca="1" si="751"/>
        <v>0</v>
      </c>
      <c r="O253" s="151">
        <f t="shared" ca="1" si="571"/>
        <v>0</v>
      </c>
      <c r="P253" s="150">
        <f t="shared" ref="P253:R253" ca="1" si="752">MIN(P250:P252)</f>
        <v>3438835.4995999997</v>
      </c>
      <c r="Q253" s="150">
        <f t="shared" ca="1" si="752"/>
        <v>66582.030999999988</v>
      </c>
      <c r="R253" s="150">
        <f t="shared" ca="1" si="752"/>
        <v>-5158943.6552000009</v>
      </c>
      <c r="S253" s="151">
        <f t="shared" ca="1" si="573"/>
        <v>-5158943.6552000009</v>
      </c>
      <c r="T253" s="150">
        <f t="shared" ref="T253:V253" ca="1" si="753">MIN(T250:T252)</f>
        <v>0</v>
      </c>
      <c r="U253" s="150">
        <f t="shared" ca="1" si="753"/>
        <v>0</v>
      </c>
      <c r="V253" s="150">
        <f t="shared" ca="1" si="753"/>
        <v>0</v>
      </c>
      <c r="W253" s="151">
        <f t="shared" ca="1" si="575"/>
        <v>0</v>
      </c>
      <c r="X253" s="150">
        <f t="shared" ref="X253:Z253" ca="1" si="754">MIN(X250:X252)</f>
        <v>6481209.0241</v>
      </c>
      <c r="Y253" s="150">
        <f t="shared" ca="1" si="754"/>
        <v>115297.40609999999</v>
      </c>
      <c r="Z253" s="150">
        <f t="shared" ca="1" si="754"/>
        <v>-10184988.4813</v>
      </c>
      <c r="AA253" s="151">
        <f t="shared" ca="1" si="577"/>
        <v>-10184988.4813</v>
      </c>
      <c r="AB253" s="150">
        <f t="shared" ref="AB253:AD253" ca="1" si="755">MIN(AB250:AB252)</f>
        <v>0</v>
      </c>
      <c r="AC253" s="150">
        <f t="shared" ca="1" si="755"/>
        <v>0</v>
      </c>
      <c r="AD253" s="150">
        <f t="shared" ca="1" si="755"/>
        <v>-912086.63559999876</v>
      </c>
      <c r="AE253" s="151">
        <f t="shared" ca="1" si="579"/>
        <v>-912086.63559999876</v>
      </c>
      <c r="AF253" s="150">
        <f t="shared" ref="AF253:AH253" ca="1" si="756">MIN(AF250:AF252)</f>
        <v>9922463.2452999987</v>
      </c>
      <c r="AG253" s="150">
        <f t="shared" ca="1" si="756"/>
        <v>159841.93830000001</v>
      </c>
      <c r="AH253" s="150">
        <f t="shared" ca="1" si="756"/>
        <v>-15408976.9056</v>
      </c>
      <c r="AI253" s="151">
        <f t="shared" ca="1" si="581"/>
        <v>-15408976.9056</v>
      </c>
      <c r="AJ253" s="150">
        <f t="shared" ref="AJ253:AL253" ca="1" si="757">MIN(AJ250:AJ252)</f>
        <v>0</v>
      </c>
      <c r="AK253" s="150">
        <f t="shared" ca="1" si="757"/>
        <v>0</v>
      </c>
      <c r="AL253" s="150">
        <f t="shared" ca="1" si="757"/>
        <v>-3863976.9056000002</v>
      </c>
      <c r="AM253" s="151">
        <f t="shared" ca="1" si="583"/>
        <v>-3863976.9056000002</v>
      </c>
      <c r="AN253" s="150">
        <f t="shared" ref="AN253:AP253" ca="1" si="758">MIN(AN250:AN252)</f>
        <v>18656000.451499999</v>
      </c>
      <c r="AO253" s="150">
        <f t="shared" ca="1" si="758"/>
        <v>219637.08689999999</v>
      </c>
      <c r="AP253" s="150">
        <f t="shared" ca="1" si="758"/>
        <v>-23522569.036399998</v>
      </c>
      <c r="AQ253" s="151">
        <f t="shared" ca="1" si="585"/>
        <v>-23522569.036399998</v>
      </c>
      <c r="AR253" s="150">
        <f t="shared" ref="AR253:AT253" ca="1" si="759">MIN(AR250:AR252)</f>
        <v>3656000.4514999986</v>
      </c>
      <c r="AS253" s="150">
        <f t="shared" ca="1" si="759"/>
        <v>0</v>
      </c>
      <c r="AT253" s="150">
        <f t="shared" ca="1" si="759"/>
        <v>-13060381.5352</v>
      </c>
      <c r="AU253" s="151">
        <f t="shared" ca="1" si="587"/>
        <v>-13060381.5352</v>
      </c>
      <c r="AV253" s="150">
        <f t="shared" ref="AV253:AX253" ca="1" si="760">MIN(AV250:AV252)</f>
        <v>21569353.562200002</v>
      </c>
      <c r="AW253" s="150">
        <f t="shared" ca="1" si="760"/>
        <v>238453.10749999998</v>
      </c>
      <c r="AX253" s="150">
        <f t="shared" ca="1" si="760"/>
        <v>-27453283.064199992</v>
      </c>
      <c r="AY253" s="151">
        <f t="shared" ca="1" si="589"/>
        <v>-27453283.064199992</v>
      </c>
      <c r="AZ253" s="150">
        <f t="shared" ref="AZ253:BB253" ca="1" si="761">MIN(AZ250:AZ252)</f>
        <v>6569353.5622000024</v>
      </c>
      <c r="BA253" s="150">
        <f t="shared" ca="1" si="761"/>
        <v>0</v>
      </c>
      <c r="BB253" s="150">
        <f t="shared" ca="1" si="761"/>
        <v>-16991095.562999994</v>
      </c>
      <c r="BC253" s="151">
        <f t="shared" ca="1" si="591"/>
        <v>-16991095.562999994</v>
      </c>
      <c r="BD253" s="150">
        <f t="shared" ref="BD253:BF253" ca="1" si="762">MIN(BD250:BD252)</f>
        <v>21569353.562200002</v>
      </c>
      <c r="BE253" s="150">
        <f t="shared" ca="1" si="762"/>
        <v>238453.10749999998</v>
      </c>
      <c r="BF253" s="150">
        <f t="shared" ca="1" si="762"/>
        <v>-28713678.984800003</v>
      </c>
      <c r="BG253" s="151">
        <f t="shared" ca="1" si="593"/>
        <v>-28713678.984800003</v>
      </c>
      <c r="BH253" s="150">
        <f t="shared" ref="BH253:BJ253" ca="1" si="763">MIN(BH250:BH252)</f>
        <v>6569353.5622000024</v>
      </c>
      <c r="BI253" s="150">
        <f t="shared" ca="1" si="763"/>
        <v>0</v>
      </c>
      <c r="BJ253" s="150">
        <f t="shared" ca="1" si="763"/>
        <v>-18251491.483600002</v>
      </c>
      <c r="BK253" s="151">
        <f t="shared" ca="1" si="595"/>
        <v>-18251491.483600002</v>
      </c>
      <c r="BL253" s="150">
        <f t="shared" ref="BL253:BN253" ca="1" si="764">MIN(BL250:BL252)</f>
        <v>21569353.562200002</v>
      </c>
      <c r="BM253" s="150">
        <f t="shared" ca="1" si="764"/>
        <v>238453.10749999998</v>
      </c>
      <c r="BN253" s="150">
        <f t="shared" ca="1" si="764"/>
        <v>-28727577.646300003</v>
      </c>
      <c r="BO253" s="151">
        <f t="shared" ca="1" si="597"/>
        <v>-28727577.646300003</v>
      </c>
      <c r="BP253" s="150">
        <f t="shared" ref="BP253:BR253" ca="1" si="765">MIN(BP250:BP252)</f>
        <v>6569353.5622000024</v>
      </c>
      <c r="BQ253" s="150">
        <f t="shared" ca="1" si="765"/>
        <v>0</v>
      </c>
      <c r="BR253" s="150">
        <f t="shared" ca="1" si="765"/>
        <v>-18265390.145100001</v>
      </c>
      <c r="BS253" s="151">
        <f t="shared" ca="1" si="599"/>
        <v>-18265390.145100001</v>
      </c>
      <c r="BT253" s="152"/>
    </row>
    <row r="254" spans="1:72" collapsed="1" x14ac:dyDescent="0.25">
      <c r="A254" s="105" t="s">
        <v>19</v>
      </c>
      <c r="B254" s="105"/>
      <c r="C254" s="105"/>
      <c r="D254" s="48"/>
      <c r="E254" s="48"/>
      <c r="F254" s="48" t="str">
        <f>$F$98</f>
        <v>Min (&gt;0)</v>
      </c>
      <c r="G254" s="141" t="s">
        <v>17</v>
      </c>
      <c r="H254" s="99">
        <f ca="1">H98</f>
        <v>1211026.5019</v>
      </c>
      <c r="I254" s="99">
        <f t="shared" ref="I254" ca="1" si="766">I98</f>
        <v>5000</v>
      </c>
      <c r="J254" s="99">
        <f ca="1">J98</f>
        <v>-1206026.5019</v>
      </c>
      <c r="K254" s="142">
        <f t="shared" ca="1" si="705"/>
        <v>-1206026.5019</v>
      </c>
      <c r="L254" s="99">
        <f t="shared" ref="L254:BR254" ca="1" si="767">L98</f>
        <v>0</v>
      </c>
      <c r="M254" s="99">
        <f t="shared" ca="1" si="767"/>
        <v>0</v>
      </c>
      <c r="N254" s="99">
        <f t="shared" ca="1" si="767"/>
        <v>0</v>
      </c>
      <c r="O254" s="142">
        <f t="shared" ca="1" si="571"/>
        <v>0</v>
      </c>
      <c r="P254" s="99">
        <f t="shared" ref="P254" ca="1" si="768">P98</f>
        <v>5801443.6552000009</v>
      </c>
      <c r="Q254" s="99">
        <f t="shared" ca="1" si="767"/>
        <v>642500</v>
      </c>
      <c r="R254" s="99">
        <f t="shared" ca="1" si="767"/>
        <v>-5158943.6552000009</v>
      </c>
      <c r="S254" s="142">
        <f t="shared" ca="1" si="573"/>
        <v>-5158943.6552000009</v>
      </c>
      <c r="T254" s="99">
        <f t="shared" ref="T254" ca="1" si="769">T98</f>
        <v>395791.94360000081</v>
      </c>
      <c r="U254" s="99">
        <f t="shared" ca="1" si="767"/>
        <v>280090.73620000109</v>
      </c>
      <c r="V254" s="99">
        <f t="shared" ca="1" si="767"/>
        <v>-115701.20739999972</v>
      </c>
      <c r="W254" s="142">
        <f t="shared" ca="1" si="575"/>
        <v>-115701.20739999972</v>
      </c>
      <c r="X254" s="99">
        <f t="shared" ref="X254" ca="1" si="770">X98</f>
        <v>12233738.4813</v>
      </c>
      <c r="Y254" s="99">
        <f t="shared" ca="1" si="767"/>
        <v>2048750</v>
      </c>
      <c r="Z254" s="99">
        <f t="shared" ca="1" si="767"/>
        <v>-10184988.4813</v>
      </c>
      <c r="AA254" s="142">
        <f t="shared" ca="1" si="577"/>
        <v>-10184988.4813</v>
      </c>
      <c r="AB254" s="99">
        <f t="shared" ref="AB254" ca="1" si="771">AB98</f>
        <v>1215655.3416999988</v>
      </c>
      <c r="AC254" s="99">
        <f t="shared" ca="1" si="767"/>
        <v>183688.43999999948</v>
      </c>
      <c r="AD254" s="99">
        <f t="shared" ca="1" si="767"/>
        <v>-1031966.9016999993</v>
      </c>
      <c r="AE254" s="142">
        <f t="shared" ca="1" si="579"/>
        <v>-1031966.9016999993</v>
      </c>
      <c r="AF254" s="99">
        <f t="shared" ref="AF254" ca="1" si="772">AF98</f>
        <v>18863976.9056</v>
      </c>
      <c r="AG254" s="99">
        <f t="shared" ca="1" si="767"/>
        <v>3455000</v>
      </c>
      <c r="AH254" s="99">
        <f t="shared" ca="1" si="767"/>
        <v>-15408976.9056</v>
      </c>
      <c r="AI254" s="142">
        <f t="shared" ca="1" si="581"/>
        <v>-15408976.9056</v>
      </c>
      <c r="AJ254" s="99">
        <f t="shared" ref="AJ254" ca="1" si="773">AJ98</f>
        <v>3863976.9056000002</v>
      </c>
      <c r="AK254" s="99">
        <f t="shared" ca="1" si="767"/>
        <v>6887705.8557000011</v>
      </c>
      <c r="AL254" s="99">
        <f t="shared" ca="1" si="767"/>
        <v>3023728.9501000009</v>
      </c>
      <c r="AM254" s="142">
        <f t="shared" ca="1" si="583"/>
        <v>3023728.9501000009</v>
      </c>
      <c r="AN254" s="99">
        <f t="shared" ref="AN254" ca="1" si="774">AN98</f>
        <v>28060381.5352</v>
      </c>
      <c r="AO254" s="99">
        <f t="shared" ca="1" si="767"/>
        <v>4537812.4988000002</v>
      </c>
      <c r="AP254" s="99">
        <f t="shared" ca="1" si="767"/>
        <v>-23522569.036399998</v>
      </c>
      <c r="AQ254" s="142">
        <f t="shared" ca="1" si="585"/>
        <v>-23522569.036399998</v>
      </c>
      <c r="AR254" s="99">
        <f t="shared" ref="AR254" ca="1" si="775">AR98</f>
        <v>13060381.5352</v>
      </c>
      <c r="AS254" s="99">
        <f t="shared" ca="1" si="767"/>
        <v>16049726.582100004</v>
      </c>
      <c r="AT254" s="99">
        <f t="shared" ca="1" si="767"/>
        <v>2989345.0469000041</v>
      </c>
      <c r="AU254" s="142">
        <f t="shared" ca="1" si="587"/>
        <v>2989345.0469000041</v>
      </c>
      <c r="AV254" s="99">
        <f t="shared" ref="AV254" ca="1" si="776">AV98</f>
        <v>31991095.562999994</v>
      </c>
      <c r="AW254" s="99">
        <f t="shared" ca="1" si="767"/>
        <v>4537812.4988000002</v>
      </c>
      <c r="AX254" s="99">
        <f t="shared" ca="1" si="767"/>
        <v>-27453283.064199992</v>
      </c>
      <c r="AY254" s="142">
        <f t="shared" ca="1" si="589"/>
        <v>-27453283.064199992</v>
      </c>
      <c r="AZ254" s="99">
        <f t="shared" ref="AZ254" ca="1" si="777">AZ98</f>
        <v>16991095.562999994</v>
      </c>
      <c r="BA254" s="99">
        <f t="shared" ca="1" si="767"/>
        <v>7599750.7970000021</v>
      </c>
      <c r="BB254" s="99">
        <f t="shared" ca="1" si="767"/>
        <v>-9391344.7659999914</v>
      </c>
      <c r="BC254" s="142">
        <f t="shared" ca="1" si="591"/>
        <v>-9391344.7659999914</v>
      </c>
      <c r="BD254" s="99">
        <f t="shared" ref="BD254" ca="1" si="778">BD98</f>
        <v>33251491.483600002</v>
      </c>
      <c r="BE254" s="99">
        <f t="shared" ca="1" si="767"/>
        <v>4537812.4988000002</v>
      </c>
      <c r="BF254" s="99">
        <f t="shared" ca="1" si="767"/>
        <v>-28713678.984800003</v>
      </c>
      <c r="BG254" s="142">
        <f t="shared" ca="1" si="593"/>
        <v>-28713678.984800003</v>
      </c>
      <c r="BH254" s="99">
        <f t="shared" ref="BH254" ca="1" si="779">BH98</f>
        <v>18251491.483600002</v>
      </c>
      <c r="BI254" s="99">
        <f t="shared" ca="1" si="767"/>
        <v>16049726.5821</v>
      </c>
      <c r="BJ254" s="99">
        <f t="shared" ca="1" si="767"/>
        <v>-2201764.9015000015</v>
      </c>
      <c r="BK254" s="142">
        <f t="shared" ca="1" si="595"/>
        <v>-2201764.9015000015</v>
      </c>
      <c r="BL254" s="99">
        <f t="shared" ref="BL254" ca="1" si="780">BL98</f>
        <v>33265390.145100001</v>
      </c>
      <c r="BM254" s="99">
        <f t="shared" ca="1" si="767"/>
        <v>4537812.4988000002</v>
      </c>
      <c r="BN254" s="99">
        <f t="shared" ca="1" si="767"/>
        <v>-28727577.646300003</v>
      </c>
      <c r="BO254" s="142">
        <f t="shared" ca="1" si="597"/>
        <v>-28727577.646300003</v>
      </c>
      <c r="BP254" s="99">
        <f t="shared" ref="BP254" ca="1" si="781">BP98</f>
        <v>18265390.145100001</v>
      </c>
      <c r="BQ254" s="99">
        <f t="shared" ca="1" si="767"/>
        <v>16049726.582099997</v>
      </c>
      <c r="BR254" s="99">
        <f t="shared" ca="1" si="767"/>
        <v>-2215663.5630000047</v>
      </c>
      <c r="BS254" s="142">
        <f t="shared" ca="1" si="599"/>
        <v>-2215663.5630000047</v>
      </c>
    </row>
    <row r="255" spans="1:72" x14ac:dyDescent="0.25">
      <c r="A255" s="105" t="s">
        <v>19</v>
      </c>
      <c r="B255" s="105"/>
      <c r="C255" s="105"/>
      <c r="D255" s="48"/>
      <c r="E255" s="48"/>
      <c r="F255" s="143" t="str">
        <f>F254</f>
        <v>Min (&gt;0)</v>
      </c>
      <c r="G255" s="144" t="s">
        <v>36</v>
      </c>
      <c r="H255" s="102">
        <f ca="1">H167</f>
        <v>1465546.5102000001</v>
      </c>
      <c r="I255" s="102">
        <f t="shared" ref="I255" ca="1" si="782">I167</f>
        <v>873665.2527999999</v>
      </c>
      <c r="J255" s="102">
        <f ca="1">J167</f>
        <v>-591881.25740000024</v>
      </c>
      <c r="K255" s="145">
        <f t="shared" ca="1" si="705"/>
        <v>-591881.25740000024</v>
      </c>
      <c r="L255" s="102">
        <f t="shared" ref="L255:BR255" ca="1" si="783">L167</f>
        <v>0</v>
      </c>
      <c r="M255" s="102">
        <f t="shared" ca="1" si="783"/>
        <v>0</v>
      </c>
      <c r="N255" s="102">
        <f t="shared" ca="1" si="783"/>
        <v>0</v>
      </c>
      <c r="O255" s="145">
        <f t="shared" ca="1" si="571"/>
        <v>0</v>
      </c>
      <c r="P255" s="102">
        <f t="shared" ref="P255" ca="1" si="784">P167</f>
        <v>8439302.0966999996</v>
      </c>
      <c r="Q255" s="102">
        <f t="shared" ca="1" si="783"/>
        <v>8273767.2612000015</v>
      </c>
      <c r="R255" s="102">
        <f t="shared" ca="1" si="783"/>
        <v>-165534.83549999818</v>
      </c>
      <c r="S255" s="145">
        <f t="shared" ca="1" si="573"/>
        <v>-165534.83549999818</v>
      </c>
      <c r="T255" s="102">
        <f t="shared" ref="T255" ca="1" si="785">T167</f>
        <v>1071626.8367999997</v>
      </c>
      <c r="U255" s="102">
        <f t="shared" ca="1" si="783"/>
        <v>0</v>
      </c>
      <c r="V255" s="102">
        <f t="shared" ca="1" si="783"/>
        <v>-1071626.8367999997</v>
      </c>
      <c r="W255" s="145">
        <f t="shared" ca="1" si="575"/>
        <v>-1071626.8367999997</v>
      </c>
      <c r="X255" s="102">
        <f t="shared" ref="X255" ca="1" si="786">X167</f>
        <v>17112648.807599999</v>
      </c>
      <c r="Y255" s="102">
        <f t="shared" ca="1" si="783"/>
        <v>16200562.172</v>
      </c>
      <c r="Z255" s="102">
        <f t="shared" ca="1" si="783"/>
        <v>-912086.63559999876</v>
      </c>
      <c r="AA255" s="145">
        <f t="shared" ca="1" si="577"/>
        <v>-912086.63559999876</v>
      </c>
      <c r="AB255" s="102">
        <f t="shared" ref="AB255" ca="1" si="787">AB167</f>
        <v>2112648.807599999</v>
      </c>
      <c r="AC255" s="102">
        <f t="shared" ca="1" si="783"/>
        <v>1200562.1720000003</v>
      </c>
      <c r="AD255" s="102">
        <f t="shared" ca="1" si="783"/>
        <v>-912086.63559999876</v>
      </c>
      <c r="AE255" s="145">
        <f t="shared" ca="1" si="579"/>
        <v>-912086.63559999876</v>
      </c>
      <c r="AF255" s="102">
        <f t="shared" ref="AF255" ca="1" si="788">AF167</f>
        <v>26275206.732899997</v>
      </c>
      <c r="AG255" s="102">
        <f t="shared" ca="1" si="783"/>
        <v>22913184.617100004</v>
      </c>
      <c r="AH255" s="102">
        <f t="shared" ca="1" si="783"/>
        <v>-3362022.1157999933</v>
      </c>
      <c r="AI255" s="145">
        <f t="shared" ca="1" si="581"/>
        <v>-3362022.1157999933</v>
      </c>
      <c r="AJ255" s="102">
        <f t="shared" ref="AJ255" ca="1" si="789">AJ167</f>
        <v>11275206.732899997</v>
      </c>
      <c r="AK255" s="102">
        <f t="shared" ca="1" si="783"/>
        <v>7913184.6171000041</v>
      </c>
      <c r="AL255" s="102">
        <f t="shared" ca="1" si="783"/>
        <v>-3362022.1157999933</v>
      </c>
      <c r="AM255" s="145">
        <f t="shared" ca="1" si="583"/>
        <v>-3362022.1157999933</v>
      </c>
      <c r="AN255" s="102">
        <f t="shared" ref="AN255" ca="1" si="790">AN167</f>
        <v>36626141.717899993</v>
      </c>
      <c r="AO255" s="102">
        <f t="shared" ca="1" si="783"/>
        <v>40103227.658899993</v>
      </c>
      <c r="AP255" s="102">
        <f t="shared" ca="1" si="783"/>
        <v>3477085.9409999996</v>
      </c>
      <c r="AQ255" s="145">
        <f t="shared" ca="1" si="585"/>
        <v>3477085.9409999996</v>
      </c>
      <c r="AR255" s="102">
        <f t="shared" ref="AR255" ca="1" si="791">AR167</f>
        <v>21626141.717899993</v>
      </c>
      <c r="AS255" s="102">
        <f t="shared" ca="1" si="783"/>
        <v>25103227.658899993</v>
      </c>
      <c r="AT255" s="102">
        <f t="shared" ca="1" si="783"/>
        <v>3477085.9409999996</v>
      </c>
      <c r="AU255" s="145">
        <f t="shared" ca="1" si="587"/>
        <v>3477085.9409999996</v>
      </c>
      <c r="AV255" s="102">
        <f t="shared" ref="AV255" ca="1" si="792">AV167</f>
        <v>36626141.717900001</v>
      </c>
      <c r="AW255" s="102">
        <f t="shared" ca="1" si="783"/>
        <v>40342464.883299999</v>
      </c>
      <c r="AX255" s="102">
        <f t="shared" ca="1" si="783"/>
        <v>3716323.1653999984</v>
      </c>
      <c r="AY255" s="145">
        <f t="shared" ca="1" si="589"/>
        <v>3716323.1653999984</v>
      </c>
      <c r="AZ255" s="102">
        <f t="shared" ref="AZ255" ca="1" si="793">AZ167</f>
        <v>21626141.717900001</v>
      </c>
      <c r="BA255" s="102">
        <f t="shared" ca="1" si="783"/>
        <v>25342464.883299999</v>
      </c>
      <c r="BB255" s="102">
        <f t="shared" ca="1" si="783"/>
        <v>3716323.1653999984</v>
      </c>
      <c r="BC255" s="145">
        <f t="shared" ca="1" si="591"/>
        <v>3716323.1653999984</v>
      </c>
      <c r="BD255" s="102">
        <f t="shared" ref="BD255" ca="1" si="794">BD167</f>
        <v>36626141.717900001</v>
      </c>
      <c r="BE255" s="102">
        <f t="shared" ca="1" si="783"/>
        <v>40342464.883299999</v>
      </c>
      <c r="BF255" s="102">
        <f t="shared" ca="1" si="783"/>
        <v>3716323.1653999984</v>
      </c>
      <c r="BG255" s="145">
        <f t="shared" ca="1" si="593"/>
        <v>3716323.1653999984</v>
      </c>
      <c r="BH255" s="102">
        <f t="shared" ref="BH255" ca="1" si="795">BH167</f>
        <v>21626141.717900001</v>
      </c>
      <c r="BI255" s="102">
        <f t="shared" ca="1" si="783"/>
        <v>25342464.883299999</v>
      </c>
      <c r="BJ255" s="102">
        <f t="shared" ca="1" si="783"/>
        <v>3716323.1653999984</v>
      </c>
      <c r="BK255" s="145">
        <f t="shared" ca="1" si="595"/>
        <v>3716323.1653999984</v>
      </c>
      <c r="BL255" s="102">
        <f t="shared" ref="BL255" ca="1" si="796">BL167</f>
        <v>36626141.717900001</v>
      </c>
      <c r="BM255" s="102">
        <f t="shared" ca="1" si="783"/>
        <v>40342464.883299991</v>
      </c>
      <c r="BN255" s="102">
        <f t="shared" ca="1" si="783"/>
        <v>3716323.165399991</v>
      </c>
      <c r="BO255" s="145">
        <f t="shared" ca="1" si="597"/>
        <v>3716323.165399991</v>
      </c>
      <c r="BP255" s="102">
        <f t="shared" ref="BP255" ca="1" si="797">BP167</f>
        <v>21626141.717900001</v>
      </c>
      <c r="BQ255" s="102">
        <f t="shared" ca="1" si="783"/>
        <v>25342464.883299991</v>
      </c>
      <c r="BR255" s="102">
        <f t="shared" ca="1" si="783"/>
        <v>3716323.165399991</v>
      </c>
      <c r="BS255" s="145">
        <f t="shared" ca="1" si="599"/>
        <v>3716323.165399991</v>
      </c>
    </row>
    <row r="256" spans="1:72" x14ac:dyDescent="0.25">
      <c r="A256" s="105" t="s">
        <v>19</v>
      </c>
      <c r="B256" s="105"/>
      <c r="C256" s="105"/>
      <c r="D256" s="48"/>
      <c r="E256" s="48"/>
      <c r="F256" s="143" t="str">
        <f>F254</f>
        <v>Min (&gt;0)</v>
      </c>
      <c r="G256" s="144" t="s">
        <v>38</v>
      </c>
      <c r="H256" s="102">
        <f ca="1">H226</f>
        <v>433053.33810000005</v>
      </c>
      <c r="I256" s="102">
        <f t="shared" ref="I256" ca="1" si="798">I226</f>
        <v>2118.5446000000002</v>
      </c>
      <c r="J256" s="102">
        <f ca="1">J226</f>
        <v>-430934.79350000003</v>
      </c>
      <c r="K256" s="145">
        <f t="shared" ca="1" si="705"/>
        <v>-430934.79350000003</v>
      </c>
      <c r="L256" s="102">
        <f t="shared" ref="L256:BR256" ca="1" si="799">L226</f>
        <v>0</v>
      </c>
      <c r="M256" s="102">
        <f t="shared" ca="1" si="799"/>
        <v>0</v>
      </c>
      <c r="N256" s="102">
        <f t="shared" ca="1" si="799"/>
        <v>0</v>
      </c>
      <c r="O256" s="145">
        <f t="shared" ca="1" si="571"/>
        <v>0</v>
      </c>
      <c r="P256" s="102">
        <f t="shared" ref="P256" ca="1" si="800">P226</f>
        <v>3438835.4995999997</v>
      </c>
      <c r="Q256" s="102">
        <f t="shared" ca="1" si="799"/>
        <v>66582.030999999988</v>
      </c>
      <c r="R256" s="102">
        <f t="shared" ca="1" si="799"/>
        <v>-3372253.4685999998</v>
      </c>
      <c r="S256" s="145">
        <f t="shared" ca="1" si="573"/>
        <v>-3372253.4685999998</v>
      </c>
      <c r="T256" s="102">
        <f t="shared" ref="T256" ca="1" si="801">T226</f>
        <v>0</v>
      </c>
      <c r="U256" s="102">
        <f t="shared" ca="1" si="799"/>
        <v>0</v>
      </c>
      <c r="V256" s="102">
        <f t="shared" ca="1" si="799"/>
        <v>0</v>
      </c>
      <c r="W256" s="145">
        <f t="shared" ca="1" si="575"/>
        <v>0</v>
      </c>
      <c r="X256" s="102">
        <f t="shared" ref="X256" ca="1" si="802">X226</f>
        <v>6481209.0241</v>
      </c>
      <c r="Y256" s="102">
        <f t="shared" ca="1" si="799"/>
        <v>115297.40609999999</v>
      </c>
      <c r="Z256" s="102">
        <f t="shared" ca="1" si="799"/>
        <v>-6365911.6179999998</v>
      </c>
      <c r="AA256" s="145">
        <f t="shared" ca="1" si="577"/>
        <v>-6365911.6179999998</v>
      </c>
      <c r="AB256" s="102">
        <f t="shared" ref="AB256" ca="1" si="803">AB226</f>
        <v>1811631.4543000013</v>
      </c>
      <c r="AC256" s="102">
        <f t="shared" ca="1" si="799"/>
        <v>405796.83639999852</v>
      </c>
      <c r="AD256" s="102">
        <f t="shared" ca="1" si="799"/>
        <v>-1405834.6179000027</v>
      </c>
      <c r="AE256" s="145">
        <f t="shared" ca="1" si="579"/>
        <v>-1405834.6179000027</v>
      </c>
      <c r="AF256" s="102">
        <f t="shared" ref="AF256" ca="1" si="804">AF226</f>
        <v>9922463.2452999987</v>
      </c>
      <c r="AG256" s="102">
        <f t="shared" ca="1" si="799"/>
        <v>159841.93830000001</v>
      </c>
      <c r="AH256" s="102">
        <f t="shared" ca="1" si="799"/>
        <v>-9762621.3069999982</v>
      </c>
      <c r="AI256" s="145">
        <f t="shared" ca="1" si="581"/>
        <v>-9762621.3069999982</v>
      </c>
      <c r="AJ256" s="102">
        <f t="shared" ref="AJ256" ca="1" si="805">AJ226</f>
        <v>9987992.1805000007</v>
      </c>
      <c r="AK256" s="102">
        <f t="shared" ca="1" si="799"/>
        <v>8428967.2221000008</v>
      </c>
      <c r="AL256" s="102">
        <f t="shared" ca="1" si="799"/>
        <v>-1559024.9583999999</v>
      </c>
      <c r="AM256" s="145">
        <f t="shared" ca="1" si="583"/>
        <v>-1559024.9583999999</v>
      </c>
      <c r="AN256" s="102">
        <f t="shared" ref="AN256" ca="1" si="806">AN226</f>
        <v>18656000.451499999</v>
      </c>
      <c r="AO256" s="102">
        <f t="shared" ca="1" si="799"/>
        <v>219637.08689999999</v>
      </c>
      <c r="AP256" s="102">
        <f t="shared" ca="1" si="799"/>
        <v>-18436363.364599999</v>
      </c>
      <c r="AQ256" s="145">
        <f t="shared" ca="1" si="585"/>
        <v>-18436363.364599999</v>
      </c>
      <c r="AR256" s="102">
        <f t="shared" ref="AR256" ca="1" si="807">AR226</f>
        <v>3656000.4514999986</v>
      </c>
      <c r="AS256" s="102">
        <f t="shared" ca="1" si="799"/>
        <v>12719806.560600005</v>
      </c>
      <c r="AT256" s="102">
        <f t="shared" ca="1" si="799"/>
        <v>9063806.1091000065</v>
      </c>
      <c r="AU256" s="145">
        <f t="shared" ca="1" si="587"/>
        <v>9063806.1091000065</v>
      </c>
      <c r="AV256" s="102">
        <f t="shared" ref="AV256" ca="1" si="808">AV226</f>
        <v>21569353.562200002</v>
      </c>
      <c r="AW256" s="102">
        <f t="shared" ca="1" si="799"/>
        <v>238453.10749999998</v>
      </c>
      <c r="AX256" s="102">
        <f t="shared" ca="1" si="799"/>
        <v>-21330900.454700001</v>
      </c>
      <c r="AY256" s="145">
        <f t="shared" ca="1" si="589"/>
        <v>-21330900.454700001</v>
      </c>
      <c r="AZ256" s="102">
        <f t="shared" ref="AZ256" ca="1" si="809">AZ226</f>
        <v>6569353.5622000024</v>
      </c>
      <c r="BA256" s="102">
        <f t="shared" ca="1" si="799"/>
        <v>19310091.070599996</v>
      </c>
      <c r="BB256" s="102">
        <f t="shared" ca="1" si="799"/>
        <v>12740737.508399993</v>
      </c>
      <c r="BC256" s="145">
        <f t="shared" ca="1" si="591"/>
        <v>12740737.508399993</v>
      </c>
      <c r="BD256" s="102">
        <f t="shared" ref="BD256" ca="1" si="810">BD226</f>
        <v>21569353.562200002</v>
      </c>
      <c r="BE256" s="102">
        <f t="shared" ca="1" si="799"/>
        <v>238453.10749999998</v>
      </c>
      <c r="BF256" s="102">
        <f t="shared" ca="1" si="799"/>
        <v>-21330900.454700001</v>
      </c>
      <c r="BG256" s="145">
        <f t="shared" ca="1" si="593"/>
        <v>-21330900.454700001</v>
      </c>
      <c r="BH256" s="102">
        <f t="shared" ref="BH256" ca="1" si="811">BH226</f>
        <v>6569353.5622000024</v>
      </c>
      <c r="BI256" s="102">
        <f t="shared" ca="1" si="799"/>
        <v>19310091.070599996</v>
      </c>
      <c r="BJ256" s="102">
        <f t="shared" ca="1" si="799"/>
        <v>12740737.508399993</v>
      </c>
      <c r="BK256" s="145">
        <f t="shared" ca="1" si="595"/>
        <v>12740737.508399993</v>
      </c>
      <c r="BL256" s="102">
        <f t="shared" ref="BL256" ca="1" si="812">BL226</f>
        <v>21569353.562200002</v>
      </c>
      <c r="BM256" s="102">
        <f t="shared" ca="1" si="799"/>
        <v>238453.10749999998</v>
      </c>
      <c r="BN256" s="102">
        <f t="shared" ca="1" si="799"/>
        <v>-21330900.454700001</v>
      </c>
      <c r="BO256" s="145">
        <f t="shared" ca="1" si="597"/>
        <v>-21330900.454700001</v>
      </c>
      <c r="BP256" s="102">
        <f t="shared" ref="BP256" ca="1" si="813">BP226</f>
        <v>6569353.5622000024</v>
      </c>
      <c r="BQ256" s="102">
        <f t="shared" ca="1" si="799"/>
        <v>19310091.070599988</v>
      </c>
      <c r="BR256" s="102">
        <f t="shared" ca="1" si="799"/>
        <v>12740737.508399986</v>
      </c>
      <c r="BS256" s="145">
        <f t="shared" ca="1" si="599"/>
        <v>12740737.508399986</v>
      </c>
    </row>
    <row r="257" spans="1:72" ht="13.8" thickBot="1" x14ac:dyDescent="0.3">
      <c r="A257" s="153" t="s">
        <v>19</v>
      </c>
      <c r="B257" s="153"/>
      <c r="C257" s="153"/>
      <c r="D257" s="147"/>
      <c r="E257" s="147"/>
      <c r="F257" s="148" t="str">
        <f>F254</f>
        <v>Min (&gt;0)</v>
      </c>
      <c r="G257" s="149" t="s">
        <v>41</v>
      </c>
      <c r="H257" s="150">
        <f ca="1">MIN(H254:H256)</f>
        <v>433053.33810000005</v>
      </c>
      <c r="I257" s="150">
        <f t="shared" ref="I257" ca="1" si="814">MIN(I254:I256)</f>
        <v>2118.5446000000002</v>
      </c>
      <c r="J257" s="150">
        <f ca="1">MIN(J254:J256)</f>
        <v>-1206026.5019</v>
      </c>
      <c r="K257" s="151">
        <f t="shared" ca="1" si="705"/>
        <v>-1206026.5019</v>
      </c>
      <c r="L257" s="150">
        <f t="shared" ref="L257:BR257" ca="1" si="815">MIN(L254:L256)</f>
        <v>0</v>
      </c>
      <c r="M257" s="150">
        <f t="shared" ca="1" si="815"/>
        <v>0</v>
      </c>
      <c r="N257" s="150">
        <f t="shared" ca="1" si="815"/>
        <v>0</v>
      </c>
      <c r="O257" s="151">
        <f t="shared" ca="1" si="571"/>
        <v>0</v>
      </c>
      <c r="P257" s="150">
        <f t="shared" ref="P257" ca="1" si="816">MIN(P254:P256)</f>
        <v>3438835.4995999997</v>
      </c>
      <c r="Q257" s="150">
        <f t="shared" ca="1" si="815"/>
        <v>66582.030999999988</v>
      </c>
      <c r="R257" s="150">
        <f t="shared" ca="1" si="815"/>
        <v>-5158943.6552000009</v>
      </c>
      <c r="S257" s="151">
        <f t="shared" ca="1" si="573"/>
        <v>-5158943.6552000009</v>
      </c>
      <c r="T257" s="150">
        <f t="shared" ref="T257" ca="1" si="817">MIN(T254:T256)</f>
        <v>0</v>
      </c>
      <c r="U257" s="150">
        <f t="shared" ca="1" si="815"/>
        <v>0</v>
      </c>
      <c r="V257" s="150">
        <f t="shared" ca="1" si="815"/>
        <v>-1071626.8367999997</v>
      </c>
      <c r="W257" s="151">
        <f t="shared" ca="1" si="575"/>
        <v>-1071626.8367999997</v>
      </c>
      <c r="X257" s="150">
        <f t="shared" ref="X257" ca="1" si="818">MIN(X254:X256)</f>
        <v>6481209.0241</v>
      </c>
      <c r="Y257" s="150">
        <f t="shared" ca="1" si="815"/>
        <v>115297.40609999999</v>
      </c>
      <c r="Z257" s="150">
        <f t="shared" ca="1" si="815"/>
        <v>-10184988.4813</v>
      </c>
      <c r="AA257" s="151">
        <f t="shared" ca="1" si="577"/>
        <v>-10184988.4813</v>
      </c>
      <c r="AB257" s="150">
        <f t="shared" ref="AB257" ca="1" si="819">MIN(AB254:AB256)</f>
        <v>1215655.3416999988</v>
      </c>
      <c r="AC257" s="150">
        <f t="shared" ca="1" si="815"/>
        <v>183688.43999999948</v>
      </c>
      <c r="AD257" s="150">
        <f t="shared" ca="1" si="815"/>
        <v>-1405834.6179000027</v>
      </c>
      <c r="AE257" s="151">
        <f t="shared" ca="1" si="579"/>
        <v>-1405834.6179000027</v>
      </c>
      <c r="AF257" s="150">
        <f t="shared" ref="AF257" ca="1" si="820">MIN(AF254:AF256)</f>
        <v>9922463.2452999987</v>
      </c>
      <c r="AG257" s="150">
        <f t="shared" ca="1" si="815"/>
        <v>159841.93830000001</v>
      </c>
      <c r="AH257" s="150">
        <f t="shared" ca="1" si="815"/>
        <v>-15408976.9056</v>
      </c>
      <c r="AI257" s="151">
        <f t="shared" ca="1" si="581"/>
        <v>-15408976.9056</v>
      </c>
      <c r="AJ257" s="150">
        <f t="shared" ref="AJ257" ca="1" si="821">MIN(AJ254:AJ256)</f>
        <v>3863976.9056000002</v>
      </c>
      <c r="AK257" s="150">
        <f t="shared" ca="1" si="815"/>
        <v>6887705.8557000011</v>
      </c>
      <c r="AL257" s="150">
        <f t="shared" ca="1" si="815"/>
        <v>-3362022.1157999933</v>
      </c>
      <c r="AM257" s="151">
        <f t="shared" ca="1" si="583"/>
        <v>-3362022.1157999933</v>
      </c>
      <c r="AN257" s="150">
        <f t="shared" ref="AN257" ca="1" si="822">MIN(AN254:AN256)</f>
        <v>18656000.451499999</v>
      </c>
      <c r="AO257" s="150">
        <f t="shared" ca="1" si="815"/>
        <v>219637.08689999999</v>
      </c>
      <c r="AP257" s="150">
        <f t="shared" ca="1" si="815"/>
        <v>-23522569.036399998</v>
      </c>
      <c r="AQ257" s="151">
        <f t="shared" ca="1" si="585"/>
        <v>-23522569.036399998</v>
      </c>
      <c r="AR257" s="150">
        <f t="shared" ref="AR257" ca="1" si="823">MIN(AR254:AR256)</f>
        <v>3656000.4514999986</v>
      </c>
      <c r="AS257" s="150">
        <f t="shared" ca="1" si="815"/>
        <v>12719806.560600005</v>
      </c>
      <c r="AT257" s="150">
        <f t="shared" ca="1" si="815"/>
        <v>2989345.0469000041</v>
      </c>
      <c r="AU257" s="151">
        <f t="shared" ca="1" si="587"/>
        <v>2989345.0469000041</v>
      </c>
      <c r="AV257" s="150">
        <f t="shared" ref="AV257" ca="1" si="824">MIN(AV254:AV256)</f>
        <v>21569353.562200002</v>
      </c>
      <c r="AW257" s="150">
        <f t="shared" ca="1" si="815"/>
        <v>238453.10749999998</v>
      </c>
      <c r="AX257" s="150">
        <f t="shared" ca="1" si="815"/>
        <v>-27453283.064199992</v>
      </c>
      <c r="AY257" s="151">
        <f t="shared" ca="1" si="589"/>
        <v>-27453283.064199992</v>
      </c>
      <c r="AZ257" s="150">
        <f t="shared" ref="AZ257" ca="1" si="825">MIN(AZ254:AZ256)</f>
        <v>6569353.5622000024</v>
      </c>
      <c r="BA257" s="150">
        <f t="shared" ca="1" si="815"/>
        <v>7599750.7970000021</v>
      </c>
      <c r="BB257" s="150">
        <f t="shared" ca="1" si="815"/>
        <v>-9391344.7659999914</v>
      </c>
      <c r="BC257" s="151">
        <f t="shared" ca="1" si="591"/>
        <v>-9391344.7659999914</v>
      </c>
      <c r="BD257" s="150">
        <f t="shared" ref="BD257" ca="1" si="826">MIN(BD254:BD256)</f>
        <v>21569353.562200002</v>
      </c>
      <c r="BE257" s="150">
        <f t="shared" ca="1" si="815"/>
        <v>238453.10749999998</v>
      </c>
      <c r="BF257" s="150">
        <f t="shared" ca="1" si="815"/>
        <v>-28713678.984800003</v>
      </c>
      <c r="BG257" s="151">
        <f t="shared" ca="1" si="593"/>
        <v>-28713678.984800003</v>
      </c>
      <c r="BH257" s="150">
        <f t="shared" ref="BH257" ca="1" si="827">MIN(BH254:BH256)</f>
        <v>6569353.5622000024</v>
      </c>
      <c r="BI257" s="150">
        <f t="shared" ca="1" si="815"/>
        <v>16049726.5821</v>
      </c>
      <c r="BJ257" s="150">
        <f t="shared" ca="1" si="815"/>
        <v>-2201764.9015000015</v>
      </c>
      <c r="BK257" s="151">
        <f t="shared" ca="1" si="595"/>
        <v>-2201764.9015000015</v>
      </c>
      <c r="BL257" s="150">
        <f t="shared" ref="BL257" ca="1" si="828">MIN(BL254:BL256)</f>
        <v>21569353.562200002</v>
      </c>
      <c r="BM257" s="150">
        <f t="shared" ca="1" si="815"/>
        <v>238453.10749999998</v>
      </c>
      <c r="BN257" s="150">
        <f t="shared" ca="1" si="815"/>
        <v>-28727577.646300003</v>
      </c>
      <c r="BO257" s="151">
        <f t="shared" ca="1" si="597"/>
        <v>-28727577.646300003</v>
      </c>
      <c r="BP257" s="150">
        <f t="shared" ref="BP257" ca="1" si="829">MIN(BP254:BP256)</f>
        <v>6569353.5622000024</v>
      </c>
      <c r="BQ257" s="150">
        <f t="shared" ca="1" si="815"/>
        <v>16049726.582099997</v>
      </c>
      <c r="BR257" s="150">
        <f t="shared" ca="1" si="815"/>
        <v>-2215663.5630000047</v>
      </c>
      <c r="BS257" s="151">
        <f t="shared" ca="1" si="599"/>
        <v>-2215663.5630000047</v>
      </c>
      <c r="BT257" s="152"/>
    </row>
    <row r="258" spans="1:72" x14ac:dyDescent="0.25">
      <c r="A258" s="98" t="s">
        <v>15</v>
      </c>
      <c r="B258" s="98"/>
      <c r="C258" s="98"/>
      <c r="D258" s="140"/>
      <c r="E258" s="140"/>
      <c r="F258" s="140" t="str">
        <f>$F$99</f>
        <v>Count (&gt;0)</v>
      </c>
      <c r="G258" s="141" t="s">
        <v>17</v>
      </c>
      <c r="H258" s="99">
        <f ca="1">H99</f>
        <v>62</v>
      </c>
      <c r="I258" s="99">
        <f ca="1">I99</f>
        <v>62</v>
      </c>
      <c r="J258" s="99">
        <f ca="1">J99</f>
        <v>0</v>
      </c>
      <c r="K258" s="142">
        <f ca="1">J258</f>
        <v>0</v>
      </c>
      <c r="L258" s="99">
        <f t="shared" ref="L258:N258" ca="1" si="830">L99</f>
        <v>0</v>
      </c>
      <c r="M258" s="99">
        <f t="shared" ca="1" si="830"/>
        <v>0</v>
      </c>
      <c r="N258" s="99">
        <f t="shared" ca="1" si="830"/>
        <v>0</v>
      </c>
      <c r="O258" s="142">
        <f t="shared" ref="O258:O261" ca="1" si="831">N258</f>
        <v>0</v>
      </c>
      <c r="P258" s="99">
        <f t="shared" ref="P258:R258" ca="1" si="832">P99</f>
        <v>62</v>
      </c>
      <c r="Q258" s="99">
        <f t="shared" ca="1" si="832"/>
        <v>62</v>
      </c>
      <c r="R258" s="99">
        <f t="shared" ca="1" si="832"/>
        <v>0</v>
      </c>
      <c r="S258" s="142">
        <f t="shared" ref="S258:S261" ca="1" si="833">R258</f>
        <v>0</v>
      </c>
      <c r="T258" s="99">
        <f t="shared" ref="T258:V258" ca="1" si="834">T99</f>
        <v>19</v>
      </c>
      <c r="U258" s="99">
        <f t="shared" ca="1" si="834"/>
        <v>5</v>
      </c>
      <c r="V258" s="99">
        <f t="shared" ca="1" si="834"/>
        <v>-14</v>
      </c>
      <c r="W258" s="142">
        <f t="shared" ref="W258:W261" ca="1" si="835">V258</f>
        <v>-14</v>
      </c>
      <c r="X258" s="99">
        <f t="shared" ref="X258:Z258" ca="1" si="836">X99</f>
        <v>62</v>
      </c>
      <c r="Y258" s="99">
        <f t="shared" ca="1" si="836"/>
        <v>62</v>
      </c>
      <c r="Z258" s="99">
        <f t="shared" ca="1" si="836"/>
        <v>0</v>
      </c>
      <c r="AA258" s="142">
        <f t="shared" ref="AA258:AA261" ca="1" si="837">Z258</f>
        <v>0</v>
      </c>
      <c r="AB258" s="99">
        <f t="shared" ref="AB258:AD258" ca="1" si="838">AB99</f>
        <v>58</v>
      </c>
      <c r="AC258" s="99">
        <f t="shared" ca="1" si="838"/>
        <v>56</v>
      </c>
      <c r="AD258" s="99">
        <f t="shared" ca="1" si="838"/>
        <v>-2</v>
      </c>
      <c r="AE258" s="142">
        <f t="shared" ref="AE258:AE261" ca="1" si="839">AD258</f>
        <v>-2</v>
      </c>
      <c r="AF258" s="99">
        <f t="shared" ref="AF258:AH258" ca="1" si="840">AF99</f>
        <v>62</v>
      </c>
      <c r="AG258" s="99">
        <f t="shared" ca="1" si="840"/>
        <v>62</v>
      </c>
      <c r="AH258" s="99">
        <f t="shared" ca="1" si="840"/>
        <v>0</v>
      </c>
      <c r="AI258" s="142">
        <f t="shared" ref="AI258:AI261" ca="1" si="841">AH258</f>
        <v>0</v>
      </c>
      <c r="AJ258" s="99">
        <f t="shared" ref="AJ258:AL258" ca="1" si="842">AJ99</f>
        <v>62</v>
      </c>
      <c r="AK258" s="99">
        <f t="shared" ca="1" si="842"/>
        <v>60</v>
      </c>
      <c r="AL258" s="99">
        <f t="shared" ca="1" si="842"/>
        <v>-2</v>
      </c>
      <c r="AM258" s="142">
        <f t="shared" ref="AM258:AM261" ca="1" si="843">AL258</f>
        <v>-2</v>
      </c>
      <c r="AN258" s="99">
        <f t="shared" ref="AN258:AP258" ca="1" si="844">AN99</f>
        <v>62</v>
      </c>
      <c r="AO258" s="99">
        <f t="shared" ca="1" si="844"/>
        <v>62</v>
      </c>
      <c r="AP258" s="99">
        <f t="shared" ca="1" si="844"/>
        <v>0</v>
      </c>
      <c r="AQ258" s="142">
        <f t="shared" ref="AQ258:AQ261" ca="1" si="845">AP258</f>
        <v>0</v>
      </c>
      <c r="AR258" s="99">
        <f t="shared" ref="AR258:AT258" ca="1" si="846">AR99</f>
        <v>62</v>
      </c>
      <c r="AS258" s="99">
        <f t="shared" ca="1" si="846"/>
        <v>60</v>
      </c>
      <c r="AT258" s="99">
        <f t="shared" ca="1" si="846"/>
        <v>-2</v>
      </c>
      <c r="AU258" s="142">
        <f t="shared" ref="AU258:AU261" ca="1" si="847">AT258</f>
        <v>-2</v>
      </c>
      <c r="AV258" s="99">
        <f t="shared" ref="AV258:AX258" ca="1" si="848">AV99</f>
        <v>62</v>
      </c>
      <c r="AW258" s="99">
        <f t="shared" ca="1" si="848"/>
        <v>62</v>
      </c>
      <c r="AX258" s="99">
        <f t="shared" ca="1" si="848"/>
        <v>0</v>
      </c>
      <c r="AY258" s="142">
        <f t="shared" ref="AY258:AY261" ca="1" si="849">AX258</f>
        <v>0</v>
      </c>
      <c r="AZ258" s="99">
        <f t="shared" ref="AZ258:BB258" ca="1" si="850">AZ99</f>
        <v>62</v>
      </c>
      <c r="BA258" s="99">
        <f t="shared" ca="1" si="850"/>
        <v>61</v>
      </c>
      <c r="BB258" s="99">
        <f t="shared" ca="1" si="850"/>
        <v>-1</v>
      </c>
      <c r="BC258" s="142">
        <f t="shared" ref="BC258:BC261" ca="1" si="851">BB258</f>
        <v>-1</v>
      </c>
      <c r="BD258" s="99">
        <f t="shared" ref="BD258:BF258" ca="1" si="852">BD99</f>
        <v>62</v>
      </c>
      <c r="BE258" s="99">
        <f t="shared" ca="1" si="852"/>
        <v>62</v>
      </c>
      <c r="BF258" s="99">
        <f t="shared" ca="1" si="852"/>
        <v>0</v>
      </c>
      <c r="BG258" s="142">
        <f t="shared" ref="BG258:BG261" ca="1" si="853">BF258</f>
        <v>0</v>
      </c>
      <c r="BH258" s="99">
        <f t="shared" ref="BH258:BJ258" ca="1" si="854">BH99</f>
        <v>62</v>
      </c>
      <c r="BI258" s="99">
        <f t="shared" ca="1" si="854"/>
        <v>61</v>
      </c>
      <c r="BJ258" s="99">
        <f t="shared" ca="1" si="854"/>
        <v>-1</v>
      </c>
      <c r="BK258" s="142">
        <f t="shared" ref="BK258:BK261" ca="1" si="855">BJ258</f>
        <v>-1</v>
      </c>
      <c r="BL258" s="99">
        <f t="shared" ref="BL258:BN258" ca="1" si="856">BL99</f>
        <v>62</v>
      </c>
      <c r="BM258" s="99">
        <f t="shared" ca="1" si="856"/>
        <v>62</v>
      </c>
      <c r="BN258" s="99">
        <f t="shared" ca="1" si="856"/>
        <v>0</v>
      </c>
      <c r="BO258" s="142">
        <f t="shared" ref="BO258:BO261" ca="1" si="857">BN258</f>
        <v>0</v>
      </c>
      <c r="BP258" s="99">
        <f t="shared" ref="BP258:BR258" ca="1" si="858">BP99</f>
        <v>62</v>
      </c>
      <c r="BQ258" s="99">
        <f t="shared" ca="1" si="858"/>
        <v>61</v>
      </c>
      <c r="BR258" s="99">
        <f t="shared" ca="1" si="858"/>
        <v>-1</v>
      </c>
      <c r="BS258" s="142">
        <f t="shared" ref="BS258:BS261" ca="1" si="859">BR258</f>
        <v>-1</v>
      </c>
    </row>
    <row r="259" spans="1:72" x14ac:dyDescent="0.25">
      <c r="A259" s="98" t="s">
        <v>15</v>
      </c>
      <c r="B259" s="98"/>
      <c r="C259" s="98"/>
      <c r="D259" s="48"/>
      <c r="E259" s="48"/>
      <c r="F259" s="143" t="str">
        <f>F258</f>
        <v>Count (&gt;0)</v>
      </c>
      <c r="G259" s="144" t="s">
        <v>36</v>
      </c>
      <c r="H259" s="102">
        <f ca="1">H168</f>
        <v>14</v>
      </c>
      <c r="I259" s="102">
        <f ca="1">I168</f>
        <v>14</v>
      </c>
      <c r="J259" s="102">
        <f ca="1">J168</f>
        <v>0</v>
      </c>
      <c r="K259" s="145">
        <f ca="1">J259</f>
        <v>0</v>
      </c>
      <c r="L259" s="102">
        <f t="shared" ref="L259:N259" ca="1" si="860">L168</f>
        <v>0</v>
      </c>
      <c r="M259" s="102">
        <f t="shared" ca="1" si="860"/>
        <v>0</v>
      </c>
      <c r="N259" s="102">
        <f t="shared" ca="1" si="860"/>
        <v>0</v>
      </c>
      <c r="O259" s="145">
        <f t="shared" ca="1" si="831"/>
        <v>0</v>
      </c>
      <c r="P259" s="102">
        <f t="shared" ref="P259:R259" ca="1" si="861">P168</f>
        <v>14</v>
      </c>
      <c r="Q259" s="102">
        <f t="shared" ca="1" si="861"/>
        <v>14</v>
      </c>
      <c r="R259" s="102">
        <f t="shared" ca="1" si="861"/>
        <v>0</v>
      </c>
      <c r="S259" s="145">
        <f t="shared" ca="1" si="833"/>
        <v>0</v>
      </c>
      <c r="T259" s="102">
        <f t="shared" ref="T259:V259" ca="1" si="862">T168</f>
        <v>4</v>
      </c>
      <c r="U259" s="102">
        <f t="shared" ca="1" si="862"/>
        <v>0</v>
      </c>
      <c r="V259" s="102">
        <f t="shared" ca="1" si="862"/>
        <v>-4</v>
      </c>
      <c r="W259" s="145">
        <f t="shared" ca="1" si="835"/>
        <v>-4</v>
      </c>
      <c r="X259" s="102">
        <f t="shared" ref="X259:Z259" ca="1" si="863">X168</f>
        <v>14</v>
      </c>
      <c r="Y259" s="102">
        <f t="shared" ca="1" si="863"/>
        <v>14</v>
      </c>
      <c r="Z259" s="102">
        <f t="shared" ca="1" si="863"/>
        <v>0</v>
      </c>
      <c r="AA259" s="145">
        <f t="shared" ca="1" si="837"/>
        <v>0</v>
      </c>
      <c r="AB259" s="102">
        <f t="shared" ref="AB259:AD259" ca="1" si="864">AB168</f>
        <v>14</v>
      </c>
      <c r="AC259" s="102">
        <f t="shared" ca="1" si="864"/>
        <v>14</v>
      </c>
      <c r="AD259" s="102">
        <f t="shared" ca="1" si="864"/>
        <v>0</v>
      </c>
      <c r="AE259" s="145">
        <f t="shared" ca="1" si="839"/>
        <v>0</v>
      </c>
      <c r="AF259" s="102">
        <f t="shared" ref="AF259:AH259" ca="1" si="865">AF168</f>
        <v>14</v>
      </c>
      <c r="AG259" s="102">
        <f t="shared" ca="1" si="865"/>
        <v>14</v>
      </c>
      <c r="AH259" s="102">
        <f t="shared" ca="1" si="865"/>
        <v>0</v>
      </c>
      <c r="AI259" s="145">
        <f t="shared" ca="1" si="841"/>
        <v>0</v>
      </c>
      <c r="AJ259" s="102">
        <f t="shared" ref="AJ259:AL259" ca="1" si="866">AJ168</f>
        <v>14</v>
      </c>
      <c r="AK259" s="102">
        <f t="shared" ca="1" si="866"/>
        <v>14</v>
      </c>
      <c r="AL259" s="102">
        <f t="shared" ca="1" si="866"/>
        <v>0</v>
      </c>
      <c r="AM259" s="145">
        <f t="shared" ca="1" si="843"/>
        <v>0</v>
      </c>
      <c r="AN259" s="102">
        <f t="shared" ref="AN259:AP259" ca="1" si="867">AN168</f>
        <v>14</v>
      </c>
      <c r="AO259" s="102">
        <f t="shared" ca="1" si="867"/>
        <v>14</v>
      </c>
      <c r="AP259" s="102">
        <f t="shared" ca="1" si="867"/>
        <v>0</v>
      </c>
      <c r="AQ259" s="145">
        <f t="shared" ca="1" si="845"/>
        <v>0</v>
      </c>
      <c r="AR259" s="102">
        <f t="shared" ref="AR259:AT259" ca="1" si="868">AR168</f>
        <v>14</v>
      </c>
      <c r="AS259" s="102">
        <f t="shared" ca="1" si="868"/>
        <v>14</v>
      </c>
      <c r="AT259" s="102">
        <f t="shared" ca="1" si="868"/>
        <v>0</v>
      </c>
      <c r="AU259" s="145">
        <f t="shared" ca="1" si="847"/>
        <v>0</v>
      </c>
      <c r="AV259" s="102">
        <f t="shared" ref="AV259:AX259" ca="1" si="869">AV168</f>
        <v>14</v>
      </c>
      <c r="AW259" s="102">
        <f t="shared" ca="1" si="869"/>
        <v>14</v>
      </c>
      <c r="AX259" s="102">
        <f t="shared" ca="1" si="869"/>
        <v>0</v>
      </c>
      <c r="AY259" s="145">
        <f t="shared" ca="1" si="849"/>
        <v>0</v>
      </c>
      <c r="AZ259" s="102">
        <f t="shared" ref="AZ259:BB259" ca="1" si="870">AZ168</f>
        <v>14</v>
      </c>
      <c r="BA259" s="102">
        <f t="shared" ca="1" si="870"/>
        <v>14</v>
      </c>
      <c r="BB259" s="102">
        <f t="shared" ca="1" si="870"/>
        <v>0</v>
      </c>
      <c r="BC259" s="145">
        <f t="shared" ca="1" si="851"/>
        <v>0</v>
      </c>
      <c r="BD259" s="102">
        <f t="shared" ref="BD259:BF259" ca="1" si="871">BD168</f>
        <v>14</v>
      </c>
      <c r="BE259" s="102">
        <f t="shared" ca="1" si="871"/>
        <v>14</v>
      </c>
      <c r="BF259" s="102">
        <f t="shared" ca="1" si="871"/>
        <v>0</v>
      </c>
      <c r="BG259" s="145">
        <f t="shared" ca="1" si="853"/>
        <v>0</v>
      </c>
      <c r="BH259" s="102">
        <f t="shared" ref="BH259:BJ259" ca="1" si="872">BH168</f>
        <v>14</v>
      </c>
      <c r="BI259" s="102">
        <f t="shared" ca="1" si="872"/>
        <v>14</v>
      </c>
      <c r="BJ259" s="102">
        <f t="shared" ca="1" si="872"/>
        <v>0</v>
      </c>
      <c r="BK259" s="145">
        <f t="shared" ca="1" si="855"/>
        <v>0</v>
      </c>
      <c r="BL259" s="102">
        <f t="shared" ref="BL259:BN259" ca="1" si="873">BL168</f>
        <v>14</v>
      </c>
      <c r="BM259" s="102">
        <f t="shared" ca="1" si="873"/>
        <v>14</v>
      </c>
      <c r="BN259" s="102">
        <f t="shared" ca="1" si="873"/>
        <v>0</v>
      </c>
      <c r="BO259" s="145">
        <f t="shared" ca="1" si="857"/>
        <v>0</v>
      </c>
      <c r="BP259" s="102">
        <f t="shared" ref="BP259:BR259" ca="1" si="874">BP168</f>
        <v>14</v>
      </c>
      <c r="BQ259" s="102">
        <f t="shared" ca="1" si="874"/>
        <v>14</v>
      </c>
      <c r="BR259" s="102">
        <f t="shared" ca="1" si="874"/>
        <v>0</v>
      </c>
      <c r="BS259" s="145">
        <f t="shared" ca="1" si="859"/>
        <v>0</v>
      </c>
    </row>
    <row r="260" spans="1:72" x14ac:dyDescent="0.25">
      <c r="A260" s="98" t="s">
        <v>15</v>
      </c>
      <c r="B260" s="98"/>
      <c r="C260" s="98"/>
      <c r="D260" s="48"/>
      <c r="E260" s="48"/>
      <c r="F260" s="143" t="str">
        <f>F258</f>
        <v>Count (&gt;0)</v>
      </c>
      <c r="G260" s="144" t="s">
        <v>38</v>
      </c>
      <c r="H260" s="102">
        <f ca="1">H227</f>
        <v>22</v>
      </c>
      <c r="I260" s="102">
        <f ca="1">I227</f>
        <v>22</v>
      </c>
      <c r="J260" s="102">
        <f ca="1">J227</f>
        <v>0</v>
      </c>
      <c r="K260" s="145">
        <f ca="1">J260</f>
        <v>0</v>
      </c>
      <c r="L260" s="102">
        <f t="shared" ref="L260:N260" ca="1" si="875">L227</f>
        <v>0</v>
      </c>
      <c r="M260" s="102">
        <f t="shared" ca="1" si="875"/>
        <v>0</v>
      </c>
      <c r="N260" s="102">
        <f t="shared" ca="1" si="875"/>
        <v>0</v>
      </c>
      <c r="O260" s="145">
        <f t="shared" ca="1" si="831"/>
        <v>0</v>
      </c>
      <c r="P260" s="102">
        <f t="shared" ref="P260:R260" ca="1" si="876">P227</f>
        <v>22</v>
      </c>
      <c r="Q260" s="102">
        <f t="shared" ca="1" si="876"/>
        <v>22</v>
      </c>
      <c r="R260" s="102">
        <f t="shared" ca="1" si="876"/>
        <v>0</v>
      </c>
      <c r="S260" s="145">
        <f t="shared" ca="1" si="833"/>
        <v>0</v>
      </c>
      <c r="T260" s="102">
        <f t="shared" ref="T260:V260" ca="1" si="877">T227</f>
        <v>0</v>
      </c>
      <c r="U260" s="102">
        <f t="shared" ca="1" si="877"/>
        <v>0</v>
      </c>
      <c r="V260" s="102">
        <f t="shared" ca="1" si="877"/>
        <v>0</v>
      </c>
      <c r="W260" s="145">
        <f t="shared" ca="1" si="835"/>
        <v>0</v>
      </c>
      <c r="X260" s="102">
        <f t="shared" ref="X260:Z260" ca="1" si="878">X227</f>
        <v>22</v>
      </c>
      <c r="Y260" s="102">
        <f t="shared" ca="1" si="878"/>
        <v>22</v>
      </c>
      <c r="Z260" s="102">
        <f t="shared" ca="1" si="878"/>
        <v>0</v>
      </c>
      <c r="AA260" s="145">
        <f t="shared" ca="1" si="837"/>
        <v>0</v>
      </c>
      <c r="AB260" s="102">
        <f t="shared" ref="AB260:AD260" ca="1" si="879">AB227</f>
        <v>21</v>
      </c>
      <c r="AC260" s="102">
        <f t="shared" ca="1" si="879"/>
        <v>20</v>
      </c>
      <c r="AD260" s="102">
        <f t="shared" ca="1" si="879"/>
        <v>-1</v>
      </c>
      <c r="AE260" s="145">
        <f t="shared" ca="1" si="839"/>
        <v>-1</v>
      </c>
      <c r="AF260" s="102">
        <f t="shared" ref="AF260:AH260" ca="1" si="880">AF227</f>
        <v>22</v>
      </c>
      <c r="AG260" s="102">
        <f t="shared" ca="1" si="880"/>
        <v>22</v>
      </c>
      <c r="AH260" s="102">
        <f t="shared" ca="1" si="880"/>
        <v>0</v>
      </c>
      <c r="AI260" s="145">
        <f t="shared" ca="1" si="841"/>
        <v>0</v>
      </c>
      <c r="AJ260" s="102">
        <f t="shared" ref="AJ260:AL260" ca="1" si="881">AJ227</f>
        <v>21</v>
      </c>
      <c r="AK260" s="102">
        <f t="shared" ca="1" si="881"/>
        <v>20</v>
      </c>
      <c r="AL260" s="102">
        <f t="shared" ca="1" si="881"/>
        <v>-1</v>
      </c>
      <c r="AM260" s="145">
        <f t="shared" ca="1" si="843"/>
        <v>-1</v>
      </c>
      <c r="AN260" s="102">
        <f t="shared" ref="AN260:AP260" ca="1" si="882">AN227</f>
        <v>22</v>
      </c>
      <c r="AO260" s="102">
        <f t="shared" ca="1" si="882"/>
        <v>22</v>
      </c>
      <c r="AP260" s="102">
        <f t="shared" ca="1" si="882"/>
        <v>0</v>
      </c>
      <c r="AQ260" s="145">
        <f t="shared" ca="1" si="845"/>
        <v>0</v>
      </c>
      <c r="AR260" s="102">
        <f t="shared" ref="AR260:AT260" ca="1" si="883">AR227</f>
        <v>22</v>
      </c>
      <c r="AS260" s="102">
        <f t="shared" ca="1" si="883"/>
        <v>21</v>
      </c>
      <c r="AT260" s="102">
        <f t="shared" ca="1" si="883"/>
        <v>-1</v>
      </c>
      <c r="AU260" s="145">
        <f t="shared" ca="1" si="847"/>
        <v>-1</v>
      </c>
      <c r="AV260" s="102">
        <f t="shared" ref="AV260:AX260" ca="1" si="884">AV227</f>
        <v>22</v>
      </c>
      <c r="AW260" s="102">
        <f t="shared" ca="1" si="884"/>
        <v>22</v>
      </c>
      <c r="AX260" s="102">
        <f t="shared" ca="1" si="884"/>
        <v>0</v>
      </c>
      <c r="AY260" s="145">
        <f t="shared" ca="1" si="849"/>
        <v>0</v>
      </c>
      <c r="AZ260" s="102">
        <f t="shared" ref="AZ260:BB260" ca="1" si="885">AZ227</f>
        <v>22</v>
      </c>
      <c r="BA260" s="102">
        <f t="shared" ca="1" si="885"/>
        <v>21</v>
      </c>
      <c r="BB260" s="102">
        <f t="shared" ca="1" si="885"/>
        <v>-1</v>
      </c>
      <c r="BC260" s="145">
        <f t="shared" ca="1" si="851"/>
        <v>-1</v>
      </c>
      <c r="BD260" s="102">
        <f t="shared" ref="BD260:BF260" ca="1" si="886">BD227</f>
        <v>22</v>
      </c>
      <c r="BE260" s="102">
        <f t="shared" ca="1" si="886"/>
        <v>22</v>
      </c>
      <c r="BF260" s="102">
        <f t="shared" ca="1" si="886"/>
        <v>0</v>
      </c>
      <c r="BG260" s="145">
        <f t="shared" ca="1" si="853"/>
        <v>0</v>
      </c>
      <c r="BH260" s="102">
        <f t="shared" ref="BH260:BJ260" ca="1" si="887">BH227</f>
        <v>22</v>
      </c>
      <c r="BI260" s="102">
        <f t="shared" ca="1" si="887"/>
        <v>21</v>
      </c>
      <c r="BJ260" s="102">
        <f t="shared" ca="1" si="887"/>
        <v>-1</v>
      </c>
      <c r="BK260" s="145">
        <f t="shared" ca="1" si="855"/>
        <v>-1</v>
      </c>
      <c r="BL260" s="102">
        <f t="shared" ref="BL260:BN260" ca="1" si="888">BL227</f>
        <v>22</v>
      </c>
      <c r="BM260" s="102">
        <f t="shared" ca="1" si="888"/>
        <v>22</v>
      </c>
      <c r="BN260" s="102">
        <f t="shared" ca="1" si="888"/>
        <v>0</v>
      </c>
      <c r="BO260" s="145">
        <f t="shared" ca="1" si="857"/>
        <v>0</v>
      </c>
      <c r="BP260" s="102">
        <f t="shared" ref="BP260:BR260" ca="1" si="889">BP227</f>
        <v>22</v>
      </c>
      <c r="BQ260" s="102">
        <f t="shared" ca="1" si="889"/>
        <v>21</v>
      </c>
      <c r="BR260" s="102">
        <f t="shared" ca="1" si="889"/>
        <v>-1</v>
      </c>
      <c r="BS260" s="145">
        <f t="shared" ca="1" si="859"/>
        <v>-1</v>
      </c>
    </row>
    <row r="261" spans="1:72" ht="13.8" thickBot="1" x14ac:dyDescent="0.3">
      <c r="A261" s="146" t="s">
        <v>15</v>
      </c>
      <c r="B261" s="146"/>
      <c r="C261" s="146"/>
      <c r="D261" s="147"/>
      <c r="E261" s="147"/>
      <c r="F261" s="148" t="str">
        <f>F258</f>
        <v>Count (&gt;0)</v>
      </c>
      <c r="G261" s="149" t="s">
        <v>41</v>
      </c>
      <c r="H261" s="150">
        <f ca="1">SUM(H258:H260)</f>
        <v>98</v>
      </c>
      <c r="I261" s="150">
        <f ca="1">SUM(I258:I260)</f>
        <v>98</v>
      </c>
      <c r="J261" s="150">
        <f ca="1">SUM(J258:J260)</f>
        <v>0</v>
      </c>
      <c r="K261" s="151">
        <f ca="1">J261</f>
        <v>0</v>
      </c>
      <c r="L261" s="150">
        <f t="shared" ref="L261:N261" ca="1" si="890">SUM(L258:L260)</f>
        <v>0</v>
      </c>
      <c r="M261" s="150">
        <f t="shared" ca="1" si="890"/>
        <v>0</v>
      </c>
      <c r="N261" s="150">
        <f t="shared" ca="1" si="890"/>
        <v>0</v>
      </c>
      <c r="O261" s="151">
        <f t="shared" ca="1" si="831"/>
        <v>0</v>
      </c>
      <c r="P261" s="150">
        <f t="shared" ref="P261:R261" ca="1" si="891">SUM(P258:P260)</f>
        <v>98</v>
      </c>
      <c r="Q261" s="150">
        <f t="shared" ca="1" si="891"/>
        <v>98</v>
      </c>
      <c r="R261" s="150">
        <f t="shared" ca="1" si="891"/>
        <v>0</v>
      </c>
      <c r="S261" s="151">
        <f t="shared" ca="1" si="833"/>
        <v>0</v>
      </c>
      <c r="T261" s="150">
        <f t="shared" ref="T261:V261" ca="1" si="892">SUM(T258:T260)</f>
        <v>23</v>
      </c>
      <c r="U261" s="150">
        <f t="shared" ca="1" si="892"/>
        <v>5</v>
      </c>
      <c r="V261" s="150">
        <f t="shared" ca="1" si="892"/>
        <v>-18</v>
      </c>
      <c r="W261" s="151">
        <f t="shared" ca="1" si="835"/>
        <v>-18</v>
      </c>
      <c r="X261" s="150">
        <f t="shared" ref="X261:Z261" ca="1" si="893">SUM(X258:X260)</f>
        <v>98</v>
      </c>
      <c r="Y261" s="150">
        <f t="shared" ca="1" si="893"/>
        <v>98</v>
      </c>
      <c r="Z261" s="150">
        <f t="shared" ca="1" si="893"/>
        <v>0</v>
      </c>
      <c r="AA261" s="151">
        <f t="shared" ca="1" si="837"/>
        <v>0</v>
      </c>
      <c r="AB261" s="150">
        <f t="shared" ref="AB261:AD261" ca="1" si="894">SUM(AB258:AB260)</f>
        <v>93</v>
      </c>
      <c r="AC261" s="150">
        <f t="shared" ca="1" si="894"/>
        <v>90</v>
      </c>
      <c r="AD261" s="150">
        <f t="shared" ca="1" si="894"/>
        <v>-3</v>
      </c>
      <c r="AE261" s="151">
        <f t="shared" ca="1" si="839"/>
        <v>-3</v>
      </c>
      <c r="AF261" s="150">
        <f t="shared" ref="AF261:AH261" ca="1" si="895">SUM(AF258:AF260)</f>
        <v>98</v>
      </c>
      <c r="AG261" s="150">
        <f t="shared" ca="1" si="895"/>
        <v>98</v>
      </c>
      <c r="AH261" s="150">
        <f t="shared" ca="1" si="895"/>
        <v>0</v>
      </c>
      <c r="AI261" s="151">
        <f t="shared" ca="1" si="841"/>
        <v>0</v>
      </c>
      <c r="AJ261" s="150">
        <f t="shared" ref="AJ261:AL261" ca="1" si="896">SUM(AJ258:AJ260)</f>
        <v>97</v>
      </c>
      <c r="AK261" s="150">
        <f t="shared" ca="1" si="896"/>
        <v>94</v>
      </c>
      <c r="AL261" s="150">
        <f t="shared" ca="1" si="896"/>
        <v>-3</v>
      </c>
      <c r="AM261" s="151">
        <f t="shared" ca="1" si="843"/>
        <v>-3</v>
      </c>
      <c r="AN261" s="150">
        <f t="shared" ref="AN261:AP261" ca="1" si="897">SUM(AN258:AN260)</f>
        <v>98</v>
      </c>
      <c r="AO261" s="150">
        <f t="shared" ca="1" si="897"/>
        <v>98</v>
      </c>
      <c r="AP261" s="150">
        <f t="shared" ca="1" si="897"/>
        <v>0</v>
      </c>
      <c r="AQ261" s="151">
        <f t="shared" ca="1" si="845"/>
        <v>0</v>
      </c>
      <c r="AR261" s="150">
        <f t="shared" ref="AR261:AT261" ca="1" si="898">SUM(AR258:AR260)</f>
        <v>98</v>
      </c>
      <c r="AS261" s="150">
        <f t="shared" ca="1" si="898"/>
        <v>95</v>
      </c>
      <c r="AT261" s="150">
        <f t="shared" ca="1" si="898"/>
        <v>-3</v>
      </c>
      <c r="AU261" s="151">
        <f t="shared" ca="1" si="847"/>
        <v>-3</v>
      </c>
      <c r="AV261" s="150">
        <f t="shared" ref="AV261:AX261" ca="1" si="899">SUM(AV258:AV260)</f>
        <v>98</v>
      </c>
      <c r="AW261" s="150">
        <f t="shared" ca="1" si="899"/>
        <v>98</v>
      </c>
      <c r="AX261" s="150">
        <f t="shared" ca="1" si="899"/>
        <v>0</v>
      </c>
      <c r="AY261" s="151">
        <f t="shared" ca="1" si="849"/>
        <v>0</v>
      </c>
      <c r="AZ261" s="150">
        <f t="shared" ref="AZ261:BB261" ca="1" si="900">SUM(AZ258:AZ260)</f>
        <v>98</v>
      </c>
      <c r="BA261" s="150">
        <f t="shared" ca="1" si="900"/>
        <v>96</v>
      </c>
      <c r="BB261" s="150">
        <f t="shared" ca="1" si="900"/>
        <v>-2</v>
      </c>
      <c r="BC261" s="151">
        <f t="shared" ca="1" si="851"/>
        <v>-2</v>
      </c>
      <c r="BD261" s="150">
        <f t="shared" ref="BD261:BF261" ca="1" si="901">SUM(BD258:BD260)</f>
        <v>98</v>
      </c>
      <c r="BE261" s="150">
        <f t="shared" ca="1" si="901"/>
        <v>98</v>
      </c>
      <c r="BF261" s="150">
        <f t="shared" ca="1" si="901"/>
        <v>0</v>
      </c>
      <c r="BG261" s="151">
        <f t="shared" ca="1" si="853"/>
        <v>0</v>
      </c>
      <c r="BH261" s="150">
        <f t="shared" ref="BH261:BJ261" ca="1" si="902">SUM(BH258:BH260)</f>
        <v>98</v>
      </c>
      <c r="BI261" s="150">
        <f t="shared" ca="1" si="902"/>
        <v>96</v>
      </c>
      <c r="BJ261" s="150">
        <f t="shared" ca="1" si="902"/>
        <v>-2</v>
      </c>
      <c r="BK261" s="151">
        <f t="shared" ca="1" si="855"/>
        <v>-2</v>
      </c>
      <c r="BL261" s="150">
        <f t="shared" ref="BL261:BN261" ca="1" si="903">SUM(BL258:BL260)</f>
        <v>98</v>
      </c>
      <c r="BM261" s="150">
        <f t="shared" ca="1" si="903"/>
        <v>98</v>
      </c>
      <c r="BN261" s="150">
        <f t="shared" ca="1" si="903"/>
        <v>0</v>
      </c>
      <c r="BO261" s="151">
        <f t="shared" ca="1" si="857"/>
        <v>0</v>
      </c>
      <c r="BP261" s="150">
        <f t="shared" ref="BP261:BR261" ca="1" si="904">SUM(BP258:BP260)</f>
        <v>98</v>
      </c>
      <c r="BQ261" s="150">
        <f t="shared" ca="1" si="904"/>
        <v>96</v>
      </c>
      <c r="BR261" s="150">
        <f t="shared" ca="1" si="904"/>
        <v>-2</v>
      </c>
      <c r="BS261" s="151">
        <f t="shared" ca="1" si="859"/>
        <v>-2</v>
      </c>
      <c r="BT261" s="152"/>
    </row>
    <row r="262" spans="1:72" x14ac:dyDescent="0.25">
      <c r="A262" s="98" t="s">
        <v>15</v>
      </c>
      <c r="B262" s="98"/>
      <c r="C262" s="98"/>
      <c r="D262" s="48"/>
      <c r="E262" s="48"/>
      <c r="F262" s="48" t="str">
        <f>$F$100</f>
        <v>Average</v>
      </c>
      <c r="G262" s="141" t="s">
        <v>17</v>
      </c>
      <c r="H262" s="99">
        <f ca="1">H100</f>
        <v>3564185.0572241936</v>
      </c>
      <c r="I262" s="99">
        <f ca="1">I100</f>
        <v>2301291.4230096778</v>
      </c>
      <c r="J262" s="99">
        <f ca="1">SUM(I262,-H262)</f>
        <v>-1262893.6342145158</v>
      </c>
      <c r="K262" s="142">
        <f t="shared" ref="K262:K269" ca="1" si="905">SUM(J262)</f>
        <v>-1262893.6342145158</v>
      </c>
      <c r="L262" s="99">
        <f t="shared" ref="L262:M262" ca="1" si="906">L100</f>
        <v>0</v>
      </c>
      <c r="M262" s="99">
        <f t="shared" ca="1" si="906"/>
        <v>0</v>
      </c>
      <c r="N262" s="99">
        <f t="shared" ref="N262:N265" ca="1" si="907">SUM(M262,-L262)</f>
        <v>0</v>
      </c>
      <c r="O262" s="142">
        <f t="shared" ref="O262:O269" ca="1" si="908">SUM(N262)</f>
        <v>0</v>
      </c>
      <c r="P262" s="99">
        <f t="shared" ref="P262:Q262" ca="1" si="909">P100</f>
        <v>13745357.047661295</v>
      </c>
      <c r="Q262" s="99">
        <f t="shared" ca="1" si="909"/>
        <v>10547550.483322581</v>
      </c>
      <c r="R262" s="99">
        <f t="shared" ref="R262:R265" ca="1" si="910">SUM(Q262,-P262)</f>
        <v>-3197806.5643387139</v>
      </c>
      <c r="S262" s="142">
        <f t="shared" ref="S262:S269" ca="1" si="911">SUM(R262)</f>
        <v>-3197806.5643387139</v>
      </c>
      <c r="T262" s="99">
        <f t="shared" ref="T262:U262" ca="1" si="912">T100</f>
        <v>3068002.9639210515</v>
      </c>
      <c r="U262" s="99">
        <f t="shared" ca="1" si="912"/>
        <v>4087615.2613400035</v>
      </c>
      <c r="V262" s="99">
        <f t="shared" ref="V262:V265" ca="1" si="913">SUM(U262,-T262)</f>
        <v>1019612.297418952</v>
      </c>
      <c r="W262" s="142">
        <f t="shared" ref="W262:W269" ca="1" si="914">SUM(V262)</f>
        <v>1019612.297418952</v>
      </c>
      <c r="X262" s="99">
        <f t="shared" ref="X262:Y262" ca="1" si="915">X100</f>
        <v>25065799.055230629</v>
      </c>
      <c r="Y262" s="99">
        <f t="shared" ca="1" si="915"/>
        <v>20359704.815687098</v>
      </c>
      <c r="Z262" s="99">
        <f t="shared" ref="Z262:Z265" ca="1" si="916">SUM(Y262,-X262)</f>
        <v>-4706094.2395435311</v>
      </c>
      <c r="AA262" s="142">
        <f t="shared" ref="AA262:AA269" ca="1" si="917">SUM(Z262)</f>
        <v>-4706094.2395435311</v>
      </c>
      <c r="AB262" s="99">
        <f t="shared" ref="AB262:AC262" ca="1" si="918">AB100</f>
        <v>10875826.141270686</v>
      </c>
      <c r="AC262" s="99">
        <f t="shared" ca="1" si="918"/>
        <v>6400259.589310714</v>
      </c>
      <c r="AD262" s="99">
        <f t="shared" ref="AD262:AD265" ca="1" si="919">SUM(AC262,-AB262)</f>
        <v>-4475566.5519599719</v>
      </c>
      <c r="AE262" s="142">
        <f t="shared" ref="AE262:AE269" ca="1" si="920">SUM(AD262)</f>
        <v>-4475566.5519599719</v>
      </c>
      <c r="AF262" s="99">
        <f t="shared" ref="AF262:AG262" ca="1" si="921">AF100</f>
        <v>36230936.288958073</v>
      </c>
      <c r="AG262" s="99">
        <f t="shared" ca="1" si="921"/>
        <v>30180416.612466123</v>
      </c>
      <c r="AH262" s="99">
        <f t="shared" ref="AH262:AH265" ca="1" si="922">SUM(AG262,-AF262)</f>
        <v>-6050519.6764919497</v>
      </c>
      <c r="AI262" s="142">
        <f t="shared" ref="AI262:AI269" ca="1" si="923">SUM(AH262)</f>
        <v>-6050519.6764919497</v>
      </c>
      <c r="AJ262" s="99">
        <f t="shared" ref="AJ262:AK262" ca="1" si="924">AJ100</f>
        <v>21230936.288958061</v>
      </c>
      <c r="AK262" s="99">
        <f t="shared" ca="1" si="924"/>
        <v>16011398.838718334</v>
      </c>
      <c r="AL262" s="99">
        <f t="shared" ref="AL262:AL265" ca="1" si="925">SUM(AK262,-AJ262)</f>
        <v>-5219537.4502397273</v>
      </c>
      <c r="AM262" s="142">
        <f t="shared" ref="AM262:AM269" ca="1" si="926">SUM(AL262)</f>
        <v>-5219537.4502397273</v>
      </c>
      <c r="AN262" s="99">
        <f t="shared" ref="AN262:AO262" ca="1" si="927">AN100</f>
        <v>56565069.855066136</v>
      </c>
      <c r="AO262" s="99">
        <f t="shared" ca="1" si="927"/>
        <v>48705869.195554823</v>
      </c>
      <c r="AP262" s="99">
        <f t="shared" ref="AP262:AP265" ca="1" si="928">SUM(AO262,-AN262)</f>
        <v>-7859200.6595113128</v>
      </c>
      <c r="AQ262" s="142">
        <f t="shared" ref="AQ262:AQ269" ca="1" si="929">SUM(AP262)</f>
        <v>-7859200.6595113128</v>
      </c>
      <c r="AR262" s="99">
        <f t="shared" ref="AR262:AS262" ca="1" si="930">AR100</f>
        <v>41565069.855066136</v>
      </c>
      <c r="AS262" s="99">
        <f t="shared" ca="1" si="930"/>
        <v>35018700.264605001</v>
      </c>
      <c r="AT262" s="99">
        <f t="shared" ref="AT262:AT265" ca="1" si="931">SUM(AS262,-AR262)</f>
        <v>-6546369.5904611349</v>
      </c>
      <c r="AU262" s="142">
        <f t="shared" ref="AU262:AU269" ca="1" si="932">SUM(AT262)</f>
        <v>-6546369.5904611349</v>
      </c>
      <c r="AV262" s="99">
        <f t="shared" ref="AV262:AW262" ca="1" si="933">AV100</f>
        <v>70801175.486101598</v>
      </c>
      <c r="AW262" s="99">
        <f t="shared" ca="1" si="933"/>
        <v>61938388.30375164</v>
      </c>
      <c r="AX262" s="99">
        <f t="shared" ref="AX262:AX265" ca="1" si="934">SUM(AW262,-AV262)</f>
        <v>-8862787.1823499575</v>
      </c>
      <c r="AY262" s="142">
        <f t="shared" ref="AY262:AY269" ca="1" si="935">SUM(AX262)</f>
        <v>-8862787.1823499575</v>
      </c>
      <c r="AZ262" s="99">
        <f t="shared" ref="AZ262:BA262" ca="1" si="936">AZ100</f>
        <v>55801175.486101605</v>
      </c>
      <c r="BA262" s="99">
        <f t="shared" ca="1" si="936"/>
        <v>47879381.34973444</v>
      </c>
      <c r="BB262" s="99">
        <f t="shared" ref="BB262:BB265" ca="1" si="937">SUM(BA262,-AZ262)</f>
        <v>-7921794.1363671646</v>
      </c>
      <c r="BC262" s="142">
        <f t="shared" ref="BC262:BC269" ca="1" si="938">SUM(BB262)</f>
        <v>-7921794.1363671646</v>
      </c>
      <c r="BD262" s="99">
        <f t="shared" ref="BD262:BE262" ca="1" si="939">BD100</f>
        <v>78888062.075816125</v>
      </c>
      <c r="BE262" s="99">
        <f t="shared" ca="1" si="939"/>
        <v>69460983.805543527</v>
      </c>
      <c r="BF262" s="99">
        <f t="shared" ref="BF262:BF265" ca="1" si="940">SUM(BE262,-BD262)</f>
        <v>-9427078.2702725977</v>
      </c>
      <c r="BG262" s="142">
        <f t="shared" ref="BG262:BG269" ca="1" si="941">SUM(BF262)</f>
        <v>-9427078.2702725977</v>
      </c>
      <c r="BH262" s="99">
        <f t="shared" ref="BH262:BI262" ca="1" si="942">BH100</f>
        <v>63888062.075816117</v>
      </c>
      <c r="BI262" s="99">
        <f t="shared" ca="1" si="942"/>
        <v>55525298.089260653</v>
      </c>
      <c r="BJ262" s="99">
        <f t="shared" ref="BJ262:BJ265" ca="1" si="943">SUM(BI262,-BH262)</f>
        <v>-8362763.9865554646</v>
      </c>
      <c r="BK262" s="142">
        <f t="shared" ref="BK262:BK269" ca="1" si="944">SUM(BJ262)</f>
        <v>-8362763.9865554646</v>
      </c>
      <c r="BL262" s="99">
        <f t="shared" ref="BL262:BM262" ca="1" si="945">BL100</f>
        <v>79855789.153077409</v>
      </c>
      <c r="BM262" s="99">
        <f t="shared" ca="1" si="945"/>
        <v>70362938.796679035</v>
      </c>
      <c r="BN262" s="99">
        <f t="shared" ref="BN262:BN265" ca="1" si="946">SUM(BM262,-BL262)</f>
        <v>-9492850.3563983738</v>
      </c>
      <c r="BO262" s="142">
        <f t="shared" ref="BO262:BO269" ca="1" si="947">SUM(BN262)</f>
        <v>-9492850.3563983738</v>
      </c>
      <c r="BP262" s="99">
        <f t="shared" ref="BP262:BQ262" ca="1" si="948">BP100</f>
        <v>64855789.153077409</v>
      </c>
      <c r="BQ262" s="99">
        <f t="shared" ca="1" si="948"/>
        <v>56442039.227791801</v>
      </c>
      <c r="BR262" s="99">
        <f t="shared" ref="BR262:BR265" ca="1" si="949">SUM(BQ262,-BP262)</f>
        <v>-8413749.9252856076</v>
      </c>
      <c r="BS262" s="142">
        <f t="shared" ref="BS262:BS269" ca="1" si="950">SUM(BR262)</f>
        <v>-8413749.9252856076</v>
      </c>
    </row>
    <row r="263" spans="1:72" x14ac:dyDescent="0.25">
      <c r="A263" s="98" t="s">
        <v>15</v>
      </c>
      <c r="B263" s="98"/>
      <c r="C263" s="98"/>
      <c r="D263" s="48"/>
      <c r="E263" s="48"/>
      <c r="F263" s="143" t="str">
        <f>F262</f>
        <v>Average</v>
      </c>
      <c r="G263" s="144" t="s">
        <v>36</v>
      </c>
      <c r="H263" s="102">
        <f ca="1">H169</f>
        <v>3305603.8764642859</v>
      </c>
      <c r="I263" s="102">
        <f ca="1">I169</f>
        <v>2319949.4162499998</v>
      </c>
      <c r="J263" s="102">
        <f ca="1">SUM(I263,-H263)</f>
        <v>-985654.46021428611</v>
      </c>
      <c r="K263" s="145">
        <f t="shared" ca="1" si="905"/>
        <v>-985654.46021428611</v>
      </c>
      <c r="L263" s="102">
        <f t="shared" ref="L263:M263" ca="1" si="951">L169</f>
        <v>0</v>
      </c>
      <c r="M263" s="102">
        <f t="shared" ca="1" si="951"/>
        <v>0</v>
      </c>
      <c r="N263" s="102">
        <f t="shared" ca="1" si="907"/>
        <v>0</v>
      </c>
      <c r="O263" s="145">
        <f t="shared" ca="1" si="908"/>
        <v>0</v>
      </c>
      <c r="P263" s="102">
        <f t="shared" ref="P263:Q263" ca="1" si="952">P169</f>
        <v>12786318.802735716</v>
      </c>
      <c r="Q263" s="102">
        <f t="shared" ca="1" si="952"/>
        <v>10962407.540014287</v>
      </c>
      <c r="R263" s="102">
        <f t="shared" ca="1" si="910"/>
        <v>-1823911.2627214286</v>
      </c>
      <c r="S263" s="145">
        <f t="shared" ca="1" si="911"/>
        <v>-1823911.2627214286</v>
      </c>
      <c r="T263" s="102">
        <f t="shared" ref="T263:U263" ca="1" si="953">T169</f>
        <v>1597643.5155249997</v>
      </c>
      <c r="U263" s="102">
        <f t="shared" ca="1" si="953"/>
        <v>0</v>
      </c>
      <c r="V263" s="102">
        <f t="shared" ca="1" si="913"/>
        <v>-1597643.5155249997</v>
      </c>
      <c r="W263" s="145">
        <f t="shared" ca="1" si="914"/>
        <v>-1597643.5155249997</v>
      </c>
      <c r="X263" s="102">
        <f t="shared" ref="X263:Y263" ca="1" si="954">X169</f>
        <v>24045712.640692856</v>
      </c>
      <c r="Y263" s="102">
        <f t="shared" ca="1" si="954"/>
        <v>21143999.982921429</v>
      </c>
      <c r="Z263" s="102">
        <f t="shared" ca="1" si="916"/>
        <v>-2901712.6577714272</v>
      </c>
      <c r="AA263" s="145">
        <f t="shared" ca="1" si="917"/>
        <v>-2901712.6577714272</v>
      </c>
      <c r="AB263" s="102">
        <f t="shared" ref="AB263:AC263" ca="1" si="955">AB169</f>
        <v>9045712.6406928543</v>
      </c>
      <c r="AC263" s="102">
        <f t="shared" ca="1" si="955"/>
        <v>6143999.982921428</v>
      </c>
      <c r="AD263" s="102">
        <f t="shared" ca="1" si="919"/>
        <v>-2901712.6577714263</v>
      </c>
      <c r="AE263" s="145">
        <f t="shared" ca="1" si="920"/>
        <v>-2901712.6577714263</v>
      </c>
      <c r="AF263" s="102">
        <f t="shared" ref="AF263:AG263" ca="1" si="956">AF169</f>
        <v>35132431.813442856</v>
      </c>
      <c r="AG263" s="102">
        <f t="shared" ca="1" si="956"/>
        <v>31310979.971785713</v>
      </c>
      <c r="AH263" s="102">
        <f t="shared" ca="1" si="922"/>
        <v>-3821451.8416571431</v>
      </c>
      <c r="AI263" s="145">
        <f t="shared" ca="1" si="923"/>
        <v>-3821451.8416571431</v>
      </c>
      <c r="AJ263" s="102">
        <f t="shared" ref="AJ263:AK263" ca="1" si="957">AJ169</f>
        <v>20132431.81344286</v>
      </c>
      <c r="AK263" s="102">
        <f t="shared" ca="1" si="957"/>
        <v>16310979.971785715</v>
      </c>
      <c r="AL263" s="102">
        <f t="shared" ca="1" si="925"/>
        <v>-3821451.8416571449</v>
      </c>
      <c r="AM263" s="145">
        <f t="shared" ca="1" si="926"/>
        <v>-3821451.8416571449</v>
      </c>
      <c r="AN263" s="102">
        <f t="shared" ref="AN263:AO263" ca="1" si="958">AN169</f>
        <v>56072862.015185714</v>
      </c>
      <c r="AO263" s="102">
        <f t="shared" ca="1" si="958"/>
        <v>52385776.574599989</v>
      </c>
      <c r="AP263" s="102">
        <f t="shared" ca="1" si="928"/>
        <v>-3687085.440585725</v>
      </c>
      <c r="AQ263" s="145">
        <f t="shared" ca="1" si="929"/>
        <v>-3687085.440585725</v>
      </c>
      <c r="AR263" s="102">
        <f t="shared" ref="AR263:AS263" ca="1" si="959">AR169</f>
        <v>41072862.015185714</v>
      </c>
      <c r="AS263" s="102">
        <f t="shared" ca="1" si="959"/>
        <v>37385776.574600004</v>
      </c>
      <c r="AT263" s="102">
        <f t="shared" ca="1" si="931"/>
        <v>-3687085.4405857101</v>
      </c>
      <c r="AU263" s="145">
        <f t="shared" ca="1" si="932"/>
        <v>-3687085.4405857101</v>
      </c>
      <c r="AV263" s="102">
        <f t="shared" ref="AV263:AW263" ca="1" si="960">AV169</f>
        <v>67813741.694542855</v>
      </c>
      <c r="AW263" s="102">
        <f t="shared" ca="1" si="960"/>
        <v>64103149.068757154</v>
      </c>
      <c r="AX263" s="102">
        <f t="shared" ca="1" si="934"/>
        <v>-3710592.625785701</v>
      </c>
      <c r="AY263" s="145">
        <f t="shared" ca="1" si="935"/>
        <v>-3710592.625785701</v>
      </c>
      <c r="AZ263" s="102">
        <f t="shared" ref="AZ263:BA263" ca="1" si="961">AZ169</f>
        <v>52813741.694542862</v>
      </c>
      <c r="BA263" s="102">
        <f t="shared" ca="1" si="961"/>
        <v>49103149.068757154</v>
      </c>
      <c r="BB263" s="102">
        <f t="shared" ca="1" si="937"/>
        <v>-3710592.6257857084</v>
      </c>
      <c r="BC263" s="145">
        <f t="shared" ca="1" si="938"/>
        <v>-3710592.6257857084</v>
      </c>
      <c r="BD263" s="102">
        <f t="shared" ref="BD263:BE263" ca="1" si="962">BD169</f>
        <v>70239661.763485715</v>
      </c>
      <c r="BE263" s="102">
        <f t="shared" ca="1" si="962"/>
        <v>66375834.895842865</v>
      </c>
      <c r="BF263" s="102">
        <f t="shared" ca="1" si="940"/>
        <v>-3863826.8676428497</v>
      </c>
      <c r="BG263" s="145">
        <f t="shared" ca="1" si="941"/>
        <v>-3863826.8676428497</v>
      </c>
      <c r="BH263" s="102">
        <f t="shared" ref="BH263:BI263" ca="1" si="963">BH169</f>
        <v>55239661.763485715</v>
      </c>
      <c r="BI263" s="102">
        <f t="shared" ca="1" si="963"/>
        <v>51375834.895842865</v>
      </c>
      <c r="BJ263" s="102">
        <f t="shared" ca="1" si="943"/>
        <v>-3863826.8676428497</v>
      </c>
      <c r="BK263" s="145">
        <f t="shared" ca="1" si="944"/>
        <v>-3863826.8676428497</v>
      </c>
      <c r="BL263" s="102">
        <f t="shared" ref="BL263:BM263" ca="1" si="964">BL169</f>
        <v>70239661.763485715</v>
      </c>
      <c r="BM263" s="102">
        <f t="shared" ca="1" si="964"/>
        <v>66375834.895842873</v>
      </c>
      <c r="BN263" s="102">
        <f t="shared" ca="1" si="946"/>
        <v>-3863826.8676428422</v>
      </c>
      <c r="BO263" s="145">
        <f t="shared" ca="1" si="947"/>
        <v>-3863826.8676428422</v>
      </c>
      <c r="BP263" s="102">
        <f t="shared" ref="BP263:BQ263" ca="1" si="965">BP169</f>
        <v>55239661.763485715</v>
      </c>
      <c r="BQ263" s="102">
        <f t="shared" ca="1" si="965"/>
        <v>51375834.895842858</v>
      </c>
      <c r="BR263" s="102">
        <f t="shared" ca="1" si="949"/>
        <v>-3863826.8676428571</v>
      </c>
      <c r="BS263" s="145">
        <f t="shared" ca="1" si="950"/>
        <v>-3863826.8676428571</v>
      </c>
    </row>
    <row r="264" spans="1:72" x14ac:dyDescent="0.25">
      <c r="A264" s="98" t="s">
        <v>15</v>
      </c>
      <c r="B264" s="98"/>
      <c r="C264" s="98"/>
      <c r="D264" s="48"/>
      <c r="E264" s="48"/>
      <c r="F264" s="143" t="str">
        <f>F262</f>
        <v>Average</v>
      </c>
      <c r="G264" s="144" t="s">
        <v>38</v>
      </c>
      <c r="H264" s="102">
        <f ca="1">H228</f>
        <v>1640221.2726863637</v>
      </c>
      <c r="I264" s="102">
        <f ca="1">I228</f>
        <v>1669380.4947545456</v>
      </c>
      <c r="J264" s="102">
        <f ca="1">SUM(I264,-H264)</f>
        <v>29159.22206818196</v>
      </c>
      <c r="K264" s="145">
        <f t="shared" ca="1" si="905"/>
        <v>29159.22206818196</v>
      </c>
      <c r="L264" s="102">
        <f t="shared" ref="L264:M264" ca="1" si="966">L228</f>
        <v>0</v>
      </c>
      <c r="M264" s="102">
        <f t="shared" ca="1" si="966"/>
        <v>0</v>
      </c>
      <c r="N264" s="102">
        <f t="shared" ca="1" si="907"/>
        <v>0</v>
      </c>
      <c r="O264" s="145">
        <f t="shared" ca="1" si="908"/>
        <v>0</v>
      </c>
      <c r="P264" s="102">
        <f t="shared" ref="P264:Q264" ca="1" si="967">P228</f>
        <v>10574366.398681821</v>
      </c>
      <c r="Q264" s="102">
        <f t="shared" ca="1" si="967"/>
        <v>10020715.268636364</v>
      </c>
      <c r="R264" s="102">
        <f t="shared" ca="1" si="910"/>
        <v>-553651.13004545681</v>
      </c>
      <c r="S264" s="145">
        <f t="shared" ca="1" si="911"/>
        <v>-553651.13004545681</v>
      </c>
      <c r="T264" s="102">
        <f t="shared" ref="T264:U264" ca="1" si="968">T228</f>
        <v>0</v>
      </c>
      <c r="U264" s="102">
        <f t="shared" ca="1" si="968"/>
        <v>0</v>
      </c>
      <c r="V264" s="102">
        <f t="shared" ca="1" si="913"/>
        <v>0</v>
      </c>
      <c r="W264" s="145">
        <f t="shared" ca="1" si="914"/>
        <v>0</v>
      </c>
      <c r="X264" s="102">
        <f t="shared" ref="X264:Y264" ca="1" si="969">X228</f>
        <v>20690901.058786366</v>
      </c>
      <c r="Y264" s="102">
        <f t="shared" ca="1" si="969"/>
        <v>20057107.783677272</v>
      </c>
      <c r="Z264" s="102">
        <f t="shared" ca="1" si="916"/>
        <v>-633793.27510909364</v>
      </c>
      <c r="AA264" s="145">
        <f t="shared" ca="1" si="917"/>
        <v>-633793.27510909364</v>
      </c>
      <c r="AB264" s="102">
        <f t="shared" ref="AB264:AC264" ca="1" si="970">AB228</f>
        <v>6367553.0604380947</v>
      </c>
      <c r="AC264" s="102">
        <f t="shared" ca="1" si="970"/>
        <v>6593855.315779998</v>
      </c>
      <c r="AD264" s="102">
        <f t="shared" ca="1" si="919"/>
        <v>226302.25534190331</v>
      </c>
      <c r="AE264" s="145">
        <f t="shared" ca="1" si="920"/>
        <v>226302.25534190331</v>
      </c>
      <c r="AF264" s="102">
        <f t="shared" ref="AF264:AG264" ca="1" si="971">AF228</f>
        <v>31793575.646686375</v>
      </c>
      <c r="AG264" s="102">
        <f t="shared" ca="1" si="971"/>
        <v>31156725.874036368</v>
      </c>
      <c r="AH264" s="102">
        <f t="shared" ca="1" si="922"/>
        <v>-636849.77265000716</v>
      </c>
      <c r="AI264" s="145">
        <f t="shared" ca="1" si="923"/>
        <v>-636849.77265000716</v>
      </c>
      <c r="AJ264" s="102">
        <f t="shared" ref="AJ264:AK264" ca="1" si="972">AJ228</f>
        <v>17835057.18960952</v>
      </c>
      <c r="AK264" s="102">
        <f t="shared" ca="1" si="972"/>
        <v>18530150.122634999</v>
      </c>
      <c r="AL264" s="102">
        <f t="shared" ca="1" si="925"/>
        <v>695092.93302547932</v>
      </c>
      <c r="AM264" s="145">
        <f t="shared" ca="1" si="926"/>
        <v>695092.93302547932</v>
      </c>
      <c r="AN264" s="102">
        <f t="shared" ref="AN264:AO264" ca="1" si="973">AN228</f>
        <v>53543703.599981815</v>
      </c>
      <c r="AO264" s="102">
        <f t="shared" ca="1" si="973"/>
        <v>53467036.173404552</v>
      </c>
      <c r="AP264" s="102">
        <f t="shared" ca="1" si="928"/>
        <v>-76667.42657726258</v>
      </c>
      <c r="AQ264" s="145">
        <f t="shared" ca="1" si="929"/>
        <v>-76667.42657726258</v>
      </c>
      <c r="AR264" s="102">
        <f t="shared" ref="AR264:AS264" ca="1" si="974">AR228</f>
        <v>38543703.599981815</v>
      </c>
      <c r="AS264" s="102">
        <f t="shared" ca="1" si="974"/>
        <v>41002626.60609524</v>
      </c>
      <c r="AT264" s="102">
        <f t="shared" ca="1" si="931"/>
        <v>2458923.0061134249</v>
      </c>
      <c r="AU264" s="145">
        <f t="shared" ca="1" si="932"/>
        <v>2458923.0061134249</v>
      </c>
      <c r="AV264" s="102">
        <f t="shared" ref="AV264:AW264" ca="1" si="975">AV228</f>
        <v>69593080.526795477</v>
      </c>
      <c r="AW264" s="102">
        <f t="shared" ca="1" si="975"/>
        <v>69631259.720790908</v>
      </c>
      <c r="AX264" s="102">
        <f t="shared" ca="1" si="934"/>
        <v>38179.193995431066</v>
      </c>
      <c r="AY264" s="145">
        <f t="shared" ca="1" si="935"/>
        <v>38179.193995431066</v>
      </c>
      <c r="AZ264" s="102">
        <f t="shared" ref="AZ264:BA264" ca="1" si="976">AZ228</f>
        <v>54593080.526795454</v>
      </c>
      <c r="BA264" s="102">
        <f t="shared" ca="1" si="976"/>
        <v>57935679.083328553</v>
      </c>
      <c r="BB264" s="102">
        <f t="shared" ca="1" si="937"/>
        <v>3342598.5565330982</v>
      </c>
      <c r="BC264" s="145">
        <f t="shared" ca="1" si="938"/>
        <v>3342598.5565330982</v>
      </c>
      <c r="BD264" s="102">
        <f t="shared" ref="BD264:BE264" ca="1" si="977">BD228</f>
        <v>77788047.488068178</v>
      </c>
      <c r="BE264" s="102">
        <f t="shared" ca="1" si="977"/>
        <v>77609924.54094547</v>
      </c>
      <c r="BF264" s="102">
        <f t="shared" ca="1" si="940"/>
        <v>-178122.94712270796</v>
      </c>
      <c r="BG264" s="145">
        <f t="shared" ca="1" si="941"/>
        <v>-178122.94712270796</v>
      </c>
      <c r="BH264" s="102">
        <f t="shared" ref="BH264:BI264" ca="1" si="978">BH228</f>
        <v>62788047.488068178</v>
      </c>
      <c r="BI264" s="102">
        <f t="shared" ca="1" si="978"/>
        <v>66294280.323490486</v>
      </c>
      <c r="BJ264" s="102">
        <f t="shared" ca="1" si="943"/>
        <v>3506232.8354223073</v>
      </c>
      <c r="BK264" s="145">
        <f t="shared" ca="1" si="944"/>
        <v>3506232.8354223073</v>
      </c>
      <c r="BL264" s="102">
        <f t="shared" ref="BL264:BM264" ca="1" si="979">BL228</f>
        <v>82286263.649636373</v>
      </c>
      <c r="BM264" s="102">
        <f t="shared" ca="1" si="979"/>
        <v>81290981.83829093</v>
      </c>
      <c r="BN264" s="102">
        <f t="shared" ca="1" si="946"/>
        <v>-995281.81134544313</v>
      </c>
      <c r="BO264" s="145">
        <f t="shared" ca="1" si="947"/>
        <v>-995281.81134544313</v>
      </c>
      <c r="BP264" s="102">
        <f t="shared" ref="BP264:BQ264" ca="1" si="980">BP228</f>
        <v>67286263.649636373</v>
      </c>
      <c r="BQ264" s="102">
        <f t="shared" ca="1" si="980"/>
        <v>70150626.063566655</v>
      </c>
      <c r="BR264" s="102">
        <f t="shared" ca="1" si="949"/>
        <v>2864362.413930282</v>
      </c>
      <c r="BS264" s="145">
        <f t="shared" ca="1" si="950"/>
        <v>2864362.413930282</v>
      </c>
    </row>
    <row r="265" spans="1:72" ht="13.8" thickBot="1" x14ac:dyDescent="0.3">
      <c r="A265" s="146" t="s">
        <v>15</v>
      </c>
      <c r="B265" s="146"/>
      <c r="C265" s="146"/>
      <c r="D265" s="147"/>
      <c r="E265" s="147"/>
      <c r="F265" s="148" t="str">
        <f>F262</f>
        <v>Average</v>
      </c>
      <c r="G265" s="149" t="s">
        <v>41</v>
      </c>
      <c r="H265" s="150">
        <f ca="1">IF(H261=0,0,H245/H261)</f>
        <v>3095334.6511989795</v>
      </c>
      <c r="I265" s="150">
        <f ca="1">IF(I261=0,0,I245/I261)</f>
        <v>2162099.2952928576</v>
      </c>
      <c r="J265" s="150">
        <f ca="1">SUM(I265,-H265)</f>
        <v>-933235.3559061219</v>
      </c>
      <c r="K265" s="151">
        <f t="shared" ca="1" si="905"/>
        <v>-933235.3559061219</v>
      </c>
      <c r="L265" s="150">
        <f t="shared" ref="L265:M265" ca="1" si="981">IF(L261=0,0,L245/L261)</f>
        <v>0</v>
      </c>
      <c r="M265" s="150">
        <f t="shared" ca="1" si="981"/>
        <v>0</v>
      </c>
      <c r="N265" s="150">
        <f t="shared" ca="1" si="907"/>
        <v>0</v>
      </c>
      <c r="O265" s="151">
        <f t="shared" ca="1" si="908"/>
        <v>0</v>
      </c>
      <c r="P265" s="150">
        <f t="shared" ref="P265:Q265" ca="1" si="982">IF(P261=0,0,P245/P261)</f>
        <v>12896496.540452044</v>
      </c>
      <c r="Q265" s="150">
        <f t="shared" ca="1" si="982"/>
        <v>10488546.647308165</v>
      </c>
      <c r="R265" s="150">
        <f t="shared" ca="1" si="910"/>
        <v>-2407949.8931438792</v>
      </c>
      <c r="S265" s="151">
        <f t="shared" ca="1" si="911"/>
        <v>-2407949.8931438792</v>
      </c>
      <c r="T265" s="150">
        <f t="shared" ref="T265:U265" ca="1" si="983">IF(T261=0,0,T245/T261)</f>
        <v>2812288.2772434773</v>
      </c>
      <c r="U265" s="150">
        <f t="shared" ca="1" si="983"/>
        <v>4087615.2613400035</v>
      </c>
      <c r="V265" s="150">
        <f t="shared" ca="1" si="913"/>
        <v>1275326.9840965262</v>
      </c>
      <c r="W265" s="151">
        <f t="shared" ca="1" si="914"/>
        <v>1275326.9840965262</v>
      </c>
      <c r="X265" s="150">
        <f t="shared" ref="X265:Y265" ca="1" si="984">IF(X261=0,0,X245/X261)</f>
        <v>23937952.466196932</v>
      </c>
      <c r="Y265" s="150">
        <f t="shared" ca="1" si="984"/>
        <v>20403817.036473472</v>
      </c>
      <c r="Z265" s="150">
        <f t="shared" ca="1" si="916"/>
        <v>-3534135.4297234602</v>
      </c>
      <c r="AA265" s="151">
        <f t="shared" ca="1" si="917"/>
        <v>-3534135.4297234602</v>
      </c>
      <c r="AB265" s="150">
        <f t="shared" ref="AB265:AC265" ca="1" si="985">IF(AB261=0,0,AB245/AB261)</f>
        <v>9582328.0369096752</v>
      </c>
      <c r="AC265" s="150">
        <f t="shared" ca="1" si="985"/>
        <v>6403418.2564211106</v>
      </c>
      <c r="AD265" s="150">
        <f t="shared" ca="1" si="919"/>
        <v>-3178909.7804885646</v>
      </c>
      <c r="AE265" s="151">
        <f t="shared" ca="1" si="920"/>
        <v>-3178909.7804885646</v>
      </c>
      <c r="AF265" s="150">
        <f t="shared" ref="AF265:AG265" ca="1" si="986">IF(AF261=0,0,AF245/AF261)</f>
        <v>35077864.893170416</v>
      </c>
      <c r="AG265" s="150">
        <f t="shared" ca="1" si="986"/>
        <v>30561097.130680609</v>
      </c>
      <c r="AH265" s="150">
        <f t="shared" ca="1" si="922"/>
        <v>-4516767.7624898069</v>
      </c>
      <c r="AI265" s="151">
        <f t="shared" ca="1" si="923"/>
        <v>-4516767.7624898069</v>
      </c>
      <c r="AJ265" s="150">
        <f t="shared" ref="AJ265:AK265" ca="1" si="987">IF(AJ261=0,0,AJ245/AJ261)</f>
        <v>20337198.930777319</v>
      </c>
      <c r="AK265" s="150">
        <f t="shared" ca="1" si="987"/>
        <v>16591921.833838301</v>
      </c>
      <c r="AL265" s="150">
        <f t="shared" ca="1" si="925"/>
        <v>-3745277.096939018</v>
      </c>
      <c r="AM265" s="151">
        <f t="shared" ca="1" si="926"/>
        <v>-3745277.096939018</v>
      </c>
      <c r="AN265" s="150">
        <f t="shared" ref="AN265:AO265" ca="1" si="988">IF(AN261=0,0,AN245/AN261)</f>
        <v>55816488.55537042</v>
      </c>
      <c r="AO265" s="150">
        <f t="shared" ca="1" si="988"/>
        <v>50300403.652894884</v>
      </c>
      <c r="AP265" s="150">
        <f t="shared" ca="1" si="928"/>
        <v>-5516084.9024755359</v>
      </c>
      <c r="AQ265" s="151">
        <f t="shared" ca="1" si="929"/>
        <v>-5516084.9024755359</v>
      </c>
      <c r="AR265" s="150">
        <f t="shared" ref="AR265:AS265" ca="1" si="989">IF(AR261=0,0,AR245/AR261)</f>
        <v>40816488.55537042</v>
      </c>
      <c r="AS265" s="150">
        <f t="shared" ca="1" si="989"/>
        <v>36690295.227881052</v>
      </c>
      <c r="AT265" s="150">
        <f t="shared" ca="1" si="931"/>
        <v>-4126193.3274893686</v>
      </c>
      <c r="AU265" s="151">
        <f t="shared" ca="1" si="932"/>
        <v>-4126193.3274893686</v>
      </c>
      <c r="AV265" s="150">
        <f t="shared" ref="AV265:AW265" ca="1" si="990">IF(AV261=0,0,AV245/AV261)</f>
        <v>70103194.239299998</v>
      </c>
      <c r="AW265" s="150">
        <f t="shared" ca="1" si="990"/>
        <v>63974610.97604695</v>
      </c>
      <c r="AX265" s="150">
        <f t="shared" ca="1" si="934"/>
        <v>-6128583.2632530481</v>
      </c>
      <c r="AY265" s="151">
        <f t="shared" ca="1" si="935"/>
        <v>-6128583.2632530481</v>
      </c>
      <c r="AZ265" s="150">
        <f t="shared" ref="AZ265:BA265" ca="1" si="991">IF(AZ261=0,0,AZ245/AZ261)</f>
        <v>55103194.23929999</v>
      </c>
      <c r="BA265" s="150">
        <f t="shared" ca="1" si="991"/>
        <v>50257662.60464897</v>
      </c>
      <c r="BB265" s="150">
        <f t="shared" ca="1" si="937"/>
        <v>-4845531.6346510202</v>
      </c>
      <c r="BC265" s="151">
        <f t="shared" ca="1" si="938"/>
        <v>-4845531.6346510202</v>
      </c>
      <c r="BD265" s="150">
        <f t="shared" ref="BD265:BE265" ca="1" si="992">IF(BD261=0,0,BD245/BD261)</f>
        <v>77405634.266601011</v>
      </c>
      <c r="BE265" s="150">
        <f t="shared" ca="1" si="992"/>
        <v>70849602.289656118</v>
      </c>
      <c r="BF265" s="150">
        <f t="shared" ca="1" si="940"/>
        <v>-6556031.9769448936</v>
      </c>
      <c r="BG265" s="151">
        <f t="shared" ca="1" si="941"/>
        <v>-6556031.9769448936</v>
      </c>
      <c r="BH265" s="150">
        <f t="shared" ref="BH265:BI265" ca="1" si="993">IF(BH261=0,0,BH245/BH261)</f>
        <v>62405634.266601019</v>
      </c>
      <c r="BI265" s="150">
        <f t="shared" ca="1" si="993"/>
        <v>57275882.903958343</v>
      </c>
      <c r="BJ265" s="150">
        <f t="shared" ca="1" si="943"/>
        <v>-5129751.3626426756</v>
      </c>
      <c r="BK265" s="151">
        <f t="shared" ca="1" si="944"/>
        <v>-5129751.3626426756</v>
      </c>
      <c r="BL265" s="150">
        <f t="shared" ref="BL265:BM265" ca="1" si="994">IF(BL261=0,0,BL245/BL261)</f>
        <v>79027673.392567337</v>
      </c>
      <c r="BM265" s="150">
        <f t="shared" ca="1" si="994"/>
        <v>72246586.677329615</v>
      </c>
      <c r="BN265" s="150">
        <f t="shared" ca="1" si="946"/>
        <v>-6781086.7152377218</v>
      </c>
      <c r="BO265" s="151">
        <f t="shared" ca="1" si="947"/>
        <v>-6781086.7152377218</v>
      </c>
      <c r="BP265" s="150">
        <f t="shared" ref="BP265:BQ265" ca="1" si="995">IF(BP261=0,0,BP245/BP261)</f>
        <v>64027673.392567344</v>
      </c>
      <c r="BQ265" s="150">
        <f t="shared" ca="1" si="995"/>
        <v>58701971.133041658</v>
      </c>
      <c r="BR265" s="150">
        <f t="shared" ca="1" si="949"/>
        <v>-5325702.2595256865</v>
      </c>
      <c r="BS265" s="151">
        <f t="shared" ca="1" si="950"/>
        <v>-5325702.2595256865</v>
      </c>
      <c r="BT265" s="152"/>
    </row>
    <row r="266" spans="1:72" x14ac:dyDescent="0.25">
      <c r="A266" s="98" t="s">
        <v>15</v>
      </c>
      <c r="B266" s="98"/>
      <c r="C266" s="98"/>
      <c r="D266" s="140"/>
      <c r="E266" s="140"/>
      <c r="F266" s="140" t="str">
        <f>$F$102</f>
        <v>Change in average (%)</v>
      </c>
      <c r="G266" s="141" t="s">
        <v>17</v>
      </c>
      <c r="H266" s="154"/>
      <c r="I266" s="154"/>
      <c r="J266" s="154">
        <f ca="1">IF(H262=0,0,SUM(I262/H262,-1))</f>
        <v>-0.35432886170003308</v>
      </c>
      <c r="K266" s="142">
        <f t="shared" ca="1" si="905"/>
        <v>-0.35432886170003308</v>
      </c>
      <c r="L266" s="154"/>
      <c r="M266" s="154"/>
      <c r="N266" s="154">
        <f t="shared" ref="N266:N269" ca="1" si="996">IF(L262=0,0,SUM(M262/L262,-1))</f>
        <v>0</v>
      </c>
      <c r="O266" s="142">
        <f t="shared" ca="1" si="908"/>
        <v>0</v>
      </c>
      <c r="P266" s="154"/>
      <c r="Q266" s="154"/>
      <c r="R266" s="154">
        <f t="shared" ref="R266:R269" ca="1" si="997">IF(P262=0,0,SUM(Q262/P262,-1))</f>
        <v>-0.23264630764049921</v>
      </c>
      <c r="S266" s="142">
        <f t="shared" ca="1" si="911"/>
        <v>-0.23264630764049921</v>
      </c>
      <c r="T266" s="154"/>
      <c r="U266" s="154"/>
      <c r="V266" s="154">
        <f t="shared" ref="V266:V269" ca="1" si="998">IF(T262=0,0,SUM(U262/T262,-1))</f>
        <v>0.33233745514894797</v>
      </c>
      <c r="W266" s="142">
        <f t="shared" ca="1" si="914"/>
        <v>0.33233745514894797</v>
      </c>
      <c r="X266" s="154"/>
      <c r="Y266" s="154"/>
      <c r="Z266" s="154">
        <f t="shared" ref="Z266:Z269" ca="1" si="999">IF(X262=0,0,SUM(Y262/X262,-1))</f>
        <v>-0.18774961967795245</v>
      </c>
      <c r="AA266" s="142">
        <f t="shared" ca="1" si="917"/>
        <v>-0.18774961967795245</v>
      </c>
      <c r="AB266" s="154"/>
      <c r="AC266" s="154"/>
      <c r="AD266" s="154">
        <f t="shared" ref="AD266:AD269" ca="1" si="1000">IF(AB262=0,0,SUM(AC262/AB262,-1))</f>
        <v>-0.41151508803330916</v>
      </c>
      <c r="AE266" s="142">
        <f t="shared" ca="1" si="920"/>
        <v>-0.41151508803330916</v>
      </c>
      <c r="AF266" s="154"/>
      <c r="AG266" s="154"/>
      <c r="AH266" s="154">
        <f t="shared" ref="AH266:AH269" ca="1" si="1001">IF(AF262=0,0,SUM(AG262/AF262,-1))</f>
        <v>-0.16699871149440704</v>
      </c>
      <c r="AI266" s="142">
        <f t="shared" ca="1" si="923"/>
        <v>-0.16699871149440704</v>
      </c>
      <c r="AJ266" s="154"/>
      <c r="AK266" s="154"/>
      <c r="AL266" s="154">
        <f t="shared" ref="AL266:AL269" ca="1" si="1002">IF(AJ262=0,0,SUM(AK262/AJ262,-1))</f>
        <v>-0.2458458439703548</v>
      </c>
      <c r="AM266" s="142">
        <f t="shared" ca="1" si="926"/>
        <v>-0.2458458439703548</v>
      </c>
      <c r="AN266" s="154"/>
      <c r="AO266" s="154"/>
      <c r="AP266" s="154">
        <f t="shared" ref="AP266:AP269" ca="1" si="1003">IF(AN262=0,0,SUM(AO262/AN262,-1))</f>
        <v>-0.13894088135396199</v>
      </c>
      <c r="AQ266" s="142">
        <f t="shared" ca="1" si="929"/>
        <v>-0.13894088135396199</v>
      </c>
      <c r="AR266" s="154"/>
      <c r="AS266" s="154"/>
      <c r="AT266" s="154">
        <f t="shared" ref="AT266:AT269" ca="1" si="1004">IF(AR262=0,0,SUM(AS262/AR262,-1))</f>
        <v>-0.15749689855659499</v>
      </c>
      <c r="AU266" s="142">
        <f t="shared" ca="1" si="932"/>
        <v>-0.15749689855659499</v>
      </c>
      <c r="AV266" s="154"/>
      <c r="AW266" s="154"/>
      <c r="AX266" s="154">
        <f t="shared" ref="AX266:AX269" ca="1" si="1005">IF(AV262=0,0,SUM(AW262/AV262,-1))</f>
        <v>-0.12517853159217307</v>
      </c>
      <c r="AY266" s="142">
        <f t="shared" ca="1" si="935"/>
        <v>-0.12517853159217307</v>
      </c>
      <c r="AZ266" s="154"/>
      <c r="BA266" s="154"/>
      <c r="BB266" s="154">
        <f t="shared" ref="BB266:BB269" ca="1" si="1006">IF(AZ262=0,0,SUM(BA262/AZ262,-1))</f>
        <v>-0.14196464621682114</v>
      </c>
      <c r="BC266" s="142">
        <f t="shared" ca="1" si="938"/>
        <v>-0.14196464621682114</v>
      </c>
      <c r="BD266" s="154"/>
      <c r="BE266" s="154"/>
      <c r="BF266" s="154">
        <f t="shared" ref="BF266:BF269" ca="1" si="1007">IF(BD262=0,0,SUM(BE262/BD262,-1))</f>
        <v>-0.11949942769810484</v>
      </c>
      <c r="BG266" s="142">
        <f t="shared" ca="1" si="941"/>
        <v>-0.11949942769810484</v>
      </c>
      <c r="BH266" s="154"/>
      <c r="BI266" s="154"/>
      <c r="BJ266" s="154">
        <f t="shared" ref="BJ266:BJ269" ca="1" si="1008">IF(BH262=0,0,SUM(BI262/BH262,-1))</f>
        <v>-0.1308971303063059</v>
      </c>
      <c r="BK266" s="142">
        <f t="shared" ca="1" si="944"/>
        <v>-0.1308971303063059</v>
      </c>
      <c r="BL266" s="154"/>
      <c r="BM266" s="154"/>
      <c r="BN266" s="154">
        <f t="shared" ref="BN266:BN269" ca="1" si="1009">IF(BL262=0,0,SUM(BM262/BL262,-1))</f>
        <v>-0.11887491761181279</v>
      </c>
      <c r="BO266" s="142">
        <f t="shared" ca="1" si="947"/>
        <v>-0.11887491761181279</v>
      </c>
      <c r="BP266" s="154"/>
      <c r="BQ266" s="154"/>
      <c r="BR266" s="154">
        <f t="shared" ref="BR266:BR269" ca="1" si="1010">IF(BP262=0,0,SUM(BQ262/BP262,-1))</f>
        <v>-0.12973012949432861</v>
      </c>
      <c r="BS266" s="142">
        <f t="shared" ca="1" si="950"/>
        <v>-0.12973012949432861</v>
      </c>
    </row>
    <row r="267" spans="1:72" x14ac:dyDescent="0.25">
      <c r="A267" s="98" t="s">
        <v>15</v>
      </c>
      <c r="B267" s="98"/>
      <c r="C267" s="98"/>
      <c r="D267" s="48"/>
      <c r="E267" s="48"/>
      <c r="F267" s="143" t="str">
        <f>F266</f>
        <v>Change in average (%)</v>
      </c>
      <c r="G267" s="144" t="s">
        <v>36</v>
      </c>
      <c r="H267" s="155"/>
      <c r="I267" s="155"/>
      <c r="J267" s="155">
        <f ca="1">IF(H263=0,0,SUM(I263/H263,-1))</f>
        <v>-0.29817682246565913</v>
      </c>
      <c r="K267" s="145">
        <f t="shared" ca="1" si="905"/>
        <v>-0.29817682246565913</v>
      </c>
      <c r="L267" s="155"/>
      <c r="M267" s="155"/>
      <c r="N267" s="155">
        <f t="shared" ca="1" si="996"/>
        <v>0</v>
      </c>
      <c r="O267" s="145">
        <f t="shared" ca="1" si="908"/>
        <v>0</v>
      </c>
      <c r="P267" s="155"/>
      <c r="Q267" s="155"/>
      <c r="R267" s="155">
        <f t="shared" ca="1" si="997"/>
        <v>-0.14264553315620376</v>
      </c>
      <c r="S267" s="145">
        <f t="shared" ca="1" si="911"/>
        <v>-0.14264553315620376</v>
      </c>
      <c r="T267" s="155"/>
      <c r="U267" s="155"/>
      <c r="V267" s="155">
        <f t="shared" ca="1" si="998"/>
        <v>-1</v>
      </c>
      <c r="W267" s="145">
        <f t="shared" ca="1" si="914"/>
        <v>-1</v>
      </c>
      <c r="X267" s="155"/>
      <c r="Y267" s="155"/>
      <c r="Z267" s="155">
        <f t="shared" ca="1" si="999"/>
        <v>-0.12067484549660723</v>
      </c>
      <c r="AA267" s="145">
        <f t="shared" ca="1" si="917"/>
        <v>-0.12067484549660723</v>
      </c>
      <c r="AB267" s="155"/>
      <c r="AC267" s="155"/>
      <c r="AD267" s="155">
        <f t="shared" ca="1" si="1000"/>
        <v>-0.32078320117287851</v>
      </c>
      <c r="AE267" s="145">
        <f t="shared" ca="1" si="920"/>
        <v>-0.32078320117287851</v>
      </c>
      <c r="AF267" s="155"/>
      <c r="AG267" s="155"/>
      <c r="AH267" s="155">
        <f t="shared" ca="1" si="1001"/>
        <v>-0.10877276762250565</v>
      </c>
      <c r="AI267" s="145">
        <f t="shared" ca="1" si="923"/>
        <v>-0.10877276762250565</v>
      </c>
      <c r="AJ267" s="155"/>
      <c r="AK267" s="155"/>
      <c r="AL267" s="155">
        <f t="shared" ca="1" si="1002"/>
        <v>-0.18981571014712084</v>
      </c>
      <c r="AM267" s="145">
        <f t="shared" ca="1" si="926"/>
        <v>-0.18981571014712084</v>
      </c>
      <c r="AN267" s="155"/>
      <c r="AO267" s="155"/>
      <c r="AP267" s="155">
        <f t="shared" ca="1" si="1003"/>
        <v>-6.5755256786913852E-2</v>
      </c>
      <c r="AQ267" s="145">
        <f t="shared" ca="1" si="929"/>
        <v>-6.5755256786913852E-2</v>
      </c>
      <c r="AR267" s="155"/>
      <c r="AS267" s="155"/>
      <c r="AT267" s="155">
        <f t="shared" ca="1" si="1004"/>
        <v>-8.9769382012446552E-2</v>
      </c>
      <c r="AU267" s="145">
        <f t="shared" ca="1" si="932"/>
        <v>-8.9769382012446552E-2</v>
      </c>
      <c r="AV267" s="155"/>
      <c r="AW267" s="155"/>
      <c r="AX267" s="155">
        <f t="shared" ca="1" si="1005"/>
        <v>-5.4717414687122323E-2</v>
      </c>
      <c r="AY267" s="145">
        <f t="shared" ca="1" si="935"/>
        <v>-5.4717414687122323E-2</v>
      </c>
      <c r="AZ267" s="155"/>
      <c r="BA267" s="155"/>
      <c r="BB267" s="155">
        <f t="shared" ca="1" si="1006"/>
        <v>-7.0258090162339637E-2</v>
      </c>
      <c r="BC267" s="145">
        <f t="shared" ca="1" si="938"/>
        <v>-7.0258090162339637E-2</v>
      </c>
      <c r="BD267" s="155"/>
      <c r="BE267" s="155"/>
      <c r="BF267" s="155">
        <f t="shared" ca="1" si="1007"/>
        <v>-5.5009189546688098E-2</v>
      </c>
      <c r="BG267" s="145">
        <f t="shared" ca="1" si="941"/>
        <v>-5.5009189546688098E-2</v>
      </c>
      <c r="BH267" s="155"/>
      <c r="BI267" s="155"/>
      <c r="BJ267" s="155">
        <f t="shared" ca="1" si="1008"/>
        <v>-6.9946606193684202E-2</v>
      </c>
      <c r="BK267" s="145">
        <f t="shared" ca="1" si="944"/>
        <v>-6.9946606193684202E-2</v>
      </c>
      <c r="BL267" s="155"/>
      <c r="BM267" s="155"/>
      <c r="BN267" s="155">
        <f t="shared" ca="1" si="1009"/>
        <v>-5.5009189546688098E-2</v>
      </c>
      <c r="BO267" s="145">
        <f t="shared" ca="1" si="947"/>
        <v>-5.5009189546688098E-2</v>
      </c>
      <c r="BP267" s="155"/>
      <c r="BQ267" s="155"/>
      <c r="BR267" s="155">
        <f t="shared" ca="1" si="1010"/>
        <v>-6.9946606193684313E-2</v>
      </c>
      <c r="BS267" s="145">
        <f t="shared" ca="1" si="950"/>
        <v>-6.9946606193684313E-2</v>
      </c>
    </row>
    <row r="268" spans="1:72" x14ac:dyDescent="0.25">
      <c r="A268" s="98" t="s">
        <v>15</v>
      </c>
      <c r="B268" s="98"/>
      <c r="C268" s="98"/>
      <c r="D268" s="48"/>
      <c r="E268" s="48"/>
      <c r="F268" s="143" t="str">
        <f>F266</f>
        <v>Change in average (%)</v>
      </c>
      <c r="G268" s="144" t="s">
        <v>38</v>
      </c>
      <c r="H268" s="155"/>
      <c r="I268" s="155"/>
      <c r="J268" s="155">
        <f ca="1">IF(H264=0,0,SUM(I264/H264,-1))</f>
        <v>1.7777614858283552E-2</v>
      </c>
      <c r="K268" s="145">
        <f t="shared" ca="1" si="905"/>
        <v>1.7777614858283552E-2</v>
      </c>
      <c r="L268" s="155"/>
      <c r="M268" s="155"/>
      <c r="N268" s="155">
        <f t="shared" ca="1" si="996"/>
        <v>0</v>
      </c>
      <c r="O268" s="145">
        <f t="shared" ca="1" si="908"/>
        <v>0</v>
      </c>
      <c r="P268" s="155"/>
      <c r="Q268" s="155"/>
      <c r="R268" s="155">
        <f t="shared" ca="1" si="997"/>
        <v>-5.235785381093605E-2</v>
      </c>
      <c r="S268" s="145">
        <f t="shared" ca="1" si="911"/>
        <v>-5.235785381093605E-2</v>
      </c>
      <c r="T268" s="155"/>
      <c r="U268" s="155"/>
      <c r="V268" s="155">
        <f t="shared" ca="1" si="998"/>
        <v>0</v>
      </c>
      <c r="W268" s="145">
        <f t="shared" ca="1" si="914"/>
        <v>0</v>
      </c>
      <c r="X268" s="155"/>
      <c r="Y268" s="155"/>
      <c r="Z268" s="155">
        <f t="shared" ca="1" si="999"/>
        <v>-3.0631497067642455E-2</v>
      </c>
      <c r="AA268" s="145">
        <f t="shared" ca="1" si="917"/>
        <v>-3.0631497067642455E-2</v>
      </c>
      <c r="AB268" s="155"/>
      <c r="AC268" s="155"/>
      <c r="AD268" s="155">
        <f t="shared" ca="1" si="1000"/>
        <v>3.5539908846292878E-2</v>
      </c>
      <c r="AE268" s="145">
        <f t="shared" ca="1" si="920"/>
        <v>3.5539908846292878E-2</v>
      </c>
      <c r="AF268" s="155"/>
      <c r="AG268" s="155"/>
      <c r="AH268" s="155">
        <f t="shared" ca="1" si="1001"/>
        <v>-2.0030769100246926E-2</v>
      </c>
      <c r="AI268" s="145">
        <f t="shared" ca="1" si="923"/>
        <v>-2.0030769100246926E-2</v>
      </c>
      <c r="AJ268" s="155"/>
      <c r="AK268" s="155"/>
      <c r="AL268" s="155">
        <f t="shared" ca="1" si="1002"/>
        <v>3.8973406456494608E-2</v>
      </c>
      <c r="AM268" s="145">
        <f t="shared" ca="1" si="926"/>
        <v>3.8973406456494608E-2</v>
      </c>
      <c r="AN268" s="155"/>
      <c r="AO268" s="155"/>
      <c r="AP268" s="155">
        <f t="shared" ca="1" si="1003"/>
        <v>-1.4318663339023541E-3</v>
      </c>
      <c r="AQ268" s="145">
        <f t="shared" ca="1" si="929"/>
        <v>-1.4318663339023541E-3</v>
      </c>
      <c r="AR268" s="155"/>
      <c r="AS268" s="155"/>
      <c r="AT268" s="155">
        <f t="shared" ca="1" si="1004"/>
        <v>6.3795711788178666E-2</v>
      </c>
      <c r="AU268" s="145">
        <f t="shared" ca="1" si="932"/>
        <v>6.3795711788178666E-2</v>
      </c>
      <c r="AV268" s="155"/>
      <c r="AW268" s="155"/>
      <c r="AX268" s="155">
        <f t="shared" ca="1" si="1005"/>
        <v>5.4860617904006759E-4</v>
      </c>
      <c r="AY268" s="145">
        <f t="shared" ca="1" si="935"/>
        <v>5.4860617904006759E-4</v>
      </c>
      <c r="AZ268" s="155"/>
      <c r="BA268" s="155"/>
      <c r="BB268" s="155">
        <f t="shared" ca="1" si="1006"/>
        <v>6.1227513162450675E-2</v>
      </c>
      <c r="BC268" s="145">
        <f t="shared" ca="1" si="938"/>
        <v>6.1227513162450675E-2</v>
      </c>
      <c r="BD268" s="155"/>
      <c r="BE268" s="155"/>
      <c r="BF268" s="155">
        <f t="shared" ca="1" si="1007"/>
        <v>-2.2898498275075729E-3</v>
      </c>
      <c r="BG268" s="145">
        <f t="shared" ca="1" si="941"/>
        <v>-2.2898498275075729E-3</v>
      </c>
      <c r="BH268" s="155"/>
      <c r="BI268" s="155"/>
      <c r="BJ268" s="155">
        <f t="shared" ca="1" si="1008"/>
        <v>5.584236133618603E-2</v>
      </c>
      <c r="BK268" s="145">
        <f t="shared" ca="1" si="944"/>
        <v>5.584236133618603E-2</v>
      </c>
      <c r="BL268" s="155"/>
      <c r="BM268" s="155"/>
      <c r="BN268" s="155">
        <f t="shared" ca="1" si="1009"/>
        <v>-1.2095357927335404E-2</v>
      </c>
      <c r="BO268" s="145">
        <f t="shared" ca="1" si="947"/>
        <v>-1.2095357927335404E-2</v>
      </c>
      <c r="BP268" s="155"/>
      <c r="BQ268" s="155"/>
      <c r="BR268" s="155">
        <f t="shared" ca="1" si="1010"/>
        <v>4.2569794465705302E-2</v>
      </c>
      <c r="BS268" s="145">
        <f t="shared" ca="1" si="950"/>
        <v>4.2569794465705302E-2</v>
      </c>
    </row>
    <row r="269" spans="1:72" ht="13.8" hidden="1" outlineLevel="1" thickBot="1" x14ac:dyDescent="0.3">
      <c r="A269" s="146" t="s">
        <v>15</v>
      </c>
      <c r="B269" s="146"/>
      <c r="C269" s="146"/>
      <c r="D269" s="147"/>
      <c r="E269" s="147"/>
      <c r="F269" s="148" t="str">
        <f>F266</f>
        <v>Change in average (%)</v>
      </c>
      <c r="G269" s="149" t="s">
        <v>41</v>
      </c>
      <c r="H269" s="150"/>
      <c r="I269" s="150"/>
      <c r="J269" s="156">
        <f ca="1">IF(H265=0,0,SUM(I265/H265,-1))</f>
        <v>-0.30149740208046094</v>
      </c>
      <c r="K269" s="151">
        <f t="shared" ca="1" si="905"/>
        <v>-0.30149740208046094</v>
      </c>
      <c r="L269" s="150"/>
      <c r="M269" s="150"/>
      <c r="N269" s="156">
        <f t="shared" ca="1" si="996"/>
        <v>0</v>
      </c>
      <c r="O269" s="151">
        <f t="shared" ca="1" si="908"/>
        <v>0</v>
      </c>
      <c r="P269" s="150"/>
      <c r="Q269" s="150"/>
      <c r="R269" s="156">
        <f t="shared" ca="1" si="997"/>
        <v>-0.18671349118661307</v>
      </c>
      <c r="S269" s="151">
        <f t="shared" ca="1" si="911"/>
        <v>-0.18671349118661307</v>
      </c>
      <c r="T269" s="150"/>
      <c r="U269" s="150"/>
      <c r="V269" s="156">
        <f t="shared" ca="1" si="998"/>
        <v>0.45348373223905925</v>
      </c>
      <c r="W269" s="151">
        <f t="shared" ca="1" si="914"/>
        <v>0.45348373223905925</v>
      </c>
      <c r="X269" s="150"/>
      <c r="Y269" s="150"/>
      <c r="Z269" s="156">
        <f t="shared" ca="1" si="999"/>
        <v>-0.14763733175233162</v>
      </c>
      <c r="AA269" s="151">
        <f t="shared" ca="1" si="917"/>
        <v>-0.14763733175233162</v>
      </c>
      <c r="AB269" s="150"/>
      <c r="AC269" s="150"/>
      <c r="AD269" s="156">
        <f t="shared" ca="1" si="1000"/>
        <v>-0.33174712535866924</v>
      </c>
      <c r="AE269" s="151">
        <f t="shared" ca="1" si="920"/>
        <v>-0.33174712535866924</v>
      </c>
      <c r="AF269" s="150"/>
      <c r="AG269" s="150"/>
      <c r="AH269" s="156">
        <f t="shared" ca="1" si="1001"/>
        <v>-0.12876404468303915</v>
      </c>
      <c r="AI269" s="151">
        <f t="shared" ca="1" si="923"/>
        <v>-0.12876404468303915</v>
      </c>
      <c r="AJ269" s="150"/>
      <c r="AK269" s="150"/>
      <c r="AL269" s="156">
        <f t="shared" ca="1" si="1002"/>
        <v>-0.18415894488159323</v>
      </c>
      <c r="AM269" s="151">
        <f t="shared" ca="1" si="926"/>
        <v>-0.18415894488159323</v>
      </c>
      <c r="AN269" s="150"/>
      <c r="AO269" s="150"/>
      <c r="AP269" s="156">
        <f t="shared" ca="1" si="1003"/>
        <v>-9.8825365859472436E-2</v>
      </c>
      <c r="AQ269" s="151">
        <f t="shared" ca="1" si="929"/>
        <v>-9.8825365859472436E-2</v>
      </c>
      <c r="AR269" s="150"/>
      <c r="AS269" s="150"/>
      <c r="AT269" s="156">
        <f t="shared" ca="1" si="1004"/>
        <v>-0.1010913352306605</v>
      </c>
      <c r="AU269" s="151">
        <f t="shared" ca="1" si="932"/>
        <v>-0.1010913352306605</v>
      </c>
      <c r="AV269" s="150"/>
      <c r="AW269" s="150"/>
      <c r="AX269" s="156">
        <f t="shared" ca="1" si="1005"/>
        <v>-8.7422311205005765E-2</v>
      </c>
      <c r="AY269" s="151">
        <f t="shared" ca="1" si="935"/>
        <v>-8.7422311205005765E-2</v>
      </c>
      <c r="AZ269" s="150"/>
      <c r="BA269" s="150"/>
      <c r="BB269" s="156">
        <f t="shared" ca="1" si="1006"/>
        <v>-8.7935585251338377E-2</v>
      </c>
      <c r="BC269" s="151">
        <f t="shared" ca="1" si="938"/>
        <v>-8.7935585251338377E-2</v>
      </c>
      <c r="BD269" s="150"/>
      <c r="BE269" s="150"/>
      <c r="BF269" s="156">
        <f t="shared" ca="1" si="1007"/>
        <v>-8.4697090064071667E-2</v>
      </c>
      <c r="BG269" s="151">
        <f t="shared" ca="1" si="941"/>
        <v>-8.4697090064071667E-2</v>
      </c>
      <c r="BH269" s="150"/>
      <c r="BI269" s="150"/>
      <c r="BJ269" s="156">
        <f t="shared" ca="1" si="1008"/>
        <v>-8.2200131813868538E-2</v>
      </c>
      <c r="BK269" s="151">
        <f t="shared" ca="1" si="944"/>
        <v>-8.2200131813868538E-2</v>
      </c>
      <c r="BL269" s="150"/>
      <c r="BM269" s="150"/>
      <c r="BN269" s="156">
        <f t="shared" ca="1" si="1009"/>
        <v>-8.5806483022129454E-2</v>
      </c>
      <c r="BO269" s="151">
        <f t="shared" ca="1" si="947"/>
        <v>-8.5806483022129454E-2</v>
      </c>
      <c r="BP269" s="150"/>
      <c r="BQ269" s="150"/>
      <c r="BR269" s="156">
        <f t="shared" ca="1" si="1010"/>
        <v>-8.3178131850468295E-2</v>
      </c>
      <c r="BS269" s="151">
        <f t="shared" ca="1" si="950"/>
        <v>-8.3178131850468295E-2</v>
      </c>
      <c r="BT269" s="152"/>
    </row>
    <row r="270" spans="1:72" hidden="1" outlineLevel="1" x14ac:dyDescent="0.25">
      <c r="A270" s="98" t="s">
        <v>15</v>
      </c>
      <c r="B270" s="98"/>
      <c r="C270" s="98"/>
      <c r="D270" s="48"/>
      <c r="E270" s="48"/>
      <c r="F270" s="48" t="str">
        <f>$F$103</f>
        <v>#▲ Number Increased</v>
      </c>
      <c r="G270" s="141" t="s">
        <v>17</v>
      </c>
      <c r="H270" s="99"/>
      <c r="I270" s="99"/>
      <c r="J270" s="99">
        <f ca="1">J103</f>
        <v>4</v>
      </c>
      <c r="K270" s="142"/>
      <c r="L270" s="99"/>
      <c r="M270" s="99"/>
      <c r="N270" s="99">
        <f t="shared" ref="N270" ca="1" si="1011">N103</f>
        <v>0</v>
      </c>
      <c r="O270" s="142"/>
      <c r="P270" s="99"/>
      <c r="Q270" s="99"/>
      <c r="R270" s="99">
        <f t="shared" ref="R270" ca="1" si="1012">R103</f>
        <v>8</v>
      </c>
      <c r="S270" s="142"/>
      <c r="T270" s="99"/>
      <c r="U270" s="99"/>
      <c r="V270" s="99">
        <f t="shared" ref="V270" ca="1" si="1013">V103</f>
        <v>2</v>
      </c>
      <c r="W270" s="142"/>
      <c r="X270" s="99"/>
      <c r="Y270" s="99"/>
      <c r="Z270" s="99">
        <f t="shared" ref="Z270" ca="1" si="1014">Z103</f>
        <v>9</v>
      </c>
      <c r="AA270" s="142"/>
      <c r="AB270" s="99"/>
      <c r="AC270" s="99"/>
      <c r="AD270" s="99">
        <f t="shared" ref="AD270" ca="1" si="1015">AD103</f>
        <v>8</v>
      </c>
      <c r="AE270" s="142"/>
      <c r="AF270" s="99"/>
      <c r="AG270" s="99"/>
      <c r="AH270" s="99">
        <f t="shared" ref="AH270" ca="1" si="1016">AH103</f>
        <v>11</v>
      </c>
      <c r="AI270" s="142"/>
      <c r="AJ270" s="99"/>
      <c r="AK270" s="99"/>
      <c r="AL270" s="99">
        <f t="shared" ref="AL270" ca="1" si="1017">AL103</f>
        <v>11</v>
      </c>
      <c r="AM270" s="142"/>
      <c r="AN270" s="99"/>
      <c r="AO270" s="99"/>
      <c r="AP270" s="99">
        <f t="shared" ref="AP270" ca="1" si="1018">AP103</f>
        <v>14</v>
      </c>
      <c r="AQ270" s="142"/>
      <c r="AR270" s="99"/>
      <c r="AS270" s="99"/>
      <c r="AT270" s="99">
        <f t="shared" ref="AT270" ca="1" si="1019">AT103</f>
        <v>14</v>
      </c>
      <c r="AU270" s="142"/>
      <c r="AV270" s="99"/>
      <c r="AW270" s="99"/>
      <c r="AX270" s="99">
        <f t="shared" ref="AX270" ca="1" si="1020">AX103</f>
        <v>15</v>
      </c>
      <c r="AY270" s="142"/>
      <c r="AZ270" s="99"/>
      <c r="BA270" s="99"/>
      <c r="BB270" s="99">
        <f t="shared" ref="BB270" ca="1" si="1021">BB103</f>
        <v>15</v>
      </c>
      <c r="BC270" s="142"/>
      <c r="BD270" s="99"/>
      <c r="BE270" s="99"/>
      <c r="BF270" s="99">
        <f t="shared" ref="BF270" ca="1" si="1022">BF103</f>
        <v>16</v>
      </c>
      <c r="BG270" s="142"/>
      <c r="BH270" s="99"/>
      <c r="BI270" s="99"/>
      <c r="BJ270" s="99">
        <f t="shared" ref="BJ270" ca="1" si="1023">BJ103</f>
        <v>16</v>
      </c>
      <c r="BK270" s="142"/>
      <c r="BL270" s="99"/>
      <c r="BM270" s="99"/>
      <c r="BN270" s="99">
        <f t="shared" ref="BN270" ca="1" si="1024">BN103</f>
        <v>16</v>
      </c>
      <c r="BO270" s="142"/>
      <c r="BP270" s="99"/>
      <c r="BQ270" s="99"/>
      <c r="BR270" s="99">
        <f t="shared" ref="BR270" ca="1" si="1025">BR103</f>
        <v>16</v>
      </c>
      <c r="BS270" s="142"/>
    </row>
    <row r="271" spans="1:72" hidden="1" outlineLevel="1" x14ac:dyDescent="0.25">
      <c r="A271" s="98" t="s">
        <v>15</v>
      </c>
      <c r="B271" s="98"/>
      <c r="C271" s="98"/>
      <c r="D271" s="48"/>
      <c r="E271" s="48"/>
      <c r="F271" s="143" t="str">
        <f>F270</f>
        <v>#▲ Number Increased</v>
      </c>
      <c r="G271" s="144" t="s">
        <v>36</v>
      </c>
      <c r="H271" s="102"/>
      <c r="I271" s="102"/>
      <c r="J271" s="102">
        <f ca="1">J172</f>
        <v>3</v>
      </c>
      <c r="K271" s="145"/>
      <c r="L271" s="102"/>
      <c r="M271" s="102"/>
      <c r="N271" s="102">
        <f t="shared" ref="N271" ca="1" si="1026">N172</f>
        <v>0</v>
      </c>
      <c r="O271" s="145"/>
      <c r="P271" s="102"/>
      <c r="Q271" s="102"/>
      <c r="R271" s="102">
        <f t="shared" ref="R271" ca="1" si="1027">R172</f>
        <v>1</v>
      </c>
      <c r="S271" s="145"/>
      <c r="T271" s="102"/>
      <c r="U271" s="102"/>
      <c r="V271" s="102">
        <f t="shared" ref="V271" ca="1" si="1028">V172</f>
        <v>0</v>
      </c>
      <c r="W271" s="145"/>
      <c r="X271" s="102"/>
      <c r="Y271" s="102"/>
      <c r="Z271" s="102">
        <f t="shared" ref="Z271" ca="1" si="1029">Z172</f>
        <v>3</v>
      </c>
      <c r="AA271" s="145"/>
      <c r="AB271" s="102"/>
      <c r="AC271" s="102"/>
      <c r="AD271" s="102">
        <f t="shared" ref="AD271" ca="1" si="1030">AD172</f>
        <v>3</v>
      </c>
      <c r="AE271" s="145"/>
      <c r="AF271" s="102"/>
      <c r="AG271" s="102"/>
      <c r="AH271" s="102">
        <f t="shared" ref="AH271" ca="1" si="1031">AH172</f>
        <v>4</v>
      </c>
      <c r="AI271" s="145"/>
      <c r="AJ271" s="102"/>
      <c r="AK271" s="102"/>
      <c r="AL271" s="102">
        <f t="shared" ref="AL271" ca="1" si="1032">AL172</f>
        <v>4</v>
      </c>
      <c r="AM271" s="145"/>
      <c r="AN271" s="102"/>
      <c r="AO271" s="102"/>
      <c r="AP271" s="102">
        <f t="shared" ref="AP271" ca="1" si="1033">AP172</f>
        <v>5</v>
      </c>
      <c r="AQ271" s="145"/>
      <c r="AR271" s="102"/>
      <c r="AS271" s="102"/>
      <c r="AT271" s="102">
        <f t="shared" ref="AT271" ca="1" si="1034">AT172</f>
        <v>5</v>
      </c>
      <c r="AU271" s="145"/>
      <c r="AV271" s="102"/>
      <c r="AW271" s="102"/>
      <c r="AX271" s="102">
        <f t="shared" ref="AX271" ca="1" si="1035">AX172</f>
        <v>4</v>
      </c>
      <c r="AY271" s="145"/>
      <c r="AZ271" s="102"/>
      <c r="BA271" s="102"/>
      <c r="BB271" s="102">
        <f t="shared" ref="BB271" ca="1" si="1036">BB172</f>
        <v>4</v>
      </c>
      <c r="BC271" s="145"/>
      <c r="BD271" s="102"/>
      <c r="BE271" s="102"/>
      <c r="BF271" s="102">
        <f t="shared" ref="BF271" ca="1" si="1037">BF172</f>
        <v>4</v>
      </c>
      <c r="BG271" s="145"/>
      <c r="BH271" s="102"/>
      <c r="BI271" s="102"/>
      <c r="BJ271" s="102">
        <f t="shared" ref="BJ271" ca="1" si="1038">BJ172</f>
        <v>4</v>
      </c>
      <c r="BK271" s="145"/>
      <c r="BL271" s="102"/>
      <c r="BM271" s="102"/>
      <c r="BN271" s="102">
        <f t="shared" ref="BN271" ca="1" si="1039">BN172</f>
        <v>4</v>
      </c>
      <c r="BO271" s="145"/>
      <c r="BP271" s="102"/>
      <c r="BQ271" s="102"/>
      <c r="BR271" s="102">
        <f t="shared" ref="BR271" ca="1" si="1040">BR172</f>
        <v>4</v>
      </c>
      <c r="BS271" s="145"/>
    </row>
    <row r="272" spans="1:72" hidden="1" outlineLevel="1" x14ac:dyDescent="0.25">
      <c r="A272" s="98" t="s">
        <v>15</v>
      </c>
      <c r="B272" s="98"/>
      <c r="C272" s="98"/>
      <c r="D272" s="48"/>
      <c r="E272" s="48"/>
      <c r="F272" s="143" t="str">
        <f>F270</f>
        <v>#▲ Number Increased</v>
      </c>
      <c r="G272" s="144" t="s">
        <v>38</v>
      </c>
      <c r="H272" s="102"/>
      <c r="I272" s="102"/>
      <c r="J272" s="102">
        <f ca="1">J231</f>
        <v>10</v>
      </c>
      <c r="K272" s="145"/>
      <c r="L272" s="102"/>
      <c r="M272" s="102"/>
      <c r="N272" s="102">
        <f t="shared" ref="N272" ca="1" si="1041">N231</f>
        <v>0</v>
      </c>
      <c r="O272" s="145"/>
      <c r="P272" s="102"/>
      <c r="Q272" s="102"/>
      <c r="R272" s="102">
        <f t="shared" ref="R272" ca="1" si="1042">R231</f>
        <v>7</v>
      </c>
      <c r="S272" s="145"/>
      <c r="T272" s="102"/>
      <c r="U272" s="102"/>
      <c r="V272" s="102">
        <f t="shared" ref="V272" ca="1" si="1043">V231</f>
        <v>0</v>
      </c>
      <c r="W272" s="145"/>
      <c r="X272" s="102"/>
      <c r="Y272" s="102"/>
      <c r="Z272" s="102">
        <f t="shared" ref="Z272" ca="1" si="1044">Z231</f>
        <v>8</v>
      </c>
      <c r="AA272" s="145"/>
      <c r="AB272" s="102"/>
      <c r="AC272" s="102"/>
      <c r="AD272" s="102">
        <f t="shared" ref="AD272" ca="1" si="1045">AD231</f>
        <v>8</v>
      </c>
      <c r="AE272" s="145"/>
      <c r="AF272" s="102"/>
      <c r="AG272" s="102"/>
      <c r="AH272" s="102">
        <f t="shared" ref="AH272" ca="1" si="1046">AH231</f>
        <v>9</v>
      </c>
      <c r="AI272" s="145"/>
      <c r="AJ272" s="102"/>
      <c r="AK272" s="102"/>
      <c r="AL272" s="102">
        <f t="shared" ref="AL272" ca="1" si="1047">AL231</f>
        <v>9</v>
      </c>
      <c r="AM272" s="145"/>
      <c r="AN272" s="102"/>
      <c r="AO272" s="102"/>
      <c r="AP272" s="102">
        <f t="shared" ref="AP272" ca="1" si="1048">AP231</f>
        <v>10</v>
      </c>
      <c r="AQ272" s="145"/>
      <c r="AR272" s="102"/>
      <c r="AS272" s="102"/>
      <c r="AT272" s="102">
        <f t="shared" ref="AT272" ca="1" si="1049">AT231</f>
        <v>10</v>
      </c>
      <c r="AU272" s="145"/>
      <c r="AV272" s="102"/>
      <c r="AW272" s="102"/>
      <c r="AX272" s="102">
        <f t="shared" ref="AX272" ca="1" si="1050">AX231</f>
        <v>9</v>
      </c>
      <c r="AY272" s="145"/>
      <c r="AZ272" s="102"/>
      <c r="BA272" s="102"/>
      <c r="BB272" s="102">
        <f t="shared" ref="BB272" ca="1" si="1051">BB231</f>
        <v>9</v>
      </c>
      <c r="BC272" s="145"/>
      <c r="BD272" s="102"/>
      <c r="BE272" s="102"/>
      <c r="BF272" s="102">
        <f t="shared" ref="BF272" ca="1" si="1052">BF231</f>
        <v>11</v>
      </c>
      <c r="BG272" s="145"/>
      <c r="BH272" s="102"/>
      <c r="BI272" s="102"/>
      <c r="BJ272" s="102">
        <f t="shared" ref="BJ272" ca="1" si="1053">BJ231</f>
        <v>11</v>
      </c>
      <c r="BK272" s="145"/>
      <c r="BL272" s="102"/>
      <c r="BM272" s="102"/>
      <c r="BN272" s="102">
        <f t="shared" ref="BN272" ca="1" si="1054">BN231</f>
        <v>10</v>
      </c>
      <c r="BO272" s="145"/>
      <c r="BP272" s="102"/>
      <c r="BQ272" s="102"/>
      <c r="BR272" s="102">
        <f t="shared" ref="BR272" ca="1" si="1055">BR231</f>
        <v>10</v>
      </c>
      <c r="BS272" s="145"/>
    </row>
    <row r="273" spans="1:72" ht="13.8" hidden="1" outlineLevel="1" thickBot="1" x14ac:dyDescent="0.3">
      <c r="A273" s="146" t="s">
        <v>15</v>
      </c>
      <c r="B273" s="146"/>
      <c r="C273" s="146"/>
      <c r="D273" s="147"/>
      <c r="E273" s="147"/>
      <c r="F273" s="148" t="str">
        <f>F270</f>
        <v>#▲ Number Increased</v>
      </c>
      <c r="G273" s="149" t="s">
        <v>41</v>
      </c>
      <c r="H273" s="150"/>
      <c r="I273" s="150"/>
      <c r="J273" s="150">
        <f ca="1">SUM(J270:J272)</f>
        <v>17</v>
      </c>
      <c r="K273" s="151"/>
      <c r="L273" s="150"/>
      <c r="M273" s="150"/>
      <c r="N273" s="150">
        <f t="shared" ref="N273" ca="1" si="1056">SUM(N270:N272)</f>
        <v>0</v>
      </c>
      <c r="O273" s="151"/>
      <c r="P273" s="150"/>
      <c r="Q273" s="150"/>
      <c r="R273" s="150">
        <f t="shared" ref="R273" ca="1" si="1057">SUM(R270:R272)</f>
        <v>16</v>
      </c>
      <c r="S273" s="151"/>
      <c r="T273" s="150"/>
      <c r="U273" s="150"/>
      <c r="V273" s="150">
        <f t="shared" ref="V273" ca="1" si="1058">SUM(V270:V272)</f>
        <v>2</v>
      </c>
      <c r="W273" s="151"/>
      <c r="X273" s="150"/>
      <c r="Y273" s="150"/>
      <c r="Z273" s="150">
        <f t="shared" ref="Z273" ca="1" si="1059">SUM(Z270:Z272)</f>
        <v>20</v>
      </c>
      <c r="AA273" s="151"/>
      <c r="AB273" s="150"/>
      <c r="AC273" s="150"/>
      <c r="AD273" s="150">
        <f t="shared" ref="AD273" ca="1" si="1060">SUM(AD270:AD272)</f>
        <v>19</v>
      </c>
      <c r="AE273" s="151"/>
      <c r="AF273" s="150"/>
      <c r="AG273" s="150"/>
      <c r="AH273" s="150">
        <f t="shared" ref="AH273" ca="1" si="1061">SUM(AH270:AH272)</f>
        <v>24</v>
      </c>
      <c r="AI273" s="151"/>
      <c r="AJ273" s="150"/>
      <c r="AK273" s="150"/>
      <c r="AL273" s="150">
        <f t="shared" ref="AL273" ca="1" si="1062">SUM(AL270:AL272)</f>
        <v>24</v>
      </c>
      <c r="AM273" s="151"/>
      <c r="AN273" s="150"/>
      <c r="AO273" s="150"/>
      <c r="AP273" s="150">
        <f t="shared" ref="AP273" ca="1" si="1063">SUM(AP270:AP272)</f>
        <v>29</v>
      </c>
      <c r="AQ273" s="151"/>
      <c r="AR273" s="150"/>
      <c r="AS273" s="150"/>
      <c r="AT273" s="150">
        <f t="shared" ref="AT273" ca="1" si="1064">SUM(AT270:AT272)</f>
        <v>29</v>
      </c>
      <c r="AU273" s="151"/>
      <c r="AV273" s="150"/>
      <c r="AW273" s="150"/>
      <c r="AX273" s="150">
        <f t="shared" ref="AX273" ca="1" si="1065">SUM(AX270:AX272)</f>
        <v>28</v>
      </c>
      <c r="AY273" s="151"/>
      <c r="AZ273" s="150"/>
      <c r="BA273" s="150"/>
      <c r="BB273" s="150">
        <f t="shared" ref="BB273" ca="1" si="1066">SUM(BB270:BB272)</f>
        <v>28</v>
      </c>
      <c r="BC273" s="151"/>
      <c r="BD273" s="150"/>
      <c r="BE273" s="150"/>
      <c r="BF273" s="150">
        <f t="shared" ref="BF273" ca="1" si="1067">SUM(BF270:BF272)</f>
        <v>31</v>
      </c>
      <c r="BG273" s="151"/>
      <c r="BH273" s="150"/>
      <c r="BI273" s="150"/>
      <c r="BJ273" s="150">
        <f t="shared" ref="BJ273" ca="1" si="1068">SUM(BJ270:BJ272)</f>
        <v>31</v>
      </c>
      <c r="BK273" s="151"/>
      <c r="BL273" s="150"/>
      <c r="BM273" s="150"/>
      <c r="BN273" s="150">
        <f t="shared" ref="BN273" ca="1" si="1069">SUM(BN270:BN272)</f>
        <v>30</v>
      </c>
      <c r="BO273" s="151"/>
      <c r="BP273" s="150"/>
      <c r="BQ273" s="150"/>
      <c r="BR273" s="150">
        <f t="shared" ref="BR273" ca="1" si="1070">SUM(BR270:BR272)</f>
        <v>30</v>
      </c>
      <c r="BS273" s="151"/>
      <c r="BT273" s="152"/>
    </row>
    <row r="274" spans="1:72" hidden="1" outlineLevel="1" x14ac:dyDescent="0.25">
      <c r="A274" s="98" t="s">
        <v>15</v>
      </c>
      <c r="B274" s="98"/>
      <c r="C274" s="98"/>
      <c r="D274" s="140"/>
      <c r="E274" s="140"/>
      <c r="F274" s="140" t="str">
        <f>$F$104</f>
        <v>Σ▲ Total Increased</v>
      </c>
      <c r="G274" s="141" t="s">
        <v>17</v>
      </c>
      <c r="H274" s="99"/>
      <c r="I274" s="99"/>
      <c r="J274" s="99">
        <f ca="1">J104</f>
        <v>3512367.4158000005</v>
      </c>
      <c r="K274" s="142"/>
      <c r="L274" s="99"/>
      <c r="M274" s="99"/>
      <c r="N274" s="99">
        <f t="shared" ref="N274" ca="1" si="1071">N104</f>
        <v>0</v>
      </c>
      <c r="O274" s="142"/>
      <c r="P274" s="99"/>
      <c r="Q274" s="99"/>
      <c r="R274" s="99">
        <f t="shared" ref="R274" ca="1" si="1072">R104</f>
        <v>9368828.6155000161</v>
      </c>
      <c r="S274" s="142"/>
      <c r="T274" s="99"/>
      <c r="U274" s="99"/>
      <c r="V274" s="99">
        <f t="shared" ref="V274" ca="1" si="1073">V104</f>
        <v>1987995.4274000116</v>
      </c>
      <c r="W274" s="142"/>
      <c r="X274" s="99"/>
      <c r="Y274" s="99"/>
      <c r="Z274" s="99">
        <f t="shared" ref="Z274" ca="1" si="1074">Z104</f>
        <v>18745318.905000016</v>
      </c>
      <c r="AA274" s="142"/>
      <c r="AB274" s="99"/>
      <c r="AC274" s="99"/>
      <c r="AD274" s="99">
        <f t="shared" ref="AD274" ca="1" si="1075">AD104</f>
        <v>16214134.850600014</v>
      </c>
      <c r="AE274" s="142"/>
      <c r="AF274" s="99"/>
      <c r="AG274" s="99"/>
      <c r="AH274" s="99">
        <f t="shared" ref="AH274" ca="1" si="1076">AH104</f>
        <v>28360341.881200008</v>
      </c>
      <c r="AI274" s="142"/>
      <c r="AJ274" s="99"/>
      <c r="AK274" s="99"/>
      <c r="AL274" s="99">
        <f t="shared" ref="AL274" ca="1" si="1077">AL104</f>
        <v>28360341.881200008</v>
      </c>
      <c r="AM274" s="142"/>
      <c r="AN274" s="99"/>
      <c r="AO274" s="99"/>
      <c r="AP274" s="99">
        <f t="shared" ref="AP274" ca="1" si="1078">AP104</f>
        <v>57728564.926699974</v>
      </c>
      <c r="AQ274" s="142"/>
      <c r="AR274" s="99"/>
      <c r="AS274" s="99"/>
      <c r="AT274" s="99">
        <f t="shared" ref="AT274" ca="1" si="1079">AT104</f>
        <v>57728564.926699974</v>
      </c>
      <c r="AU274" s="142"/>
      <c r="AV274" s="99"/>
      <c r="AW274" s="99"/>
      <c r="AX274" s="99">
        <f t="shared" ref="AX274" ca="1" si="1080">AX104</f>
        <v>84490159.199799955</v>
      </c>
      <c r="AY274" s="142"/>
      <c r="AZ274" s="99"/>
      <c r="BA274" s="99"/>
      <c r="BB274" s="99">
        <f t="shared" ref="BB274" ca="1" si="1081">BB104</f>
        <v>84490159.199799955</v>
      </c>
      <c r="BC274" s="142"/>
      <c r="BD274" s="99"/>
      <c r="BE274" s="99"/>
      <c r="BF274" s="99">
        <f t="shared" ref="BF274" ca="1" si="1082">BF104</f>
        <v>87720453.977700055</v>
      </c>
      <c r="BG274" s="142"/>
      <c r="BH274" s="99"/>
      <c r="BI274" s="99"/>
      <c r="BJ274" s="99">
        <f t="shared" ref="BJ274" ca="1" si="1083">BJ104</f>
        <v>87720453.977700055</v>
      </c>
      <c r="BK274" s="142"/>
      <c r="BL274" s="99"/>
      <c r="BM274" s="99"/>
      <c r="BN274" s="99">
        <f t="shared" ref="BN274" ca="1" si="1084">BN104</f>
        <v>89342192.463199973</v>
      </c>
      <c r="BO274" s="142"/>
      <c r="BP274" s="99"/>
      <c r="BQ274" s="99"/>
      <c r="BR274" s="99">
        <f t="shared" ref="BR274" ca="1" si="1085">BR104</f>
        <v>89342192.463199973</v>
      </c>
      <c r="BS274" s="142"/>
    </row>
    <row r="275" spans="1:72" hidden="1" outlineLevel="1" x14ac:dyDescent="0.25">
      <c r="A275" s="98" t="s">
        <v>15</v>
      </c>
      <c r="B275" s="98"/>
      <c r="C275" s="98"/>
      <c r="D275" s="48"/>
      <c r="E275" s="48"/>
      <c r="F275" s="143" t="str">
        <f>F274</f>
        <v>Σ▲ Total Increased</v>
      </c>
      <c r="G275" s="144" t="s">
        <v>36</v>
      </c>
      <c r="H275" s="102"/>
      <c r="I275" s="102"/>
      <c r="J275" s="102">
        <f ca="1">J173</f>
        <v>688127.54619999998</v>
      </c>
      <c r="K275" s="145"/>
      <c r="L275" s="102"/>
      <c r="M275" s="102"/>
      <c r="N275" s="102">
        <f t="shared" ref="N275" ca="1" si="1086">N173</f>
        <v>0</v>
      </c>
      <c r="O275" s="145"/>
      <c r="P275" s="102"/>
      <c r="Q275" s="102"/>
      <c r="R275" s="102">
        <f t="shared" ref="R275" ca="1" si="1087">R173</f>
        <v>1315541.1183000002</v>
      </c>
      <c r="S275" s="145"/>
      <c r="T275" s="102"/>
      <c r="U275" s="102"/>
      <c r="V275" s="102">
        <f t="shared" ref="V275" ca="1" si="1088">V173</f>
        <v>0</v>
      </c>
      <c r="W275" s="145"/>
      <c r="X275" s="102"/>
      <c r="Y275" s="102"/>
      <c r="Z275" s="102">
        <f t="shared" ref="Z275" ca="1" si="1089">Z173</f>
        <v>3130836.933699999</v>
      </c>
      <c r="AA275" s="145"/>
      <c r="AB275" s="102"/>
      <c r="AC275" s="102"/>
      <c r="AD275" s="102">
        <f t="shared" ref="AD275" ca="1" si="1090">AD173</f>
        <v>3130836.933699999</v>
      </c>
      <c r="AE275" s="145"/>
      <c r="AF275" s="102"/>
      <c r="AG275" s="102"/>
      <c r="AH275" s="102">
        <f t="shared" ref="AH275" ca="1" si="1091">AH173</f>
        <v>4703089.3028999865</v>
      </c>
      <c r="AI275" s="145"/>
      <c r="AJ275" s="102"/>
      <c r="AK275" s="102"/>
      <c r="AL275" s="102">
        <f t="shared" ref="AL275" ca="1" si="1092">AL173</f>
        <v>4703089.3028999865</v>
      </c>
      <c r="AM275" s="145"/>
      <c r="AN275" s="102"/>
      <c r="AO275" s="102"/>
      <c r="AP275" s="102">
        <f t="shared" ref="AP275" ca="1" si="1093">AP173</f>
        <v>16565288.509300038</v>
      </c>
      <c r="AQ275" s="145"/>
      <c r="AR275" s="102"/>
      <c r="AS275" s="102"/>
      <c r="AT275" s="102">
        <f t="shared" ref="AT275" ca="1" si="1094">AT173</f>
        <v>16565288.509300038</v>
      </c>
      <c r="AU275" s="145"/>
      <c r="AV275" s="102"/>
      <c r="AW275" s="102"/>
      <c r="AX275" s="102">
        <f t="shared" ref="AX275" ca="1" si="1095">AX173</f>
        <v>22032898.498099968</v>
      </c>
      <c r="AY275" s="145"/>
      <c r="AZ275" s="102"/>
      <c r="BA275" s="102"/>
      <c r="BB275" s="102">
        <f t="shared" ref="BB275" ca="1" si="1096">BB173</f>
        <v>22032898.498099968</v>
      </c>
      <c r="BC275" s="145"/>
      <c r="BD275" s="102"/>
      <c r="BE275" s="102"/>
      <c r="BF275" s="102">
        <f t="shared" ref="BF275" ca="1" si="1097">BF173</f>
        <v>21304339.454900011</v>
      </c>
      <c r="BG275" s="145"/>
      <c r="BH275" s="102"/>
      <c r="BI275" s="102"/>
      <c r="BJ275" s="102">
        <f t="shared" ref="BJ275" ca="1" si="1098">BJ173</f>
        <v>21304339.454900011</v>
      </c>
      <c r="BK275" s="145"/>
      <c r="BL275" s="102"/>
      <c r="BM275" s="102"/>
      <c r="BN275" s="102">
        <f t="shared" ref="BN275" ca="1" si="1099">BN173</f>
        <v>21304339.454900004</v>
      </c>
      <c r="BO275" s="145"/>
      <c r="BP275" s="102"/>
      <c r="BQ275" s="102"/>
      <c r="BR275" s="102">
        <f t="shared" ref="BR275" ca="1" si="1100">BR173</f>
        <v>21304339.454900004</v>
      </c>
      <c r="BS275" s="145"/>
    </row>
    <row r="276" spans="1:72" hidden="1" outlineLevel="1" x14ac:dyDescent="0.25">
      <c r="A276" s="98" t="s">
        <v>15</v>
      </c>
      <c r="B276" s="98"/>
      <c r="C276" s="98"/>
      <c r="D276" s="48"/>
      <c r="E276" s="48"/>
      <c r="F276" s="143" t="str">
        <f>F274</f>
        <v>Σ▲ Total Increased</v>
      </c>
      <c r="G276" s="144" t="s">
        <v>38</v>
      </c>
      <c r="H276" s="102"/>
      <c r="I276" s="102"/>
      <c r="J276" s="102">
        <f ca="1">J232</f>
        <v>5327815.5919000013</v>
      </c>
      <c r="K276" s="145"/>
      <c r="L276" s="102"/>
      <c r="M276" s="102"/>
      <c r="N276" s="102">
        <f t="shared" ref="N276" ca="1" si="1101">N232</f>
        <v>0</v>
      </c>
      <c r="O276" s="145"/>
      <c r="P276" s="102"/>
      <c r="Q276" s="102"/>
      <c r="R276" s="102">
        <f t="shared" ref="R276" ca="1" si="1102">R232</f>
        <v>12531094.482900003</v>
      </c>
      <c r="S276" s="145"/>
      <c r="T276" s="102"/>
      <c r="U276" s="102"/>
      <c r="V276" s="102">
        <f t="shared" ref="V276" ca="1" si="1103">V232</f>
        <v>0</v>
      </c>
      <c r="W276" s="145"/>
      <c r="X276" s="102"/>
      <c r="Y276" s="102"/>
      <c r="Z276" s="102">
        <f t="shared" ref="Z276" ca="1" si="1104">Z232</f>
        <v>25756212.302799989</v>
      </c>
      <c r="AA276" s="145"/>
      <c r="AB276" s="102"/>
      <c r="AC276" s="102"/>
      <c r="AD276" s="102">
        <f t="shared" ref="AD276" ca="1" si="1105">AD232</f>
        <v>25756212.302799989</v>
      </c>
      <c r="AE276" s="145"/>
      <c r="AF276" s="102"/>
      <c r="AG276" s="102"/>
      <c r="AH276" s="102">
        <f t="shared" ref="AH276" ca="1" si="1106">AH232</f>
        <v>43117015.665599987</v>
      </c>
      <c r="AI276" s="145"/>
      <c r="AJ276" s="102"/>
      <c r="AK276" s="102"/>
      <c r="AL276" s="102">
        <f t="shared" ref="AL276" ca="1" si="1107">AL232</f>
        <v>43117015.665599987</v>
      </c>
      <c r="AM276" s="145"/>
      <c r="AN276" s="102"/>
      <c r="AO276" s="102"/>
      <c r="AP276" s="102">
        <f t="shared" ref="AP276" ca="1" si="1108">AP232</f>
        <v>80998006.117399961</v>
      </c>
      <c r="AQ276" s="145"/>
      <c r="AR276" s="102"/>
      <c r="AS276" s="102"/>
      <c r="AT276" s="102">
        <f t="shared" ref="AT276" ca="1" si="1109">AT232</f>
        <v>80998006.117399961</v>
      </c>
      <c r="AU276" s="145"/>
      <c r="AV276" s="102"/>
      <c r="AW276" s="102"/>
      <c r="AX276" s="102">
        <f t="shared" ref="AX276" ca="1" si="1110">AX232</f>
        <v>108850534.26389998</v>
      </c>
      <c r="AY276" s="145"/>
      <c r="AZ276" s="102"/>
      <c r="BA276" s="102"/>
      <c r="BB276" s="102">
        <f t="shared" ref="BB276" ca="1" si="1111">BB232</f>
        <v>108850534.26389998</v>
      </c>
      <c r="BC276" s="145"/>
      <c r="BD276" s="102"/>
      <c r="BE276" s="102"/>
      <c r="BF276" s="102">
        <f t="shared" ref="BF276" ca="1" si="1112">BF232</f>
        <v>115340673.04139994</v>
      </c>
      <c r="BG276" s="145"/>
      <c r="BH276" s="102"/>
      <c r="BI276" s="102"/>
      <c r="BJ276" s="102">
        <f t="shared" ref="BJ276" ca="1" si="1113">BJ232</f>
        <v>115340673.04139994</v>
      </c>
      <c r="BK276" s="145"/>
      <c r="BL276" s="102"/>
      <c r="BM276" s="102"/>
      <c r="BN276" s="102">
        <f t="shared" ref="BN276" ca="1" si="1114">BN232</f>
        <v>118950446.34159993</v>
      </c>
      <c r="BO276" s="145"/>
      <c r="BP276" s="102"/>
      <c r="BQ276" s="102"/>
      <c r="BR276" s="102">
        <f t="shared" ref="BR276" ca="1" si="1115">BR232</f>
        <v>118950446.34159993</v>
      </c>
      <c r="BS276" s="145"/>
    </row>
    <row r="277" spans="1:72" ht="13.8" hidden="1" outlineLevel="1" thickBot="1" x14ac:dyDescent="0.3">
      <c r="A277" s="146" t="s">
        <v>15</v>
      </c>
      <c r="B277" s="146"/>
      <c r="C277" s="146"/>
      <c r="D277" s="147"/>
      <c r="E277" s="147"/>
      <c r="F277" s="148" t="str">
        <f>F274</f>
        <v>Σ▲ Total Increased</v>
      </c>
      <c r="G277" s="149" t="s">
        <v>41</v>
      </c>
      <c r="H277" s="150"/>
      <c r="I277" s="150"/>
      <c r="J277" s="150">
        <f ca="1">SUM(J274:J276)</f>
        <v>9528310.5539000016</v>
      </c>
      <c r="K277" s="151"/>
      <c r="L277" s="150"/>
      <c r="M277" s="150"/>
      <c r="N277" s="150">
        <f t="shared" ref="N277" ca="1" si="1116">SUM(N274:N276)</f>
        <v>0</v>
      </c>
      <c r="O277" s="151"/>
      <c r="P277" s="150"/>
      <c r="Q277" s="150"/>
      <c r="R277" s="150">
        <f t="shared" ref="R277" ca="1" si="1117">SUM(R274:R276)</f>
        <v>23215464.216700017</v>
      </c>
      <c r="S277" s="151"/>
      <c r="T277" s="150"/>
      <c r="U277" s="150"/>
      <c r="V277" s="150">
        <f t="shared" ref="V277" ca="1" si="1118">SUM(V274:V276)</f>
        <v>1987995.4274000116</v>
      </c>
      <c r="W277" s="151"/>
      <c r="X277" s="150"/>
      <c r="Y277" s="150"/>
      <c r="Z277" s="150">
        <f t="shared" ref="Z277" ca="1" si="1119">SUM(Z274:Z276)</f>
        <v>47632368.141500004</v>
      </c>
      <c r="AA277" s="151"/>
      <c r="AB277" s="150"/>
      <c r="AC277" s="150"/>
      <c r="AD277" s="150">
        <f t="shared" ref="AD277" ca="1" si="1120">SUM(AD274:AD276)</f>
        <v>45101184.087099999</v>
      </c>
      <c r="AE277" s="151"/>
      <c r="AF277" s="150"/>
      <c r="AG277" s="150"/>
      <c r="AH277" s="150">
        <f t="shared" ref="AH277" ca="1" si="1121">SUM(AH274:AH276)</f>
        <v>76180446.849699974</v>
      </c>
      <c r="AI277" s="151"/>
      <c r="AJ277" s="150"/>
      <c r="AK277" s="150"/>
      <c r="AL277" s="150">
        <f t="shared" ref="AL277" ca="1" si="1122">SUM(AL274:AL276)</f>
        <v>76180446.849699974</v>
      </c>
      <c r="AM277" s="151"/>
      <c r="AN277" s="150"/>
      <c r="AO277" s="150"/>
      <c r="AP277" s="150">
        <f t="shared" ref="AP277" ca="1" si="1123">SUM(AP274:AP276)</f>
        <v>155291859.55339998</v>
      </c>
      <c r="AQ277" s="151"/>
      <c r="AR277" s="150"/>
      <c r="AS277" s="150"/>
      <c r="AT277" s="150">
        <f t="shared" ref="AT277" ca="1" si="1124">SUM(AT274:AT276)</f>
        <v>155291859.55339998</v>
      </c>
      <c r="AU277" s="151"/>
      <c r="AV277" s="150"/>
      <c r="AW277" s="150"/>
      <c r="AX277" s="150">
        <f t="shared" ref="AX277" ca="1" si="1125">SUM(AX274:AX276)</f>
        <v>215373591.96179992</v>
      </c>
      <c r="AY277" s="151"/>
      <c r="AZ277" s="150"/>
      <c r="BA277" s="150"/>
      <c r="BB277" s="150">
        <f t="shared" ref="BB277" ca="1" si="1126">SUM(BB274:BB276)</f>
        <v>215373591.96179992</v>
      </c>
      <c r="BC277" s="151"/>
      <c r="BD277" s="150"/>
      <c r="BE277" s="150"/>
      <c r="BF277" s="150">
        <f t="shared" ref="BF277" ca="1" si="1127">SUM(BF274:BF276)</f>
        <v>224365466.47400001</v>
      </c>
      <c r="BG277" s="151"/>
      <c r="BH277" s="150"/>
      <c r="BI277" s="150"/>
      <c r="BJ277" s="150">
        <f t="shared" ref="BJ277" ca="1" si="1128">SUM(BJ274:BJ276)</f>
        <v>224365466.47400001</v>
      </c>
      <c r="BK277" s="151"/>
      <c r="BL277" s="150"/>
      <c r="BM277" s="150"/>
      <c r="BN277" s="150">
        <f t="shared" ref="BN277" ca="1" si="1129">SUM(BN274:BN276)</f>
        <v>229596978.25969988</v>
      </c>
      <c r="BO277" s="151"/>
      <c r="BP277" s="150"/>
      <c r="BQ277" s="150"/>
      <c r="BR277" s="150">
        <f t="shared" ref="BR277" ca="1" si="1130">SUM(BR274:BR276)</f>
        <v>229596978.25969988</v>
      </c>
      <c r="BS277" s="151"/>
      <c r="BT277" s="152"/>
    </row>
    <row r="278" spans="1:72" hidden="1" outlineLevel="1" x14ac:dyDescent="0.25">
      <c r="A278" s="98" t="s">
        <v>15</v>
      </c>
      <c r="B278" s="98"/>
      <c r="C278" s="98"/>
      <c r="D278" s="48"/>
      <c r="E278" s="48"/>
      <c r="F278" s="48" t="str">
        <f>$F$105</f>
        <v>Χ▲ Average Increased</v>
      </c>
      <c r="G278" s="141" t="s">
        <v>17</v>
      </c>
      <c r="H278" s="99"/>
      <c r="I278" s="99"/>
      <c r="J278" s="99">
        <f ca="1">IF(J270=0,0,J274/J270)</f>
        <v>878091.85395000014</v>
      </c>
      <c r="K278" s="142"/>
      <c r="L278" s="99"/>
      <c r="M278" s="99"/>
      <c r="N278" s="99">
        <f t="shared" ref="N278:N281" ca="1" si="1131">IF(N270=0,0,N274/N270)</f>
        <v>0</v>
      </c>
      <c r="O278" s="142"/>
      <c r="P278" s="99"/>
      <c r="Q278" s="99"/>
      <c r="R278" s="99">
        <f t="shared" ref="R278:R281" ca="1" si="1132">IF(R270=0,0,R274/R270)</f>
        <v>1171103.576937502</v>
      </c>
      <c r="S278" s="142"/>
      <c r="T278" s="99"/>
      <c r="U278" s="99"/>
      <c r="V278" s="99">
        <f t="shared" ref="V278:V281" ca="1" si="1133">IF(V270=0,0,V274/V270)</f>
        <v>993997.71370000578</v>
      </c>
      <c r="W278" s="142"/>
      <c r="X278" s="99"/>
      <c r="Y278" s="99"/>
      <c r="Z278" s="99">
        <f t="shared" ref="Z278:Z281" ca="1" si="1134">IF(Z270=0,0,Z274/Z270)</f>
        <v>2082813.2116666685</v>
      </c>
      <c r="AA278" s="142"/>
      <c r="AB278" s="99"/>
      <c r="AC278" s="99"/>
      <c r="AD278" s="99">
        <f t="shared" ref="AD278:AD281" ca="1" si="1135">IF(AD270=0,0,AD274/AD270)</f>
        <v>2026766.8563250017</v>
      </c>
      <c r="AE278" s="142"/>
      <c r="AF278" s="99"/>
      <c r="AG278" s="99"/>
      <c r="AH278" s="99">
        <f t="shared" ref="AH278:AH281" ca="1" si="1136">IF(AH270=0,0,AH274/AH270)</f>
        <v>2578212.8982909098</v>
      </c>
      <c r="AI278" s="142"/>
      <c r="AJ278" s="99"/>
      <c r="AK278" s="99"/>
      <c r="AL278" s="99">
        <f t="shared" ref="AL278:AL281" ca="1" si="1137">IF(AL270=0,0,AL274/AL270)</f>
        <v>2578212.8982909098</v>
      </c>
      <c r="AM278" s="142"/>
      <c r="AN278" s="99"/>
      <c r="AO278" s="99"/>
      <c r="AP278" s="99">
        <f t="shared" ref="AP278:AP281" ca="1" si="1138">IF(AP270=0,0,AP274/AP270)</f>
        <v>4123468.9233357124</v>
      </c>
      <c r="AQ278" s="142"/>
      <c r="AR278" s="99"/>
      <c r="AS278" s="99"/>
      <c r="AT278" s="99">
        <f t="shared" ref="AT278:AT281" ca="1" si="1139">IF(AT270=0,0,AT274/AT270)</f>
        <v>4123468.9233357124</v>
      </c>
      <c r="AU278" s="142"/>
      <c r="AV278" s="99"/>
      <c r="AW278" s="99"/>
      <c r="AX278" s="99">
        <f t="shared" ref="AX278:AX281" ca="1" si="1140">IF(AX270=0,0,AX274/AX270)</f>
        <v>5632677.2799866637</v>
      </c>
      <c r="AY278" s="142"/>
      <c r="AZ278" s="99"/>
      <c r="BA278" s="99"/>
      <c r="BB278" s="99">
        <f t="shared" ref="BB278:BB281" ca="1" si="1141">IF(BB270=0,0,BB274/BB270)</f>
        <v>5632677.2799866637</v>
      </c>
      <c r="BC278" s="142"/>
      <c r="BD278" s="99"/>
      <c r="BE278" s="99"/>
      <c r="BF278" s="99">
        <f t="shared" ref="BF278:BF281" ca="1" si="1142">IF(BF270=0,0,BF274/BF270)</f>
        <v>5482528.3736062534</v>
      </c>
      <c r="BG278" s="142"/>
      <c r="BH278" s="99"/>
      <c r="BI278" s="99"/>
      <c r="BJ278" s="99">
        <f t="shared" ref="BJ278:BJ281" ca="1" si="1143">IF(BJ270=0,0,BJ274/BJ270)</f>
        <v>5482528.3736062534</v>
      </c>
      <c r="BK278" s="142"/>
      <c r="BL278" s="99"/>
      <c r="BM278" s="99"/>
      <c r="BN278" s="99">
        <f t="shared" ref="BN278:BN281" ca="1" si="1144">IF(BN270=0,0,BN274/BN270)</f>
        <v>5583887.0289499983</v>
      </c>
      <c r="BO278" s="142"/>
      <c r="BP278" s="99"/>
      <c r="BQ278" s="99"/>
      <c r="BR278" s="99">
        <f t="shared" ref="BR278:BR281" ca="1" si="1145">IF(BR270=0,0,BR274/BR270)</f>
        <v>5583887.0289499983</v>
      </c>
      <c r="BS278" s="142"/>
    </row>
    <row r="279" spans="1:72" hidden="1" outlineLevel="1" x14ac:dyDescent="0.25">
      <c r="A279" s="98" t="s">
        <v>15</v>
      </c>
      <c r="B279" s="98"/>
      <c r="C279" s="98"/>
      <c r="D279" s="48"/>
      <c r="E279" s="48"/>
      <c r="F279" s="143" t="str">
        <f>F278</f>
        <v>Χ▲ Average Increased</v>
      </c>
      <c r="G279" s="144" t="s">
        <v>36</v>
      </c>
      <c r="H279" s="102"/>
      <c r="I279" s="102"/>
      <c r="J279" s="102">
        <f ca="1">IF(J271=0,0,J275/J271)</f>
        <v>229375.84873333332</v>
      </c>
      <c r="K279" s="145"/>
      <c r="L279" s="102"/>
      <c r="M279" s="102"/>
      <c r="N279" s="102">
        <f t="shared" ca="1" si="1131"/>
        <v>0</v>
      </c>
      <c r="O279" s="145"/>
      <c r="P279" s="102"/>
      <c r="Q279" s="102"/>
      <c r="R279" s="102">
        <f t="shared" ca="1" si="1132"/>
        <v>1315541.1183000002</v>
      </c>
      <c r="S279" s="145"/>
      <c r="T279" s="102"/>
      <c r="U279" s="102"/>
      <c r="V279" s="102">
        <f t="shared" ca="1" si="1133"/>
        <v>0</v>
      </c>
      <c r="W279" s="145"/>
      <c r="X279" s="102"/>
      <c r="Y279" s="102"/>
      <c r="Z279" s="102">
        <f t="shared" ca="1" si="1134"/>
        <v>1043612.311233333</v>
      </c>
      <c r="AA279" s="145"/>
      <c r="AB279" s="102"/>
      <c r="AC279" s="102"/>
      <c r="AD279" s="102">
        <f t="shared" ca="1" si="1135"/>
        <v>1043612.311233333</v>
      </c>
      <c r="AE279" s="145"/>
      <c r="AF279" s="102"/>
      <c r="AG279" s="102"/>
      <c r="AH279" s="102">
        <f t="shared" ca="1" si="1136"/>
        <v>1175772.3257249966</v>
      </c>
      <c r="AI279" s="145"/>
      <c r="AJ279" s="102"/>
      <c r="AK279" s="102"/>
      <c r="AL279" s="102">
        <f t="shared" ca="1" si="1137"/>
        <v>1175772.3257249966</v>
      </c>
      <c r="AM279" s="145"/>
      <c r="AN279" s="102"/>
      <c r="AO279" s="102"/>
      <c r="AP279" s="102">
        <f t="shared" ca="1" si="1138"/>
        <v>3313057.7018600078</v>
      </c>
      <c r="AQ279" s="145"/>
      <c r="AR279" s="102"/>
      <c r="AS279" s="102"/>
      <c r="AT279" s="102">
        <f t="shared" ca="1" si="1139"/>
        <v>3313057.7018600078</v>
      </c>
      <c r="AU279" s="145"/>
      <c r="AV279" s="102"/>
      <c r="AW279" s="102"/>
      <c r="AX279" s="102">
        <f t="shared" ca="1" si="1140"/>
        <v>5508224.624524992</v>
      </c>
      <c r="AY279" s="145"/>
      <c r="AZ279" s="102"/>
      <c r="BA279" s="102"/>
      <c r="BB279" s="102">
        <f t="shared" ca="1" si="1141"/>
        <v>5508224.624524992</v>
      </c>
      <c r="BC279" s="145"/>
      <c r="BD279" s="102"/>
      <c r="BE279" s="102"/>
      <c r="BF279" s="102">
        <f t="shared" ca="1" si="1142"/>
        <v>5326084.8637250029</v>
      </c>
      <c r="BG279" s="145"/>
      <c r="BH279" s="102"/>
      <c r="BI279" s="102"/>
      <c r="BJ279" s="102">
        <f t="shared" ca="1" si="1143"/>
        <v>5326084.8637250029</v>
      </c>
      <c r="BK279" s="145"/>
      <c r="BL279" s="102"/>
      <c r="BM279" s="102"/>
      <c r="BN279" s="102">
        <f t="shared" ca="1" si="1144"/>
        <v>5326084.863725001</v>
      </c>
      <c r="BO279" s="145"/>
      <c r="BP279" s="102"/>
      <c r="BQ279" s="102"/>
      <c r="BR279" s="102">
        <f t="shared" ca="1" si="1145"/>
        <v>5326084.863725001</v>
      </c>
      <c r="BS279" s="145"/>
    </row>
    <row r="280" spans="1:72" hidden="1" outlineLevel="1" x14ac:dyDescent="0.25">
      <c r="A280" s="98" t="s">
        <v>15</v>
      </c>
      <c r="B280" s="98"/>
      <c r="C280" s="98"/>
      <c r="D280" s="48"/>
      <c r="E280" s="48"/>
      <c r="F280" s="143" t="str">
        <f>F278</f>
        <v>Χ▲ Average Increased</v>
      </c>
      <c r="G280" s="144" t="s">
        <v>38</v>
      </c>
      <c r="H280" s="102"/>
      <c r="I280" s="102"/>
      <c r="J280" s="102">
        <f ca="1">IF(J272=0,0,J276/J272)</f>
        <v>532781.55919000017</v>
      </c>
      <c r="K280" s="145"/>
      <c r="L280" s="102"/>
      <c r="M280" s="102"/>
      <c r="N280" s="102">
        <f t="shared" ca="1" si="1131"/>
        <v>0</v>
      </c>
      <c r="O280" s="145"/>
      <c r="P280" s="102"/>
      <c r="Q280" s="102"/>
      <c r="R280" s="102">
        <f t="shared" ca="1" si="1132"/>
        <v>1790156.3547000005</v>
      </c>
      <c r="S280" s="145"/>
      <c r="T280" s="102"/>
      <c r="U280" s="102"/>
      <c r="V280" s="102">
        <f t="shared" ca="1" si="1133"/>
        <v>0</v>
      </c>
      <c r="W280" s="145"/>
      <c r="X280" s="102"/>
      <c r="Y280" s="102"/>
      <c r="Z280" s="102">
        <f t="shared" ca="1" si="1134"/>
        <v>3219526.5378499986</v>
      </c>
      <c r="AA280" s="145"/>
      <c r="AB280" s="102"/>
      <c r="AC280" s="102"/>
      <c r="AD280" s="102">
        <f t="shared" ca="1" si="1135"/>
        <v>3219526.5378499986</v>
      </c>
      <c r="AE280" s="145"/>
      <c r="AF280" s="102"/>
      <c r="AG280" s="102"/>
      <c r="AH280" s="102">
        <f t="shared" ca="1" si="1136"/>
        <v>4790779.5183999985</v>
      </c>
      <c r="AI280" s="145"/>
      <c r="AJ280" s="102"/>
      <c r="AK280" s="102"/>
      <c r="AL280" s="102">
        <f t="shared" ca="1" si="1137"/>
        <v>4790779.5183999985</v>
      </c>
      <c r="AM280" s="145"/>
      <c r="AN280" s="102"/>
      <c r="AO280" s="102"/>
      <c r="AP280" s="102">
        <f t="shared" ca="1" si="1138"/>
        <v>8099800.6117399959</v>
      </c>
      <c r="AQ280" s="145"/>
      <c r="AR280" s="102"/>
      <c r="AS280" s="102"/>
      <c r="AT280" s="102">
        <f t="shared" ca="1" si="1139"/>
        <v>8099800.6117399959</v>
      </c>
      <c r="AU280" s="145"/>
      <c r="AV280" s="102"/>
      <c r="AW280" s="102"/>
      <c r="AX280" s="102">
        <f t="shared" ca="1" si="1140"/>
        <v>12094503.807099998</v>
      </c>
      <c r="AY280" s="145"/>
      <c r="AZ280" s="102"/>
      <c r="BA280" s="102"/>
      <c r="BB280" s="102">
        <f t="shared" ca="1" si="1141"/>
        <v>12094503.807099998</v>
      </c>
      <c r="BC280" s="145"/>
      <c r="BD280" s="102"/>
      <c r="BE280" s="102"/>
      <c r="BF280" s="102">
        <f t="shared" ca="1" si="1142"/>
        <v>10485515.731036358</v>
      </c>
      <c r="BG280" s="145"/>
      <c r="BH280" s="102"/>
      <c r="BI280" s="102"/>
      <c r="BJ280" s="102">
        <f t="shared" ca="1" si="1143"/>
        <v>10485515.731036358</v>
      </c>
      <c r="BK280" s="145"/>
      <c r="BL280" s="102"/>
      <c r="BM280" s="102"/>
      <c r="BN280" s="102">
        <f t="shared" ca="1" si="1144"/>
        <v>11895044.634159993</v>
      </c>
      <c r="BO280" s="145"/>
      <c r="BP280" s="102"/>
      <c r="BQ280" s="102"/>
      <c r="BR280" s="102">
        <f t="shared" ca="1" si="1145"/>
        <v>11895044.634159993</v>
      </c>
      <c r="BS280" s="145"/>
    </row>
    <row r="281" spans="1:72" ht="13.8" hidden="1" outlineLevel="1" thickBot="1" x14ac:dyDescent="0.3">
      <c r="A281" s="146" t="s">
        <v>15</v>
      </c>
      <c r="B281" s="146"/>
      <c r="C281" s="146"/>
      <c r="D281" s="147"/>
      <c r="E281" s="147"/>
      <c r="F281" s="148" t="str">
        <f>F278</f>
        <v>Χ▲ Average Increased</v>
      </c>
      <c r="G281" s="149" t="s">
        <v>41</v>
      </c>
      <c r="H281" s="150"/>
      <c r="I281" s="150"/>
      <c r="J281" s="150">
        <f ca="1">IF(J273=0,0,J277/J273)</f>
        <v>560488.85611176479</v>
      </c>
      <c r="K281" s="151"/>
      <c r="L281" s="150"/>
      <c r="M281" s="150"/>
      <c r="N281" s="150">
        <f t="shared" ca="1" si="1131"/>
        <v>0</v>
      </c>
      <c r="O281" s="151"/>
      <c r="P281" s="150"/>
      <c r="Q281" s="150"/>
      <c r="R281" s="150">
        <f t="shared" ca="1" si="1132"/>
        <v>1450966.5135437511</v>
      </c>
      <c r="S281" s="151"/>
      <c r="T281" s="150"/>
      <c r="U281" s="150"/>
      <c r="V281" s="150">
        <f t="shared" ca="1" si="1133"/>
        <v>993997.71370000578</v>
      </c>
      <c r="W281" s="151"/>
      <c r="X281" s="150"/>
      <c r="Y281" s="150"/>
      <c r="Z281" s="150">
        <f t="shared" ca="1" si="1134"/>
        <v>2381618.407075</v>
      </c>
      <c r="AA281" s="151"/>
      <c r="AB281" s="150"/>
      <c r="AC281" s="150"/>
      <c r="AD281" s="150">
        <f t="shared" ca="1" si="1135"/>
        <v>2373746.5309000001</v>
      </c>
      <c r="AE281" s="151"/>
      <c r="AF281" s="150"/>
      <c r="AG281" s="150"/>
      <c r="AH281" s="150">
        <f t="shared" ca="1" si="1136"/>
        <v>3174185.2854041657</v>
      </c>
      <c r="AI281" s="151"/>
      <c r="AJ281" s="150"/>
      <c r="AK281" s="150"/>
      <c r="AL281" s="150">
        <f t="shared" ca="1" si="1137"/>
        <v>3174185.2854041657</v>
      </c>
      <c r="AM281" s="151"/>
      <c r="AN281" s="150"/>
      <c r="AO281" s="150"/>
      <c r="AP281" s="150">
        <f t="shared" ca="1" si="1138"/>
        <v>5354891.7087379303</v>
      </c>
      <c r="AQ281" s="151"/>
      <c r="AR281" s="150"/>
      <c r="AS281" s="150"/>
      <c r="AT281" s="150">
        <f t="shared" ca="1" si="1139"/>
        <v>5354891.7087379303</v>
      </c>
      <c r="AU281" s="151"/>
      <c r="AV281" s="150"/>
      <c r="AW281" s="150"/>
      <c r="AX281" s="150">
        <f t="shared" ca="1" si="1140"/>
        <v>7691913.9986357111</v>
      </c>
      <c r="AY281" s="151"/>
      <c r="AZ281" s="150"/>
      <c r="BA281" s="150"/>
      <c r="BB281" s="150">
        <f t="shared" ca="1" si="1141"/>
        <v>7691913.9986357111</v>
      </c>
      <c r="BC281" s="151"/>
      <c r="BD281" s="150"/>
      <c r="BE281" s="150"/>
      <c r="BF281" s="150">
        <f t="shared" ca="1" si="1142"/>
        <v>7237595.6927096779</v>
      </c>
      <c r="BG281" s="151"/>
      <c r="BH281" s="150"/>
      <c r="BI281" s="150"/>
      <c r="BJ281" s="150">
        <f t="shared" ca="1" si="1143"/>
        <v>7237595.6927096779</v>
      </c>
      <c r="BK281" s="151"/>
      <c r="BL281" s="150"/>
      <c r="BM281" s="150"/>
      <c r="BN281" s="150">
        <f t="shared" ca="1" si="1144"/>
        <v>7653232.6086566625</v>
      </c>
      <c r="BO281" s="151"/>
      <c r="BP281" s="150"/>
      <c r="BQ281" s="150"/>
      <c r="BR281" s="150">
        <f t="shared" ca="1" si="1145"/>
        <v>7653232.6086566625</v>
      </c>
      <c r="BS281" s="151"/>
      <c r="BT281" s="152"/>
    </row>
    <row r="282" spans="1:72" hidden="1" outlineLevel="1" x14ac:dyDescent="0.25">
      <c r="A282" s="98" t="s">
        <v>15</v>
      </c>
      <c r="B282" s="98"/>
      <c r="C282" s="98"/>
      <c r="D282" s="140"/>
      <c r="E282" s="140"/>
      <c r="F282" s="140" t="str">
        <f>$F$106</f>
        <v>#▼ Number Decreased</v>
      </c>
      <c r="G282" s="141" t="s">
        <v>17</v>
      </c>
      <c r="H282" s="99"/>
      <c r="I282" s="99"/>
      <c r="J282" s="99">
        <f ca="1">J106</f>
        <v>58</v>
      </c>
      <c r="K282" s="142"/>
      <c r="L282" s="99"/>
      <c r="M282" s="99"/>
      <c r="N282" s="99">
        <f t="shared" ref="N282" ca="1" si="1146">N106</f>
        <v>0</v>
      </c>
      <c r="O282" s="142"/>
      <c r="P282" s="99"/>
      <c r="Q282" s="99"/>
      <c r="R282" s="99">
        <f t="shared" ref="R282" ca="1" si="1147">R106</f>
        <v>54</v>
      </c>
      <c r="S282" s="142"/>
      <c r="T282" s="99"/>
      <c r="U282" s="99"/>
      <c r="V282" s="99">
        <f t="shared" ref="V282" ca="1" si="1148">V106</f>
        <v>18</v>
      </c>
      <c r="W282" s="142"/>
      <c r="X282" s="99"/>
      <c r="Y282" s="99"/>
      <c r="Z282" s="99">
        <f t="shared" ref="Z282" ca="1" si="1149">Z106</f>
        <v>53</v>
      </c>
      <c r="AA282" s="142"/>
      <c r="AB282" s="99"/>
      <c r="AC282" s="99"/>
      <c r="AD282" s="99">
        <f t="shared" ref="AD282" ca="1" si="1150">AD106</f>
        <v>51</v>
      </c>
      <c r="AE282" s="142"/>
      <c r="AF282" s="99"/>
      <c r="AG282" s="99"/>
      <c r="AH282" s="99">
        <f t="shared" ref="AH282" ca="1" si="1151">AH106</f>
        <v>51</v>
      </c>
      <c r="AI282" s="142"/>
      <c r="AJ282" s="99"/>
      <c r="AK282" s="99"/>
      <c r="AL282" s="99">
        <f t="shared" ref="AL282" ca="1" si="1152">AL106</f>
        <v>51</v>
      </c>
      <c r="AM282" s="142"/>
      <c r="AN282" s="99"/>
      <c r="AO282" s="99"/>
      <c r="AP282" s="99">
        <f t="shared" ref="AP282" ca="1" si="1153">AP106</f>
        <v>48</v>
      </c>
      <c r="AQ282" s="142"/>
      <c r="AR282" s="99"/>
      <c r="AS282" s="99"/>
      <c r="AT282" s="99">
        <f t="shared" ref="AT282" ca="1" si="1154">AT106</f>
        <v>48</v>
      </c>
      <c r="AU282" s="142"/>
      <c r="AV282" s="99"/>
      <c r="AW282" s="99"/>
      <c r="AX282" s="99">
        <f t="shared" ref="AX282" ca="1" si="1155">AX106</f>
        <v>47</v>
      </c>
      <c r="AY282" s="142"/>
      <c r="AZ282" s="99"/>
      <c r="BA282" s="99"/>
      <c r="BB282" s="99">
        <f t="shared" ref="BB282" ca="1" si="1156">BB106</f>
        <v>47</v>
      </c>
      <c r="BC282" s="142"/>
      <c r="BD282" s="99"/>
      <c r="BE282" s="99"/>
      <c r="BF282" s="99">
        <f t="shared" ref="BF282" ca="1" si="1157">BF106</f>
        <v>46</v>
      </c>
      <c r="BG282" s="142"/>
      <c r="BH282" s="99"/>
      <c r="BI282" s="99"/>
      <c r="BJ282" s="99">
        <f t="shared" ref="BJ282" ca="1" si="1158">BJ106</f>
        <v>46</v>
      </c>
      <c r="BK282" s="142"/>
      <c r="BL282" s="99"/>
      <c r="BM282" s="99"/>
      <c r="BN282" s="99">
        <f t="shared" ref="BN282" ca="1" si="1159">BN106</f>
        <v>46</v>
      </c>
      <c r="BO282" s="142"/>
      <c r="BP282" s="99"/>
      <c r="BQ282" s="99"/>
      <c r="BR282" s="99">
        <f t="shared" ref="BR282" ca="1" si="1160">BR106</f>
        <v>46</v>
      </c>
      <c r="BS282" s="142"/>
    </row>
    <row r="283" spans="1:72" hidden="1" outlineLevel="1" x14ac:dyDescent="0.25">
      <c r="A283" s="98" t="s">
        <v>15</v>
      </c>
      <c r="B283" s="98"/>
      <c r="C283" s="98"/>
      <c r="D283" s="48"/>
      <c r="E283" s="48"/>
      <c r="F283" s="143" t="str">
        <f>F282</f>
        <v>#▼ Number Decreased</v>
      </c>
      <c r="G283" s="144" t="s">
        <v>36</v>
      </c>
      <c r="H283" s="102"/>
      <c r="I283" s="102"/>
      <c r="J283" s="102">
        <f ca="1">J175</f>
        <v>11</v>
      </c>
      <c r="K283" s="145"/>
      <c r="L283" s="102"/>
      <c r="M283" s="102"/>
      <c r="N283" s="102">
        <f t="shared" ref="N283" ca="1" si="1161">N175</f>
        <v>0</v>
      </c>
      <c r="O283" s="145"/>
      <c r="P283" s="102"/>
      <c r="Q283" s="102"/>
      <c r="R283" s="102">
        <f t="shared" ref="R283" ca="1" si="1162">R175</f>
        <v>13</v>
      </c>
      <c r="S283" s="145"/>
      <c r="T283" s="102"/>
      <c r="U283" s="102"/>
      <c r="V283" s="102">
        <f t="shared" ref="V283" ca="1" si="1163">V175</f>
        <v>4</v>
      </c>
      <c r="W283" s="145"/>
      <c r="X283" s="102"/>
      <c r="Y283" s="102"/>
      <c r="Z283" s="102">
        <f t="shared" ref="Z283" ca="1" si="1164">Z175</f>
        <v>11</v>
      </c>
      <c r="AA283" s="145"/>
      <c r="AB283" s="102"/>
      <c r="AC283" s="102"/>
      <c r="AD283" s="102">
        <f t="shared" ref="AD283" ca="1" si="1165">AD175</f>
        <v>11</v>
      </c>
      <c r="AE283" s="145"/>
      <c r="AF283" s="102"/>
      <c r="AG283" s="102"/>
      <c r="AH283" s="102">
        <f t="shared" ref="AH283" ca="1" si="1166">AH175</f>
        <v>10</v>
      </c>
      <c r="AI283" s="145"/>
      <c r="AJ283" s="102"/>
      <c r="AK283" s="102"/>
      <c r="AL283" s="102">
        <f t="shared" ref="AL283" ca="1" si="1167">AL175</f>
        <v>10</v>
      </c>
      <c r="AM283" s="145"/>
      <c r="AN283" s="102"/>
      <c r="AO283" s="102"/>
      <c r="AP283" s="102">
        <f t="shared" ref="AP283" ca="1" si="1168">AP175</f>
        <v>9</v>
      </c>
      <c r="AQ283" s="145"/>
      <c r="AR283" s="102"/>
      <c r="AS283" s="102"/>
      <c r="AT283" s="102">
        <f t="shared" ref="AT283" ca="1" si="1169">AT175</f>
        <v>9</v>
      </c>
      <c r="AU283" s="145"/>
      <c r="AV283" s="102"/>
      <c r="AW283" s="102"/>
      <c r="AX283" s="102">
        <f t="shared" ref="AX283" ca="1" si="1170">AX175</f>
        <v>10</v>
      </c>
      <c r="AY283" s="145"/>
      <c r="AZ283" s="102"/>
      <c r="BA283" s="102"/>
      <c r="BB283" s="102">
        <f t="shared" ref="BB283" ca="1" si="1171">BB175</f>
        <v>10</v>
      </c>
      <c r="BC283" s="145"/>
      <c r="BD283" s="102"/>
      <c r="BE283" s="102"/>
      <c r="BF283" s="102">
        <f t="shared" ref="BF283" ca="1" si="1172">BF175</f>
        <v>10</v>
      </c>
      <c r="BG283" s="145"/>
      <c r="BH283" s="102"/>
      <c r="BI283" s="102"/>
      <c r="BJ283" s="102">
        <f t="shared" ref="BJ283" ca="1" si="1173">BJ175</f>
        <v>10</v>
      </c>
      <c r="BK283" s="145"/>
      <c r="BL283" s="102"/>
      <c r="BM283" s="102"/>
      <c r="BN283" s="102">
        <f t="shared" ref="BN283" ca="1" si="1174">BN175</f>
        <v>10</v>
      </c>
      <c r="BO283" s="145"/>
      <c r="BP283" s="102"/>
      <c r="BQ283" s="102"/>
      <c r="BR283" s="102">
        <f t="shared" ref="BR283" ca="1" si="1175">BR175</f>
        <v>10</v>
      </c>
      <c r="BS283" s="145"/>
    </row>
    <row r="284" spans="1:72" hidden="1" outlineLevel="1" x14ac:dyDescent="0.25">
      <c r="A284" s="98" t="s">
        <v>15</v>
      </c>
      <c r="B284" s="98"/>
      <c r="C284" s="98"/>
      <c r="D284" s="48"/>
      <c r="E284" s="48"/>
      <c r="F284" s="143" t="str">
        <f>F282</f>
        <v>#▼ Number Decreased</v>
      </c>
      <c r="G284" s="144" t="s">
        <v>38</v>
      </c>
      <c r="H284" s="102"/>
      <c r="I284" s="102"/>
      <c r="J284" s="102">
        <f ca="1">J234</f>
        <v>12</v>
      </c>
      <c r="K284" s="145"/>
      <c r="L284" s="102"/>
      <c r="M284" s="102"/>
      <c r="N284" s="102">
        <f t="shared" ref="N284" ca="1" si="1176">N234</f>
        <v>0</v>
      </c>
      <c r="O284" s="145"/>
      <c r="P284" s="102"/>
      <c r="Q284" s="102"/>
      <c r="R284" s="102">
        <f t="shared" ref="R284" ca="1" si="1177">R234</f>
        <v>15</v>
      </c>
      <c r="S284" s="145"/>
      <c r="T284" s="102"/>
      <c r="U284" s="102"/>
      <c r="V284" s="102">
        <f t="shared" ref="V284" ca="1" si="1178">V234</f>
        <v>0</v>
      </c>
      <c r="W284" s="145"/>
      <c r="X284" s="102"/>
      <c r="Y284" s="102"/>
      <c r="Z284" s="102">
        <f t="shared" ref="Z284" ca="1" si="1179">Z234</f>
        <v>14</v>
      </c>
      <c r="AA284" s="145"/>
      <c r="AB284" s="102"/>
      <c r="AC284" s="102"/>
      <c r="AD284" s="102">
        <f t="shared" ref="AD284" ca="1" si="1180">AD234</f>
        <v>13</v>
      </c>
      <c r="AE284" s="145"/>
      <c r="AF284" s="102"/>
      <c r="AG284" s="102"/>
      <c r="AH284" s="102">
        <f t="shared" ref="AH284" ca="1" si="1181">AH234</f>
        <v>13</v>
      </c>
      <c r="AI284" s="145"/>
      <c r="AJ284" s="102"/>
      <c r="AK284" s="102"/>
      <c r="AL284" s="102">
        <f t="shared" ref="AL284" ca="1" si="1182">AL234</f>
        <v>12</v>
      </c>
      <c r="AM284" s="145"/>
      <c r="AN284" s="102"/>
      <c r="AO284" s="102"/>
      <c r="AP284" s="102">
        <f t="shared" ref="AP284" ca="1" si="1183">AP234</f>
        <v>12</v>
      </c>
      <c r="AQ284" s="145"/>
      <c r="AR284" s="102"/>
      <c r="AS284" s="102"/>
      <c r="AT284" s="102">
        <f t="shared" ref="AT284" ca="1" si="1184">AT234</f>
        <v>12</v>
      </c>
      <c r="AU284" s="145"/>
      <c r="AV284" s="102"/>
      <c r="AW284" s="102"/>
      <c r="AX284" s="102">
        <f t="shared" ref="AX284" ca="1" si="1185">AX234</f>
        <v>13</v>
      </c>
      <c r="AY284" s="145"/>
      <c r="AZ284" s="102"/>
      <c r="BA284" s="102"/>
      <c r="BB284" s="102">
        <f t="shared" ref="BB284" ca="1" si="1186">BB234</f>
        <v>13</v>
      </c>
      <c r="BC284" s="145"/>
      <c r="BD284" s="102"/>
      <c r="BE284" s="102"/>
      <c r="BF284" s="102">
        <f t="shared" ref="BF284" ca="1" si="1187">BF234</f>
        <v>11</v>
      </c>
      <c r="BG284" s="145"/>
      <c r="BH284" s="102"/>
      <c r="BI284" s="102"/>
      <c r="BJ284" s="102">
        <f t="shared" ref="BJ284" ca="1" si="1188">BJ234</f>
        <v>11</v>
      </c>
      <c r="BK284" s="145"/>
      <c r="BL284" s="102"/>
      <c r="BM284" s="102"/>
      <c r="BN284" s="102">
        <f t="shared" ref="BN284" ca="1" si="1189">BN234</f>
        <v>12</v>
      </c>
      <c r="BO284" s="145"/>
      <c r="BP284" s="102"/>
      <c r="BQ284" s="102"/>
      <c r="BR284" s="102">
        <f t="shared" ref="BR284" ca="1" si="1190">BR234</f>
        <v>12</v>
      </c>
      <c r="BS284" s="145"/>
    </row>
    <row r="285" spans="1:72" ht="13.8" hidden="1" outlineLevel="1" thickBot="1" x14ac:dyDescent="0.3">
      <c r="A285" s="146" t="s">
        <v>15</v>
      </c>
      <c r="B285" s="146"/>
      <c r="C285" s="146"/>
      <c r="D285" s="147"/>
      <c r="E285" s="147"/>
      <c r="F285" s="148" t="str">
        <f>F282</f>
        <v>#▼ Number Decreased</v>
      </c>
      <c r="G285" s="149" t="s">
        <v>41</v>
      </c>
      <c r="H285" s="150"/>
      <c r="I285" s="150"/>
      <c r="J285" s="150">
        <f ca="1">SUM(J282:J284)</f>
        <v>81</v>
      </c>
      <c r="K285" s="151"/>
      <c r="L285" s="150"/>
      <c r="M285" s="150"/>
      <c r="N285" s="150">
        <f t="shared" ref="N285" ca="1" si="1191">SUM(N282:N284)</f>
        <v>0</v>
      </c>
      <c r="O285" s="151"/>
      <c r="P285" s="150"/>
      <c r="Q285" s="150"/>
      <c r="R285" s="150">
        <f t="shared" ref="R285" ca="1" si="1192">SUM(R282:R284)</f>
        <v>82</v>
      </c>
      <c r="S285" s="151"/>
      <c r="T285" s="150"/>
      <c r="U285" s="150"/>
      <c r="V285" s="150">
        <f t="shared" ref="V285" ca="1" si="1193">SUM(V282:V284)</f>
        <v>22</v>
      </c>
      <c r="W285" s="151"/>
      <c r="X285" s="150"/>
      <c r="Y285" s="150"/>
      <c r="Z285" s="150">
        <f t="shared" ref="Z285" ca="1" si="1194">SUM(Z282:Z284)</f>
        <v>78</v>
      </c>
      <c r="AA285" s="151"/>
      <c r="AB285" s="150"/>
      <c r="AC285" s="150"/>
      <c r="AD285" s="150">
        <f t="shared" ref="AD285" ca="1" si="1195">SUM(AD282:AD284)</f>
        <v>75</v>
      </c>
      <c r="AE285" s="151"/>
      <c r="AF285" s="150"/>
      <c r="AG285" s="150"/>
      <c r="AH285" s="150">
        <f t="shared" ref="AH285" ca="1" si="1196">SUM(AH282:AH284)</f>
        <v>74</v>
      </c>
      <c r="AI285" s="151"/>
      <c r="AJ285" s="150"/>
      <c r="AK285" s="150"/>
      <c r="AL285" s="150">
        <f t="shared" ref="AL285" ca="1" si="1197">SUM(AL282:AL284)</f>
        <v>73</v>
      </c>
      <c r="AM285" s="151"/>
      <c r="AN285" s="150"/>
      <c r="AO285" s="150"/>
      <c r="AP285" s="150">
        <f t="shared" ref="AP285" ca="1" si="1198">SUM(AP282:AP284)</f>
        <v>69</v>
      </c>
      <c r="AQ285" s="151"/>
      <c r="AR285" s="150"/>
      <c r="AS285" s="150"/>
      <c r="AT285" s="150">
        <f t="shared" ref="AT285" ca="1" si="1199">SUM(AT282:AT284)</f>
        <v>69</v>
      </c>
      <c r="AU285" s="151"/>
      <c r="AV285" s="150"/>
      <c r="AW285" s="150"/>
      <c r="AX285" s="150">
        <f t="shared" ref="AX285" ca="1" si="1200">SUM(AX282:AX284)</f>
        <v>70</v>
      </c>
      <c r="AY285" s="151"/>
      <c r="AZ285" s="150"/>
      <c r="BA285" s="150"/>
      <c r="BB285" s="150">
        <f t="shared" ref="BB285" ca="1" si="1201">SUM(BB282:BB284)</f>
        <v>70</v>
      </c>
      <c r="BC285" s="151"/>
      <c r="BD285" s="150"/>
      <c r="BE285" s="150"/>
      <c r="BF285" s="150">
        <f t="shared" ref="BF285" ca="1" si="1202">SUM(BF282:BF284)</f>
        <v>67</v>
      </c>
      <c r="BG285" s="151"/>
      <c r="BH285" s="150"/>
      <c r="BI285" s="150"/>
      <c r="BJ285" s="150">
        <f t="shared" ref="BJ285" ca="1" si="1203">SUM(BJ282:BJ284)</f>
        <v>67</v>
      </c>
      <c r="BK285" s="151"/>
      <c r="BL285" s="150"/>
      <c r="BM285" s="150"/>
      <c r="BN285" s="150">
        <f t="shared" ref="BN285" ca="1" si="1204">SUM(BN282:BN284)</f>
        <v>68</v>
      </c>
      <c r="BO285" s="151"/>
      <c r="BP285" s="150"/>
      <c r="BQ285" s="150"/>
      <c r="BR285" s="150">
        <f t="shared" ref="BR285" ca="1" si="1205">SUM(BR282:BR284)</f>
        <v>68</v>
      </c>
      <c r="BS285" s="151"/>
      <c r="BT285" s="152"/>
    </row>
    <row r="286" spans="1:72" hidden="1" outlineLevel="1" x14ac:dyDescent="0.25">
      <c r="A286" s="98" t="s">
        <v>15</v>
      </c>
      <c r="B286" s="98"/>
      <c r="C286" s="98"/>
      <c r="D286" s="48"/>
      <c r="E286" s="48"/>
      <c r="F286" s="48" t="str">
        <f>$F$107</f>
        <v>Σ▼ Total Decreased</v>
      </c>
      <c r="G286" s="141" t="s">
        <v>17</v>
      </c>
      <c r="H286" s="99"/>
      <c r="I286" s="99"/>
      <c r="J286" s="99">
        <f ca="1">J107</f>
        <v>-81811772.737100005</v>
      </c>
      <c r="K286" s="142"/>
      <c r="L286" s="99"/>
      <c r="M286" s="99"/>
      <c r="N286" s="99">
        <f t="shared" ref="N286" ca="1" si="1206">N107</f>
        <v>0</v>
      </c>
      <c r="O286" s="142"/>
      <c r="P286" s="99"/>
      <c r="Q286" s="99"/>
      <c r="R286" s="99">
        <f t="shared" ref="R286" ca="1" si="1207">R107</f>
        <v>-207632835.60449997</v>
      </c>
      <c r="S286" s="142"/>
      <c r="T286" s="99"/>
      <c r="U286" s="99"/>
      <c r="V286" s="99">
        <f t="shared" ref="V286" ca="1" si="1208">V107</f>
        <v>-39841975.435199969</v>
      </c>
      <c r="W286" s="142"/>
      <c r="X286" s="99"/>
      <c r="Y286" s="99"/>
      <c r="Z286" s="99">
        <f t="shared" ref="Z286" ca="1" si="1209">Z107</f>
        <v>-310523161.7566998</v>
      </c>
      <c r="AA286" s="142"/>
      <c r="AB286" s="99"/>
      <c r="AC286" s="99"/>
      <c r="AD286" s="99">
        <f t="shared" ref="AD286" ca="1" si="1210">AD107</f>
        <v>-288597514.04289997</v>
      </c>
      <c r="AE286" s="142"/>
      <c r="AF286" s="99"/>
      <c r="AG286" s="99"/>
      <c r="AH286" s="99">
        <f t="shared" ref="AH286" ca="1" si="1211">AH107</f>
        <v>-403492561.82369995</v>
      </c>
      <c r="AI286" s="142"/>
      <c r="AJ286" s="99"/>
      <c r="AK286" s="99"/>
      <c r="AL286" s="99">
        <f t="shared" ref="AL286" ca="1" si="1212">AL107</f>
        <v>-383994461.47349989</v>
      </c>
      <c r="AM286" s="142"/>
      <c r="AN286" s="99"/>
      <c r="AO286" s="99"/>
      <c r="AP286" s="99">
        <f t="shared" ref="AP286" ca="1" si="1213">AP107</f>
        <v>-544999005.81640005</v>
      </c>
      <c r="AQ286" s="142"/>
      <c r="AR286" s="99"/>
      <c r="AS286" s="99"/>
      <c r="AT286" s="99">
        <f t="shared" ref="AT286" ca="1" si="1214">AT107</f>
        <v>-533640880.06450015</v>
      </c>
      <c r="AU286" s="142"/>
      <c r="AV286" s="99"/>
      <c r="AW286" s="99"/>
      <c r="AX286" s="99">
        <f t="shared" ref="AX286" ca="1" si="1215">AX107</f>
        <v>-633982964.50550032</v>
      </c>
      <c r="AY286" s="142"/>
      <c r="AZ286" s="99"/>
      <c r="BA286" s="99"/>
      <c r="BB286" s="99">
        <f t="shared" ref="BB286" ca="1" si="1216">BB107</f>
        <v>-623520777.00430012</v>
      </c>
      <c r="BC286" s="142"/>
      <c r="BD286" s="99"/>
      <c r="BE286" s="99"/>
      <c r="BF286" s="99">
        <f t="shared" ref="BF286" ca="1" si="1217">BF107</f>
        <v>-672199306.73459983</v>
      </c>
      <c r="BG286" s="142"/>
      <c r="BH286" s="99"/>
      <c r="BI286" s="99"/>
      <c r="BJ286" s="99">
        <f t="shared" ref="BJ286" ca="1" si="1218">BJ107</f>
        <v>-661737119.23339987</v>
      </c>
      <c r="BK286" s="142"/>
      <c r="BL286" s="99"/>
      <c r="BM286" s="99"/>
      <c r="BN286" s="99">
        <f t="shared" ref="BN286" ca="1" si="1219">BN107</f>
        <v>-677898914.5599004</v>
      </c>
      <c r="BO286" s="142"/>
      <c r="BP286" s="99"/>
      <c r="BQ286" s="99"/>
      <c r="BR286" s="99">
        <f t="shared" ref="BR286" ca="1" si="1220">BR107</f>
        <v>-667436727.0587002</v>
      </c>
      <c r="BS286" s="142"/>
    </row>
    <row r="287" spans="1:72" hidden="1" outlineLevel="1" x14ac:dyDescent="0.25">
      <c r="A287" s="98" t="s">
        <v>15</v>
      </c>
      <c r="B287" s="98"/>
      <c r="C287" s="98"/>
      <c r="D287" s="48"/>
      <c r="E287" s="48"/>
      <c r="F287" s="143" t="str">
        <f>F286</f>
        <v>Σ▼ Total Decreased</v>
      </c>
      <c r="G287" s="144" t="s">
        <v>36</v>
      </c>
      <c r="H287" s="102"/>
      <c r="I287" s="102"/>
      <c r="J287" s="102">
        <f ca="1">J176</f>
        <v>-14487289.989200003</v>
      </c>
      <c r="K287" s="145"/>
      <c r="L287" s="102"/>
      <c r="M287" s="102"/>
      <c r="N287" s="102">
        <f t="shared" ref="N287" ca="1" si="1221">N176</f>
        <v>0</v>
      </c>
      <c r="O287" s="145"/>
      <c r="P287" s="102"/>
      <c r="Q287" s="102"/>
      <c r="R287" s="102">
        <f t="shared" ref="R287" ca="1" si="1222">R176</f>
        <v>-26850298.796399988</v>
      </c>
      <c r="S287" s="145"/>
      <c r="T287" s="102"/>
      <c r="U287" s="102"/>
      <c r="V287" s="102">
        <f t="shared" ref="V287" ca="1" si="1223">V176</f>
        <v>-6390574.0620999988</v>
      </c>
      <c r="W287" s="145"/>
      <c r="X287" s="102"/>
      <c r="Y287" s="102"/>
      <c r="Z287" s="102">
        <f t="shared" ref="Z287" ca="1" si="1224">Z176</f>
        <v>-43754814.142499983</v>
      </c>
      <c r="AA287" s="145"/>
      <c r="AB287" s="102"/>
      <c r="AC287" s="102"/>
      <c r="AD287" s="102">
        <f t="shared" ref="AD287" ca="1" si="1225">AD176</f>
        <v>-43754814.142499983</v>
      </c>
      <c r="AE287" s="145"/>
      <c r="AF287" s="102"/>
      <c r="AG287" s="102"/>
      <c r="AH287" s="102">
        <f t="shared" ref="AH287" ca="1" si="1226">AH176</f>
        <v>-58203415.086100012</v>
      </c>
      <c r="AI287" s="145"/>
      <c r="AJ287" s="102"/>
      <c r="AK287" s="102"/>
      <c r="AL287" s="102">
        <f t="shared" ref="AL287" ca="1" si="1227">AL176</f>
        <v>-58203415.086100012</v>
      </c>
      <c r="AM287" s="145"/>
      <c r="AN287" s="102"/>
      <c r="AO287" s="102"/>
      <c r="AP287" s="102">
        <f t="shared" ref="AP287" ca="1" si="1228">AP176</f>
        <v>-68184484.67750001</v>
      </c>
      <c r="AQ287" s="145"/>
      <c r="AR287" s="102"/>
      <c r="AS287" s="102"/>
      <c r="AT287" s="102">
        <f t="shared" ref="AT287" ca="1" si="1229">AT176</f>
        <v>-68184484.67750001</v>
      </c>
      <c r="AU287" s="145"/>
      <c r="AV287" s="102"/>
      <c r="AW287" s="102"/>
      <c r="AX287" s="102">
        <f t="shared" ref="AX287" ca="1" si="1230">AX176</f>
        <v>-73981195.25910005</v>
      </c>
      <c r="AY287" s="145"/>
      <c r="AZ287" s="102"/>
      <c r="BA287" s="102"/>
      <c r="BB287" s="102">
        <f t="shared" ref="BB287" ca="1" si="1231">BB176</f>
        <v>-73981195.25910005</v>
      </c>
      <c r="BC287" s="145"/>
      <c r="BD287" s="102"/>
      <c r="BE287" s="102"/>
      <c r="BF287" s="102">
        <f t="shared" ref="BF287" ca="1" si="1232">BF176</f>
        <v>-75397915.601899996</v>
      </c>
      <c r="BG287" s="145"/>
      <c r="BH287" s="102"/>
      <c r="BI287" s="102"/>
      <c r="BJ287" s="102">
        <f t="shared" ref="BJ287" ca="1" si="1233">BJ176</f>
        <v>-75397915.601899996</v>
      </c>
      <c r="BK287" s="145"/>
      <c r="BL287" s="102"/>
      <c r="BM287" s="102"/>
      <c r="BN287" s="102">
        <f t="shared" ref="BN287" ca="1" si="1234">BN176</f>
        <v>-75397915.601900071</v>
      </c>
      <c r="BO287" s="145"/>
      <c r="BP287" s="102"/>
      <c r="BQ287" s="102"/>
      <c r="BR287" s="102">
        <f t="shared" ref="BR287" ca="1" si="1235">BR176</f>
        <v>-75397915.601900071</v>
      </c>
      <c r="BS287" s="145"/>
    </row>
    <row r="288" spans="1:72" hidden="1" outlineLevel="1" x14ac:dyDescent="0.25">
      <c r="A288" s="98" t="s">
        <v>15</v>
      </c>
      <c r="B288" s="98"/>
      <c r="C288" s="98"/>
      <c r="D288" s="48"/>
      <c r="E288" s="48"/>
      <c r="F288" s="143" t="str">
        <f>F286</f>
        <v>Σ▼ Total Decreased</v>
      </c>
      <c r="G288" s="144" t="s">
        <v>38</v>
      </c>
      <c r="H288" s="102"/>
      <c r="I288" s="102"/>
      <c r="J288" s="102">
        <f ca="1">J235</f>
        <v>-4686312.7063999996</v>
      </c>
      <c r="K288" s="145"/>
      <c r="L288" s="102"/>
      <c r="M288" s="102"/>
      <c r="N288" s="102">
        <f t="shared" ref="N288" ca="1" si="1236">N235</f>
        <v>0</v>
      </c>
      <c r="O288" s="145"/>
      <c r="P288" s="102"/>
      <c r="Q288" s="102"/>
      <c r="R288" s="102">
        <f t="shared" ref="R288" ca="1" si="1237">R235</f>
        <v>-24711419.343899995</v>
      </c>
      <c r="S288" s="145"/>
      <c r="T288" s="102"/>
      <c r="U288" s="102"/>
      <c r="V288" s="102">
        <f t="shared" ref="V288" ca="1" si="1238">V235</f>
        <v>0</v>
      </c>
      <c r="W288" s="145"/>
      <c r="X288" s="102"/>
      <c r="Y288" s="102"/>
      <c r="Z288" s="102">
        <f t="shared" ref="Z288" ca="1" si="1239">Z235</f>
        <v>-39699664.355199985</v>
      </c>
      <c r="AA288" s="145"/>
      <c r="AB288" s="102"/>
      <c r="AC288" s="102"/>
      <c r="AD288" s="102">
        <f t="shared" ref="AD288" ca="1" si="1240">AD235</f>
        <v>-27597720.256399989</v>
      </c>
      <c r="AE288" s="145"/>
      <c r="AF288" s="102"/>
      <c r="AG288" s="102"/>
      <c r="AH288" s="102">
        <f t="shared" ref="AH288" ca="1" si="1241">AH235</f>
        <v>-57127710.66390001</v>
      </c>
      <c r="AI288" s="145"/>
      <c r="AJ288" s="102"/>
      <c r="AK288" s="102"/>
      <c r="AL288" s="102">
        <f t="shared" ref="AL288" ca="1" si="1242">AL235</f>
        <v>-47050214.19470001</v>
      </c>
      <c r="AM288" s="145"/>
      <c r="AN288" s="102"/>
      <c r="AO288" s="102"/>
      <c r="AP288" s="102">
        <f t="shared" ref="AP288" ca="1" si="1243">AP235</f>
        <v>-82684689.502099946</v>
      </c>
      <c r="AQ288" s="145"/>
      <c r="AR288" s="102"/>
      <c r="AS288" s="102"/>
      <c r="AT288" s="102">
        <f t="shared" ref="AT288" ca="1" si="1244">AT235</f>
        <v>-67904326.588999957</v>
      </c>
      <c r="AU288" s="145"/>
      <c r="AV288" s="102"/>
      <c r="AW288" s="102"/>
      <c r="AX288" s="102">
        <f t="shared" ref="AX288" ca="1" si="1245">AX235</f>
        <v>-108010591.99600011</v>
      </c>
      <c r="AY288" s="145"/>
      <c r="AZ288" s="102"/>
      <c r="BA288" s="102"/>
      <c r="BB288" s="102">
        <f t="shared" ref="BB288" ca="1" si="1246">BB235</f>
        <v>-93249045.103500128</v>
      </c>
      <c r="BC288" s="145"/>
      <c r="BD288" s="102"/>
      <c r="BE288" s="102"/>
      <c r="BF288" s="102">
        <f t="shared" ref="BF288" ca="1" si="1247">BF235</f>
        <v>-119259377.87810005</v>
      </c>
      <c r="BG288" s="145"/>
      <c r="BH288" s="102"/>
      <c r="BI288" s="102"/>
      <c r="BJ288" s="102">
        <f t="shared" ref="BJ288" ca="1" si="1248">BJ235</f>
        <v>-104497830.98560007</v>
      </c>
      <c r="BK288" s="145"/>
      <c r="BL288" s="102"/>
      <c r="BM288" s="102"/>
      <c r="BN288" s="102">
        <f t="shared" ref="BN288" ca="1" si="1249">BN235</f>
        <v>-140846646.19120011</v>
      </c>
      <c r="BO288" s="145"/>
      <c r="BP288" s="102"/>
      <c r="BQ288" s="102"/>
      <c r="BR288" s="102">
        <f t="shared" ref="BR288" ca="1" si="1250">BR235</f>
        <v>-126085099.29870012</v>
      </c>
      <c r="BS288" s="145"/>
    </row>
    <row r="289" spans="1:72" ht="13.8" hidden="1" outlineLevel="1" thickBot="1" x14ac:dyDescent="0.3">
      <c r="A289" s="146" t="s">
        <v>15</v>
      </c>
      <c r="B289" s="146"/>
      <c r="C289" s="146"/>
      <c r="D289" s="147"/>
      <c r="E289" s="147"/>
      <c r="F289" s="148" t="str">
        <f>F286</f>
        <v>Σ▼ Total Decreased</v>
      </c>
      <c r="G289" s="149" t="s">
        <v>41</v>
      </c>
      <c r="H289" s="150"/>
      <c r="I289" s="150"/>
      <c r="J289" s="150">
        <f ca="1">SUM(J286:J288)</f>
        <v>-100985375.43270001</v>
      </c>
      <c r="K289" s="151"/>
      <c r="L289" s="150"/>
      <c r="M289" s="150"/>
      <c r="N289" s="150">
        <f t="shared" ref="N289" ca="1" si="1251">SUM(N286:N288)</f>
        <v>0</v>
      </c>
      <c r="O289" s="151"/>
      <c r="P289" s="150"/>
      <c r="Q289" s="150"/>
      <c r="R289" s="150">
        <f t="shared" ref="R289" ca="1" si="1252">SUM(R286:R288)</f>
        <v>-259194553.74479994</v>
      </c>
      <c r="S289" s="151"/>
      <c r="T289" s="150"/>
      <c r="U289" s="150"/>
      <c r="V289" s="150">
        <f t="shared" ref="V289" ca="1" si="1253">SUM(V286:V288)</f>
        <v>-46232549.497299969</v>
      </c>
      <c r="W289" s="151"/>
      <c r="X289" s="150"/>
      <c r="Y289" s="150"/>
      <c r="Z289" s="150">
        <f t="shared" ref="Z289" ca="1" si="1254">SUM(Z286:Z288)</f>
        <v>-393977640.25439978</v>
      </c>
      <c r="AA289" s="151"/>
      <c r="AB289" s="150"/>
      <c r="AC289" s="150"/>
      <c r="AD289" s="150">
        <f t="shared" ref="AD289" ca="1" si="1255">SUM(AD286:AD288)</f>
        <v>-359950048.44179994</v>
      </c>
      <c r="AE289" s="151"/>
      <c r="AF289" s="150"/>
      <c r="AG289" s="150"/>
      <c r="AH289" s="150">
        <f t="shared" ref="AH289" ca="1" si="1256">SUM(AH286:AH288)</f>
        <v>-518823687.57369995</v>
      </c>
      <c r="AI289" s="151"/>
      <c r="AJ289" s="150"/>
      <c r="AK289" s="150"/>
      <c r="AL289" s="150">
        <f t="shared" ref="AL289" ca="1" si="1257">SUM(AL286:AL288)</f>
        <v>-489248090.75429988</v>
      </c>
      <c r="AM289" s="151"/>
      <c r="AN289" s="150"/>
      <c r="AO289" s="150"/>
      <c r="AP289" s="150">
        <f t="shared" ref="AP289" ca="1" si="1258">SUM(AP286:AP288)</f>
        <v>-695868179.99600005</v>
      </c>
      <c r="AQ289" s="151"/>
      <c r="AR289" s="150"/>
      <c r="AS289" s="150"/>
      <c r="AT289" s="150">
        <f t="shared" ref="AT289" ca="1" si="1259">SUM(AT286:AT288)</f>
        <v>-669729691.33100009</v>
      </c>
      <c r="AU289" s="151"/>
      <c r="AV289" s="150"/>
      <c r="AW289" s="150"/>
      <c r="AX289" s="150">
        <f t="shared" ref="AX289" ca="1" si="1260">SUM(AX286:AX288)</f>
        <v>-815974751.76060057</v>
      </c>
      <c r="AY289" s="151"/>
      <c r="AZ289" s="150"/>
      <c r="BA289" s="150"/>
      <c r="BB289" s="150">
        <f t="shared" ref="BB289" ca="1" si="1261">SUM(BB286:BB288)</f>
        <v>-790751017.36690032</v>
      </c>
      <c r="BC289" s="151"/>
      <c r="BD289" s="150"/>
      <c r="BE289" s="150"/>
      <c r="BF289" s="150">
        <f t="shared" ref="BF289" ca="1" si="1262">SUM(BF286:BF288)</f>
        <v>-866856600.21459985</v>
      </c>
      <c r="BG289" s="151"/>
      <c r="BH289" s="150"/>
      <c r="BI289" s="150"/>
      <c r="BJ289" s="150">
        <f t="shared" ref="BJ289" ca="1" si="1263">SUM(BJ286:BJ288)</f>
        <v>-841632865.82089996</v>
      </c>
      <c r="BK289" s="151"/>
      <c r="BL289" s="150"/>
      <c r="BM289" s="150"/>
      <c r="BN289" s="150">
        <f t="shared" ref="BN289" ca="1" si="1264">SUM(BN286:BN288)</f>
        <v>-894143476.35300064</v>
      </c>
      <c r="BO289" s="151"/>
      <c r="BP289" s="150"/>
      <c r="BQ289" s="150"/>
      <c r="BR289" s="150">
        <f t="shared" ref="BR289" ca="1" si="1265">SUM(BR286:BR288)</f>
        <v>-868919741.9593004</v>
      </c>
      <c r="BS289" s="151"/>
      <c r="BT289" s="152"/>
    </row>
    <row r="290" spans="1:72" hidden="1" outlineLevel="1" x14ac:dyDescent="0.25">
      <c r="A290" s="98" t="s">
        <v>15</v>
      </c>
      <c r="B290" s="98"/>
      <c r="C290" s="98"/>
      <c r="D290" s="140"/>
      <c r="E290" s="140"/>
      <c r="F290" s="140" t="str">
        <f>$F$108</f>
        <v>Χ▼ Average Decreased</v>
      </c>
      <c r="G290" s="141" t="s">
        <v>17</v>
      </c>
      <c r="H290" s="99"/>
      <c r="I290" s="99"/>
      <c r="J290" s="99">
        <f ca="1">IF(J282=0,0,J286/J282)</f>
        <v>-1410547.805812069</v>
      </c>
      <c r="K290" s="142"/>
      <c r="L290" s="99"/>
      <c r="M290" s="99"/>
      <c r="N290" s="99">
        <f t="shared" ref="N290:N293" ca="1" si="1266">IF(N282=0,0,N286/N282)</f>
        <v>0</v>
      </c>
      <c r="O290" s="142"/>
      <c r="P290" s="99"/>
      <c r="Q290" s="99"/>
      <c r="R290" s="99">
        <f t="shared" ref="R290:R293" ca="1" si="1267">IF(R282=0,0,R286/R282)</f>
        <v>-3845052.5111944438</v>
      </c>
      <c r="S290" s="142"/>
      <c r="T290" s="99"/>
      <c r="U290" s="99"/>
      <c r="V290" s="99">
        <f t="shared" ref="V290:V293" ca="1" si="1268">IF(V282=0,0,V286/V282)</f>
        <v>-2213443.0797333317</v>
      </c>
      <c r="W290" s="142"/>
      <c r="X290" s="99"/>
      <c r="Y290" s="99"/>
      <c r="Z290" s="99">
        <f t="shared" ref="Z290:Z293" ca="1" si="1269">IF(Z282=0,0,Z286/Z282)</f>
        <v>-5858927.5803150907</v>
      </c>
      <c r="AA290" s="142"/>
      <c r="AB290" s="99"/>
      <c r="AC290" s="99"/>
      <c r="AD290" s="99">
        <f t="shared" ref="AD290:AD293" ca="1" si="1270">IF(AD282=0,0,AD286/AD282)</f>
        <v>-5658774.7851549014</v>
      </c>
      <c r="AE290" s="142"/>
      <c r="AF290" s="99"/>
      <c r="AG290" s="99"/>
      <c r="AH290" s="99">
        <f t="shared" ref="AH290:AH293" ca="1" si="1271">IF(AH282=0,0,AH286/AH282)</f>
        <v>-7911618.8592882343</v>
      </c>
      <c r="AI290" s="142"/>
      <c r="AJ290" s="99"/>
      <c r="AK290" s="99"/>
      <c r="AL290" s="99">
        <f t="shared" ref="AL290:AL293" ca="1" si="1272">IF(AL282=0,0,AL286/AL282)</f>
        <v>-7529303.166147057</v>
      </c>
      <c r="AM290" s="142"/>
      <c r="AN290" s="99"/>
      <c r="AO290" s="99"/>
      <c r="AP290" s="99">
        <f t="shared" ref="AP290:AP293" ca="1" si="1273">IF(AP282=0,0,AP286/AP282)</f>
        <v>-11354145.954508334</v>
      </c>
      <c r="AQ290" s="142"/>
      <c r="AR290" s="99"/>
      <c r="AS290" s="99"/>
      <c r="AT290" s="99">
        <f t="shared" ref="AT290:AT293" ca="1" si="1274">IF(AT282=0,0,AT286/AT282)</f>
        <v>-11117518.334677087</v>
      </c>
      <c r="AU290" s="142"/>
      <c r="AV290" s="99"/>
      <c r="AW290" s="99"/>
      <c r="AX290" s="99">
        <f t="shared" ref="AX290:AX293" ca="1" si="1275">IF(AX282=0,0,AX286/AX282)</f>
        <v>-13488999.24479788</v>
      </c>
      <c r="AY290" s="142"/>
      <c r="AZ290" s="99"/>
      <c r="BA290" s="99"/>
      <c r="BB290" s="99">
        <f t="shared" ref="BB290:BB293" ca="1" si="1276">IF(BB282=0,0,BB286/BB282)</f>
        <v>-13266399.51072979</v>
      </c>
      <c r="BC290" s="142"/>
      <c r="BD290" s="99"/>
      <c r="BE290" s="99"/>
      <c r="BF290" s="99">
        <f t="shared" ref="BF290:BF293" ca="1" si="1277">IF(BF282=0,0,BF286/BF282)</f>
        <v>-14613028.407273909</v>
      </c>
      <c r="BG290" s="142"/>
      <c r="BH290" s="99"/>
      <c r="BI290" s="99"/>
      <c r="BJ290" s="99">
        <f t="shared" ref="BJ290:BJ293" ca="1" si="1278">IF(BJ282=0,0,BJ286/BJ282)</f>
        <v>-14385589.54855217</v>
      </c>
      <c r="BK290" s="142"/>
      <c r="BL290" s="99"/>
      <c r="BM290" s="99"/>
      <c r="BN290" s="99">
        <f t="shared" ref="BN290:BN293" ca="1" si="1279">IF(BN282=0,0,BN286/BN282)</f>
        <v>-14736932.925215226</v>
      </c>
      <c r="BO290" s="142"/>
      <c r="BP290" s="99"/>
      <c r="BQ290" s="99"/>
      <c r="BR290" s="99">
        <f t="shared" ref="BR290:BR293" ca="1" si="1280">IF(BR282=0,0,BR286/BR282)</f>
        <v>-14509494.066493483</v>
      </c>
      <c r="BS290" s="142"/>
    </row>
    <row r="291" spans="1:72" hidden="1" outlineLevel="1" x14ac:dyDescent="0.25">
      <c r="A291" s="98" t="s">
        <v>15</v>
      </c>
      <c r="B291" s="98"/>
      <c r="C291" s="98"/>
      <c r="D291" s="48"/>
      <c r="E291" s="48"/>
      <c r="F291" s="143" t="str">
        <f>F290</f>
        <v>Χ▼ Average Decreased</v>
      </c>
      <c r="G291" s="144" t="s">
        <v>36</v>
      </c>
      <c r="H291" s="102"/>
      <c r="I291" s="102"/>
      <c r="J291" s="102">
        <f ca="1">IF(J283=0,0,J287/J283)</f>
        <v>-1317026.3626545458</v>
      </c>
      <c r="K291" s="145"/>
      <c r="L291" s="102"/>
      <c r="M291" s="102"/>
      <c r="N291" s="102">
        <f t="shared" ca="1" si="1266"/>
        <v>0</v>
      </c>
      <c r="O291" s="145"/>
      <c r="P291" s="102"/>
      <c r="Q291" s="102"/>
      <c r="R291" s="102">
        <f t="shared" ca="1" si="1267"/>
        <v>-2065407.599723076</v>
      </c>
      <c r="S291" s="145"/>
      <c r="T291" s="102"/>
      <c r="U291" s="102"/>
      <c r="V291" s="102">
        <f t="shared" ca="1" si="1268"/>
        <v>-1597643.5155249997</v>
      </c>
      <c r="W291" s="145"/>
      <c r="X291" s="102"/>
      <c r="Y291" s="102"/>
      <c r="Z291" s="102">
        <f t="shared" ca="1" si="1269"/>
        <v>-3977710.3765909076</v>
      </c>
      <c r="AA291" s="145"/>
      <c r="AB291" s="102"/>
      <c r="AC291" s="102"/>
      <c r="AD291" s="102">
        <f t="shared" ca="1" si="1270"/>
        <v>-3977710.3765909076</v>
      </c>
      <c r="AE291" s="145"/>
      <c r="AF291" s="102"/>
      <c r="AG291" s="102"/>
      <c r="AH291" s="102">
        <f t="shared" ca="1" si="1271"/>
        <v>-5820341.5086100008</v>
      </c>
      <c r="AI291" s="145"/>
      <c r="AJ291" s="102"/>
      <c r="AK291" s="102"/>
      <c r="AL291" s="102">
        <f t="shared" ca="1" si="1272"/>
        <v>-5820341.5086100008</v>
      </c>
      <c r="AM291" s="145"/>
      <c r="AN291" s="102"/>
      <c r="AO291" s="102"/>
      <c r="AP291" s="102">
        <f t="shared" ca="1" si="1273"/>
        <v>-7576053.8530555563</v>
      </c>
      <c r="AQ291" s="145"/>
      <c r="AR291" s="102"/>
      <c r="AS291" s="102"/>
      <c r="AT291" s="102">
        <f t="shared" ca="1" si="1274"/>
        <v>-7576053.8530555563</v>
      </c>
      <c r="AU291" s="145"/>
      <c r="AV291" s="102"/>
      <c r="AW291" s="102"/>
      <c r="AX291" s="102">
        <f t="shared" ca="1" si="1275"/>
        <v>-7398119.525910005</v>
      </c>
      <c r="AY291" s="145"/>
      <c r="AZ291" s="102"/>
      <c r="BA291" s="102"/>
      <c r="BB291" s="102">
        <f t="shared" ca="1" si="1276"/>
        <v>-7398119.525910005</v>
      </c>
      <c r="BC291" s="145"/>
      <c r="BD291" s="102"/>
      <c r="BE291" s="102"/>
      <c r="BF291" s="102">
        <f t="shared" ca="1" si="1277"/>
        <v>-7539791.5601899996</v>
      </c>
      <c r="BG291" s="145"/>
      <c r="BH291" s="102"/>
      <c r="BI291" s="102"/>
      <c r="BJ291" s="102">
        <f t="shared" ca="1" si="1278"/>
        <v>-7539791.5601899996</v>
      </c>
      <c r="BK291" s="145"/>
      <c r="BL291" s="102"/>
      <c r="BM291" s="102"/>
      <c r="BN291" s="102">
        <f t="shared" ca="1" si="1279"/>
        <v>-7539791.5601900071</v>
      </c>
      <c r="BO291" s="145"/>
      <c r="BP291" s="102"/>
      <c r="BQ291" s="102"/>
      <c r="BR291" s="102">
        <f t="shared" ca="1" si="1280"/>
        <v>-7539791.5601900071</v>
      </c>
      <c r="BS291" s="145"/>
    </row>
    <row r="292" spans="1:72" hidden="1" outlineLevel="1" x14ac:dyDescent="0.25">
      <c r="A292" s="98" t="s">
        <v>15</v>
      </c>
      <c r="B292" s="98"/>
      <c r="C292" s="98"/>
      <c r="D292" s="48"/>
      <c r="E292" s="48"/>
      <c r="F292" s="143" t="str">
        <f>F290</f>
        <v>Χ▼ Average Decreased</v>
      </c>
      <c r="G292" s="144" t="s">
        <v>38</v>
      </c>
      <c r="H292" s="102"/>
      <c r="I292" s="102"/>
      <c r="J292" s="102">
        <f ca="1">IF(J284=0,0,J288/J284)</f>
        <v>-390526.05886666663</v>
      </c>
      <c r="K292" s="145"/>
      <c r="L292" s="102"/>
      <c r="M292" s="102"/>
      <c r="N292" s="102">
        <f t="shared" ca="1" si="1266"/>
        <v>0</v>
      </c>
      <c r="O292" s="145"/>
      <c r="P292" s="102"/>
      <c r="Q292" s="102"/>
      <c r="R292" s="102">
        <f t="shared" ca="1" si="1267"/>
        <v>-1647427.9562599997</v>
      </c>
      <c r="S292" s="145"/>
      <c r="T292" s="102"/>
      <c r="U292" s="102"/>
      <c r="V292" s="102">
        <f t="shared" ca="1" si="1268"/>
        <v>0</v>
      </c>
      <c r="W292" s="145"/>
      <c r="X292" s="102"/>
      <c r="Y292" s="102"/>
      <c r="Z292" s="102">
        <f t="shared" ca="1" si="1269"/>
        <v>-2835690.3110857131</v>
      </c>
      <c r="AA292" s="145"/>
      <c r="AB292" s="102"/>
      <c r="AC292" s="102"/>
      <c r="AD292" s="102">
        <f t="shared" ca="1" si="1270"/>
        <v>-2122901.5581846144</v>
      </c>
      <c r="AE292" s="145"/>
      <c r="AF292" s="102"/>
      <c r="AG292" s="102"/>
      <c r="AH292" s="102">
        <f t="shared" ca="1" si="1271"/>
        <v>-4394439.2818384627</v>
      </c>
      <c r="AI292" s="145"/>
      <c r="AJ292" s="102"/>
      <c r="AK292" s="102"/>
      <c r="AL292" s="102">
        <f t="shared" ca="1" si="1272"/>
        <v>-3920851.1828916674</v>
      </c>
      <c r="AM292" s="145"/>
      <c r="AN292" s="102"/>
      <c r="AO292" s="102"/>
      <c r="AP292" s="102">
        <f t="shared" ca="1" si="1273"/>
        <v>-6890390.7918416625</v>
      </c>
      <c r="AQ292" s="145"/>
      <c r="AR292" s="102"/>
      <c r="AS292" s="102"/>
      <c r="AT292" s="102">
        <f t="shared" ca="1" si="1274"/>
        <v>-5658693.8824166628</v>
      </c>
      <c r="AU292" s="145"/>
      <c r="AV292" s="102"/>
      <c r="AW292" s="102"/>
      <c r="AX292" s="102">
        <f t="shared" ca="1" si="1275"/>
        <v>-8308507.0766153932</v>
      </c>
      <c r="AY292" s="145"/>
      <c r="AZ292" s="102"/>
      <c r="BA292" s="102"/>
      <c r="BB292" s="102">
        <f t="shared" ca="1" si="1276"/>
        <v>-7173003.4695000099</v>
      </c>
      <c r="BC292" s="145"/>
      <c r="BD292" s="102"/>
      <c r="BE292" s="102"/>
      <c r="BF292" s="102">
        <f t="shared" ca="1" si="1277"/>
        <v>-10841761.625281824</v>
      </c>
      <c r="BG292" s="145"/>
      <c r="BH292" s="102"/>
      <c r="BI292" s="102"/>
      <c r="BJ292" s="102">
        <f t="shared" ca="1" si="1278"/>
        <v>-9499802.8168727327</v>
      </c>
      <c r="BK292" s="145"/>
      <c r="BL292" s="102"/>
      <c r="BM292" s="102"/>
      <c r="BN292" s="102">
        <f t="shared" ca="1" si="1279"/>
        <v>-11737220.515933342</v>
      </c>
      <c r="BO292" s="145"/>
      <c r="BP292" s="102"/>
      <c r="BQ292" s="102"/>
      <c r="BR292" s="102">
        <f t="shared" ca="1" si="1280"/>
        <v>-10507091.60822501</v>
      </c>
      <c r="BS292" s="145"/>
    </row>
    <row r="293" spans="1:72" ht="13.8" hidden="1" outlineLevel="1" thickBot="1" x14ac:dyDescent="0.3">
      <c r="A293" s="146" t="s">
        <v>15</v>
      </c>
      <c r="B293" s="146"/>
      <c r="C293" s="146"/>
      <c r="D293" s="147"/>
      <c r="E293" s="147"/>
      <c r="F293" s="148" t="str">
        <f>F290</f>
        <v>Χ▼ Average Decreased</v>
      </c>
      <c r="G293" s="149" t="s">
        <v>41</v>
      </c>
      <c r="H293" s="150"/>
      <c r="I293" s="150"/>
      <c r="J293" s="150">
        <f ca="1">IF(J285=0,0,J289/J285)</f>
        <v>-1246733.0300333335</v>
      </c>
      <c r="K293" s="151"/>
      <c r="L293" s="150"/>
      <c r="M293" s="150"/>
      <c r="N293" s="150">
        <f t="shared" ca="1" si="1266"/>
        <v>0</v>
      </c>
      <c r="O293" s="151"/>
      <c r="P293" s="150"/>
      <c r="Q293" s="150"/>
      <c r="R293" s="150">
        <f t="shared" ca="1" si="1267"/>
        <v>-3160909.1920097554</v>
      </c>
      <c r="S293" s="151"/>
      <c r="T293" s="150"/>
      <c r="U293" s="150"/>
      <c r="V293" s="150">
        <f t="shared" ca="1" si="1268"/>
        <v>-2101479.5226045442</v>
      </c>
      <c r="W293" s="151"/>
      <c r="X293" s="150"/>
      <c r="Y293" s="150"/>
      <c r="Z293" s="150">
        <f t="shared" ca="1" si="1269"/>
        <v>-5050995.3878769204</v>
      </c>
      <c r="AA293" s="151"/>
      <c r="AB293" s="150"/>
      <c r="AC293" s="150"/>
      <c r="AD293" s="150">
        <f t="shared" ca="1" si="1270"/>
        <v>-4799333.9792239992</v>
      </c>
      <c r="AE293" s="151"/>
      <c r="AF293" s="150"/>
      <c r="AG293" s="150"/>
      <c r="AH293" s="150">
        <f t="shared" ca="1" si="1271"/>
        <v>-7011130.9131581075</v>
      </c>
      <c r="AI293" s="151"/>
      <c r="AJ293" s="150"/>
      <c r="AK293" s="150"/>
      <c r="AL293" s="150">
        <f t="shared" ca="1" si="1272"/>
        <v>-6702028.6404698612</v>
      </c>
      <c r="AM293" s="151"/>
      <c r="AN293" s="150"/>
      <c r="AO293" s="150"/>
      <c r="AP293" s="150">
        <f t="shared" ca="1" si="1273"/>
        <v>-10085046.086898552</v>
      </c>
      <c r="AQ293" s="151"/>
      <c r="AR293" s="150"/>
      <c r="AS293" s="150"/>
      <c r="AT293" s="150">
        <f t="shared" ca="1" si="1274"/>
        <v>-9706227.4105942044</v>
      </c>
      <c r="AU293" s="151"/>
      <c r="AV293" s="150"/>
      <c r="AW293" s="150"/>
      <c r="AX293" s="150">
        <f t="shared" ca="1" si="1275"/>
        <v>-11656782.168008579</v>
      </c>
      <c r="AY293" s="151"/>
      <c r="AZ293" s="150"/>
      <c r="BA293" s="150"/>
      <c r="BB293" s="150">
        <f t="shared" ca="1" si="1276"/>
        <v>-11296443.105241433</v>
      </c>
      <c r="BC293" s="151"/>
      <c r="BD293" s="150"/>
      <c r="BE293" s="150"/>
      <c r="BF293" s="150">
        <f t="shared" ca="1" si="1277"/>
        <v>-12938158.212158207</v>
      </c>
      <c r="BG293" s="151"/>
      <c r="BH293" s="150"/>
      <c r="BI293" s="150"/>
      <c r="BJ293" s="150">
        <f t="shared" ca="1" si="1278"/>
        <v>-12561684.564491045</v>
      </c>
      <c r="BK293" s="151"/>
      <c r="BL293" s="150"/>
      <c r="BM293" s="150"/>
      <c r="BN293" s="150">
        <f t="shared" ca="1" si="1279"/>
        <v>-13149168.769897068</v>
      </c>
      <c r="BO293" s="151"/>
      <c r="BP293" s="150"/>
      <c r="BQ293" s="150"/>
      <c r="BR293" s="150">
        <f t="shared" ca="1" si="1280"/>
        <v>-12778231.499401476</v>
      </c>
      <c r="BS293" s="151"/>
      <c r="BT293" s="152"/>
    </row>
    <row r="294" spans="1:72" hidden="1" outlineLevel="1" x14ac:dyDescent="0.25">
      <c r="A294" s="98" t="s">
        <v>15</v>
      </c>
      <c r="B294" s="98"/>
      <c r="C294" s="98"/>
      <c r="D294" s="48"/>
      <c r="E294" s="48"/>
      <c r="F294" s="48" t="str">
        <f>$F$109</f>
        <v>#&gt;&lt; Number Unchanged</v>
      </c>
      <c r="G294" s="141" t="s">
        <v>17</v>
      </c>
      <c r="H294" s="99"/>
      <c r="I294" s="99"/>
      <c r="J294" s="99">
        <f ca="1">J109</f>
        <v>0</v>
      </c>
      <c r="K294" s="142"/>
      <c r="L294" s="99"/>
      <c r="M294" s="99"/>
      <c r="N294" s="99">
        <f t="shared" ref="N294" ca="1" si="1281">N109</f>
        <v>0</v>
      </c>
      <c r="O294" s="142"/>
      <c r="P294" s="99"/>
      <c r="Q294" s="99"/>
      <c r="R294" s="99">
        <f t="shared" ref="R294" ca="1" si="1282">R109</f>
        <v>0</v>
      </c>
      <c r="S294" s="142"/>
      <c r="T294" s="99"/>
      <c r="U294" s="99"/>
      <c r="V294" s="99">
        <f t="shared" ref="V294" ca="1" si="1283">V109</f>
        <v>42</v>
      </c>
      <c r="W294" s="142"/>
      <c r="X294" s="99"/>
      <c r="Y294" s="99"/>
      <c r="Z294" s="99">
        <f t="shared" ref="Z294" ca="1" si="1284">Z109</f>
        <v>0</v>
      </c>
      <c r="AA294" s="142"/>
      <c r="AB294" s="99"/>
      <c r="AC294" s="99"/>
      <c r="AD294" s="99">
        <f t="shared" ref="AD294" ca="1" si="1285">AD109</f>
        <v>3</v>
      </c>
      <c r="AE294" s="142"/>
      <c r="AF294" s="99"/>
      <c r="AG294" s="99"/>
      <c r="AH294" s="99">
        <f t="shared" ref="AH294" ca="1" si="1286">AH109</f>
        <v>0</v>
      </c>
      <c r="AI294" s="142"/>
      <c r="AJ294" s="99"/>
      <c r="AK294" s="99"/>
      <c r="AL294" s="99">
        <f t="shared" ref="AL294" ca="1" si="1287">AL109</f>
        <v>0</v>
      </c>
      <c r="AM294" s="142"/>
      <c r="AN294" s="99"/>
      <c r="AO294" s="99"/>
      <c r="AP294" s="99">
        <f t="shared" ref="AP294" ca="1" si="1288">AP109</f>
        <v>0</v>
      </c>
      <c r="AQ294" s="142"/>
      <c r="AR294" s="99"/>
      <c r="AS294" s="99"/>
      <c r="AT294" s="99">
        <f t="shared" ref="AT294" ca="1" si="1289">AT109</f>
        <v>0</v>
      </c>
      <c r="AU294" s="142"/>
      <c r="AV294" s="99"/>
      <c r="AW294" s="99"/>
      <c r="AX294" s="99">
        <f t="shared" ref="AX294" ca="1" si="1290">AX109</f>
        <v>0</v>
      </c>
      <c r="AY294" s="142"/>
      <c r="AZ294" s="99"/>
      <c r="BA294" s="99"/>
      <c r="BB294" s="99">
        <f t="shared" ref="BB294" ca="1" si="1291">BB109</f>
        <v>0</v>
      </c>
      <c r="BC294" s="142"/>
      <c r="BD294" s="99"/>
      <c r="BE294" s="99"/>
      <c r="BF294" s="99">
        <f t="shared" ref="BF294" ca="1" si="1292">BF109</f>
        <v>0</v>
      </c>
      <c r="BG294" s="142"/>
      <c r="BH294" s="99"/>
      <c r="BI294" s="99"/>
      <c r="BJ294" s="99">
        <f t="shared" ref="BJ294" ca="1" si="1293">BJ109</f>
        <v>0</v>
      </c>
      <c r="BK294" s="142"/>
      <c r="BL294" s="99"/>
      <c r="BM294" s="99"/>
      <c r="BN294" s="99">
        <f t="shared" ref="BN294" ca="1" si="1294">BN109</f>
        <v>0</v>
      </c>
      <c r="BO294" s="142"/>
      <c r="BP294" s="99"/>
      <c r="BQ294" s="99"/>
      <c r="BR294" s="99">
        <f t="shared" ref="BR294" ca="1" si="1295">BR109</f>
        <v>0</v>
      </c>
      <c r="BS294" s="142"/>
    </row>
    <row r="295" spans="1:72" hidden="1" outlineLevel="1" x14ac:dyDescent="0.25">
      <c r="A295" s="98" t="s">
        <v>15</v>
      </c>
      <c r="B295" s="98"/>
      <c r="C295" s="98"/>
      <c r="D295" s="48"/>
      <c r="E295" s="48"/>
      <c r="F295" s="143" t="str">
        <f>F294</f>
        <v>#&gt;&lt; Number Unchanged</v>
      </c>
      <c r="G295" s="144" t="s">
        <v>36</v>
      </c>
      <c r="H295" s="102"/>
      <c r="I295" s="102"/>
      <c r="J295" s="102">
        <f ca="1">J178</f>
        <v>0</v>
      </c>
      <c r="K295" s="145"/>
      <c r="L295" s="102"/>
      <c r="M295" s="102"/>
      <c r="N295" s="102">
        <f t="shared" ref="N295" ca="1" si="1296">N178</f>
        <v>0</v>
      </c>
      <c r="O295" s="145"/>
      <c r="P295" s="102"/>
      <c r="Q295" s="102"/>
      <c r="R295" s="102">
        <f t="shared" ref="R295" ca="1" si="1297">R178</f>
        <v>0</v>
      </c>
      <c r="S295" s="145"/>
      <c r="T295" s="102"/>
      <c r="U295" s="102"/>
      <c r="V295" s="102">
        <f t="shared" ref="V295" ca="1" si="1298">V178</f>
        <v>10</v>
      </c>
      <c r="W295" s="145"/>
      <c r="X295" s="102"/>
      <c r="Y295" s="102"/>
      <c r="Z295" s="102">
        <f t="shared" ref="Z295" ca="1" si="1299">Z178</f>
        <v>0</v>
      </c>
      <c r="AA295" s="145"/>
      <c r="AB295" s="102"/>
      <c r="AC295" s="102"/>
      <c r="AD295" s="102">
        <f t="shared" ref="AD295" ca="1" si="1300">AD178</f>
        <v>0</v>
      </c>
      <c r="AE295" s="145"/>
      <c r="AF295" s="102"/>
      <c r="AG295" s="102"/>
      <c r="AH295" s="102">
        <f t="shared" ref="AH295" ca="1" si="1301">AH178</f>
        <v>0</v>
      </c>
      <c r="AI295" s="145"/>
      <c r="AJ295" s="102"/>
      <c r="AK295" s="102"/>
      <c r="AL295" s="102">
        <f t="shared" ref="AL295" ca="1" si="1302">AL178</f>
        <v>0</v>
      </c>
      <c r="AM295" s="145"/>
      <c r="AN295" s="102"/>
      <c r="AO295" s="102"/>
      <c r="AP295" s="102">
        <f t="shared" ref="AP295" ca="1" si="1303">AP178</f>
        <v>0</v>
      </c>
      <c r="AQ295" s="145"/>
      <c r="AR295" s="102"/>
      <c r="AS295" s="102"/>
      <c r="AT295" s="102">
        <f t="shared" ref="AT295" ca="1" si="1304">AT178</f>
        <v>0</v>
      </c>
      <c r="AU295" s="145"/>
      <c r="AV295" s="102"/>
      <c r="AW295" s="102"/>
      <c r="AX295" s="102">
        <f t="shared" ref="AX295" ca="1" si="1305">AX178</f>
        <v>0</v>
      </c>
      <c r="AY295" s="145"/>
      <c r="AZ295" s="102"/>
      <c r="BA295" s="102"/>
      <c r="BB295" s="102">
        <f t="shared" ref="BB295" ca="1" si="1306">BB178</f>
        <v>0</v>
      </c>
      <c r="BC295" s="145"/>
      <c r="BD295" s="102"/>
      <c r="BE295" s="102"/>
      <c r="BF295" s="102">
        <f t="shared" ref="BF295" ca="1" si="1307">BF178</f>
        <v>0</v>
      </c>
      <c r="BG295" s="145"/>
      <c r="BH295" s="102"/>
      <c r="BI295" s="102"/>
      <c r="BJ295" s="102">
        <f t="shared" ref="BJ295" ca="1" si="1308">BJ178</f>
        <v>0</v>
      </c>
      <c r="BK295" s="145"/>
      <c r="BL295" s="102"/>
      <c r="BM295" s="102"/>
      <c r="BN295" s="102">
        <f t="shared" ref="BN295" ca="1" si="1309">BN178</f>
        <v>0</v>
      </c>
      <c r="BO295" s="145"/>
      <c r="BP295" s="102"/>
      <c r="BQ295" s="102"/>
      <c r="BR295" s="102">
        <f t="shared" ref="BR295" ca="1" si="1310">BR178</f>
        <v>0</v>
      </c>
      <c r="BS295" s="145"/>
    </row>
    <row r="296" spans="1:72" hidden="1" outlineLevel="1" x14ac:dyDescent="0.25">
      <c r="A296" s="98" t="s">
        <v>15</v>
      </c>
      <c r="B296" s="98"/>
      <c r="C296" s="98"/>
      <c r="D296" s="48"/>
      <c r="E296" s="48"/>
      <c r="F296" s="143" t="str">
        <f>F294</f>
        <v>#&gt;&lt; Number Unchanged</v>
      </c>
      <c r="G296" s="144" t="s">
        <v>38</v>
      </c>
      <c r="H296" s="102"/>
      <c r="I296" s="102"/>
      <c r="J296" s="102">
        <f ca="1">J237</f>
        <v>0</v>
      </c>
      <c r="K296" s="145"/>
      <c r="L296" s="102"/>
      <c r="M296" s="102"/>
      <c r="N296" s="102">
        <f t="shared" ref="N296" ca="1" si="1311">N237</f>
        <v>0</v>
      </c>
      <c r="O296" s="145"/>
      <c r="P296" s="102"/>
      <c r="Q296" s="102"/>
      <c r="R296" s="102">
        <f t="shared" ref="R296" ca="1" si="1312">R237</f>
        <v>0</v>
      </c>
      <c r="S296" s="145"/>
      <c r="T296" s="102"/>
      <c r="U296" s="102"/>
      <c r="V296" s="102">
        <f t="shared" ref="V296" ca="1" si="1313">V237</f>
        <v>0</v>
      </c>
      <c r="W296" s="145"/>
      <c r="X296" s="102"/>
      <c r="Y296" s="102"/>
      <c r="Z296" s="102">
        <f t="shared" ref="Z296" ca="1" si="1314">Z237</f>
        <v>0</v>
      </c>
      <c r="AA296" s="145"/>
      <c r="AB296" s="102"/>
      <c r="AC296" s="102"/>
      <c r="AD296" s="102">
        <f t="shared" ref="AD296" ca="1" si="1315">AD237</f>
        <v>1</v>
      </c>
      <c r="AE296" s="145"/>
      <c r="AF296" s="102"/>
      <c r="AG296" s="102"/>
      <c r="AH296" s="102">
        <f t="shared" ref="AH296" ca="1" si="1316">AH237</f>
        <v>0</v>
      </c>
      <c r="AI296" s="145"/>
      <c r="AJ296" s="102"/>
      <c r="AK296" s="102"/>
      <c r="AL296" s="102">
        <f t="shared" ref="AL296" ca="1" si="1317">AL237</f>
        <v>1</v>
      </c>
      <c r="AM296" s="145"/>
      <c r="AN296" s="102"/>
      <c r="AO296" s="102"/>
      <c r="AP296" s="102">
        <f t="shared" ref="AP296" ca="1" si="1318">AP237</f>
        <v>0</v>
      </c>
      <c r="AQ296" s="145"/>
      <c r="AR296" s="102"/>
      <c r="AS296" s="102"/>
      <c r="AT296" s="102">
        <f t="shared" ref="AT296" ca="1" si="1319">AT237</f>
        <v>0</v>
      </c>
      <c r="AU296" s="145"/>
      <c r="AV296" s="102"/>
      <c r="AW296" s="102"/>
      <c r="AX296" s="102">
        <f t="shared" ref="AX296" ca="1" si="1320">AX237</f>
        <v>0</v>
      </c>
      <c r="AY296" s="145"/>
      <c r="AZ296" s="102"/>
      <c r="BA296" s="102"/>
      <c r="BB296" s="102">
        <f t="shared" ref="BB296" ca="1" si="1321">BB237</f>
        <v>0</v>
      </c>
      <c r="BC296" s="145"/>
      <c r="BD296" s="102"/>
      <c r="BE296" s="102"/>
      <c r="BF296" s="102">
        <f t="shared" ref="BF296" ca="1" si="1322">BF237</f>
        <v>0</v>
      </c>
      <c r="BG296" s="145"/>
      <c r="BH296" s="102"/>
      <c r="BI296" s="102"/>
      <c r="BJ296" s="102">
        <f t="shared" ref="BJ296" ca="1" si="1323">BJ237</f>
        <v>0</v>
      </c>
      <c r="BK296" s="145"/>
      <c r="BL296" s="102"/>
      <c r="BM296" s="102"/>
      <c r="BN296" s="102">
        <f t="shared" ref="BN296" ca="1" si="1324">BN237</f>
        <v>0</v>
      </c>
      <c r="BO296" s="145"/>
      <c r="BP296" s="102"/>
      <c r="BQ296" s="102"/>
      <c r="BR296" s="102">
        <f t="shared" ref="BR296" ca="1" si="1325">BR237</f>
        <v>0</v>
      </c>
      <c r="BS296" s="145"/>
    </row>
    <row r="297" spans="1:72" ht="13.8" hidden="1" outlineLevel="1" thickBot="1" x14ac:dyDescent="0.3">
      <c r="A297" s="146" t="s">
        <v>15</v>
      </c>
      <c r="B297" s="146"/>
      <c r="C297" s="146"/>
      <c r="D297" s="147"/>
      <c r="E297" s="147"/>
      <c r="F297" s="148" t="str">
        <f>F294</f>
        <v>#&gt;&lt; Number Unchanged</v>
      </c>
      <c r="G297" s="149" t="s">
        <v>41</v>
      </c>
      <c r="H297" s="150"/>
      <c r="I297" s="150"/>
      <c r="J297" s="150">
        <f ca="1">SUM(J294:J296)</f>
        <v>0</v>
      </c>
      <c r="K297" s="151"/>
      <c r="L297" s="150"/>
      <c r="M297" s="150"/>
      <c r="N297" s="150">
        <f t="shared" ref="N297" ca="1" si="1326">SUM(N294:N296)</f>
        <v>0</v>
      </c>
      <c r="O297" s="151"/>
      <c r="P297" s="150"/>
      <c r="Q297" s="150"/>
      <c r="R297" s="150">
        <f t="shared" ref="R297" ca="1" si="1327">SUM(R294:R296)</f>
        <v>0</v>
      </c>
      <c r="S297" s="151"/>
      <c r="T297" s="150"/>
      <c r="U297" s="150"/>
      <c r="V297" s="150">
        <f t="shared" ref="V297" ca="1" si="1328">SUM(V294:V296)</f>
        <v>52</v>
      </c>
      <c r="W297" s="151"/>
      <c r="X297" s="150"/>
      <c r="Y297" s="150"/>
      <c r="Z297" s="150">
        <f t="shared" ref="Z297" ca="1" si="1329">SUM(Z294:Z296)</f>
        <v>0</v>
      </c>
      <c r="AA297" s="151"/>
      <c r="AB297" s="150"/>
      <c r="AC297" s="150"/>
      <c r="AD297" s="150">
        <f t="shared" ref="AD297" ca="1" si="1330">SUM(AD294:AD296)</f>
        <v>4</v>
      </c>
      <c r="AE297" s="151"/>
      <c r="AF297" s="150"/>
      <c r="AG297" s="150"/>
      <c r="AH297" s="150">
        <f t="shared" ref="AH297" ca="1" si="1331">SUM(AH294:AH296)</f>
        <v>0</v>
      </c>
      <c r="AI297" s="151"/>
      <c r="AJ297" s="150"/>
      <c r="AK297" s="150"/>
      <c r="AL297" s="150">
        <f t="shared" ref="AL297" ca="1" si="1332">SUM(AL294:AL296)</f>
        <v>1</v>
      </c>
      <c r="AM297" s="151"/>
      <c r="AN297" s="150"/>
      <c r="AO297" s="150"/>
      <c r="AP297" s="150">
        <f t="shared" ref="AP297" ca="1" si="1333">SUM(AP294:AP296)</f>
        <v>0</v>
      </c>
      <c r="AQ297" s="151"/>
      <c r="AR297" s="150"/>
      <c r="AS297" s="150"/>
      <c r="AT297" s="150">
        <f t="shared" ref="AT297" ca="1" si="1334">SUM(AT294:AT296)</f>
        <v>0</v>
      </c>
      <c r="AU297" s="151"/>
      <c r="AV297" s="150"/>
      <c r="AW297" s="150"/>
      <c r="AX297" s="150">
        <f t="shared" ref="AX297" ca="1" si="1335">SUM(AX294:AX296)</f>
        <v>0</v>
      </c>
      <c r="AY297" s="151"/>
      <c r="AZ297" s="150"/>
      <c r="BA297" s="150"/>
      <c r="BB297" s="150">
        <f t="shared" ref="BB297" ca="1" si="1336">SUM(BB294:BB296)</f>
        <v>0</v>
      </c>
      <c r="BC297" s="151"/>
      <c r="BD297" s="150"/>
      <c r="BE297" s="150"/>
      <c r="BF297" s="150">
        <f t="shared" ref="BF297" ca="1" si="1337">SUM(BF294:BF296)</f>
        <v>0</v>
      </c>
      <c r="BG297" s="151"/>
      <c r="BH297" s="150"/>
      <c r="BI297" s="150"/>
      <c r="BJ297" s="150">
        <f t="shared" ref="BJ297" ca="1" si="1338">SUM(BJ294:BJ296)</f>
        <v>0</v>
      </c>
      <c r="BK297" s="151"/>
      <c r="BL297" s="150"/>
      <c r="BM297" s="150"/>
      <c r="BN297" s="150">
        <f t="shared" ref="BN297" ca="1" si="1339">SUM(BN294:BN296)</f>
        <v>0</v>
      </c>
      <c r="BO297" s="151"/>
      <c r="BP297" s="150"/>
      <c r="BQ297" s="150"/>
      <c r="BR297" s="150">
        <f t="shared" ref="BR297" ca="1" si="1340">SUM(BR294:BR296)</f>
        <v>0</v>
      </c>
      <c r="BS297" s="151"/>
      <c r="BT297" s="152"/>
    </row>
    <row r="298" spans="1:72" hidden="1" outlineLevel="1" x14ac:dyDescent="0.25">
      <c r="A298" s="98" t="s">
        <v>15</v>
      </c>
      <c r="B298" s="98"/>
      <c r="C298" s="98"/>
      <c r="D298" s="157"/>
      <c r="E298" s="157"/>
      <c r="F298" s="140" t="str">
        <f>$F$110</f>
        <v>Σ# Total Number</v>
      </c>
      <c r="G298" s="141" t="s">
        <v>17</v>
      </c>
      <c r="H298" s="99"/>
      <c r="I298" s="99"/>
      <c r="J298" s="99">
        <f ca="1">SUM(J270,J282,J294)</f>
        <v>62</v>
      </c>
      <c r="K298" s="142"/>
      <c r="L298" s="99"/>
      <c r="M298" s="99"/>
      <c r="N298" s="99">
        <f t="shared" ref="N298:N300" ca="1" si="1341">SUM(N270,N282,N294)</f>
        <v>0</v>
      </c>
      <c r="O298" s="142"/>
      <c r="P298" s="99"/>
      <c r="Q298" s="99"/>
      <c r="R298" s="99">
        <f t="shared" ref="R298:R300" ca="1" si="1342">SUM(R270,R282,R294)</f>
        <v>62</v>
      </c>
      <c r="S298" s="142"/>
      <c r="T298" s="99"/>
      <c r="U298" s="99"/>
      <c r="V298" s="99">
        <f t="shared" ref="V298:V300" ca="1" si="1343">SUM(V270,V282,V294)</f>
        <v>62</v>
      </c>
      <c r="W298" s="142"/>
      <c r="X298" s="99"/>
      <c r="Y298" s="99"/>
      <c r="Z298" s="99">
        <f t="shared" ref="Z298:Z300" ca="1" si="1344">SUM(Z270,Z282,Z294)</f>
        <v>62</v>
      </c>
      <c r="AA298" s="142"/>
      <c r="AB298" s="99"/>
      <c r="AC298" s="99"/>
      <c r="AD298" s="99">
        <f t="shared" ref="AD298:AD300" ca="1" si="1345">SUM(AD270,AD282,AD294)</f>
        <v>62</v>
      </c>
      <c r="AE298" s="142"/>
      <c r="AF298" s="99"/>
      <c r="AG298" s="99"/>
      <c r="AH298" s="99">
        <f t="shared" ref="AH298:AH300" ca="1" si="1346">SUM(AH270,AH282,AH294)</f>
        <v>62</v>
      </c>
      <c r="AI298" s="142"/>
      <c r="AJ298" s="99"/>
      <c r="AK298" s="99"/>
      <c r="AL298" s="99">
        <f t="shared" ref="AL298:AL300" ca="1" si="1347">SUM(AL270,AL282,AL294)</f>
        <v>62</v>
      </c>
      <c r="AM298" s="142"/>
      <c r="AN298" s="99"/>
      <c r="AO298" s="99"/>
      <c r="AP298" s="99">
        <f t="shared" ref="AP298:AP300" ca="1" si="1348">SUM(AP270,AP282,AP294)</f>
        <v>62</v>
      </c>
      <c r="AQ298" s="142"/>
      <c r="AR298" s="99"/>
      <c r="AS298" s="99"/>
      <c r="AT298" s="99">
        <f t="shared" ref="AT298:AT300" ca="1" si="1349">SUM(AT270,AT282,AT294)</f>
        <v>62</v>
      </c>
      <c r="AU298" s="142"/>
      <c r="AV298" s="99"/>
      <c r="AW298" s="99"/>
      <c r="AX298" s="99">
        <f t="shared" ref="AX298:AX300" ca="1" si="1350">SUM(AX270,AX282,AX294)</f>
        <v>62</v>
      </c>
      <c r="AY298" s="142"/>
      <c r="AZ298" s="99"/>
      <c r="BA298" s="99"/>
      <c r="BB298" s="99">
        <f t="shared" ref="BB298:BB300" ca="1" si="1351">SUM(BB270,BB282,BB294)</f>
        <v>62</v>
      </c>
      <c r="BC298" s="142"/>
      <c r="BD298" s="99"/>
      <c r="BE298" s="99"/>
      <c r="BF298" s="99">
        <f t="shared" ref="BF298:BF300" ca="1" si="1352">SUM(BF270,BF282,BF294)</f>
        <v>62</v>
      </c>
      <c r="BG298" s="142"/>
      <c r="BH298" s="99"/>
      <c r="BI298" s="99"/>
      <c r="BJ298" s="99">
        <f t="shared" ref="BJ298:BJ300" ca="1" si="1353">SUM(BJ270,BJ282,BJ294)</f>
        <v>62</v>
      </c>
      <c r="BK298" s="142"/>
      <c r="BL298" s="99"/>
      <c r="BM298" s="99"/>
      <c r="BN298" s="99">
        <f t="shared" ref="BN298:BN300" ca="1" si="1354">SUM(BN270,BN282,BN294)</f>
        <v>62</v>
      </c>
      <c r="BO298" s="142"/>
      <c r="BP298" s="99"/>
      <c r="BQ298" s="99"/>
      <c r="BR298" s="99">
        <f t="shared" ref="BR298:BR300" ca="1" si="1355">SUM(BR270,BR282,BR294)</f>
        <v>62</v>
      </c>
      <c r="BS298" s="142"/>
    </row>
    <row r="299" spans="1:72" hidden="1" outlineLevel="1" x14ac:dyDescent="0.25">
      <c r="A299" s="98" t="s">
        <v>15</v>
      </c>
      <c r="B299" s="98"/>
      <c r="C299" s="98"/>
      <c r="D299" s="158"/>
      <c r="E299" s="158"/>
      <c r="F299" s="143" t="str">
        <f>F298</f>
        <v>Σ# Total Number</v>
      </c>
      <c r="G299" s="144" t="s">
        <v>36</v>
      </c>
      <c r="H299" s="102"/>
      <c r="I299" s="102"/>
      <c r="J299" s="102">
        <f ca="1">SUM(J271,J283,J295)</f>
        <v>14</v>
      </c>
      <c r="K299" s="145"/>
      <c r="L299" s="102"/>
      <c r="M299" s="102"/>
      <c r="N299" s="102">
        <f t="shared" ca="1" si="1341"/>
        <v>0</v>
      </c>
      <c r="O299" s="145"/>
      <c r="P299" s="102"/>
      <c r="Q299" s="102"/>
      <c r="R299" s="102">
        <f t="shared" ca="1" si="1342"/>
        <v>14</v>
      </c>
      <c r="S299" s="145"/>
      <c r="T299" s="102"/>
      <c r="U299" s="102"/>
      <c r="V299" s="102">
        <f t="shared" ca="1" si="1343"/>
        <v>14</v>
      </c>
      <c r="W299" s="145"/>
      <c r="X299" s="102"/>
      <c r="Y299" s="102"/>
      <c r="Z299" s="102">
        <f t="shared" ca="1" si="1344"/>
        <v>14</v>
      </c>
      <c r="AA299" s="145"/>
      <c r="AB299" s="102"/>
      <c r="AC299" s="102"/>
      <c r="AD299" s="102">
        <f t="shared" ca="1" si="1345"/>
        <v>14</v>
      </c>
      <c r="AE299" s="145"/>
      <c r="AF299" s="102"/>
      <c r="AG299" s="102"/>
      <c r="AH299" s="102">
        <f t="shared" ca="1" si="1346"/>
        <v>14</v>
      </c>
      <c r="AI299" s="145"/>
      <c r="AJ299" s="102"/>
      <c r="AK299" s="102"/>
      <c r="AL299" s="102">
        <f t="shared" ca="1" si="1347"/>
        <v>14</v>
      </c>
      <c r="AM299" s="145"/>
      <c r="AN299" s="102"/>
      <c r="AO299" s="102"/>
      <c r="AP299" s="102">
        <f t="shared" ca="1" si="1348"/>
        <v>14</v>
      </c>
      <c r="AQ299" s="145"/>
      <c r="AR299" s="102"/>
      <c r="AS299" s="102"/>
      <c r="AT299" s="102">
        <f t="shared" ca="1" si="1349"/>
        <v>14</v>
      </c>
      <c r="AU299" s="145"/>
      <c r="AV299" s="102"/>
      <c r="AW299" s="102"/>
      <c r="AX299" s="102">
        <f t="shared" ca="1" si="1350"/>
        <v>14</v>
      </c>
      <c r="AY299" s="145"/>
      <c r="AZ299" s="102"/>
      <c r="BA299" s="102"/>
      <c r="BB299" s="102">
        <f t="shared" ca="1" si="1351"/>
        <v>14</v>
      </c>
      <c r="BC299" s="145"/>
      <c r="BD299" s="102"/>
      <c r="BE299" s="102"/>
      <c r="BF299" s="102">
        <f t="shared" ca="1" si="1352"/>
        <v>14</v>
      </c>
      <c r="BG299" s="145"/>
      <c r="BH299" s="102"/>
      <c r="BI299" s="102"/>
      <c r="BJ299" s="102">
        <f t="shared" ca="1" si="1353"/>
        <v>14</v>
      </c>
      <c r="BK299" s="145"/>
      <c r="BL299" s="102"/>
      <c r="BM299" s="102"/>
      <c r="BN299" s="102">
        <f t="shared" ca="1" si="1354"/>
        <v>14</v>
      </c>
      <c r="BO299" s="145"/>
      <c r="BP299" s="102"/>
      <c r="BQ299" s="102"/>
      <c r="BR299" s="102">
        <f t="shared" ca="1" si="1355"/>
        <v>14</v>
      </c>
      <c r="BS299" s="145"/>
    </row>
    <row r="300" spans="1:72" hidden="1" outlineLevel="1" x14ac:dyDescent="0.25">
      <c r="A300" s="98" t="s">
        <v>15</v>
      </c>
      <c r="B300" s="98"/>
      <c r="C300" s="98"/>
      <c r="D300" s="158"/>
      <c r="E300" s="158"/>
      <c r="F300" s="143" t="str">
        <f>F298</f>
        <v>Σ# Total Number</v>
      </c>
      <c r="G300" s="144" t="s">
        <v>38</v>
      </c>
      <c r="H300" s="102"/>
      <c r="I300" s="102"/>
      <c r="J300" s="102">
        <f ca="1">SUM(J272,J284,J296)</f>
        <v>22</v>
      </c>
      <c r="K300" s="145"/>
      <c r="L300" s="102"/>
      <c r="M300" s="102"/>
      <c r="N300" s="102">
        <f t="shared" ca="1" si="1341"/>
        <v>0</v>
      </c>
      <c r="O300" s="145"/>
      <c r="P300" s="102"/>
      <c r="Q300" s="102"/>
      <c r="R300" s="102">
        <f t="shared" ca="1" si="1342"/>
        <v>22</v>
      </c>
      <c r="S300" s="145"/>
      <c r="T300" s="102"/>
      <c r="U300" s="102"/>
      <c r="V300" s="102">
        <f t="shared" ca="1" si="1343"/>
        <v>0</v>
      </c>
      <c r="W300" s="145"/>
      <c r="X300" s="102"/>
      <c r="Y300" s="102"/>
      <c r="Z300" s="102">
        <f t="shared" ca="1" si="1344"/>
        <v>22</v>
      </c>
      <c r="AA300" s="145"/>
      <c r="AB300" s="102"/>
      <c r="AC300" s="102"/>
      <c r="AD300" s="102">
        <f t="shared" ca="1" si="1345"/>
        <v>22</v>
      </c>
      <c r="AE300" s="145"/>
      <c r="AF300" s="102"/>
      <c r="AG300" s="102"/>
      <c r="AH300" s="102">
        <f t="shared" ca="1" si="1346"/>
        <v>22</v>
      </c>
      <c r="AI300" s="145"/>
      <c r="AJ300" s="102"/>
      <c r="AK300" s="102"/>
      <c r="AL300" s="102">
        <f t="shared" ca="1" si="1347"/>
        <v>22</v>
      </c>
      <c r="AM300" s="145"/>
      <c r="AN300" s="102"/>
      <c r="AO300" s="102"/>
      <c r="AP300" s="102">
        <f t="shared" ca="1" si="1348"/>
        <v>22</v>
      </c>
      <c r="AQ300" s="145"/>
      <c r="AR300" s="102"/>
      <c r="AS300" s="102"/>
      <c r="AT300" s="102">
        <f t="shared" ca="1" si="1349"/>
        <v>22</v>
      </c>
      <c r="AU300" s="145"/>
      <c r="AV300" s="102"/>
      <c r="AW300" s="102"/>
      <c r="AX300" s="102">
        <f t="shared" ca="1" si="1350"/>
        <v>22</v>
      </c>
      <c r="AY300" s="145"/>
      <c r="AZ300" s="102"/>
      <c r="BA300" s="102"/>
      <c r="BB300" s="102">
        <f t="shared" ca="1" si="1351"/>
        <v>22</v>
      </c>
      <c r="BC300" s="145"/>
      <c r="BD300" s="102"/>
      <c r="BE300" s="102"/>
      <c r="BF300" s="102">
        <f t="shared" ca="1" si="1352"/>
        <v>22</v>
      </c>
      <c r="BG300" s="145"/>
      <c r="BH300" s="102"/>
      <c r="BI300" s="102"/>
      <c r="BJ300" s="102">
        <f t="shared" ca="1" si="1353"/>
        <v>22</v>
      </c>
      <c r="BK300" s="145"/>
      <c r="BL300" s="102"/>
      <c r="BM300" s="102"/>
      <c r="BN300" s="102">
        <f t="shared" ca="1" si="1354"/>
        <v>22</v>
      </c>
      <c r="BO300" s="145"/>
      <c r="BP300" s="102"/>
      <c r="BQ300" s="102"/>
      <c r="BR300" s="102">
        <f t="shared" ca="1" si="1355"/>
        <v>22</v>
      </c>
      <c r="BS300" s="145"/>
    </row>
    <row r="301" spans="1:72" ht="13.8" hidden="1" outlineLevel="1" thickBot="1" x14ac:dyDescent="0.3">
      <c r="A301" s="146" t="s">
        <v>15</v>
      </c>
      <c r="B301" s="146"/>
      <c r="C301" s="146"/>
      <c r="D301" s="147"/>
      <c r="E301" s="147"/>
      <c r="F301" s="148" t="str">
        <f>F298</f>
        <v>Σ# Total Number</v>
      </c>
      <c r="G301" s="149" t="s">
        <v>41</v>
      </c>
      <c r="H301" s="150"/>
      <c r="I301" s="150"/>
      <c r="J301" s="150">
        <f ca="1">SUM(J298:J300)</f>
        <v>98</v>
      </c>
      <c r="K301" s="151"/>
      <c r="L301" s="150"/>
      <c r="M301" s="150"/>
      <c r="N301" s="150">
        <f t="shared" ref="N301" ca="1" si="1356">SUM(N298:N300)</f>
        <v>0</v>
      </c>
      <c r="O301" s="151"/>
      <c r="P301" s="150"/>
      <c r="Q301" s="150"/>
      <c r="R301" s="150">
        <f t="shared" ref="R301" ca="1" si="1357">SUM(R298:R300)</f>
        <v>98</v>
      </c>
      <c r="S301" s="151"/>
      <c r="T301" s="150"/>
      <c r="U301" s="150"/>
      <c r="V301" s="150">
        <f t="shared" ref="V301" ca="1" si="1358">SUM(V298:V300)</f>
        <v>76</v>
      </c>
      <c r="W301" s="151"/>
      <c r="X301" s="150"/>
      <c r="Y301" s="150"/>
      <c r="Z301" s="150">
        <f t="shared" ref="Z301" ca="1" si="1359">SUM(Z298:Z300)</f>
        <v>98</v>
      </c>
      <c r="AA301" s="151"/>
      <c r="AB301" s="150"/>
      <c r="AC301" s="150"/>
      <c r="AD301" s="150">
        <f t="shared" ref="AD301" ca="1" si="1360">SUM(AD298:AD300)</f>
        <v>98</v>
      </c>
      <c r="AE301" s="151"/>
      <c r="AF301" s="150"/>
      <c r="AG301" s="150"/>
      <c r="AH301" s="150">
        <f t="shared" ref="AH301" ca="1" si="1361">SUM(AH298:AH300)</f>
        <v>98</v>
      </c>
      <c r="AI301" s="151"/>
      <c r="AJ301" s="150"/>
      <c r="AK301" s="150"/>
      <c r="AL301" s="150">
        <f t="shared" ref="AL301" ca="1" si="1362">SUM(AL298:AL300)</f>
        <v>98</v>
      </c>
      <c r="AM301" s="151"/>
      <c r="AN301" s="150"/>
      <c r="AO301" s="150"/>
      <c r="AP301" s="150">
        <f t="shared" ref="AP301" ca="1" si="1363">SUM(AP298:AP300)</f>
        <v>98</v>
      </c>
      <c r="AQ301" s="151"/>
      <c r="AR301" s="150"/>
      <c r="AS301" s="150"/>
      <c r="AT301" s="150">
        <f t="shared" ref="AT301" ca="1" si="1364">SUM(AT298:AT300)</f>
        <v>98</v>
      </c>
      <c r="AU301" s="151"/>
      <c r="AV301" s="150"/>
      <c r="AW301" s="150"/>
      <c r="AX301" s="150">
        <f t="shared" ref="AX301" ca="1" si="1365">SUM(AX298:AX300)</f>
        <v>98</v>
      </c>
      <c r="AY301" s="151"/>
      <c r="AZ301" s="150"/>
      <c r="BA301" s="150"/>
      <c r="BB301" s="150">
        <f t="shared" ref="BB301" ca="1" si="1366">SUM(BB298:BB300)</f>
        <v>98</v>
      </c>
      <c r="BC301" s="151"/>
      <c r="BD301" s="150"/>
      <c r="BE301" s="150"/>
      <c r="BF301" s="150">
        <f t="shared" ref="BF301" ca="1" si="1367">SUM(BF298:BF300)</f>
        <v>98</v>
      </c>
      <c r="BG301" s="151"/>
      <c r="BH301" s="150"/>
      <c r="BI301" s="150"/>
      <c r="BJ301" s="150">
        <f t="shared" ref="BJ301" ca="1" si="1368">SUM(BJ298:BJ300)</f>
        <v>98</v>
      </c>
      <c r="BK301" s="151"/>
      <c r="BL301" s="150"/>
      <c r="BM301" s="150"/>
      <c r="BN301" s="150">
        <f t="shared" ref="BN301" ca="1" si="1369">SUM(BN298:BN300)</f>
        <v>98</v>
      </c>
      <c r="BO301" s="151"/>
      <c r="BP301" s="150"/>
      <c r="BQ301" s="150"/>
      <c r="BR301" s="150">
        <f t="shared" ref="BR301" ca="1" si="1370">SUM(BR298:BR300)</f>
        <v>98</v>
      </c>
      <c r="BS301" s="151"/>
      <c r="BT301" s="152"/>
    </row>
    <row r="302" spans="1:72" collapsed="1" x14ac:dyDescent="0.25">
      <c r="A302" s="91" t="s">
        <v>14</v>
      </c>
      <c r="B302" s="91"/>
      <c r="C302" s="91"/>
      <c r="D302" s="92"/>
      <c r="E302" s="92"/>
      <c r="F302" s="93"/>
      <c r="G302" s="94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  <c r="BA302" s="131"/>
      <c r="BB302" s="131"/>
      <c r="BC302" s="131"/>
      <c r="BD302" s="131"/>
      <c r="BE302" s="131"/>
      <c r="BF302" s="131"/>
      <c r="BG302" s="131"/>
      <c r="BH302" s="131"/>
      <c r="BI302" s="131"/>
      <c r="BJ302" s="131"/>
      <c r="BK302" s="131"/>
      <c r="BL302" s="131"/>
      <c r="BM302" s="131"/>
      <c r="BN302" s="131"/>
      <c r="BO302" s="131"/>
      <c r="BP302" s="131"/>
      <c r="BQ302" s="131"/>
      <c r="BR302" s="131"/>
      <c r="BS302" s="131"/>
      <c r="BT302" s="97"/>
    </row>
    <row r="303" spans="1:72" x14ac:dyDescent="0.25">
      <c r="A303" s="159" t="s">
        <v>42</v>
      </c>
      <c r="B303" s="160"/>
      <c r="C303" s="160"/>
      <c r="D303" s="159"/>
      <c r="E303" s="159"/>
      <c r="F303" s="159"/>
      <c r="G303" s="159"/>
      <c r="H303" s="159" t="s">
        <v>48</v>
      </c>
      <c r="I303" s="159"/>
      <c r="J303" s="159"/>
      <c r="K303" s="159"/>
      <c r="L303" s="159"/>
      <c r="M303" s="159"/>
      <c r="N303" s="159"/>
      <c r="O303" s="159"/>
      <c r="P303" s="159" t="str">
        <f>IF($H303="","",$H303)</f>
        <v>Above aggregates based on Schedules A, B, C only.  Retro exposure included in the above.</v>
      </c>
      <c r="Q303" s="159"/>
      <c r="R303" s="159"/>
      <c r="S303" s="159"/>
      <c r="T303" s="159"/>
      <c r="U303" s="159"/>
      <c r="V303" s="159"/>
      <c r="W303" s="159"/>
      <c r="X303" s="159" t="str">
        <f>$H303</f>
        <v>Above aggregates based on Schedules A, B, C only.  Retro exposure included in the above.</v>
      </c>
      <c r="Y303" s="159"/>
      <c r="Z303" s="159"/>
      <c r="AA303" s="159"/>
      <c r="AB303" s="159"/>
      <c r="AC303" s="159"/>
      <c r="AD303" s="159"/>
      <c r="AE303" s="159"/>
      <c r="AF303" s="159" t="str">
        <f>$H303</f>
        <v>Above aggregates based on Schedules A, B, C only.  Retro exposure included in the above.</v>
      </c>
      <c r="AG303" s="159"/>
      <c r="AH303" s="159"/>
      <c r="AI303" s="159"/>
      <c r="AJ303" s="159"/>
      <c r="AK303" s="159"/>
      <c r="AL303" s="159"/>
      <c r="AM303" s="159"/>
      <c r="AN303" s="159" t="str">
        <f>$H303</f>
        <v>Above aggregates based on Schedules A, B, C only.  Retro exposure included in the above.</v>
      </c>
      <c r="AO303" s="159"/>
      <c r="AP303" s="159"/>
      <c r="AQ303" s="159"/>
      <c r="AR303" s="159"/>
      <c r="AS303" s="159"/>
      <c r="AT303" s="159"/>
      <c r="AU303" s="159"/>
      <c r="AV303" s="159" t="str">
        <f>$H303</f>
        <v>Above aggregates based on Schedules A, B, C only.  Retro exposure included in the above.</v>
      </c>
      <c r="AW303" s="159"/>
      <c r="AX303" s="159"/>
      <c r="AY303" s="159"/>
      <c r="AZ303" s="159"/>
      <c r="BA303" s="159"/>
      <c r="BB303" s="159"/>
      <c r="BC303" s="159"/>
      <c r="BD303" s="159" t="str">
        <f>$H303</f>
        <v>Above aggregates based on Schedules A, B, C only.  Retro exposure included in the above.</v>
      </c>
      <c r="BE303" s="159"/>
      <c r="BF303" s="159"/>
      <c r="BG303" s="159"/>
      <c r="BH303" s="159"/>
      <c r="BI303" s="159"/>
      <c r="BJ303" s="159"/>
      <c r="BK303" s="159"/>
      <c r="BL303" s="159" t="str">
        <f>$H303</f>
        <v>Above aggregates based on Schedules A, B, C only.  Retro exposure included in the above.</v>
      </c>
      <c r="BM303" s="159"/>
      <c r="BN303" s="159"/>
      <c r="BO303" s="159"/>
      <c r="BP303" s="159"/>
      <c r="BQ303" s="159"/>
      <c r="BR303" s="159"/>
      <c r="BS303" s="159"/>
      <c r="BT303" s="160"/>
    </row>
    <row r="304" spans="1:72" x14ac:dyDescent="0.25">
      <c r="A304" s="159" t="s">
        <v>42</v>
      </c>
      <c r="B304" s="160"/>
      <c r="C304" s="160"/>
      <c r="D304" s="159"/>
      <c r="E304" s="159"/>
      <c r="F304" s="159"/>
      <c r="G304" s="159"/>
      <c r="H304" s="159" t="s">
        <v>49</v>
      </c>
      <c r="I304" s="159"/>
      <c r="J304" s="159"/>
      <c r="K304" s="159"/>
      <c r="L304" s="159"/>
      <c r="M304" s="159"/>
      <c r="N304" s="159"/>
      <c r="O304" s="159"/>
      <c r="P304" s="159" t="str">
        <f t="shared" ref="P304:P309" si="1371">IF($H304="","",$H304)</f>
        <v>These aggregates have been developed with the most recent information available for each cedant, and are subject to change.</v>
      </c>
      <c r="Q304" s="159"/>
      <c r="R304" s="159"/>
      <c r="S304" s="159"/>
      <c r="T304" s="159"/>
      <c r="U304" s="159"/>
      <c r="V304" s="159"/>
      <c r="W304" s="159"/>
      <c r="X304" s="159" t="str">
        <f>$H304</f>
        <v>These aggregates have been developed with the most recent information available for each cedant, and are subject to change.</v>
      </c>
      <c r="Y304" s="159"/>
      <c r="Z304" s="159"/>
      <c r="AA304" s="159"/>
      <c r="AB304" s="159"/>
      <c r="AC304" s="159"/>
      <c r="AD304" s="159"/>
      <c r="AE304" s="159"/>
      <c r="AF304" s="159" t="str">
        <f>$H304</f>
        <v>These aggregates have been developed with the most recent information available for each cedant, and are subject to change.</v>
      </c>
      <c r="AG304" s="159"/>
      <c r="AH304" s="159"/>
      <c r="AI304" s="159"/>
      <c r="AJ304" s="159"/>
      <c r="AK304" s="159"/>
      <c r="AL304" s="159"/>
      <c r="AM304" s="159"/>
      <c r="AN304" s="159" t="str">
        <f>$H304</f>
        <v>These aggregates have been developed with the most recent information available for each cedant, and are subject to change.</v>
      </c>
      <c r="AO304" s="159"/>
      <c r="AP304" s="159"/>
      <c r="AQ304" s="159"/>
      <c r="AR304" s="159"/>
      <c r="AS304" s="159"/>
      <c r="AT304" s="159"/>
      <c r="AU304" s="159"/>
      <c r="AV304" s="159" t="str">
        <f>$H304</f>
        <v>These aggregates have been developed with the most recent information available for each cedant, and are subject to change.</v>
      </c>
      <c r="AW304" s="159"/>
      <c r="AX304" s="159"/>
      <c r="AY304" s="159"/>
      <c r="AZ304" s="159"/>
      <c r="BA304" s="159"/>
      <c r="BB304" s="159"/>
      <c r="BC304" s="159"/>
      <c r="BD304" s="159" t="str">
        <f>$H304</f>
        <v>These aggregates have been developed with the most recent information available for each cedant, and are subject to change.</v>
      </c>
      <c r="BE304" s="159"/>
      <c r="BF304" s="159"/>
      <c r="BG304" s="159"/>
      <c r="BH304" s="159"/>
      <c r="BI304" s="159"/>
      <c r="BJ304" s="159"/>
      <c r="BK304" s="159"/>
      <c r="BL304" s="159" t="str">
        <f>$H304</f>
        <v>These aggregates have been developed with the most recent information available for each cedant, and are subject to change.</v>
      </c>
      <c r="BM304" s="159"/>
      <c r="BN304" s="159"/>
      <c r="BO304" s="159"/>
      <c r="BP304" s="159"/>
      <c r="BQ304" s="159"/>
      <c r="BR304" s="159"/>
      <c r="BS304" s="159"/>
      <c r="BT304" s="160"/>
    </row>
    <row r="305" spans="1:72" x14ac:dyDescent="0.25">
      <c r="A305" s="159" t="s">
        <v>42</v>
      </c>
      <c r="B305" s="160"/>
      <c r="C305" s="160"/>
      <c r="D305" s="159"/>
      <c r="E305" s="159"/>
      <c r="F305" s="159"/>
      <c r="G305" s="159"/>
      <c r="H305" s="159" t="s">
        <v>51</v>
      </c>
      <c r="I305" s="159"/>
      <c r="J305" s="159"/>
      <c r="K305" s="159"/>
      <c r="L305" s="159"/>
      <c r="M305" s="159"/>
      <c r="N305" s="159"/>
      <c r="O305" s="159"/>
      <c r="P305" s="159" t="str">
        <f t="shared" si="1371"/>
        <v>Also, the aggregates have been developed with interpolation in some cases.</v>
      </c>
      <c r="Q305" s="159"/>
      <c r="R305" s="159"/>
      <c r="S305" s="159"/>
      <c r="T305" s="159"/>
      <c r="U305" s="159"/>
      <c r="V305" s="159"/>
      <c r="W305" s="159"/>
      <c r="X305" s="159" t="str">
        <f>$H305</f>
        <v>Also, the aggregates have been developed with interpolation in some cases.</v>
      </c>
      <c r="Y305" s="159"/>
      <c r="Z305" s="159"/>
      <c r="AA305" s="159"/>
      <c r="AB305" s="159"/>
      <c r="AC305" s="159"/>
      <c r="AD305" s="159"/>
      <c r="AE305" s="159"/>
      <c r="AF305" s="159" t="str">
        <f>$H305</f>
        <v>Also, the aggregates have been developed with interpolation in some cases.</v>
      </c>
      <c r="AG305" s="159"/>
      <c r="AH305" s="159"/>
      <c r="AI305" s="159"/>
      <c r="AJ305" s="159"/>
      <c r="AK305" s="159"/>
      <c r="AL305" s="159"/>
      <c r="AM305" s="159"/>
      <c r="AN305" s="159" t="str">
        <f>$H305</f>
        <v>Also, the aggregates have been developed with interpolation in some cases.</v>
      </c>
      <c r="AO305" s="159"/>
      <c r="AP305" s="159"/>
      <c r="AQ305" s="159"/>
      <c r="AR305" s="159"/>
      <c r="AS305" s="159"/>
      <c r="AT305" s="159"/>
      <c r="AU305" s="159"/>
      <c r="AV305" s="159" t="str">
        <f>$H305</f>
        <v>Also, the aggregates have been developed with interpolation in some cases.</v>
      </c>
      <c r="AW305" s="159"/>
      <c r="AX305" s="159"/>
      <c r="AY305" s="159"/>
      <c r="AZ305" s="159"/>
      <c r="BA305" s="159"/>
      <c r="BB305" s="159"/>
      <c r="BC305" s="159"/>
      <c r="BD305" s="159" t="str">
        <f>$H305</f>
        <v>Also, the aggregates have been developed with interpolation in some cases.</v>
      </c>
      <c r="BE305" s="159"/>
      <c r="BF305" s="159"/>
      <c r="BG305" s="159"/>
      <c r="BH305" s="159"/>
      <c r="BI305" s="159"/>
      <c r="BJ305" s="159"/>
      <c r="BK305" s="159"/>
      <c r="BL305" s="159" t="str">
        <f>$H305</f>
        <v>Also, the aggregates have been developed with interpolation in some cases.</v>
      </c>
      <c r="BM305" s="159"/>
      <c r="BN305" s="159"/>
      <c r="BO305" s="159"/>
      <c r="BP305" s="159"/>
      <c r="BQ305" s="159"/>
      <c r="BR305" s="159"/>
      <c r="BS305" s="159"/>
      <c r="BT305" s="160"/>
    </row>
    <row r="306" spans="1:72" x14ac:dyDescent="0.25">
      <c r="A306" s="159" t="s">
        <v>42</v>
      </c>
      <c r="B306" s="160"/>
      <c r="C306" s="160"/>
      <c r="D306" s="159"/>
      <c r="E306" s="159"/>
      <c r="F306" s="159"/>
      <c r="G306" s="159"/>
      <c r="H306" s="159" t="s">
        <v>52</v>
      </c>
      <c r="I306" s="159"/>
      <c r="J306" s="159"/>
      <c r="K306" s="159"/>
      <c r="L306" s="159"/>
      <c r="M306" s="159"/>
      <c r="N306" s="159"/>
      <c r="O306" s="159"/>
      <c r="P306" s="159" t="str">
        <f t="shared" si="1371"/>
        <v>This information should not be considered as binding in any way, regarding any future losses submitted by the Reinsured.</v>
      </c>
      <c r="Q306" s="159"/>
      <c r="R306" s="159"/>
      <c r="S306" s="159"/>
      <c r="T306" s="159"/>
      <c r="U306" s="159"/>
      <c r="V306" s="159"/>
      <c r="W306" s="159"/>
      <c r="X306" s="159" t="str">
        <f>$H306</f>
        <v>This information should not be considered as binding in any way, regarding any future losses submitted by the Reinsured.</v>
      </c>
      <c r="Y306" s="159"/>
      <c r="Z306" s="159"/>
      <c r="AA306" s="159"/>
      <c r="AB306" s="159"/>
      <c r="AC306" s="159"/>
      <c r="AD306" s="159"/>
      <c r="AE306" s="159"/>
      <c r="AF306" s="159" t="str">
        <f>$H306</f>
        <v>This information should not be considered as binding in any way, regarding any future losses submitted by the Reinsured.</v>
      </c>
      <c r="AG306" s="159"/>
      <c r="AH306" s="159"/>
      <c r="AI306" s="159"/>
      <c r="AJ306" s="159"/>
      <c r="AK306" s="159"/>
      <c r="AL306" s="159"/>
      <c r="AM306" s="159"/>
      <c r="AN306" s="159" t="str">
        <f>$H306</f>
        <v>This information should not be considered as binding in any way, regarding any future losses submitted by the Reinsured.</v>
      </c>
      <c r="AO306" s="159"/>
      <c r="AP306" s="159"/>
      <c r="AQ306" s="159"/>
      <c r="AR306" s="159"/>
      <c r="AS306" s="159"/>
      <c r="AT306" s="159"/>
      <c r="AU306" s="159"/>
      <c r="AV306" s="159" t="str">
        <f>$H306</f>
        <v>This information should not be considered as binding in any way, regarding any future losses submitted by the Reinsured.</v>
      </c>
      <c r="AW306" s="159"/>
      <c r="AX306" s="159"/>
      <c r="AY306" s="159"/>
      <c r="AZ306" s="159"/>
      <c r="BA306" s="159"/>
      <c r="BB306" s="159"/>
      <c r="BC306" s="159"/>
      <c r="BD306" s="159" t="str">
        <f>$H306</f>
        <v>This information should not be considered as binding in any way, regarding any future losses submitted by the Reinsured.</v>
      </c>
      <c r="BE306" s="159"/>
      <c r="BF306" s="159"/>
      <c r="BG306" s="159"/>
      <c r="BH306" s="159"/>
      <c r="BI306" s="159"/>
      <c r="BJ306" s="159"/>
      <c r="BK306" s="159"/>
      <c r="BL306" s="159" t="str">
        <f>$H306</f>
        <v>This information should not be considered as binding in any way, regarding any future losses submitted by the Reinsured.</v>
      </c>
      <c r="BM306" s="159"/>
      <c r="BN306" s="159"/>
      <c r="BO306" s="159"/>
      <c r="BP306" s="159"/>
      <c r="BQ306" s="159"/>
      <c r="BR306" s="159"/>
      <c r="BS306" s="159"/>
      <c r="BT306" s="160"/>
    </row>
    <row r="307" spans="1:72" x14ac:dyDescent="0.25">
      <c r="A307" s="159" t="s">
        <v>42</v>
      </c>
      <c r="B307" s="160"/>
      <c r="C307" s="160"/>
      <c r="D307" s="159"/>
      <c r="E307" s="159"/>
      <c r="F307" s="159"/>
      <c r="G307" s="159"/>
      <c r="H307" s="159" t="s">
        <v>50</v>
      </c>
      <c r="I307" s="159"/>
      <c r="J307" s="159"/>
      <c r="K307" s="159"/>
      <c r="L307" s="159"/>
      <c r="M307" s="159"/>
      <c r="N307" s="159"/>
      <c r="O307" s="159"/>
      <c r="P307" s="159" t="str">
        <f t="shared" si="1371"/>
        <v/>
      </c>
      <c r="Q307" s="159"/>
      <c r="R307" s="159"/>
      <c r="S307" s="159"/>
      <c r="T307" s="159"/>
      <c r="U307" s="159"/>
      <c r="V307" s="159"/>
      <c r="W307" s="159"/>
      <c r="X307" s="159" t="str">
        <f t="shared" ref="X307:X309" si="1372">$H307</f>
        <v/>
      </c>
      <c r="Y307" s="159"/>
      <c r="Z307" s="159"/>
      <c r="AA307" s="159"/>
      <c r="AB307" s="159"/>
      <c r="AC307" s="159"/>
      <c r="AD307" s="159"/>
      <c r="AE307" s="159"/>
      <c r="AF307" s="159" t="str">
        <f t="shared" ref="AF307:AF309" si="1373">$H307</f>
        <v/>
      </c>
      <c r="AG307" s="159"/>
      <c r="AH307" s="159"/>
      <c r="AI307" s="159"/>
      <c r="AJ307" s="159"/>
      <c r="AK307" s="159"/>
      <c r="AL307" s="159"/>
      <c r="AM307" s="159"/>
      <c r="AN307" s="159" t="str">
        <f t="shared" ref="AN307:AN309" si="1374">$H307</f>
        <v/>
      </c>
      <c r="AO307" s="159"/>
      <c r="AP307" s="159"/>
      <c r="AQ307" s="159"/>
      <c r="AR307" s="159"/>
      <c r="AS307" s="159"/>
      <c r="AT307" s="159"/>
      <c r="AU307" s="159"/>
      <c r="AV307" s="159" t="str">
        <f t="shared" ref="AV307:AV309" si="1375">$H307</f>
        <v/>
      </c>
      <c r="AW307" s="159"/>
      <c r="AX307" s="159"/>
      <c r="AY307" s="159"/>
      <c r="AZ307" s="159"/>
      <c r="BA307" s="159"/>
      <c r="BB307" s="159"/>
      <c r="BC307" s="159"/>
      <c r="BD307" s="159" t="str">
        <f t="shared" ref="BD307:BD309" si="1376">$H307</f>
        <v/>
      </c>
      <c r="BE307" s="159"/>
      <c r="BF307" s="159"/>
      <c r="BG307" s="159"/>
      <c r="BH307" s="159"/>
      <c r="BI307" s="159"/>
      <c r="BJ307" s="159"/>
      <c r="BK307" s="159"/>
      <c r="BL307" s="159" t="str">
        <f t="shared" ref="BL307:BL309" si="1377">$H307</f>
        <v/>
      </c>
      <c r="BM307" s="159"/>
      <c r="BN307" s="159"/>
      <c r="BO307" s="159"/>
      <c r="BP307" s="159"/>
      <c r="BQ307" s="159"/>
      <c r="BR307" s="159"/>
      <c r="BS307" s="159"/>
      <c r="BT307" s="160"/>
    </row>
    <row r="308" spans="1:72" x14ac:dyDescent="0.25">
      <c r="A308" s="159" t="s">
        <v>42</v>
      </c>
      <c r="B308" s="160"/>
      <c r="C308" s="160"/>
      <c r="D308" s="159"/>
      <c r="E308" s="159"/>
      <c r="F308" s="159"/>
      <c r="G308" s="159"/>
      <c r="H308" s="159" t="s">
        <v>50</v>
      </c>
      <c r="I308" s="159"/>
      <c r="J308" s="159"/>
      <c r="K308" s="159"/>
      <c r="L308" s="159"/>
      <c r="M308" s="159"/>
      <c r="N308" s="159"/>
      <c r="O308" s="159"/>
      <c r="P308" s="159" t="str">
        <f t="shared" si="1371"/>
        <v/>
      </c>
      <c r="Q308" s="159"/>
      <c r="R308" s="159"/>
      <c r="S308" s="159"/>
      <c r="T308" s="159"/>
      <c r="U308" s="159"/>
      <c r="V308" s="159"/>
      <c r="W308" s="159"/>
      <c r="X308" s="159" t="str">
        <f t="shared" si="1372"/>
        <v/>
      </c>
      <c r="Y308" s="159"/>
      <c r="Z308" s="159"/>
      <c r="AA308" s="159"/>
      <c r="AB308" s="159"/>
      <c r="AC308" s="159"/>
      <c r="AD308" s="159"/>
      <c r="AE308" s="159"/>
      <c r="AF308" s="159" t="str">
        <f t="shared" si="1373"/>
        <v/>
      </c>
      <c r="AG308" s="159"/>
      <c r="AH308" s="159"/>
      <c r="AI308" s="159"/>
      <c r="AJ308" s="159"/>
      <c r="AK308" s="159"/>
      <c r="AL308" s="159"/>
      <c r="AM308" s="159"/>
      <c r="AN308" s="159" t="str">
        <f t="shared" si="1374"/>
        <v/>
      </c>
      <c r="AO308" s="159"/>
      <c r="AP308" s="159"/>
      <c r="AQ308" s="159"/>
      <c r="AR308" s="159"/>
      <c r="AS308" s="159"/>
      <c r="AT308" s="159"/>
      <c r="AU308" s="159"/>
      <c r="AV308" s="159" t="str">
        <f t="shared" si="1375"/>
        <v/>
      </c>
      <c r="AW308" s="159"/>
      <c r="AX308" s="159"/>
      <c r="AY308" s="159"/>
      <c r="AZ308" s="159"/>
      <c r="BA308" s="159"/>
      <c r="BB308" s="159"/>
      <c r="BC308" s="159"/>
      <c r="BD308" s="159" t="str">
        <f t="shared" si="1376"/>
        <v/>
      </c>
      <c r="BE308" s="159"/>
      <c r="BF308" s="159"/>
      <c r="BG308" s="159"/>
      <c r="BH308" s="159"/>
      <c r="BI308" s="159"/>
      <c r="BJ308" s="159"/>
      <c r="BK308" s="159"/>
      <c r="BL308" s="159" t="str">
        <f t="shared" si="1377"/>
        <v/>
      </c>
      <c r="BM308" s="159"/>
      <c r="BN308" s="159"/>
      <c r="BO308" s="159"/>
      <c r="BP308" s="159"/>
      <c r="BQ308" s="159"/>
      <c r="BR308" s="159"/>
      <c r="BS308" s="159"/>
      <c r="BT308" s="160"/>
    </row>
    <row r="309" spans="1:72" x14ac:dyDescent="0.25">
      <c r="A309" s="159" t="s">
        <v>42</v>
      </c>
      <c r="B309" s="160"/>
      <c r="C309" s="160"/>
      <c r="D309" s="159"/>
      <c r="E309" s="159"/>
      <c r="F309" s="159"/>
      <c r="G309" s="159"/>
      <c r="H309" s="159" t="s">
        <v>50</v>
      </c>
      <c r="I309" s="159"/>
      <c r="J309" s="159"/>
      <c r="K309" s="159"/>
      <c r="L309" s="159"/>
      <c r="M309" s="159"/>
      <c r="N309" s="159"/>
      <c r="O309" s="159"/>
      <c r="P309" s="159" t="str">
        <f t="shared" si="1371"/>
        <v/>
      </c>
      <c r="Q309" s="159"/>
      <c r="R309" s="159"/>
      <c r="S309" s="159"/>
      <c r="T309" s="159"/>
      <c r="U309" s="159"/>
      <c r="V309" s="159"/>
      <c r="W309" s="159"/>
      <c r="X309" s="159" t="str">
        <f t="shared" si="1372"/>
        <v/>
      </c>
      <c r="Y309" s="159"/>
      <c r="Z309" s="159"/>
      <c r="AA309" s="159"/>
      <c r="AB309" s="159"/>
      <c r="AC309" s="159"/>
      <c r="AD309" s="159"/>
      <c r="AE309" s="159"/>
      <c r="AF309" s="159" t="str">
        <f t="shared" si="1373"/>
        <v/>
      </c>
      <c r="AG309" s="159"/>
      <c r="AH309" s="159"/>
      <c r="AI309" s="159"/>
      <c r="AJ309" s="159"/>
      <c r="AK309" s="159"/>
      <c r="AL309" s="159"/>
      <c r="AM309" s="159"/>
      <c r="AN309" s="159" t="str">
        <f t="shared" si="1374"/>
        <v/>
      </c>
      <c r="AO309" s="159"/>
      <c r="AP309" s="159"/>
      <c r="AQ309" s="159"/>
      <c r="AR309" s="159"/>
      <c r="AS309" s="159"/>
      <c r="AT309" s="159"/>
      <c r="AU309" s="159"/>
      <c r="AV309" s="159" t="str">
        <f t="shared" si="1375"/>
        <v/>
      </c>
      <c r="AW309" s="159"/>
      <c r="AX309" s="159"/>
      <c r="AY309" s="159"/>
      <c r="AZ309" s="159"/>
      <c r="BA309" s="159"/>
      <c r="BB309" s="159"/>
      <c r="BC309" s="159"/>
      <c r="BD309" s="159" t="str">
        <f t="shared" si="1376"/>
        <v/>
      </c>
      <c r="BE309" s="159"/>
      <c r="BF309" s="159"/>
      <c r="BG309" s="159"/>
      <c r="BH309" s="159"/>
      <c r="BI309" s="159"/>
      <c r="BJ309" s="159"/>
      <c r="BK309" s="159"/>
      <c r="BL309" s="159" t="str">
        <f t="shared" si="1377"/>
        <v/>
      </c>
      <c r="BM309" s="159"/>
      <c r="BN309" s="159"/>
      <c r="BO309" s="159"/>
      <c r="BP309" s="159"/>
      <c r="BQ309" s="159"/>
      <c r="BR309" s="159"/>
      <c r="BS309" s="159"/>
      <c r="BT309" s="160"/>
    </row>
  </sheetData>
  <autoFilter ref="A13:BS221" xr:uid="{00000000-0009-0000-0000-000007000000}"/>
  <conditionalFormatting sqref="A113:C162 A182:C221 A14:C93">
    <cfRule type="expression" dxfId="27" priority="24">
      <formula>SEARCH("Error",$A14,1)&gt;0</formula>
    </cfRule>
  </conditionalFormatting>
  <conditionalFormatting sqref="H95:BS100 BD101:BG101 AV101:AY101 AN101:AQ101 AF101:AI101 X101:AA101 P101:S101 H101:K101 BL101:BO101">
    <cfRule type="expression" dxfId="26" priority="19">
      <formula>ISBLANK(H95)</formula>
    </cfRule>
  </conditionalFormatting>
  <conditionalFormatting sqref="F113:F162 F14:F93 F182:F221">
    <cfRule type="duplicateValues" dxfId="25" priority="12"/>
  </conditionalFormatting>
  <conditionalFormatting sqref="A14:BS93 A182:BS221 A113:BS162">
    <cfRule type="expression" dxfId="24" priority="11">
      <formula>$F14=""</formula>
    </cfRule>
    <cfRule type="expression" dxfId="23" priority="25" stopIfTrue="1">
      <formula>EVEN((SUBTOTAL(3,$A$14:$A14)))=SUBTOTAL(3,$A$14:$A14)</formula>
    </cfRule>
  </conditionalFormatting>
  <conditionalFormatting sqref="A7:E7">
    <cfRule type="expression" dxfId="22" priority="10">
      <formula>COUNTA($A$14:$A$222)=SUBTOTAL(3,$A$14:$A$222)</formula>
    </cfRule>
  </conditionalFormatting>
  <conditionalFormatting sqref="BQ12 BI12 BE12 BA12 AW12 AS12 AO12 AK12 AG12 AC12 U12 Q12 M12 Y12 I12 BM12">
    <cfRule type="expression" dxfId="21" priority="22">
      <formula>I12=OFFSET(I12,0,-1)=FALSE</formula>
    </cfRule>
  </conditionalFormatting>
  <conditionalFormatting sqref="H12 L12 P12 T12 X12 AB12 AF12 AJ12 AN12 AR12 AV12 AZ12 BD12 BH12 BL12 BP12">
    <cfRule type="expression" dxfId="20" priority="23">
      <formula>H12=OFFSET(H12,0,1)=FALSE</formula>
    </cfRule>
  </conditionalFormatting>
  <conditionalFormatting sqref="A14:BS93 A113:BS162 A182:BS221">
    <cfRule type="expression" dxfId="19" priority="21">
      <formula>ISBLANK(A14)</formula>
    </cfRule>
  </conditionalFormatting>
  <conditionalFormatting sqref="J102:J110 N102:N110 R102:R110 V102:V110 Z102:Z110 AD102:AD110 AH102:AH110 AL102:AL110 AP102:AP110 AT102:AT110 AX102:AX110 BB102:BB110 BF102:BF110 BJ102:BJ110 BN102:BN110 BR102:BR110 BS102 BO102 BK102 BG102 BC102 AY102 AU102 AQ102 AM102 AI102 AE102 AA102 W102 S102 O102 K102">
    <cfRule type="expression" dxfId="18" priority="18">
      <formula>ISBLANK(J102)</formula>
    </cfRule>
  </conditionalFormatting>
  <conditionalFormatting sqref="J266:J301 K266:K269 O266:O269 S266:S269 V266:W268 Z266:AA268 AD266:AE268 AH266:AI268 AL266:AM268 AP266:AQ268 AT266:AU268 AX266:AY268 BB266:BC268 BF266:BG268 BJ266:BK268 BN266:BO268 BR266:BS268 N266:N301 R266:R301 AD270:AD301 Z270:Z301 V270:V301 AP270:AP301 AL270:AL301 AH270:AH301 BB270:BB301 AX270:AX301 AT270:AT301 BN270:BN301 BJ270:BJ301 BF270:BF301 BR270:BR301">
    <cfRule type="expression" dxfId="17" priority="17">
      <formula>ISBLANK(J266)</formula>
    </cfRule>
  </conditionalFormatting>
  <conditionalFormatting sqref="H242:BS265">
    <cfRule type="expression" dxfId="16" priority="20">
      <formula>ISBLANK(H242)</formula>
    </cfRule>
  </conditionalFormatting>
  <conditionalFormatting sqref="H164:BS169 BD170:BG170 AV170:AY170 AN170:AQ170 AF170:AI170 X170:AA170 P170:S170 H170:K170 BL170:BO170">
    <cfRule type="expression" dxfId="15" priority="16">
      <formula>ISBLANK(H164)</formula>
    </cfRule>
  </conditionalFormatting>
  <conditionalFormatting sqref="J171:J179 N171:N179 R171:R179 V171:V179 Z171:Z179 AD171:AD179 AH171:AH179 AL171:AL179 AP171:AP179 AT171:AT179 AX171:AX179 BB171:BB179 BF171:BF179 BJ171:BJ179 BN171:BN179 BR171:BR179 BS171 BO171 BK171 BG171 BC171 AY171 AU171 AQ171 AM171 AI171 AE171 AA171 W171 S171 O171 K171">
    <cfRule type="expression" dxfId="14" priority="15">
      <formula>ISBLANK(J171)</formula>
    </cfRule>
  </conditionalFormatting>
  <conditionalFormatting sqref="H223:BS228 BD229:BG229 AV229:AY229 AN229:AQ229 AF229:AI229 X229:AA229 P229:S229 H229:K229 BL229:BO229">
    <cfRule type="expression" dxfId="13" priority="14">
      <formula>ISBLANK(H223)</formula>
    </cfRule>
  </conditionalFormatting>
  <conditionalFormatting sqref="J230:J238 N230:N238 R230:R238 V230:V238 Z230:Z238 AD230:AD238 AH230:AH238 AL230:AL238 AP230:AP238 AT230:AT238 AX230:AX238 BB230:BB238 BF230:BF238 BJ230:BJ238 BN230:BN238 BR230:BR238 BS230 BO230 BK230 BG230 BC230 AY230 AU230 AQ230 AM230 AI230 AE230 AA230 W230 S230 O230 K230">
    <cfRule type="expression" dxfId="12" priority="13">
      <formula>ISBLANK(J230)</formula>
    </cfRule>
  </conditionalFormatting>
  <conditionalFormatting sqref="V269:W269 Z269:AA269 AD269:AE269">
    <cfRule type="expression" dxfId="11" priority="9">
      <formula>ISBLANK(V269)</formula>
    </cfRule>
  </conditionalFormatting>
  <conditionalFormatting sqref="AH269:AI269 AL269:AM269 AP269:AQ269">
    <cfRule type="expression" dxfId="10" priority="8">
      <formula>ISBLANK(AH269)</formula>
    </cfRule>
  </conditionalFormatting>
  <conditionalFormatting sqref="AT269:AU269 AX269:AY269 BB269:BC269">
    <cfRule type="expression" dxfId="9" priority="7">
      <formula>ISBLANK(AT269)</formula>
    </cfRule>
  </conditionalFormatting>
  <conditionalFormatting sqref="BF269:BG269 BJ269:BK269 BN269:BO269">
    <cfRule type="expression" dxfId="8" priority="6">
      <formula>ISBLANK(BF269)</formula>
    </cfRule>
  </conditionalFormatting>
  <conditionalFormatting sqref="BR269:BS269">
    <cfRule type="expression" dxfId="7" priority="5">
      <formula>ISBLANK(BR269)</formula>
    </cfRule>
  </conditionalFormatting>
  <pageMargins left="0.27559055118110237" right="0.27559055118110237" top="0.39370078740157483" bottom="0.55118110236220474" header="0.27559055118110237" footer="0.27559055118110237"/>
  <pageSetup paperSize="9" scale="70" fitToWidth="0" orientation="portrait" r:id="rId1"/>
  <headerFooter scaleWithDoc="0">
    <oddFooter>&amp;L&amp;"Arial,Fett"&amp;6&amp;A&amp;"Arial,Standard" | &amp;F
&amp;Z&amp;10
 &amp;R&amp;"Calibri,Regular"&amp;G</oddFooter>
  </headerFooter>
  <rowBreaks count="3" manualBreakCount="3">
    <brk id="111" min="5" max="127" man="1"/>
    <brk id="180" min="5" max="127" man="1"/>
    <brk id="240" min="5" max="127" man="1"/>
  </rowBreaks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26B9-71C4-430F-BD03-F645731956AE}">
  <dimension ref="A1:Q149"/>
  <sheetViews>
    <sheetView tabSelected="1" topLeftCell="F116" workbookViewId="0">
      <selection activeCell="O19" sqref="O19"/>
    </sheetView>
  </sheetViews>
  <sheetFormatPr defaultColWidth="9.21875" defaultRowHeight="13.2" outlineLevelRow="1" outlineLevelCol="1" x14ac:dyDescent="0.25"/>
  <cols>
    <col min="1" max="1" width="10.44140625" style="126" hidden="1" customWidth="1" outlineLevel="1"/>
    <col min="2" max="3" width="12.5546875" style="126" hidden="1" customWidth="1" outlineLevel="1"/>
    <col min="4" max="5" width="10.44140625" style="127" hidden="1" customWidth="1" outlineLevel="1"/>
    <col min="6" max="6" width="32.77734375" style="48" customWidth="1" collapsed="1"/>
    <col min="7" max="7" width="5.44140625" style="38" customWidth="1"/>
    <col min="8" max="16" width="14.5546875" style="136" customWidth="1"/>
    <col min="17" max="17" width="9.21875" style="46"/>
  </cols>
  <sheetData>
    <row r="1" spans="1:17" x14ac:dyDescent="0.25">
      <c r="A1" s="1"/>
      <c r="B1" s="1"/>
      <c r="C1" s="1"/>
      <c r="D1" s="1"/>
      <c r="E1" s="1"/>
      <c r="F1" s="2" t="s">
        <v>44</v>
      </c>
      <c r="G1" s="3"/>
      <c r="H1" s="4"/>
      <c r="I1" s="4"/>
      <c r="J1" s="6"/>
      <c r="K1" s="6"/>
      <c r="L1" s="6"/>
      <c r="M1" s="6"/>
      <c r="N1" s="6"/>
      <c r="O1" s="6"/>
      <c r="P1" s="6"/>
      <c r="Q1" s="6"/>
    </row>
    <row r="2" spans="1:17" ht="15" x14ac:dyDescent="0.25">
      <c r="A2" s="8"/>
      <c r="B2" s="8"/>
      <c r="C2" s="8"/>
      <c r="D2" s="8"/>
      <c r="E2" s="8"/>
      <c r="F2" s="9" t="s">
        <v>45</v>
      </c>
      <c r="G2" s="10"/>
      <c r="H2" s="11"/>
      <c r="I2" s="11"/>
      <c r="J2" s="11"/>
      <c r="K2" s="11"/>
      <c r="L2" s="11"/>
      <c r="M2" s="11"/>
      <c r="N2" s="11"/>
      <c r="O2" s="13"/>
      <c r="P2" s="13"/>
      <c r="Q2" s="13"/>
    </row>
    <row r="3" spans="1:17" x14ac:dyDescent="0.25">
      <c r="A3" s="14"/>
      <c r="B3" s="14"/>
      <c r="C3" s="14"/>
      <c r="D3" s="14"/>
      <c r="E3" s="14"/>
      <c r="F3" s="15" t="s">
        <v>46</v>
      </c>
      <c r="G3" s="3"/>
      <c r="H3" s="4"/>
      <c r="I3" s="4"/>
      <c r="J3" s="6"/>
      <c r="K3" s="6"/>
      <c r="L3" s="6"/>
      <c r="M3" s="6"/>
      <c r="N3" s="6"/>
      <c r="O3" s="6"/>
      <c r="P3" s="6"/>
      <c r="Q3" s="6"/>
    </row>
    <row r="4" spans="1:17" ht="17.399999999999999" x14ac:dyDescent="0.25">
      <c r="A4" s="17"/>
      <c r="B4" s="17"/>
      <c r="C4" s="17"/>
      <c r="D4" s="17"/>
      <c r="E4" s="17"/>
      <c r="F4" s="18" t="s">
        <v>0</v>
      </c>
      <c r="G4" s="19"/>
      <c r="H4" s="20"/>
      <c r="I4" s="20"/>
      <c r="J4" s="22"/>
      <c r="K4" s="22"/>
      <c r="L4" s="22"/>
      <c r="M4" s="22"/>
      <c r="N4" s="22"/>
      <c r="O4" s="22"/>
      <c r="P4" s="22"/>
      <c r="Q4" s="22"/>
    </row>
    <row r="5" spans="1:17" ht="17.399999999999999" x14ac:dyDescent="0.25">
      <c r="A5" s="23"/>
      <c r="B5" s="23"/>
      <c r="C5" s="23"/>
      <c r="D5" s="23"/>
      <c r="E5" s="24" t="s">
        <v>1</v>
      </c>
      <c r="F5" s="9" t="s">
        <v>153</v>
      </c>
      <c r="G5" s="25"/>
      <c r="H5" s="26"/>
      <c r="I5" s="26"/>
      <c r="J5" s="26"/>
      <c r="K5" s="26"/>
      <c r="L5" s="28"/>
      <c r="M5" s="28"/>
      <c r="N5" s="28"/>
      <c r="O5" s="28"/>
      <c r="P5" s="28"/>
      <c r="Q5" s="28"/>
    </row>
    <row r="6" spans="1:17" ht="22.8" x14ac:dyDescent="0.25">
      <c r="A6" s="29"/>
      <c r="B6" s="29"/>
      <c r="C6" s="29"/>
      <c r="D6" s="29"/>
      <c r="E6" s="30" t="s">
        <v>2</v>
      </c>
      <c r="F6" s="31" t="s">
        <v>47</v>
      </c>
      <c r="G6" s="32"/>
      <c r="H6" s="33"/>
      <c r="I6" s="33"/>
      <c r="J6" s="33"/>
      <c r="K6" s="33"/>
      <c r="L6" s="33"/>
      <c r="M6" s="33"/>
      <c r="N6" s="33"/>
      <c r="O6" s="33"/>
      <c r="P6" s="33"/>
      <c r="Q6" s="34"/>
    </row>
    <row r="7" spans="1:17" x14ac:dyDescent="0.25">
      <c r="A7" s="35"/>
      <c r="B7" s="35"/>
      <c r="C7" s="35"/>
      <c r="D7" s="35"/>
      <c r="E7" s="36" t="s">
        <v>154</v>
      </c>
      <c r="F7" s="37" t="s">
        <v>43</v>
      </c>
      <c r="H7" s="40"/>
      <c r="I7" s="40"/>
      <c r="J7" s="40"/>
      <c r="K7" s="40"/>
      <c r="L7" s="40"/>
      <c r="M7" s="40"/>
      <c r="N7" s="40"/>
      <c r="O7" s="40"/>
      <c r="P7" s="43">
        <v>185000000</v>
      </c>
    </row>
    <row r="8" spans="1:17" x14ac:dyDescent="0.25">
      <c r="A8" s="47"/>
      <c r="B8" s="47"/>
      <c r="C8" s="47"/>
      <c r="D8" s="47"/>
      <c r="E8" s="47"/>
      <c r="H8" s="40"/>
      <c r="I8" s="40"/>
      <c r="J8" s="40"/>
      <c r="K8" s="40"/>
      <c r="L8" s="40"/>
      <c r="M8" s="40"/>
      <c r="N8" s="40"/>
      <c r="O8" s="40"/>
      <c r="P8" s="50">
        <v>15000000</v>
      </c>
    </row>
    <row r="9" spans="1:17" x14ac:dyDescent="0.25">
      <c r="A9" s="51" t="s">
        <v>3</v>
      </c>
      <c r="B9" s="51" t="s">
        <v>155</v>
      </c>
      <c r="C9" s="51" t="s">
        <v>156</v>
      </c>
      <c r="D9" s="51">
        <v>44127</v>
      </c>
      <c r="E9" s="51">
        <v>44496</v>
      </c>
      <c r="F9" s="52" t="s">
        <v>53</v>
      </c>
      <c r="G9" s="53"/>
      <c r="H9" s="55">
        <v>44496</v>
      </c>
      <c r="I9" s="55">
        <v>44496</v>
      </c>
      <c r="J9" s="55">
        <v>44496</v>
      </c>
      <c r="K9" s="55">
        <v>44496</v>
      </c>
      <c r="L9" s="55">
        <v>44496</v>
      </c>
      <c r="M9" s="55">
        <v>44496</v>
      </c>
      <c r="N9" s="55">
        <v>44496</v>
      </c>
      <c r="O9" s="55">
        <v>44496</v>
      </c>
      <c r="P9" s="55">
        <v>44496</v>
      </c>
      <c r="Q9"/>
    </row>
    <row r="10" spans="1:17" x14ac:dyDescent="0.25">
      <c r="A10" s="58"/>
      <c r="B10" s="58" t="s">
        <v>4</v>
      </c>
      <c r="C10" s="58" t="s">
        <v>5</v>
      </c>
      <c r="D10" s="58">
        <v>44127</v>
      </c>
      <c r="E10" s="58">
        <v>44496</v>
      </c>
      <c r="F10" s="52"/>
      <c r="G10" s="53"/>
      <c r="H10" s="60">
        <v>44496</v>
      </c>
      <c r="I10" s="60">
        <v>44496</v>
      </c>
      <c r="J10" s="60">
        <v>44496</v>
      </c>
      <c r="K10" s="60">
        <v>44496</v>
      </c>
      <c r="L10" s="60">
        <v>44496</v>
      </c>
      <c r="M10" s="60">
        <v>44496</v>
      </c>
      <c r="N10" s="60">
        <v>44496</v>
      </c>
      <c r="O10" s="60">
        <v>44496</v>
      </c>
      <c r="P10" s="60">
        <v>44496</v>
      </c>
      <c r="Q10"/>
    </row>
    <row r="11" spans="1:17" hidden="1" outlineLevel="1" x14ac:dyDescent="0.25">
      <c r="A11" s="63"/>
      <c r="B11" s="63" t="s">
        <v>6</v>
      </c>
      <c r="C11" s="63" t="s">
        <v>6</v>
      </c>
      <c r="D11" s="63" t="s">
        <v>6</v>
      </c>
      <c r="E11" s="63" t="s">
        <v>6</v>
      </c>
      <c r="F11" s="64"/>
      <c r="G11" s="65"/>
      <c r="H11" s="67"/>
      <c r="I11" s="67"/>
      <c r="J11" s="67"/>
      <c r="K11" s="67"/>
      <c r="L11" s="67"/>
      <c r="M11" s="67"/>
      <c r="N11" s="67"/>
      <c r="O11" s="67"/>
      <c r="P11" s="67"/>
      <c r="Q11"/>
    </row>
    <row r="12" spans="1:17" ht="15.75" customHeight="1" collapsed="1" x14ac:dyDescent="0.25">
      <c r="A12" s="70" t="s">
        <v>7</v>
      </c>
      <c r="B12" s="71" t="s">
        <v>8</v>
      </c>
      <c r="C12" s="71" t="s">
        <v>8</v>
      </c>
      <c r="D12" s="72" t="s">
        <v>8</v>
      </c>
      <c r="E12" s="72" t="s">
        <v>8</v>
      </c>
      <c r="F12" s="73" t="s">
        <v>9</v>
      </c>
      <c r="G12" s="74" t="s">
        <v>10</v>
      </c>
      <c r="H12" s="76">
        <v>250000000</v>
      </c>
      <c r="I12" s="76">
        <v>500000000</v>
      </c>
      <c r="J12" s="76">
        <v>750000000</v>
      </c>
      <c r="K12" s="76">
        <v>1000000000</v>
      </c>
      <c r="L12" s="76">
        <v>1500000000</v>
      </c>
      <c r="M12" s="76">
        <v>2000000000</v>
      </c>
      <c r="N12" s="76">
        <v>2500000000</v>
      </c>
      <c r="O12" s="76">
        <v>3000000000</v>
      </c>
      <c r="P12" s="76">
        <v>3000000000</v>
      </c>
      <c r="Q12"/>
    </row>
    <row r="13" spans="1:17" ht="40.799999999999997" hidden="1" outlineLevel="1" x14ac:dyDescent="0.25">
      <c r="A13" s="78" t="s">
        <v>7</v>
      </c>
      <c r="B13" s="79" t="s">
        <v>157</v>
      </c>
      <c r="C13" s="79" t="s">
        <v>158</v>
      </c>
      <c r="D13" s="80" t="s">
        <v>159</v>
      </c>
      <c r="E13" s="80" t="s">
        <v>160</v>
      </c>
      <c r="F13" s="81" t="s">
        <v>9</v>
      </c>
      <c r="G13" s="82" t="s">
        <v>10</v>
      </c>
      <c r="H13" s="80" t="s">
        <v>161</v>
      </c>
      <c r="I13" s="80" t="s">
        <v>162</v>
      </c>
      <c r="J13" s="80" t="s">
        <v>163</v>
      </c>
      <c r="K13" s="80" t="s">
        <v>164</v>
      </c>
      <c r="L13" s="80" t="s">
        <v>165</v>
      </c>
      <c r="M13" s="80" t="s">
        <v>166</v>
      </c>
      <c r="N13" s="80" t="s">
        <v>167</v>
      </c>
      <c r="O13" s="80" t="s">
        <v>168</v>
      </c>
      <c r="P13" s="83" t="s">
        <v>169</v>
      </c>
      <c r="Q13" s="84"/>
    </row>
    <row r="14" spans="1:17" collapsed="1" x14ac:dyDescent="0.25">
      <c r="A14" s="85">
        <v>14</v>
      </c>
      <c r="B14" s="85">
        <v>1</v>
      </c>
      <c r="C14" s="85">
        <v>1</v>
      </c>
      <c r="D14" s="86">
        <v>1</v>
      </c>
      <c r="E14" s="86">
        <v>1</v>
      </c>
      <c r="F14" s="48" t="s">
        <v>55</v>
      </c>
      <c r="G14" s="38" t="s">
        <v>17</v>
      </c>
      <c r="H14" s="87">
        <v>9264252.9970000014</v>
      </c>
      <c r="I14" s="87">
        <v>24080829.658100009</v>
      </c>
      <c r="J14" s="87">
        <v>38372251.535900004</v>
      </c>
      <c r="K14" s="87">
        <v>43228105.0132</v>
      </c>
      <c r="L14" s="87">
        <v>43228105.0132</v>
      </c>
      <c r="M14" s="87">
        <v>43228105.0132</v>
      </c>
      <c r="N14" s="87">
        <v>43228105.0132</v>
      </c>
      <c r="O14" s="87">
        <v>43228105.013200007</v>
      </c>
      <c r="P14" s="87">
        <v>28228105.013200007</v>
      </c>
      <c r="Q14" s="46" t="s">
        <v>13</v>
      </c>
    </row>
    <row r="15" spans="1:17" x14ac:dyDescent="0.25">
      <c r="A15" s="89">
        <v>15</v>
      </c>
      <c r="B15" s="89">
        <v>1</v>
      </c>
      <c r="C15" s="89">
        <v>1</v>
      </c>
      <c r="D15" s="90">
        <v>1</v>
      </c>
      <c r="E15" s="90">
        <v>1</v>
      </c>
      <c r="F15" s="48" t="s">
        <v>56</v>
      </c>
      <c r="G15" s="38" t="s">
        <v>17</v>
      </c>
      <c r="H15" s="87">
        <v>3346683.4791999999</v>
      </c>
      <c r="I15" s="87">
        <v>11689648.6413</v>
      </c>
      <c r="J15" s="87">
        <v>23326581.529799998</v>
      </c>
      <c r="K15" s="87">
        <v>35076703.776799992</v>
      </c>
      <c r="L15" s="87">
        <v>56019708.662799969</v>
      </c>
      <c r="M15" s="87">
        <v>59113934.213800021</v>
      </c>
      <c r="N15" s="87">
        <v>60601923.844299994</v>
      </c>
      <c r="O15" s="87">
        <v>60601923.844299994</v>
      </c>
      <c r="P15" s="87">
        <v>45601923.844299994</v>
      </c>
      <c r="Q15" s="46" t="s">
        <v>13</v>
      </c>
    </row>
    <row r="16" spans="1:17" x14ac:dyDescent="0.25">
      <c r="A16" s="89">
        <v>16</v>
      </c>
      <c r="B16" s="89">
        <v>1</v>
      </c>
      <c r="C16" s="89">
        <v>1</v>
      </c>
      <c r="D16" s="90">
        <v>1</v>
      </c>
      <c r="E16" s="90">
        <v>1</v>
      </c>
      <c r="F16" s="48" t="s">
        <v>57</v>
      </c>
      <c r="G16" s="38" t="s">
        <v>17</v>
      </c>
      <c r="H16" s="87">
        <v>2516432.9449</v>
      </c>
      <c r="I16" s="87">
        <v>12001620.415100003</v>
      </c>
      <c r="J16" s="87">
        <v>22483076.588100001</v>
      </c>
      <c r="K16" s="87">
        <v>32617200.8816</v>
      </c>
      <c r="L16" s="87">
        <v>54680581.243199989</v>
      </c>
      <c r="M16" s="87">
        <v>69119497.851399973</v>
      </c>
      <c r="N16" s="87">
        <v>69184058.310499981</v>
      </c>
      <c r="O16" s="87">
        <v>69184058.310499996</v>
      </c>
      <c r="P16" s="87">
        <v>54184058.310499996</v>
      </c>
      <c r="Q16" s="46" t="s">
        <v>13</v>
      </c>
    </row>
    <row r="17" spans="1:17" x14ac:dyDescent="0.25">
      <c r="A17" s="89">
        <v>17</v>
      </c>
      <c r="B17" s="89">
        <v>1</v>
      </c>
      <c r="C17" s="89">
        <v>1</v>
      </c>
      <c r="D17" s="90">
        <v>1</v>
      </c>
      <c r="E17" s="90">
        <v>1</v>
      </c>
      <c r="F17" s="48" t="s">
        <v>58</v>
      </c>
      <c r="G17" s="38" t="s">
        <v>17</v>
      </c>
      <c r="H17" s="87">
        <v>565356.39610000001</v>
      </c>
      <c r="I17" s="87">
        <v>7063518.5694999993</v>
      </c>
      <c r="J17" s="87">
        <v>15183688.439999999</v>
      </c>
      <c r="K17" s="87">
        <v>23157673.977100004</v>
      </c>
      <c r="L17" s="87">
        <v>42550539.5735</v>
      </c>
      <c r="M17" s="87">
        <v>50609749.876700006</v>
      </c>
      <c r="N17" s="87">
        <v>51893422.190999985</v>
      </c>
      <c r="O17" s="87">
        <v>51893422.191</v>
      </c>
      <c r="P17" s="87">
        <v>36893422.191</v>
      </c>
      <c r="Q17" s="46" t="s">
        <v>13</v>
      </c>
    </row>
    <row r="18" spans="1:17" x14ac:dyDescent="0.25">
      <c r="A18" s="89">
        <v>18</v>
      </c>
      <c r="B18" s="89">
        <v>1</v>
      </c>
      <c r="C18" s="89">
        <v>1</v>
      </c>
      <c r="D18" s="90">
        <v>1</v>
      </c>
      <c r="E18" s="90">
        <v>1</v>
      </c>
      <c r="F18" s="48" t="s">
        <v>59</v>
      </c>
      <c r="G18" s="38" t="s">
        <v>17</v>
      </c>
      <c r="H18" s="87">
        <v>2499597.9005999994</v>
      </c>
      <c r="I18" s="87">
        <v>10752394.999200001</v>
      </c>
      <c r="J18" s="87">
        <v>19365676.125399999</v>
      </c>
      <c r="K18" s="87">
        <v>28446146.759499993</v>
      </c>
      <c r="L18" s="87">
        <v>34348054.932399988</v>
      </c>
      <c r="M18" s="87">
        <v>36525592.639899999</v>
      </c>
      <c r="N18" s="87">
        <v>36604677.002900004</v>
      </c>
      <c r="O18" s="87">
        <v>36604677.002900004</v>
      </c>
      <c r="P18" s="87">
        <v>21604677.002900004</v>
      </c>
      <c r="Q18" s="46" t="s">
        <v>13</v>
      </c>
    </row>
    <row r="19" spans="1:17" x14ac:dyDescent="0.25">
      <c r="A19" s="89">
        <v>19</v>
      </c>
      <c r="B19" s="89">
        <v>1</v>
      </c>
      <c r="C19" s="89">
        <v>1</v>
      </c>
      <c r="D19" s="90">
        <v>1</v>
      </c>
      <c r="E19" s="90">
        <v>1</v>
      </c>
      <c r="F19" s="48" t="s">
        <v>60</v>
      </c>
      <c r="G19" s="38" t="s">
        <v>17</v>
      </c>
      <c r="H19" s="87">
        <v>2694437.2246000003</v>
      </c>
      <c r="I19" s="87">
        <v>10327162.021000002</v>
      </c>
      <c r="J19" s="87">
        <v>20169591.053500004</v>
      </c>
      <c r="K19" s="87">
        <v>30302546.465899996</v>
      </c>
      <c r="L19" s="87">
        <v>37567636.26690001</v>
      </c>
      <c r="M19" s="87">
        <v>38589832.731400013</v>
      </c>
      <c r="N19" s="87">
        <v>38589832.731400013</v>
      </c>
      <c r="O19" s="87">
        <v>38589832.731400013</v>
      </c>
      <c r="P19" s="87">
        <v>23589832.731400013</v>
      </c>
      <c r="Q19" s="46" t="s">
        <v>13</v>
      </c>
    </row>
    <row r="20" spans="1:17" x14ac:dyDescent="0.25">
      <c r="A20" s="89">
        <v>20</v>
      </c>
      <c r="B20" s="89">
        <v>1</v>
      </c>
      <c r="C20" s="89">
        <v>1</v>
      </c>
      <c r="D20" s="90">
        <v>1</v>
      </c>
      <c r="E20" s="90">
        <v>1</v>
      </c>
      <c r="F20" s="48" t="s">
        <v>61</v>
      </c>
      <c r="G20" s="38" t="s">
        <v>17</v>
      </c>
      <c r="H20" s="87">
        <v>2775399.8767999997</v>
      </c>
      <c r="I20" s="87">
        <v>11377316.9878</v>
      </c>
      <c r="J20" s="87">
        <v>22269840.577800002</v>
      </c>
      <c r="K20" s="87">
        <v>33745867.413099997</v>
      </c>
      <c r="L20" s="87">
        <v>60049166.268399999</v>
      </c>
      <c r="M20" s="87">
        <v>84774524.635300025</v>
      </c>
      <c r="N20" s="87">
        <v>88177665.556499988</v>
      </c>
      <c r="O20" s="87">
        <v>88293801.604399994</v>
      </c>
      <c r="P20" s="87">
        <v>73293801.604399994</v>
      </c>
      <c r="Q20" s="46" t="s">
        <v>13</v>
      </c>
    </row>
    <row r="21" spans="1:17" x14ac:dyDescent="0.25">
      <c r="A21" s="89">
        <v>21</v>
      </c>
      <c r="B21" s="89">
        <v>1</v>
      </c>
      <c r="C21" s="89">
        <v>1</v>
      </c>
      <c r="D21" s="90">
        <v>1</v>
      </c>
      <c r="E21" s="90">
        <v>1</v>
      </c>
      <c r="F21" s="48" t="s">
        <v>62</v>
      </c>
      <c r="G21" s="38" t="s">
        <v>17</v>
      </c>
      <c r="H21" s="87">
        <v>1367701.2284000001</v>
      </c>
      <c r="I21" s="87">
        <v>9835082.0877</v>
      </c>
      <c r="J21" s="87">
        <v>20905646.059800003</v>
      </c>
      <c r="K21" s="87">
        <v>31856474.587100007</v>
      </c>
      <c r="L21" s="87">
        <v>56931481.433699995</v>
      </c>
      <c r="M21" s="87">
        <v>84140496.246900007</v>
      </c>
      <c r="N21" s="87">
        <v>111004435.13650003</v>
      </c>
      <c r="O21" s="87">
        <v>113401447.22860001</v>
      </c>
      <c r="P21" s="87">
        <v>98401447.22860001</v>
      </c>
      <c r="Q21" s="46" t="s">
        <v>13</v>
      </c>
    </row>
    <row r="22" spans="1:17" x14ac:dyDescent="0.25">
      <c r="A22" s="89">
        <v>22</v>
      </c>
      <c r="B22" s="89">
        <v>1</v>
      </c>
      <c r="C22" s="89">
        <v>1</v>
      </c>
      <c r="D22" s="90">
        <v>1</v>
      </c>
      <c r="E22" s="90">
        <v>1</v>
      </c>
      <c r="F22" s="48" t="s">
        <v>63</v>
      </c>
      <c r="G22" s="38" t="s">
        <v>17</v>
      </c>
      <c r="H22" s="87">
        <v>6618832.6292000003</v>
      </c>
      <c r="I22" s="87">
        <v>18371748.844200004</v>
      </c>
      <c r="J22" s="87">
        <v>31123329.978699993</v>
      </c>
      <c r="K22" s="87">
        <v>44791127.226099983</v>
      </c>
      <c r="L22" s="87">
        <v>72366558.811199993</v>
      </c>
      <c r="M22" s="87">
        <v>84108487.123700023</v>
      </c>
      <c r="N22" s="87">
        <v>87305183.308399975</v>
      </c>
      <c r="O22" s="87">
        <v>88919455.398099989</v>
      </c>
      <c r="P22" s="87">
        <v>73919455.398099989</v>
      </c>
      <c r="Q22" s="46" t="s">
        <v>13</v>
      </c>
    </row>
    <row r="23" spans="1:17" x14ac:dyDescent="0.25">
      <c r="A23" s="89">
        <v>23</v>
      </c>
      <c r="B23" s="89">
        <v>1</v>
      </c>
      <c r="C23" s="89">
        <v>1</v>
      </c>
      <c r="D23" s="90">
        <v>1</v>
      </c>
      <c r="E23" s="90">
        <v>1</v>
      </c>
      <c r="F23" s="48" t="s">
        <v>64</v>
      </c>
      <c r="G23" s="38" t="s">
        <v>17</v>
      </c>
      <c r="H23" s="87">
        <v>883455.95770000014</v>
      </c>
      <c r="I23" s="87">
        <v>7756740.7514000013</v>
      </c>
      <c r="J23" s="87">
        <v>18586382.279600002</v>
      </c>
      <c r="K23" s="87">
        <v>28837753.877600003</v>
      </c>
      <c r="L23" s="87">
        <v>53050049.950300008</v>
      </c>
      <c r="M23" s="87">
        <v>79176103.921200007</v>
      </c>
      <c r="N23" s="87">
        <v>102559020.59490001</v>
      </c>
      <c r="O23" s="87">
        <v>103372794.97399998</v>
      </c>
      <c r="P23" s="87">
        <v>88372794.973999977</v>
      </c>
      <c r="Q23" s="46" t="s">
        <v>13</v>
      </c>
    </row>
    <row r="24" spans="1:17" x14ac:dyDescent="0.25">
      <c r="A24" s="89">
        <v>24</v>
      </c>
      <c r="B24" s="89">
        <v>1</v>
      </c>
      <c r="C24" s="89">
        <v>1</v>
      </c>
      <c r="D24" s="90">
        <v>1</v>
      </c>
      <c r="E24" s="90">
        <v>1</v>
      </c>
      <c r="F24" s="48" t="s">
        <v>65</v>
      </c>
      <c r="G24" s="38" t="s">
        <v>17</v>
      </c>
      <c r="H24" s="87">
        <v>3045322.3027000003</v>
      </c>
      <c r="I24" s="87">
        <v>13553440.500399999</v>
      </c>
      <c r="J24" s="87">
        <v>25411475.110600002</v>
      </c>
      <c r="K24" s="87">
        <v>38081578.840700001</v>
      </c>
      <c r="L24" s="87">
        <v>60439667.36209999</v>
      </c>
      <c r="M24" s="87">
        <v>60546139.623799995</v>
      </c>
      <c r="N24" s="87">
        <v>60546139.623800002</v>
      </c>
      <c r="O24" s="87">
        <v>60546139.623800002</v>
      </c>
      <c r="P24" s="87">
        <v>45546139.623800002</v>
      </c>
      <c r="Q24" s="46" t="s">
        <v>13</v>
      </c>
    </row>
    <row r="25" spans="1:17" x14ac:dyDescent="0.25">
      <c r="A25" s="89">
        <v>25</v>
      </c>
      <c r="B25" s="89">
        <v>1</v>
      </c>
      <c r="C25" s="89">
        <v>1</v>
      </c>
      <c r="D25" s="90">
        <v>1</v>
      </c>
      <c r="E25" s="90">
        <v>1</v>
      </c>
      <c r="F25" s="48" t="s">
        <v>66</v>
      </c>
      <c r="G25" s="38" t="s">
        <v>17</v>
      </c>
      <c r="H25" s="87">
        <v>2039073.8112999999</v>
      </c>
      <c r="I25" s="87">
        <v>9955314.3599000014</v>
      </c>
      <c r="J25" s="87">
        <v>19257085.544599991</v>
      </c>
      <c r="K25" s="87">
        <v>29364969.211700004</v>
      </c>
      <c r="L25" s="87">
        <v>53170466.135900028</v>
      </c>
      <c r="M25" s="87">
        <v>73784631.408799991</v>
      </c>
      <c r="N25" s="87">
        <v>88061394.085000008</v>
      </c>
      <c r="O25" s="87">
        <v>89408456.946200013</v>
      </c>
      <c r="P25" s="87">
        <v>74408456.946200013</v>
      </c>
      <c r="Q25" s="46" t="s">
        <v>13</v>
      </c>
    </row>
    <row r="26" spans="1:17" x14ac:dyDescent="0.25">
      <c r="A26" s="89">
        <v>26</v>
      </c>
      <c r="B26" s="89">
        <v>1</v>
      </c>
      <c r="C26" s="89">
        <v>1</v>
      </c>
      <c r="D26" s="90">
        <v>1</v>
      </c>
      <c r="E26" s="90">
        <v>1</v>
      </c>
      <c r="F26" s="48" t="s">
        <v>67</v>
      </c>
      <c r="G26" s="38" t="s">
        <v>17</v>
      </c>
      <c r="H26" s="87">
        <v>1621450.6463000001</v>
      </c>
      <c r="I26" s="87">
        <v>8324536.7502000025</v>
      </c>
      <c r="J26" s="87">
        <v>17067590.008299999</v>
      </c>
      <c r="K26" s="87">
        <v>27576452.587000009</v>
      </c>
      <c r="L26" s="87">
        <v>47330169.8288</v>
      </c>
      <c r="M26" s="87">
        <v>64662913.569499977</v>
      </c>
      <c r="N26" s="87">
        <v>81294002.583199993</v>
      </c>
      <c r="O26" s="87">
        <v>82875651.714399964</v>
      </c>
      <c r="P26" s="87">
        <v>67875651.714399964</v>
      </c>
      <c r="Q26" s="46" t="s">
        <v>13</v>
      </c>
    </row>
    <row r="27" spans="1:17" x14ac:dyDescent="0.25">
      <c r="A27" s="89">
        <v>27</v>
      </c>
      <c r="B27" s="89">
        <v>1</v>
      </c>
      <c r="C27" s="89">
        <v>1</v>
      </c>
      <c r="D27" s="90">
        <v>1</v>
      </c>
      <c r="E27" s="90">
        <v>1</v>
      </c>
      <c r="F27" s="48" t="s">
        <v>68</v>
      </c>
      <c r="G27" s="38" t="s">
        <v>17</v>
      </c>
      <c r="H27" s="87">
        <v>2598523.7464000001</v>
      </c>
      <c r="I27" s="87">
        <v>10212244.6371</v>
      </c>
      <c r="J27" s="87">
        <v>20198324.9595</v>
      </c>
      <c r="K27" s="87">
        <v>29442231.738300003</v>
      </c>
      <c r="L27" s="87">
        <v>44422456.618399993</v>
      </c>
      <c r="M27" s="87">
        <v>46157344.293900006</v>
      </c>
      <c r="N27" s="87">
        <v>46157344.293899998</v>
      </c>
      <c r="O27" s="87">
        <v>46157344.293900013</v>
      </c>
      <c r="P27" s="87">
        <v>31157344.293900013</v>
      </c>
      <c r="Q27" s="46" t="s">
        <v>13</v>
      </c>
    </row>
    <row r="28" spans="1:17" x14ac:dyDescent="0.25">
      <c r="A28" s="89">
        <v>28</v>
      </c>
      <c r="B28" s="89">
        <v>1</v>
      </c>
      <c r="C28" s="89">
        <v>1</v>
      </c>
      <c r="D28" s="90">
        <v>1</v>
      </c>
      <c r="E28" s="90">
        <v>1</v>
      </c>
      <c r="F28" s="48" t="s">
        <v>69</v>
      </c>
      <c r="G28" s="38" t="s">
        <v>17</v>
      </c>
      <c r="H28" s="87">
        <v>3144334.7676999997</v>
      </c>
      <c r="I28" s="87">
        <v>12093955.0276</v>
      </c>
      <c r="J28" s="87">
        <v>23459453.3631</v>
      </c>
      <c r="K28" s="87">
        <v>35110611.021500006</v>
      </c>
      <c r="L28" s="87">
        <v>59014359.041700006</v>
      </c>
      <c r="M28" s="87">
        <v>66752944.525299996</v>
      </c>
      <c r="N28" s="87">
        <v>66752944.525299996</v>
      </c>
      <c r="O28" s="87">
        <v>66752944.525299981</v>
      </c>
      <c r="P28" s="87">
        <v>51752944.525299981</v>
      </c>
      <c r="Q28" s="46" t="s">
        <v>13</v>
      </c>
    </row>
    <row r="29" spans="1:17" x14ac:dyDescent="0.25">
      <c r="A29" s="89">
        <v>29</v>
      </c>
      <c r="B29" s="89">
        <v>1</v>
      </c>
      <c r="C29" s="89">
        <v>1</v>
      </c>
      <c r="D29" s="90">
        <v>1</v>
      </c>
      <c r="E29" s="90">
        <v>1</v>
      </c>
      <c r="F29" s="48" t="s">
        <v>70</v>
      </c>
      <c r="G29" s="38" t="s">
        <v>17</v>
      </c>
      <c r="H29" s="87">
        <v>1959314.0887999998</v>
      </c>
      <c r="I29" s="87">
        <v>9807832.4458999988</v>
      </c>
      <c r="J29" s="87">
        <v>20668309.436500002</v>
      </c>
      <c r="K29" s="87">
        <v>32627934.814199999</v>
      </c>
      <c r="L29" s="87">
        <v>56553276.385700002</v>
      </c>
      <c r="M29" s="87">
        <v>75219251.734199986</v>
      </c>
      <c r="N29" s="87">
        <v>92490870.572899997</v>
      </c>
      <c r="O29" s="87">
        <v>94736326.285299987</v>
      </c>
      <c r="P29" s="87">
        <v>79736326.285299987</v>
      </c>
      <c r="Q29" s="46" t="s">
        <v>13</v>
      </c>
    </row>
    <row r="30" spans="1:17" x14ac:dyDescent="0.25">
      <c r="A30" s="89">
        <v>30</v>
      </c>
      <c r="B30" s="89">
        <v>1</v>
      </c>
      <c r="C30" s="89">
        <v>1</v>
      </c>
      <c r="D30" s="90">
        <v>1</v>
      </c>
      <c r="E30" s="90">
        <v>1</v>
      </c>
      <c r="F30" s="48" t="s">
        <v>71</v>
      </c>
      <c r="G30" s="38" t="s">
        <v>17</v>
      </c>
      <c r="H30" s="87">
        <v>1006527.7545</v>
      </c>
      <c r="I30" s="87">
        <v>7349672.7712000003</v>
      </c>
      <c r="J30" s="87">
        <v>14932436.773800001</v>
      </c>
      <c r="K30" s="87">
        <v>23480084.036400005</v>
      </c>
      <c r="L30" s="87">
        <v>42307093.742799997</v>
      </c>
      <c r="M30" s="87">
        <v>56738212.12250001</v>
      </c>
      <c r="N30" s="87">
        <v>69074757.079699993</v>
      </c>
      <c r="O30" s="87">
        <v>70235192.664700001</v>
      </c>
      <c r="P30" s="87">
        <v>55235192.664700001</v>
      </c>
      <c r="Q30" s="46" t="s">
        <v>13</v>
      </c>
    </row>
    <row r="31" spans="1:17" x14ac:dyDescent="0.25">
      <c r="A31" s="89">
        <v>31</v>
      </c>
      <c r="B31" s="89">
        <v>1</v>
      </c>
      <c r="C31" s="89">
        <v>1</v>
      </c>
      <c r="D31" s="90">
        <v>1</v>
      </c>
      <c r="E31" s="90">
        <v>1</v>
      </c>
      <c r="F31" s="48" t="s">
        <v>72</v>
      </c>
      <c r="G31" s="38" t="s">
        <v>17</v>
      </c>
      <c r="H31" s="87">
        <v>1106072.9131000002</v>
      </c>
      <c r="I31" s="87">
        <v>8325611.6497999998</v>
      </c>
      <c r="J31" s="87">
        <v>17905739.4485</v>
      </c>
      <c r="K31" s="87">
        <v>27699953.760999996</v>
      </c>
      <c r="L31" s="87">
        <v>49695881.753400013</v>
      </c>
      <c r="M31" s="87">
        <v>72794589.484900013</v>
      </c>
      <c r="N31" s="87">
        <v>92760309.86530003</v>
      </c>
      <c r="O31" s="87">
        <v>95059472.210299984</v>
      </c>
      <c r="P31" s="87">
        <v>80059472.210299984</v>
      </c>
      <c r="Q31" s="46" t="s">
        <v>13</v>
      </c>
    </row>
    <row r="32" spans="1:17" x14ac:dyDescent="0.25">
      <c r="A32" s="89">
        <v>32</v>
      </c>
      <c r="B32" s="89">
        <v>1</v>
      </c>
      <c r="C32" s="89">
        <v>1</v>
      </c>
      <c r="D32" s="90">
        <v>1</v>
      </c>
      <c r="E32" s="90">
        <v>1</v>
      </c>
      <c r="F32" s="48" t="s">
        <v>73</v>
      </c>
      <c r="G32" s="38" t="s">
        <v>17</v>
      </c>
      <c r="H32" s="87">
        <v>1323593.6033000001</v>
      </c>
      <c r="I32" s="87">
        <v>8676909.7831999995</v>
      </c>
      <c r="J32" s="87">
        <v>16312054.199199999</v>
      </c>
      <c r="K32" s="87">
        <v>24563529.469299998</v>
      </c>
      <c r="L32" s="87">
        <v>42725516.080600001</v>
      </c>
      <c r="M32" s="87">
        <v>56758769.233699992</v>
      </c>
      <c r="N32" s="87">
        <v>58385840.040499993</v>
      </c>
      <c r="O32" s="87">
        <v>59811508.472499982</v>
      </c>
      <c r="P32" s="87">
        <v>44811508.472499982</v>
      </c>
      <c r="Q32" s="46" t="s">
        <v>13</v>
      </c>
    </row>
    <row r="33" spans="1:17" x14ac:dyDescent="0.25">
      <c r="A33" s="89">
        <v>33</v>
      </c>
      <c r="B33" s="89">
        <v>1</v>
      </c>
      <c r="C33" s="89">
        <v>1</v>
      </c>
      <c r="D33" s="90">
        <v>1</v>
      </c>
      <c r="E33" s="90">
        <v>1</v>
      </c>
      <c r="F33" s="48" t="s">
        <v>74</v>
      </c>
      <c r="G33" s="38" t="s">
        <v>17</v>
      </c>
      <c r="H33" s="87">
        <v>2240589.7490999997</v>
      </c>
      <c r="I33" s="87">
        <v>9719008.2765000015</v>
      </c>
      <c r="J33" s="87">
        <v>17231706.856800001</v>
      </c>
      <c r="K33" s="87">
        <v>24418549.7729</v>
      </c>
      <c r="L33" s="87">
        <v>39388917.989900008</v>
      </c>
      <c r="M33" s="87">
        <v>54200901.2623</v>
      </c>
      <c r="N33" s="87">
        <v>69165087.015900016</v>
      </c>
      <c r="O33" s="87">
        <v>70661307.656499997</v>
      </c>
      <c r="P33" s="87">
        <v>55661307.656499997</v>
      </c>
      <c r="Q33" s="46" t="s">
        <v>13</v>
      </c>
    </row>
    <row r="34" spans="1:17" x14ac:dyDescent="0.25">
      <c r="A34" s="89">
        <v>34</v>
      </c>
      <c r="B34" s="89">
        <v>1</v>
      </c>
      <c r="C34" s="89">
        <v>1</v>
      </c>
      <c r="D34" s="90">
        <v>1</v>
      </c>
      <c r="E34" s="90">
        <v>1</v>
      </c>
      <c r="F34" s="48" t="s">
        <v>75</v>
      </c>
      <c r="G34" s="38" t="s">
        <v>17</v>
      </c>
      <c r="H34" s="87">
        <v>1172902.3824</v>
      </c>
      <c r="I34" s="87">
        <v>7333769.5012000017</v>
      </c>
      <c r="J34" s="87">
        <v>15419371.067699997</v>
      </c>
      <c r="K34" s="87">
        <v>24664486.560800005</v>
      </c>
      <c r="L34" s="87">
        <v>38061770.4485</v>
      </c>
      <c r="M34" s="87">
        <v>50476551.998799995</v>
      </c>
      <c r="N34" s="87">
        <v>52749302.46199999</v>
      </c>
      <c r="O34" s="87">
        <v>54157468.981500007</v>
      </c>
      <c r="P34" s="87">
        <v>39157468.981500007</v>
      </c>
      <c r="Q34" s="46" t="s">
        <v>13</v>
      </c>
    </row>
    <row r="35" spans="1:17" x14ac:dyDescent="0.25">
      <c r="A35" s="89">
        <v>35</v>
      </c>
      <c r="B35" s="89">
        <v>1</v>
      </c>
      <c r="C35" s="89">
        <v>1</v>
      </c>
      <c r="D35" s="90">
        <v>1</v>
      </c>
      <c r="E35" s="90">
        <v>1</v>
      </c>
      <c r="F35" s="48" t="s">
        <v>76</v>
      </c>
      <c r="G35" s="38" t="s">
        <v>17</v>
      </c>
      <c r="H35" s="87">
        <v>254840.1011</v>
      </c>
      <c r="I35" s="87">
        <v>1932102.6912999996</v>
      </c>
      <c r="J35" s="87">
        <v>4310177.7807</v>
      </c>
      <c r="K35" s="87">
        <v>7046899.6497999988</v>
      </c>
      <c r="L35" s="87">
        <v>14104061.749300003</v>
      </c>
      <c r="M35" s="87">
        <v>22599750.797000002</v>
      </c>
      <c r="N35" s="87">
        <v>32231264.649</v>
      </c>
      <c r="O35" s="87">
        <v>33244607.083200011</v>
      </c>
      <c r="P35" s="87">
        <v>18244607.083200011</v>
      </c>
      <c r="Q35" s="46" t="s">
        <v>13</v>
      </c>
    </row>
    <row r="36" spans="1:17" x14ac:dyDescent="0.25">
      <c r="A36" s="89">
        <v>36</v>
      </c>
      <c r="B36" s="89">
        <v>1</v>
      </c>
      <c r="C36" s="89">
        <v>1</v>
      </c>
      <c r="D36" s="90">
        <v>1</v>
      </c>
      <c r="E36" s="90">
        <v>1</v>
      </c>
      <c r="F36" s="48" t="s">
        <v>77</v>
      </c>
      <c r="G36" s="38" t="s">
        <v>17</v>
      </c>
      <c r="H36" s="87">
        <v>2670332.5221000002</v>
      </c>
      <c r="I36" s="87">
        <v>12242380.562100001</v>
      </c>
      <c r="J36" s="87">
        <v>24445460.020900004</v>
      </c>
      <c r="K36" s="87">
        <v>35692102.460500002</v>
      </c>
      <c r="L36" s="87">
        <v>40031364.4965</v>
      </c>
      <c r="M36" s="87">
        <v>40031364.4965</v>
      </c>
      <c r="N36" s="87">
        <v>40031364.496499993</v>
      </c>
      <c r="O36" s="87">
        <v>40031364.4965</v>
      </c>
      <c r="P36" s="87">
        <v>25031364.4965</v>
      </c>
      <c r="Q36" s="46" t="s">
        <v>13</v>
      </c>
    </row>
    <row r="37" spans="1:17" x14ac:dyDescent="0.25">
      <c r="A37" s="89">
        <v>37</v>
      </c>
      <c r="B37" s="89">
        <v>1</v>
      </c>
      <c r="C37" s="89">
        <v>1</v>
      </c>
      <c r="D37" s="90">
        <v>1</v>
      </c>
      <c r="E37" s="90">
        <v>1</v>
      </c>
      <c r="F37" s="48" t="s">
        <v>78</v>
      </c>
      <c r="G37" s="38" t="s">
        <v>17</v>
      </c>
      <c r="H37" s="87">
        <v>2560437.4372999999</v>
      </c>
      <c r="I37" s="87">
        <v>12590749.8484</v>
      </c>
      <c r="J37" s="87">
        <v>23655120.886800006</v>
      </c>
      <c r="K37" s="87">
        <v>35205157.222099997</v>
      </c>
      <c r="L37" s="87">
        <v>55138343.403799996</v>
      </c>
      <c r="M37" s="87">
        <v>57753353.914000005</v>
      </c>
      <c r="N37" s="87">
        <v>59616099.443700001</v>
      </c>
      <c r="O37" s="87">
        <v>59977376.094799995</v>
      </c>
      <c r="P37" s="87">
        <v>44977376.094799995</v>
      </c>
      <c r="Q37" s="46" t="s">
        <v>13</v>
      </c>
    </row>
    <row r="38" spans="1:17" x14ac:dyDescent="0.25">
      <c r="A38" s="89">
        <v>38</v>
      </c>
      <c r="B38" s="89">
        <v>1</v>
      </c>
      <c r="C38" s="89">
        <v>1</v>
      </c>
      <c r="D38" s="90">
        <v>1</v>
      </c>
      <c r="E38" s="90">
        <v>1</v>
      </c>
      <c r="F38" s="48" t="s">
        <v>79</v>
      </c>
      <c r="G38" s="38" t="s">
        <v>17</v>
      </c>
      <c r="H38" s="87">
        <v>1556396.9622999998</v>
      </c>
      <c r="I38" s="87">
        <v>7201948.0453000031</v>
      </c>
      <c r="J38" s="87">
        <v>14266069.6292</v>
      </c>
      <c r="K38" s="87">
        <v>22548254.194700003</v>
      </c>
      <c r="L38" s="87">
        <v>38082909.362300001</v>
      </c>
      <c r="M38" s="87">
        <v>51633450.8605</v>
      </c>
      <c r="N38" s="87">
        <v>57935041.383099988</v>
      </c>
      <c r="O38" s="87">
        <v>57935041.383099988</v>
      </c>
      <c r="P38" s="87">
        <v>42935041.383099988</v>
      </c>
      <c r="Q38" s="46" t="s">
        <v>13</v>
      </c>
    </row>
    <row r="39" spans="1:17" x14ac:dyDescent="0.25">
      <c r="A39" s="89">
        <v>39</v>
      </c>
      <c r="B39" s="89">
        <v>1</v>
      </c>
      <c r="C39" s="89">
        <v>1</v>
      </c>
      <c r="D39" s="90">
        <v>1</v>
      </c>
      <c r="E39" s="90">
        <v>1</v>
      </c>
      <c r="F39" s="48" t="s">
        <v>80</v>
      </c>
      <c r="G39" s="38" t="s">
        <v>17</v>
      </c>
      <c r="H39" s="87">
        <v>1313869.8964999998</v>
      </c>
      <c r="I39" s="87">
        <v>8393875.8895999994</v>
      </c>
      <c r="J39" s="87">
        <v>16194975.225600002</v>
      </c>
      <c r="K39" s="87">
        <v>24550270.026299998</v>
      </c>
      <c r="L39" s="87">
        <v>44318590.968199991</v>
      </c>
      <c r="M39" s="87">
        <v>64199808.224699989</v>
      </c>
      <c r="N39" s="87">
        <v>80660370.957000017</v>
      </c>
      <c r="O39" s="87">
        <v>82714457.534099981</v>
      </c>
      <c r="P39" s="87">
        <v>67714457.534099981</v>
      </c>
      <c r="Q39" s="46" t="s">
        <v>13</v>
      </c>
    </row>
    <row r="40" spans="1:17" x14ac:dyDescent="0.25">
      <c r="A40" s="89">
        <v>40</v>
      </c>
      <c r="B40" s="89">
        <v>1</v>
      </c>
      <c r="C40" s="89">
        <v>1</v>
      </c>
      <c r="D40" s="90">
        <v>1</v>
      </c>
      <c r="E40" s="90">
        <v>1</v>
      </c>
      <c r="F40" s="48" t="s">
        <v>81</v>
      </c>
      <c r="G40" s="38" t="s">
        <v>17</v>
      </c>
      <c r="H40" s="87">
        <v>3073979.9120000005</v>
      </c>
      <c r="I40" s="87">
        <v>11686080.415800005</v>
      </c>
      <c r="J40" s="87">
        <v>20858846.362400003</v>
      </c>
      <c r="K40" s="87">
        <v>30686531.66170001</v>
      </c>
      <c r="L40" s="87">
        <v>53151480.210900016</v>
      </c>
      <c r="M40" s="87">
        <v>62463351.616699979</v>
      </c>
      <c r="N40" s="87">
        <v>64534121.094500005</v>
      </c>
      <c r="O40" s="87">
        <v>65029517.477800012</v>
      </c>
      <c r="P40" s="87">
        <v>50029517.477800012</v>
      </c>
      <c r="Q40" s="46" t="s">
        <v>13</v>
      </c>
    </row>
    <row r="41" spans="1:17" x14ac:dyDescent="0.25">
      <c r="A41" s="89">
        <v>41</v>
      </c>
      <c r="B41" s="89">
        <v>1</v>
      </c>
      <c r="C41" s="89">
        <v>1</v>
      </c>
      <c r="D41" s="90">
        <v>1</v>
      </c>
      <c r="E41" s="90">
        <v>1</v>
      </c>
      <c r="F41" s="48" t="s">
        <v>82</v>
      </c>
      <c r="G41" s="38" t="s">
        <v>17</v>
      </c>
      <c r="H41" s="87">
        <v>1885630.5460000001</v>
      </c>
      <c r="I41" s="87">
        <v>9693419.2746000011</v>
      </c>
      <c r="J41" s="87">
        <v>19472968.693800002</v>
      </c>
      <c r="K41" s="87">
        <v>29366674.123900004</v>
      </c>
      <c r="L41" s="87">
        <v>53031320.539999999</v>
      </c>
      <c r="M41" s="87">
        <v>78101532.671800032</v>
      </c>
      <c r="N41" s="87">
        <v>100706385.47850001</v>
      </c>
      <c r="O41" s="87">
        <v>102644181.60460006</v>
      </c>
      <c r="P41" s="87">
        <v>87644181.604600057</v>
      </c>
      <c r="Q41" s="46" t="s">
        <v>13</v>
      </c>
    </row>
    <row r="42" spans="1:17" x14ac:dyDescent="0.25">
      <c r="A42" s="89">
        <v>42</v>
      </c>
      <c r="B42" s="89">
        <v>1</v>
      </c>
      <c r="C42" s="89">
        <v>1</v>
      </c>
      <c r="D42" s="90">
        <v>1</v>
      </c>
      <c r="E42" s="90">
        <v>1</v>
      </c>
      <c r="F42" s="48" t="s">
        <v>83</v>
      </c>
      <c r="G42" s="38" t="s">
        <v>17</v>
      </c>
      <c r="H42" s="87">
        <v>1914774.0872</v>
      </c>
      <c r="I42" s="87">
        <v>7649403.5075999983</v>
      </c>
      <c r="J42" s="87">
        <v>14001707.002300004</v>
      </c>
      <c r="K42" s="87">
        <v>21887705.855700001</v>
      </c>
      <c r="L42" s="87">
        <v>37927497.016600005</v>
      </c>
      <c r="M42" s="87">
        <v>49800729.034100004</v>
      </c>
      <c r="N42" s="87">
        <v>54925135.110799998</v>
      </c>
      <c r="O42" s="87">
        <v>55621331.018299989</v>
      </c>
      <c r="P42" s="87">
        <v>40621331.018299989</v>
      </c>
      <c r="Q42" s="46" t="s">
        <v>13</v>
      </c>
    </row>
    <row r="43" spans="1:17" x14ac:dyDescent="0.25">
      <c r="A43" s="89">
        <v>43</v>
      </c>
      <c r="B43" s="89">
        <v>1</v>
      </c>
      <c r="C43" s="89">
        <v>1</v>
      </c>
      <c r="D43" s="90">
        <v>1</v>
      </c>
      <c r="E43" s="90">
        <v>1</v>
      </c>
      <c r="F43" s="48" t="s">
        <v>84</v>
      </c>
      <c r="G43" s="38" t="s">
        <v>17</v>
      </c>
      <c r="H43" s="87">
        <v>1726805.0755</v>
      </c>
      <c r="I43" s="87">
        <v>7735231.2967999987</v>
      </c>
      <c r="J43" s="87">
        <v>16370688.9376</v>
      </c>
      <c r="K43" s="87">
        <v>25233527.849799994</v>
      </c>
      <c r="L43" s="87">
        <v>43419378.494399995</v>
      </c>
      <c r="M43" s="87">
        <v>51846688.952699997</v>
      </c>
      <c r="N43" s="87">
        <v>52876608.78930001</v>
      </c>
      <c r="O43" s="87">
        <v>52876608.789300017</v>
      </c>
      <c r="P43" s="87">
        <v>37876608.789300017</v>
      </c>
      <c r="Q43" s="46" t="s">
        <v>13</v>
      </c>
    </row>
    <row r="44" spans="1:17" x14ac:dyDescent="0.25">
      <c r="A44" s="89">
        <v>44</v>
      </c>
      <c r="B44" s="89">
        <v>1</v>
      </c>
      <c r="C44" s="89">
        <v>1</v>
      </c>
      <c r="D44" s="90">
        <v>1</v>
      </c>
      <c r="E44" s="90">
        <v>1</v>
      </c>
      <c r="F44" s="48" t="s">
        <v>85</v>
      </c>
      <c r="G44" s="38" t="s">
        <v>17</v>
      </c>
      <c r="H44" s="87">
        <v>2858341.9951999998</v>
      </c>
      <c r="I44" s="87">
        <v>12358027.104800001</v>
      </c>
      <c r="J44" s="87">
        <v>23046556.792300001</v>
      </c>
      <c r="K44" s="87">
        <v>33573056.628399998</v>
      </c>
      <c r="L44" s="87">
        <v>55463812.834299996</v>
      </c>
      <c r="M44" s="87">
        <v>76151856.223799989</v>
      </c>
      <c r="N44" s="87">
        <v>78668152.637199998</v>
      </c>
      <c r="O44" s="87">
        <v>80012478.5616</v>
      </c>
      <c r="P44" s="87">
        <v>65012478.5616</v>
      </c>
      <c r="Q44" s="46" t="s">
        <v>13</v>
      </c>
    </row>
    <row r="45" spans="1:17" x14ac:dyDescent="0.25">
      <c r="A45" s="89">
        <v>45</v>
      </c>
      <c r="B45" s="89">
        <v>1</v>
      </c>
      <c r="C45" s="89">
        <v>1</v>
      </c>
      <c r="D45" s="90">
        <v>1</v>
      </c>
      <c r="E45" s="90">
        <v>1</v>
      </c>
      <c r="F45" s="48" t="s">
        <v>86</v>
      </c>
      <c r="G45" s="38" t="s">
        <v>17</v>
      </c>
      <c r="H45" s="87">
        <v>5280966.3854999999</v>
      </c>
      <c r="I45" s="87">
        <v>16297017.672500001</v>
      </c>
      <c r="J45" s="87">
        <v>26411864.5088</v>
      </c>
      <c r="K45" s="87">
        <v>30388246.925600007</v>
      </c>
      <c r="L45" s="87">
        <v>31049726.582100004</v>
      </c>
      <c r="M45" s="87">
        <v>31049726.582099997</v>
      </c>
      <c r="N45" s="87">
        <v>31049726.5821</v>
      </c>
      <c r="O45" s="87">
        <v>31049726.582099997</v>
      </c>
      <c r="P45" s="87">
        <v>16049726.582099997</v>
      </c>
      <c r="Q45" s="46" t="s">
        <v>13</v>
      </c>
    </row>
    <row r="46" spans="1:17" x14ac:dyDescent="0.25">
      <c r="A46" s="89">
        <v>46</v>
      </c>
      <c r="B46" s="89">
        <v>1</v>
      </c>
      <c r="C46" s="89">
        <v>1</v>
      </c>
      <c r="D46" s="90">
        <v>1</v>
      </c>
      <c r="E46" s="90">
        <v>1</v>
      </c>
      <c r="F46" s="48" t="s">
        <v>87</v>
      </c>
      <c r="G46" s="38" t="s">
        <v>17</v>
      </c>
      <c r="H46" s="87">
        <v>3271700.1275999998</v>
      </c>
      <c r="I46" s="87">
        <v>13217476.487699997</v>
      </c>
      <c r="J46" s="87">
        <v>24805227.433300003</v>
      </c>
      <c r="K46" s="87">
        <v>36622987.05870001</v>
      </c>
      <c r="L46" s="87">
        <v>57807233.511200011</v>
      </c>
      <c r="M46" s="87">
        <v>64783860.885900013</v>
      </c>
      <c r="N46" s="87">
        <v>66552523.828299999</v>
      </c>
      <c r="O46" s="87">
        <v>67493429.450699985</v>
      </c>
      <c r="P46" s="87">
        <v>52493429.450699985</v>
      </c>
      <c r="Q46" s="46" t="s">
        <v>13</v>
      </c>
    </row>
    <row r="47" spans="1:17" x14ac:dyDescent="0.25">
      <c r="A47" s="89">
        <v>47</v>
      </c>
      <c r="B47" s="89">
        <v>1</v>
      </c>
      <c r="C47" s="89">
        <v>1</v>
      </c>
      <c r="D47" s="90">
        <v>1</v>
      </c>
      <c r="E47" s="90">
        <v>1</v>
      </c>
      <c r="F47" s="48" t="s">
        <v>88</v>
      </c>
      <c r="G47" s="38" t="s">
        <v>17</v>
      </c>
      <c r="H47" s="87">
        <v>2693156.8365999996</v>
      </c>
      <c r="I47" s="87">
        <v>11658245.9397</v>
      </c>
      <c r="J47" s="87">
        <v>21804460.968800005</v>
      </c>
      <c r="K47" s="87">
        <v>32704781.377400011</v>
      </c>
      <c r="L47" s="87">
        <v>56609821.915099993</v>
      </c>
      <c r="M47" s="87">
        <v>75498129.019300014</v>
      </c>
      <c r="N47" s="87">
        <v>83253691.083100021</v>
      </c>
      <c r="O47" s="87">
        <v>83300327.918900028</v>
      </c>
      <c r="P47" s="87">
        <v>68300327.918900028</v>
      </c>
      <c r="Q47" s="46" t="s">
        <v>13</v>
      </c>
    </row>
    <row r="48" spans="1:17" x14ac:dyDescent="0.25">
      <c r="A48" s="89">
        <v>48</v>
      </c>
      <c r="B48" s="89">
        <v>1</v>
      </c>
      <c r="C48" s="89">
        <v>1</v>
      </c>
      <c r="D48" s="90">
        <v>1</v>
      </c>
      <c r="E48" s="90">
        <v>1</v>
      </c>
      <c r="F48" s="48" t="s">
        <v>89</v>
      </c>
      <c r="G48" s="38" t="s">
        <v>17</v>
      </c>
      <c r="H48" s="87">
        <v>5000</v>
      </c>
      <c r="I48" s="87">
        <v>642500</v>
      </c>
      <c r="J48" s="87">
        <v>2048750</v>
      </c>
      <c r="K48" s="87">
        <v>3455000</v>
      </c>
      <c r="L48" s="87">
        <v>4537812.4988000002</v>
      </c>
      <c r="M48" s="87">
        <v>4537812.4988000002</v>
      </c>
      <c r="N48" s="87">
        <v>4537812.4988000002</v>
      </c>
      <c r="O48" s="87">
        <v>4537812.4988000002</v>
      </c>
      <c r="P48" s="87">
        <v>0</v>
      </c>
      <c r="Q48" s="46" t="s">
        <v>13</v>
      </c>
    </row>
    <row r="49" spans="1:17" x14ac:dyDescent="0.25">
      <c r="A49" s="89">
        <v>49</v>
      </c>
      <c r="B49" s="89">
        <v>1</v>
      </c>
      <c r="C49" s="89">
        <v>1</v>
      </c>
      <c r="D49" s="90">
        <v>1</v>
      </c>
      <c r="E49" s="90">
        <v>1</v>
      </c>
      <c r="F49" s="48" t="s">
        <v>90</v>
      </c>
      <c r="G49" s="38" t="s">
        <v>17</v>
      </c>
      <c r="H49" s="87">
        <v>1965773.6267999997</v>
      </c>
      <c r="I49" s="87">
        <v>10790843.313800002</v>
      </c>
      <c r="J49" s="87">
        <v>21009004.249899998</v>
      </c>
      <c r="K49" s="87">
        <v>31918495.408700004</v>
      </c>
      <c r="L49" s="87">
        <v>54830346.065400004</v>
      </c>
      <c r="M49" s="87">
        <v>75089345.055500001</v>
      </c>
      <c r="N49" s="87">
        <v>92172119.378000021</v>
      </c>
      <c r="O49" s="87">
        <v>94256319.921700001</v>
      </c>
      <c r="P49" s="87">
        <v>79256319.921700001</v>
      </c>
      <c r="Q49" s="46" t="s">
        <v>13</v>
      </c>
    </row>
    <row r="50" spans="1:17" x14ac:dyDescent="0.25">
      <c r="A50" s="89">
        <v>50</v>
      </c>
      <c r="B50" s="89">
        <v>1</v>
      </c>
      <c r="C50" s="89">
        <v>1</v>
      </c>
      <c r="D50" s="90">
        <v>1</v>
      </c>
      <c r="E50" s="90">
        <v>1</v>
      </c>
      <c r="F50" s="48" t="s">
        <v>91</v>
      </c>
      <c r="G50" s="38" t="s">
        <v>17</v>
      </c>
      <c r="H50" s="87">
        <v>1336139.6331</v>
      </c>
      <c r="I50" s="87">
        <v>8152896.4898000006</v>
      </c>
      <c r="J50" s="87">
        <v>15520160.554900002</v>
      </c>
      <c r="K50" s="87">
        <v>23268025.032200001</v>
      </c>
      <c r="L50" s="87">
        <v>40983922.931299999</v>
      </c>
      <c r="M50" s="87">
        <v>57054400.569100007</v>
      </c>
      <c r="N50" s="87">
        <v>58876642.53489998</v>
      </c>
      <c r="O50" s="87">
        <v>59845762.169700012</v>
      </c>
      <c r="P50" s="87">
        <v>44845762.169700012</v>
      </c>
      <c r="Q50" s="46" t="s">
        <v>13</v>
      </c>
    </row>
    <row r="51" spans="1:17" x14ac:dyDescent="0.25">
      <c r="A51" s="89">
        <v>51</v>
      </c>
      <c r="B51" s="89">
        <v>1</v>
      </c>
      <c r="C51" s="89">
        <v>1</v>
      </c>
      <c r="D51" s="90">
        <v>1</v>
      </c>
      <c r="E51" s="90">
        <v>1</v>
      </c>
      <c r="F51" s="48" t="s">
        <v>92</v>
      </c>
      <c r="G51" s="38" t="s">
        <v>17</v>
      </c>
      <c r="H51" s="87">
        <v>619371.42449999996</v>
      </c>
      <c r="I51" s="87">
        <v>7941309.3867000015</v>
      </c>
      <c r="J51" s="87">
        <v>17785200.751600005</v>
      </c>
      <c r="K51" s="87">
        <v>29013965.061200012</v>
      </c>
      <c r="L51" s="87">
        <v>54333512.763700008</v>
      </c>
      <c r="M51" s="87">
        <v>78046614.914400011</v>
      </c>
      <c r="N51" s="87">
        <v>96197231.560599983</v>
      </c>
      <c r="O51" s="87">
        <v>98236192.506799981</v>
      </c>
      <c r="P51" s="87">
        <v>83236192.506799981</v>
      </c>
      <c r="Q51" s="46" t="s">
        <v>13</v>
      </c>
    </row>
    <row r="52" spans="1:17" x14ac:dyDescent="0.25">
      <c r="A52" s="89">
        <v>52</v>
      </c>
      <c r="B52" s="89">
        <v>1</v>
      </c>
      <c r="C52" s="89">
        <v>1</v>
      </c>
      <c r="D52" s="90">
        <v>1</v>
      </c>
      <c r="E52" s="90">
        <v>1</v>
      </c>
      <c r="F52" s="48" t="s">
        <v>93</v>
      </c>
      <c r="G52" s="38" t="s">
        <v>17</v>
      </c>
      <c r="H52" s="87">
        <v>619284.70039999997</v>
      </c>
      <c r="I52" s="87">
        <v>7941135.9385000011</v>
      </c>
      <c r="J52" s="87">
        <v>17784940.579400007</v>
      </c>
      <c r="K52" s="87">
        <v>29013618.16500001</v>
      </c>
      <c r="L52" s="87">
        <v>54332992.419500008</v>
      </c>
      <c r="M52" s="87">
        <v>73468087.057899997</v>
      </c>
      <c r="N52" s="87">
        <v>88158327.319499984</v>
      </c>
      <c r="O52" s="87">
        <v>90718191.789499998</v>
      </c>
      <c r="P52" s="87">
        <v>75718191.789499998</v>
      </c>
      <c r="Q52" s="46" t="s">
        <v>13</v>
      </c>
    </row>
    <row r="53" spans="1:17" x14ac:dyDescent="0.25">
      <c r="A53" s="89">
        <v>53</v>
      </c>
      <c r="B53" s="89">
        <v>1</v>
      </c>
      <c r="C53" s="89">
        <v>1</v>
      </c>
      <c r="D53" s="90">
        <v>1</v>
      </c>
      <c r="E53" s="90">
        <v>1</v>
      </c>
      <c r="F53" s="48" t="s">
        <v>94</v>
      </c>
      <c r="G53" s="38" t="s">
        <v>17</v>
      </c>
      <c r="H53" s="87">
        <v>619284.70039999997</v>
      </c>
      <c r="I53" s="87">
        <v>7941135.9385000011</v>
      </c>
      <c r="J53" s="87">
        <v>17836231.659100004</v>
      </c>
      <c r="K53" s="87">
        <v>28147085.043000013</v>
      </c>
      <c r="L53" s="87">
        <v>44527489.617200002</v>
      </c>
      <c r="M53" s="87">
        <v>61608002.016299985</v>
      </c>
      <c r="N53" s="87">
        <v>76438539.468999997</v>
      </c>
      <c r="O53" s="87">
        <v>79126088.193499982</v>
      </c>
      <c r="P53" s="87">
        <v>64126088.193499982</v>
      </c>
      <c r="Q53" s="46" t="s">
        <v>13</v>
      </c>
    </row>
    <row r="54" spans="1:17" x14ac:dyDescent="0.25">
      <c r="A54" s="89">
        <v>54</v>
      </c>
      <c r="B54" s="89">
        <v>1</v>
      </c>
      <c r="C54" s="89">
        <v>1</v>
      </c>
      <c r="D54" s="90">
        <v>1</v>
      </c>
      <c r="E54" s="90">
        <v>1</v>
      </c>
      <c r="F54" s="48" t="s">
        <v>95</v>
      </c>
      <c r="G54" s="38" t="s">
        <v>17</v>
      </c>
      <c r="H54" s="87">
        <v>2192101.909</v>
      </c>
      <c r="I54" s="87">
        <v>9863934.4766000006</v>
      </c>
      <c r="J54" s="87">
        <v>19626247.833100006</v>
      </c>
      <c r="K54" s="87">
        <v>30055401.995499995</v>
      </c>
      <c r="L54" s="87">
        <v>52268657.7654</v>
      </c>
      <c r="M54" s="87">
        <v>71688418.473199993</v>
      </c>
      <c r="N54" s="87">
        <v>89416637.150600016</v>
      </c>
      <c r="O54" s="87">
        <v>90875748.344699964</v>
      </c>
      <c r="P54" s="87">
        <v>75875748.344699964</v>
      </c>
      <c r="Q54" s="46" t="s">
        <v>13</v>
      </c>
    </row>
    <row r="55" spans="1:17" x14ac:dyDescent="0.25">
      <c r="A55" s="89">
        <v>55</v>
      </c>
      <c r="B55" s="89">
        <v>1</v>
      </c>
      <c r="C55" s="89">
        <v>1</v>
      </c>
      <c r="D55" s="90">
        <v>1</v>
      </c>
      <c r="E55" s="90">
        <v>1</v>
      </c>
      <c r="F55" s="48" t="s">
        <v>96</v>
      </c>
      <c r="G55" s="38" t="s">
        <v>17</v>
      </c>
      <c r="H55" s="87">
        <v>3535452.2480000006</v>
      </c>
      <c r="I55" s="87">
        <v>14454757.588900002</v>
      </c>
      <c r="J55" s="87">
        <v>26617905.900199998</v>
      </c>
      <c r="K55" s="87">
        <v>39660836.7905</v>
      </c>
      <c r="L55" s="87">
        <v>65464696.576500006</v>
      </c>
      <c r="M55" s="87">
        <v>85202097.994800001</v>
      </c>
      <c r="N55" s="87">
        <v>87395071.517199993</v>
      </c>
      <c r="O55" s="87">
        <v>89592731.044699997</v>
      </c>
      <c r="P55" s="87">
        <v>74592731.044699997</v>
      </c>
      <c r="Q55" s="46" t="s">
        <v>13</v>
      </c>
    </row>
    <row r="56" spans="1:17" x14ac:dyDescent="0.25">
      <c r="A56" s="89">
        <v>56</v>
      </c>
      <c r="B56" s="89">
        <v>1</v>
      </c>
      <c r="C56" s="89">
        <v>1</v>
      </c>
      <c r="D56" s="90">
        <v>1</v>
      </c>
      <c r="E56" s="90">
        <v>1</v>
      </c>
      <c r="F56" s="48" t="s">
        <v>97</v>
      </c>
      <c r="G56" s="38" t="s">
        <v>17</v>
      </c>
      <c r="H56" s="87">
        <v>1776137.2764999997</v>
      </c>
      <c r="I56" s="87">
        <v>8875389.4947000016</v>
      </c>
      <c r="J56" s="87">
        <v>17675924.364399999</v>
      </c>
      <c r="K56" s="87">
        <v>26208510.858800005</v>
      </c>
      <c r="L56" s="87">
        <v>32579651.616100002</v>
      </c>
      <c r="M56" s="87">
        <v>35354354.423500001</v>
      </c>
      <c r="N56" s="87">
        <v>37618882.110500008</v>
      </c>
      <c r="O56" s="87">
        <v>37862516.453600012</v>
      </c>
      <c r="P56" s="87">
        <v>22862516.453600012</v>
      </c>
      <c r="Q56" s="46" t="s">
        <v>13</v>
      </c>
    </row>
    <row r="57" spans="1:17" x14ac:dyDescent="0.25">
      <c r="A57" s="89">
        <v>57</v>
      </c>
      <c r="B57" s="89">
        <v>1</v>
      </c>
      <c r="C57" s="89">
        <v>1</v>
      </c>
      <c r="D57" s="90">
        <v>1</v>
      </c>
      <c r="E57" s="90">
        <v>1</v>
      </c>
      <c r="F57" s="48" t="s">
        <v>98</v>
      </c>
      <c r="G57" s="38" t="s">
        <v>17</v>
      </c>
      <c r="H57" s="87">
        <v>1664533.0114</v>
      </c>
      <c r="I57" s="87">
        <v>9593302.5672000032</v>
      </c>
      <c r="J57" s="87">
        <v>19463836.70790001</v>
      </c>
      <c r="K57" s="87">
        <v>29802209.816400006</v>
      </c>
      <c r="L57" s="87">
        <v>50968874.179200009</v>
      </c>
      <c r="M57" s="87">
        <v>72142729.169600025</v>
      </c>
      <c r="N57" s="87">
        <v>80781312.460599944</v>
      </c>
      <c r="O57" s="87">
        <v>82467884.186199978</v>
      </c>
      <c r="P57" s="87">
        <v>67467884.186199978</v>
      </c>
      <c r="Q57" s="46" t="s">
        <v>13</v>
      </c>
    </row>
    <row r="58" spans="1:17" x14ac:dyDescent="0.25">
      <c r="A58" s="89">
        <v>58</v>
      </c>
      <c r="B58" s="89">
        <v>1</v>
      </c>
      <c r="C58" s="89">
        <v>1</v>
      </c>
      <c r="D58" s="90">
        <v>1</v>
      </c>
      <c r="E58" s="90">
        <v>1</v>
      </c>
      <c r="F58" s="48" t="s">
        <v>99</v>
      </c>
      <c r="G58" s="38" t="s">
        <v>17</v>
      </c>
      <c r="H58" s="87">
        <v>3519033.5918999999</v>
      </c>
      <c r="I58" s="87">
        <v>12251349.8266</v>
      </c>
      <c r="J58" s="87">
        <v>24047674.960200001</v>
      </c>
      <c r="K58" s="87">
        <v>35750021.967799999</v>
      </c>
      <c r="L58" s="87">
        <v>43004598.883000016</v>
      </c>
      <c r="M58" s="87">
        <v>43377988.320700012</v>
      </c>
      <c r="N58" s="87">
        <v>43377988.320700005</v>
      </c>
      <c r="O58" s="87">
        <v>43377988.320700012</v>
      </c>
      <c r="P58" s="87">
        <v>28377988.320700012</v>
      </c>
      <c r="Q58" s="46" t="s">
        <v>13</v>
      </c>
    </row>
    <row r="59" spans="1:17" x14ac:dyDescent="0.25">
      <c r="A59" s="89">
        <v>59</v>
      </c>
      <c r="B59" s="89">
        <v>1</v>
      </c>
      <c r="C59" s="89">
        <v>1</v>
      </c>
      <c r="D59" s="90">
        <v>1</v>
      </c>
      <c r="E59" s="90">
        <v>1</v>
      </c>
      <c r="F59" s="48" t="s">
        <v>100</v>
      </c>
      <c r="G59" s="38" t="s">
        <v>17</v>
      </c>
      <c r="H59" s="87">
        <v>1167627.2590999999</v>
      </c>
      <c r="I59" s="87">
        <v>8828977.8526000008</v>
      </c>
      <c r="J59" s="87">
        <v>19650608.479600001</v>
      </c>
      <c r="K59" s="87">
        <v>30895587.458999999</v>
      </c>
      <c r="L59" s="87">
        <v>55729233.818500005</v>
      </c>
      <c r="M59" s="87">
        <v>81377135.355499998</v>
      </c>
      <c r="N59" s="87">
        <v>104562857.79809999</v>
      </c>
      <c r="O59" s="87">
        <v>106246182.6771</v>
      </c>
      <c r="P59" s="87">
        <v>91246182.677100003</v>
      </c>
      <c r="Q59" s="46" t="s">
        <v>13</v>
      </c>
    </row>
    <row r="60" spans="1:17" x14ac:dyDescent="0.25">
      <c r="A60" s="89">
        <v>60</v>
      </c>
      <c r="B60" s="89">
        <v>1</v>
      </c>
      <c r="C60" s="89">
        <v>1</v>
      </c>
      <c r="D60" s="90">
        <v>1</v>
      </c>
      <c r="E60" s="90">
        <v>1</v>
      </c>
      <c r="F60" s="48" t="s">
        <v>101</v>
      </c>
      <c r="G60" s="38" t="s">
        <v>17</v>
      </c>
      <c r="H60" s="87">
        <v>1620355.7002999999</v>
      </c>
      <c r="I60" s="87">
        <v>9135360.1385999992</v>
      </c>
      <c r="J60" s="87">
        <v>17091174.772</v>
      </c>
      <c r="K60" s="87">
        <v>25971623.217299998</v>
      </c>
      <c r="L60" s="87">
        <v>44721720.163599998</v>
      </c>
      <c r="M60" s="87">
        <v>63874936.960199982</v>
      </c>
      <c r="N60" s="87">
        <v>81281840.762199998</v>
      </c>
      <c r="O60" s="87">
        <v>83258082.887899995</v>
      </c>
      <c r="P60" s="87">
        <v>68258082.887899995</v>
      </c>
      <c r="Q60" s="46" t="s">
        <v>13</v>
      </c>
    </row>
    <row r="61" spans="1:17" x14ac:dyDescent="0.25">
      <c r="A61" s="89">
        <v>61</v>
      </c>
      <c r="B61" s="89">
        <v>1</v>
      </c>
      <c r="C61" s="89">
        <v>1</v>
      </c>
      <c r="D61" s="90">
        <v>1</v>
      </c>
      <c r="E61" s="90">
        <v>1</v>
      </c>
      <c r="F61" s="48" t="s">
        <v>102</v>
      </c>
      <c r="G61" s="38" t="s">
        <v>17</v>
      </c>
      <c r="H61" s="87">
        <v>2066517.4477999997</v>
      </c>
      <c r="I61" s="87">
        <v>10786554.914400002</v>
      </c>
      <c r="J61" s="87">
        <v>19998360.380899999</v>
      </c>
      <c r="K61" s="87">
        <v>29629777.068099998</v>
      </c>
      <c r="L61" s="87">
        <v>45911717.011400007</v>
      </c>
      <c r="M61" s="87">
        <v>47554416.467100002</v>
      </c>
      <c r="N61" s="87">
        <v>47554416.467100009</v>
      </c>
      <c r="O61" s="87">
        <v>47554416.467100009</v>
      </c>
      <c r="P61" s="87">
        <v>32554416.467100009</v>
      </c>
      <c r="Q61" s="46" t="s">
        <v>13</v>
      </c>
    </row>
    <row r="62" spans="1:17" x14ac:dyDescent="0.25">
      <c r="A62" s="89">
        <v>62</v>
      </c>
      <c r="B62" s="89">
        <v>1</v>
      </c>
      <c r="C62" s="89">
        <v>1</v>
      </c>
      <c r="D62" s="90">
        <v>1</v>
      </c>
      <c r="E62" s="90">
        <v>1</v>
      </c>
      <c r="F62" s="48" t="s">
        <v>103</v>
      </c>
      <c r="G62" s="38" t="s">
        <v>17</v>
      </c>
      <c r="H62" s="87">
        <v>1702333.9707000004</v>
      </c>
      <c r="I62" s="87">
        <v>8652647.0678000003</v>
      </c>
      <c r="J62" s="87">
        <v>17040185.759200003</v>
      </c>
      <c r="K62" s="87">
        <v>25900858.480600007</v>
      </c>
      <c r="L62" s="87">
        <v>42709854.549699992</v>
      </c>
      <c r="M62" s="87">
        <v>48435987.430100001</v>
      </c>
      <c r="N62" s="87">
        <v>49868037.380700007</v>
      </c>
      <c r="O62" s="87">
        <v>50159037.410400003</v>
      </c>
      <c r="P62" s="87">
        <v>35159037.410400003</v>
      </c>
      <c r="Q62" s="46" t="s">
        <v>13</v>
      </c>
    </row>
    <row r="63" spans="1:17" x14ac:dyDescent="0.25">
      <c r="A63" s="89">
        <v>63</v>
      </c>
      <c r="B63" s="89">
        <v>1</v>
      </c>
      <c r="C63" s="89">
        <v>1</v>
      </c>
      <c r="D63" s="90">
        <v>1</v>
      </c>
      <c r="E63" s="90">
        <v>1</v>
      </c>
      <c r="F63" s="48" t="s">
        <v>104</v>
      </c>
      <c r="G63" s="38" t="s">
        <v>17</v>
      </c>
      <c r="H63" s="87">
        <v>5841956.9546000008</v>
      </c>
      <c r="I63" s="87">
        <v>21408389.3957</v>
      </c>
      <c r="J63" s="87">
        <v>35785065.639799997</v>
      </c>
      <c r="K63" s="87">
        <v>40343829.069699995</v>
      </c>
      <c r="L63" s="87">
        <v>40343829.069699995</v>
      </c>
      <c r="M63" s="87">
        <v>40343829.069699995</v>
      </c>
      <c r="N63" s="87">
        <v>40343829.069699995</v>
      </c>
      <c r="O63" s="87">
        <v>40343829.069699988</v>
      </c>
      <c r="P63" s="87">
        <v>25343829.069699988</v>
      </c>
      <c r="Q63" s="46" t="s">
        <v>13</v>
      </c>
    </row>
    <row r="64" spans="1:17" x14ac:dyDescent="0.25">
      <c r="A64" s="89">
        <v>64</v>
      </c>
      <c r="B64" s="89">
        <v>1</v>
      </c>
      <c r="C64" s="89">
        <v>1</v>
      </c>
      <c r="D64" s="90">
        <v>1</v>
      </c>
      <c r="E64" s="90">
        <v>1</v>
      </c>
      <c r="F64" s="48" t="s">
        <v>105</v>
      </c>
      <c r="G64" s="38" t="s">
        <v>17</v>
      </c>
      <c r="H64" s="87">
        <v>1986676.4634000002</v>
      </c>
      <c r="I64" s="87">
        <v>11401850.406300001</v>
      </c>
      <c r="J64" s="87">
        <v>21995157.050000004</v>
      </c>
      <c r="K64" s="87">
        <v>34109790.806800008</v>
      </c>
      <c r="L64" s="87">
        <v>59904999.627900019</v>
      </c>
      <c r="M64" s="87">
        <v>68535659.78959997</v>
      </c>
      <c r="N64" s="87">
        <v>70991732.194799989</v>
      </c>
      <c r="O64" s="87">
        <v>70991732.194799989</v>
      </c>
      <c r="P64" s="87">
        <v>55991732.194799989</v>
      </c>
      <c r="Q64" s="46" t="s">
        <v>13</v>
      </c>
    </row>
    <row r="65" spans="1:17" x14ac:dyDescent="0.25">
      <c r="A65" s="89">
        <v>65</v>
      </c>
      <c r="B65" s="89">
        <v>1</v>
      </c>
      <c r="C65" s="89">
        <v>1</v>
      </c>
      <c r="D65" s="90">
        <v>1</v>
      </c>
      <c r="E65" s="90">
        <v>1</v>
      </c>
      <c r="F65" s="48" t="s">
        <v>106</v>
      </c>
      <c r="G65" s="38" t="s">
        <v>17</v>
      </c>
      <c r="H65" s="87">
        <v>2009380.9526000002</v>
      </c>
      <c r="I65" s="87">
        <v>11196042.646400001</v>
      </c>
      <c r="J65" s="87">
        <v>21667313.066800002</v>
      </c>
      <c r="K65" s="87">
        <v>32401510.288400002</v>
      </c>
      <c r="L65" s="87">
        <v>55476359.041999996</v>
      </c>
      <c r="M65" s="87">
        <v>78106360.648200005</v>
      </c>
      <c r="N65" s="87">
        <v>97646453.752199978</v>
      </c>
      <c r="O65" s="87">
        <v>99467438.612999991</v>
      </c>
      <c r="P65" s="87">
        <v>84467438.612999991</v>
      </c>
      <c r="Q65" s="46" t="s">
        <v>13</v>
      </c>
    </row>
    <row r="66" spans="1:17" x14ac:dyDescent="0.25">
      <c r="A66" s="89">
        <v>66</v>
      </c>
      <c r="B66" s="89">
        <v>1</v>
      </c>
      <c r="C66" s="89">
        <v>1</v>
      </c>
      <c r="D66" s="90">
        <v>1</v>
      </c>
      <c r="E66" s="90">
        <v>1</v>
      </c>
      <c r="F66" s="48" t="s">
        <v>107</v>
      </c>
      <c r="G66" s="38" t="s">
        <v>17</v>
      </c>
      <c r="H66" s="87">
        <v>2542582.0781000005</v>
      </c>
      <c r="I66" s="87">
        <v>11088074.0044</v>
      </c>
      <c r="J66" s="87">
        <v>21888982.894500002</v>
      </c>
      <c r="K66" s="87">
        <v>32629733.353100002</v>
      </c>
      <c r="L66" s="87">
        <v>58105205.775500007</v>
      </c>
      <c r="M66" s="87">
        <v>84625805.323800027</v>
      </c>
      <c r="N66" s="87">
        <v>106185148.79730003</v>
      </c>
      <c r="O66" s="87">
        <v>108249581.36839998</v>
      </c>
      <c r="P66" s="87">
        <v>93249581.368399978</v>
      </c>
      <c r="Q66" s="46" t="s">
        <v>13</v>
      </c>
    </row>
    <row r="67" spans="1:17" x14ac:dyDescent="0.25">
      <c r="A67" s="89">
        <v>67</v>
      </c>
      <c r="B67" s="89">
        <v>1</v>
      </c>
      <c r="C67" s="89">
        <v>1</v>
      </c>
      <c r="D67" s="90">
        <v>1</v>
      </c>
      <c r="E67" s="90">
        <v>1</v>
      </c>
      <c r="F67" s="48" t="s">
        <v>108</v>
      </c>
      <c r="G67" s="38" t="s">
        <v>17</v>
      </c>
      <c r="H67" s="87">
        <v>3596469.8610999994</v>
      </c>
      <c r="I67" s="87">
        <v>15280090.736200001</v>
      </c>
      <c r="J67" s="87">
        <v>28707714.460100006</v>
      </c>
      <c r="K67" s="87">
        <v>41969590.155300006</v>
      </c>
      <c r="L67" s="87">
        <v>69075181.00940001</v>
      </c>
      <c r="M67" s="87">
        <v>78233344.809099972</v>
      </c>
      <c r="N67" s="87">
        <v>79363773.853899986</v>
      </c>
      <c r="O67" s="87">
        <v>79363773.853899986</v>
      </c>
      <c r="P67" s="87">
        <v>64363773.853899986</v>
      </c>
      <c r="Q67" s="46" t="s">
        <v>13</v>
      </c>
    </row>
    <row r="68" spans="1:17" x14ac:dyDescent="0.25">
      <c r="A68" s="89">
        <v>68</v>
      </c>
      <c r="B68" s="89">
        <v>1</v>
      </c>
      <c r="C68" s="89">
        <v>1</v>
      </c>
      <c r="D68" s="90">
        <v>1</v>
      </c>
      <c r="E68" s="90">
        <v>1</v>
      </c>
      <c r="F68" s="48" t="s">
        <v>109</v>
      </c>
      <c r="G68" s="38" t="s">
        <v>17</v>
      </c>
      <c r="H68" s="87">
        <v>1201599.4128</v>
      </c>
      <c r="I68" s="87">
        <v>7727207.6034999993</v>
      </c>
      <c r="J68" s="87">
        <v>16680735.454000002</v>
      </c>
      <c r="K68" s="87">
        <v>26035241.483100004</v>
      </c>
      <c r="L68" s="87">
        <v>48593514.379600003</v>
      </c>
      <c r="M68" s="87">
        <v>57506806.592099987</v>
      </c>
      <c r="N68" s="87">
        <v>59442324.659399994</v>
      </c>
      <c r="O68" s="87">
        <v>59442324.659399994</v>
      </c>
      <c r="P68" s="87">
        <v>44442324.659399994</v>
      </c>
      <c r="Q68" s="46" t="s">
        <v>13</v>
      </c>
    </row>
    <row r="69" spans="1:17" x14ac:dyDescent="0.25">
      <c r="A69" s="89">
        <v>69</v>
      </c>
      <c r="B69" s="89">
        <v>1</v>
      </c>
      <c r="C69" s="89">
        <v>1</v>
      </c>
      <c r="D69" s="90">
        <v>1</v>
      </c>
      <c r="E69" s="90">
        <v>1</v>
      </c>
      <c r="F69" s="48" t="s">
        <v>110</v>
      </c>
      <c r="G69" s="38" t="s">
        <v>17</v>
      </c>
      <c r="H69" s="87">
        <v>972195.35140000004</v>
      </c>
      <c r="I69" s="87">
        <v>6155027.9984999998</v>
      </c>
      <c r="J69" s="87">
        <v>14328020.385200001</v>
      </c>
      <c r="K69" s="87">
        <v>22856338.298900001</v>
      </c>
      <c r="L69" s="87">
        <v>41781910.742200002</v>
      </c>
      <c r="M69" s="87">
        <v>63426166.548599988</v>
      </c>
      <c r="N69" s="87">
        <v>74924565.51379998</v>
      </c>
      <c r="O69" s="87">
        <v>77270373.153400004</v>
      </c>
      <c r="P69" s="87">
        <v>62270373.153400004</v>
      </c>
      <c r="Q69" s="46" t="s">
        <v>13</v>
      </c>
    </row>
    <row r="70" spans="1:17" x14ac:dyDescent="0.25">
      <c r="A70" s="89">
        <v>70</v>
      </c>
      <c r="B70" s="89">
        <v>1</v>
      </c>
      <c r="C70" s="89">
        <v>1</v>
      </c>
      <c r="D70" s="90">
        <v>1</v>
      </c>
      <c r="E70" s="90">
        <v>1</v>
      </c>
      <c r="F70" s="48" t="s">
        <v>111</v>
      </c>
      <c r="G70" s="38" t="s">
        <v>17</v>
      </c>
      <c r="H70" s="87">
        <v>2062686.8539000002</v>
      </c>
      <c r="I70" s="87">
        <v>11937813.271800004</v>
      </c>
      <c r="J70" s="87">
        <v>24904264.205099996</v>
      </c>
      <c r="K70" s="87">
        <v>38711776.155000001</v>
      </c>
      <c r="L70" s="87">
        <v>66064119.29990001</v>
      </c>
      <c r="M70" s="87">
        <v>89007034.858199999</v>
      </c>
      <c r="N70" s="87">
        <v>108600579.487</v>
      </c>
      <c r="O70" s="87">
        <v>108640402.02680002</v>
      </c>
      <c r="P70" s="87">
        <v>93640402.026800022</v>
      </c>
      <c r="Q70" s="46" t="s">
        <v>13</v>
      </c>
    </row>
    <row r="71" spans="1:17" x14ac:dyDescent="0.25">
      <c r="A71" s="89">
        <v>71</v>
      </c>
      <c r="B71" s="89">
        <v>1</v>
      </c>
      <c r="C71" s="89">
        <v>1</v>
      </c>
      <c r="D71" s="90">
        <v>1</v>
      </c>
      <c r="E71" s="90">
        <v>1</v>
      </c>
      <c r="F71" s="48" t="s">
        <v>112</v>
      </c>
      <c r="G71" s="38" t="s">
        <v>17</v>
      </c>
      <c r="H71" s="87">
        <v>2213371.1514000003</v>
      </c>
      <c r="I71" s="87">
        <v>11572981.5732</v>
      </c>
      <c r="J71" s="87">
        <v>21672979.026900001</v>
      </c>
      <c r="K71" s="87">
        <v>31954560.223899994</v>
      </c>
      <c r="L71" s="87">
        <v>39302850.499099992</v>
      </c>
      <c r="M71" s="87">
        <v>40733204.416499995</v>
      </c>
      <c r="N71" s="87">
        <v>41462967.389600001</v>
      </c>
      <c r="O71" s="87">
        <v>41484028.150499992</v>
      </c>
      <c r="P71" s="87">
        <v>26484028.150499992</v>
      </c>
      <c r="Q71" s="46" t="s">
        <v>13</v>
      </c>
    </row>
    <row r="72" spans="1:17" x14ac:dyDescent="0.25">
      <c r="A72" s="89">
        <v>72</v>
      </c>
      <c r="B72" s="89">
        <v>1</v>
      </c>
      <c r="C72" s="89">
        <v>1</v>
      </c>
      <c r="D72" s="90">
        <v>1</v>
      </c>
      <c r="E72" s="90">
        <v>1</v>
      </c>
      <c r="F72" s="48" t="s">
        <v>113</v>
      </c>
      <c r="G72" s="38" t="s">
        <v>17</v>
      </c>
      <c r="H72" s="87">
        <v>2579903.7015000004</v>
      </c>
      <c r="I72" s="87">
        <v>12480980.741900001</v>
      </c>
      <c r="J72" s="87">
        <v>23405283.042000003</v>
      </c>
      <c r="K72" s="87">
        <v>35341383.153699994</v>
      </c>
      <c r="L72" s="87">
        <v>61039550.82659997</v>
      </c>
      <c r="M72" s="87">
        <v>84563609.111099988</v>
      </c>
      <c r="N72" s="87">
        <v>93719382.904399991</v>
      </c>
      <c r="O72" s="87">
        <v>95681894.589599997</v>
      </c>
      <c r="P72" s="87">
        <v>80681894.589599997</v>
      </c>
      <c r="Q72" s="46" t="s">
        <v>13</v>
      </c>
    </row>
    <row r="73" spans="1:17" x14ac:dyDescent="0.25">
      <c r="A73" s="89">
        <v>73</v>
      </c>
      <c r="B73" s="89">
        <v>1</v>
      </c>
      <c r="C73" s="89">
        <v>1</v>
      </c>
      <c r="D73" s="90">
        <v>1</v>
      </c>
      <c r="E73" s="90">
        <v>1</v>
      </c>
      <c r="F73" s="48" t="s">
        <v>114</v>
      </c>
      <c r="G73" s="38" t="s">
        <v>17</v>
      </c>
      <c r="H73" s="87">
        <v>1290914.3239</v>
      </c>
      <c r="I73" s="87">
        <v>8737481.6740000006</v>
      </c>
      <c r="J73" s="87">
        <v>18560817.254600003</v>
      </c>
      <c r="K73" s="87">
        <v>28773697.691800002</v>
      </c>
      <c r="L73" s="87">
        <v>52389097.018800005</v>
      </c>
      <c r="M73" s="87">
        <v>74098227.765300006</v>
      </c>
      <c r="N73" s="87">
        <v>76277859.758399993</v>
      </c>
      <c r="O73" s="87">
        <v>77272232.709900022</v>
      </c>
      <c r="P73" s="87">
        <v>62272232.709900022</v>
      </c>
      <c r="Q73" s="46" t="s">
        <v>13</v>
      </c>
    </row>
    <row r="74" spans="1:17" x14ac:dyDescent="0.25">
      <c r="A74" s="89">
        <v>74</v>
      </c>
      <c r="B74" s="89">
        <v>1</v>
      </c>
      <c r="C74" s="89">
        <v>1</v>
      </c>
      <c r="D74" s="90">
        <v>1</v>
      </c>
      <c r="E74" s="90">
        <v>1</v>
      </c>
      <c r="F74" s="48" t="s">
        <v>115</v>
      </c>
      <c r="G74" s="38" t="s">
        <v>17</v>
      </c>
      <c r="H74" s="87">
        <v>4642821.3102000002</v>
      </c>
      <c r="I74" s="87">
        <v>14894295.166200001</v>
      </c>
      <c r="J74" s="87">
        <v>26331388.434500001</v>
      </c>
      <c r="K74" s="87">
        <v>37985369.658500001</v>
      </c>
      <c r="L74" s="87">
        <v>57838117.311399989</v>
      </c>
      <c r="M74" s="87">
        <v>72091942.382399976</v>
      </c>
      <c r="N74" s="87">
        <v>73054280.443499982</v>
      </c>
      <c r="O74" s="87">
        <v>73054280.443499982</v>
      </c>
      <c r="P74" s="87">
        <v>58054280.443499982</v>
      </c>
      <c r="Q74" s="46" t="s">
        <v>13</v>
      </c>
    </row>
    <row r="75" spans="1:17" x14ac:dyDescent="0.25">
      <c r="A75" s="89">
        <v>75</v>
      </c>
      <c r="B75" s="89">
        <v>1</v>
      </c>
      <c r="C75" s="89">
        <v>1</v>
      </c>
      <c r="D75" s="90">
        <v>1</v>
      </c>
      <c r="E75" s="90">
        <v>1</v>
      </c>
      <c r="F75" s="48" t="s">
        <v>116</v>
      </c>
      <c r="G75" s="38" t="s">
        <v>17</v>
      </c>
      <c r="H75" s="87">
        <v>2479475.0267999996</v>
      </c>
      <c r="I75" s="87">
        <v>12951482.3387</v>
      </c>
      <c r="J75" s="87">
        <v>23884035.527000003</v>
      </c>
      <c r="K75" s="87">
        <v>34785816.444200002</v>
      </c>
      <c r="L75" s="87">
        <v>58907076.034899995</v>
      </c>
      <c r="M75" s="87">
        <v>76703580.021000013</v>
      </c>
      <c r="N75" s="87">
        <v>76703580.021000013</v>
      </c>
      <c r="O75" s="87">
        <v>76703580.020999998</v>
      </c>
      <c r="P75" s="87">
        <v>61703580.020999998</v>
      </c>
      <c r="Q75" s="46" t="s">
        <v>13</v>
      </c>
    </row>
    <row r="76" spans="1:17" hidden="1" outlineLevel="1" x14ac:dyDescent="0.25">
      <c r="A76" s="89" t="s">
        <v>54</v>
      </c>
      <c r="B76" s="89">
        <v>0</v>
      </c>
      <c r="C76" s="89">
        <v>0</v>
      </c>
      <c r="D76" s="90">
        <v>0</v>
      </c>
      <c r="E76" s="90">
        <v>0</v>
      </c>
      <c r="F76" s="48" t="s">
        <v>50</v>
      </c>
      <c r="G76" s="38" t="s">
        <v>50</v>
      </c>
      <c r="H76" s="87" t="s">
        <v>50</v>
      </c>
      <c r="I76" s="87" t="s">
        <v>50</v>
      </c>
      <c r="J76" s="87" t="s">
        <v>50</v>
      </c>
      <c r="K76" s="87" t="s">
        <v>50</v>
      </c>
      <c r="L76" s="87" t="s">
        <v>50</v>
      </c>
      <c r="M76" s="87" t="s">
        <v>50</v>
      </c>
      <c r="N76" s="87" t="s">
        <v>50</v>
      </c>
      <c r="O76" s="87" t="s">
        <v>50</v>
      </c>
      <c r="P76" s="87" t="s">
        <v>50</v>
      </c>
      <c r="Q76" s="46" t="s">
        <v>13</v>
      </c>
    </row>
    <row r="77" spans="1:17" hidden="1" outlineLevel="1" x14ac:dyDescent="0.25">
      <c r="A77" s="89" t="s">
        <v>54</v>
      </c>
      <c r="B77" s="89">
        <v>0</v>
      </c>
      <c r="C77" s="89">
        <v>0</v>
      </c>
      <c r="D77" s="90">
        <v>0</v>
      </c>
      <c r="E77" s="90">
        <v>0</v>
      </c>
      <c r="F77" s="48" t="s">
        <v>50</v>
      </c>
      <c r="G77" s="38" t="s">
        <v>50</v>
      </c>
      <c r="H77" s="87" t="s">
        <v>50</v>
      </c>
      <c r="I77" s="87" t="s">
        <v>50</v>
      </c>
      <c r="J77" s="87" t="s">
        <v>50</v>
      </c>
      <c r="K77" s="87" t="s">
        <v>50</v>
      </c>
      <c r="L77" s="87" t="s">
        <v>50</v>
      </c>
      <c r="M77" s="87" t="s">
        <v>50</v>
      </c>
      <c r="N77" s="87" t="s">
        <v>50</v>
      </c>
      <c r="O77" s="87" t="s">
        <v>50</v>
      </c>
      <c r="P77" s="87" t="s">
        <v>50</v>
      </c>
      <c r="Q77" s="46" t="s">
        <v>13</v>
      </c>
    </row>
    <row r="78" spans="1:17" hidden="1" outlineLevel="1" x14ac:dyDescent="0.25">
      <c r="A78" s="89" t="s">
        <v>54</v>
      </c>
      <c r="B78" s="89">
        <v>0</v>
      </c>
      <c r="C78" s="89">
        <v>0</v>
      </c>
      <c r="D78" s="90">
        <v>0</v>
      </c>
      <c r="E78" s="90">
        <v>0</v>
      </c>
      <c r="F78" s="48" t="s">
        <v>50</v>
      </c>
      <c r="G78" s="38" t="s">
        <v>50</v>
      </c>
      <c r="H78" s="87" t="s">
        <v>50</v>
      </c>
      <c r="I78" s="87" t="s">
        <v>50</v>
      </c>
      <c r="J78" s="87" t="s">
        <v>50</v>
      </c>
      <c r="K78" s="87" t="s">
        <v>50</v>
      </c>
      <c r="L78" s="87" t="s">
        <v>50</v>
      </c>
      <c r="M78" s="87" t="s">
        <v>50</v>
      </c>
      <c r="N78" s="87" t="s">
        <v>50</v>
      </c>
      <c r="O78" s="87" t="s">
        <v>50</v>
      </c>
      <c r="P78" s="87" t="s">
        <v>50</v>
      </c>
      <c r="Q78" s="46" t="s">
        <v>13</v>
      </c>
    </row>
    <row r="79" spans="1:17" hidden="1" outlineLevel="1" x14ac:dyDescent="0.25">
      <c r="A79" s="89" t="s">
        <v>54</v>
      </c>
      <c r="B79" s="89">
        <v>0</v>
      </c>
      <c r="C79" s="89">
        <v>0</v>
      </c>
      <c r="D79" s="90">
        <v>0</v>
      </c>
      <c r="E79" s="90">
        <v>0</v>
      </c>
      <c r="F79" s="48" t="s">
        <v>50</v>
      </c>
      <c r="G79" s="38" t="s">
        <v>50</v>
      </c>
      <c r="H79" s="87" t="s">
        <v>50</v>
      </c>
      <c r="I79" s="87" t="s">
        <v>50</v>
      </c>
      <c r="J79" s="87" t="s">
        <v>50</v>
      </c>
      <c r="K79" s="87" t="s">
        <v>50</v>
      </c>
      <c r="L79" s="87" t="s">
        <v>50</v>
      </c>
      <c r="M79" s="87" t="s">
        <v>50</v>
      </c>
      <c r="N79" s="87" t="s">
        <v>50</v>
      </c>
      <c r="O79" s="87" t="s">
        <v>50</v>
      </c>
      <c r="P79" s="87" t="s">
        <v>50</v>
      </c>
      <c r="Q79" s="46" t="s">
        <v>13</v>
      </c>
    </row>
    <row r="80" spans="1:17" hidden="1" outlineLevel="1" x14ac:dyDescent="0.25">
      <c r="A80" s="89" t="s">
        <v>54</v>
      </c>
      <c r="B80" s="89">
        <v>0</v>
      </c>
      <c r="C80" s="89">
        <v>0</v>
      </c>
      <c r="D80" s="90">
        <v>0</v>
      </c>
      <c r="E80" s="90">
        <v>0</v>
      </c>
      <c r="F80" s="48" t="s">
        <v>50</v>
      </c>
      <c r="G80" s="38" t="s">
        <v>50</v>
      </c>
      <c r="H80" s="87" t="s">
        <v>50</v>
      </c>
      <c r="I80" s="87" t="s">
        <v>50</v>
      </c>
      <c r="J80" s="87" t="s">
        <v>50</v>
      </c>
      <c r="K80" s="87" t="s">
        <v>50</v>
      </c>
      <c r="L80" s="87" t="s">
        <v>50</v>
      </c>
      <c r="M80" s="87" t="s">
        <v>50</v>
      </c>
      <c r="N80" s="87" t="s">
        <v>50</v>
      </c>
      <c r="O80" s="87" t="s">
        <v>50</v>
      </c>
      <c r="P80" s="87" t="s">
        <v>50</v>
      </c>
      <c r="Q80" s="46" t="s">
        <v>13</v>
      </c>
    </row>
    <row r="81" spans="1:17" hidden="1" outlineLevel="1" x14ac:dyDescent="0.25">
      <c r="A81" s="89" t="s">
        <v>54</v>
      </c>
      <c r="B81" s="89">
        <v>0</v>
      </c>
      <c r="C81" s="89">
        <v>0</v>
      </c>
      <c r="D81" s="90">
        <v>0</v>
      </c>
      <c r="E81" s="90">
        <v>0</v>
      </c>
      <c r="F81" s="48" t="s">
        <v>50</v>
      </c>
      <c r="G81" s="38" t="s">
        <v>50</v>
      </c>
      <c r="H81" s="87" t="s">
        <v>50</v>
      </c>
      <c r="I81" s="87" t="s">
        <v>50</v>
      </c>
      <c r="J81" s="87" t="s">
        <v>50</v>
      </c>
      <c r="K81" s="87" t="s">
        <v>50</v>
      </c>
      <c r="L81" s="87" t="s">
        <v>50</v>
      </c>
      <c r="M81" s="87" t="s">
        <v>50</v>
      </c>
      <c r="N81" s="87" t="s">
        <v>50</v>
      </c>
      <c r="O81" s="87" t="s">
        <v>50</v>
      </c>
      <c r="P81" s="87" t="s">
        <v>50</v>
      </c>
      <c r="Q81" s="46" t="s">
        <v>13</v>
      </c>
    </row>
    <row r="82" spans="1:17" hidden="1" outlineLevel="1" x14ac:dyDescent="0.25">
      <c r="A82" s="89" t="s">
        <v>54</v>
      </c>
      <c r="B82" s="89">
        <v>0</v>
      </c>
      <c r="C82" s="89">
        <v>0</v>
      </c>
      <c r="D82" s="90">
        <v>0</v>
      </c>
      <c r="E82" s="90">
        <v>0</v>
      </c>
      <c r="F82" s="48" t="s">
        <v>50</v>
      </c>
      <c r="G82" s="38" t="s">
        <v>50</v>
      </c>
      <c r="H82" s="87" t="s">
        <v>50</v>
      </c>
      <c r="I82" s="87" t="s">
        <v>50</v>
      </c>
      <c r="J82" s="87" t="s">
        <v>50</v>
      </c>
      <c r="K82" s="87" t="s">
        <v>50</v>
      </c>
      <c r="L82" s="87" t="s">
        <v>50</v>
      </c>
      <c r="M82" s="87" t="s">
        <v>50</v>
      </c>
      <c r="N82" s="87" t="s">
        <v>50</v>
      </c>
      <c r="O82" s="87" t="s">
        <v>50</v>
      </c>
      <c r="P82" s="87" t="s">
        <v>50</v>
      </c>
      <c r="Q82" s="46" t="s">
        <v>13</v>
      </c>
    </row>
    <row r="83" spans="1:17" hidden="1" outlineLevel="1" x14ac:dyDescent="0.25">
      <c r="A83" s="89" t="s">
        <v>54</v>
      </c>
      <c r="B83" s="89">
        <v>0</v>
      </c>
      <c r="C83" s="89">
        <v>0</v>
      </c>
      <c r="D83" s="90">
        <v>0</v>
      </c>
      <c r="E83" s="90">
        <v>0</v>
      </c>
      <c r="F83" s="48" t="s">
        <v>50</v>
      </c>
      <c r="G83" s="38" t="s">
        <v>50</v>
      </c>
      <c r="H83" s="87" t="s">
        <v>50</v>
      </c>
      <c r="I83" s="87" t="s">
        <v>50</v>
      </c>
      <c r="J83" s="87" t="s">
        <v>50</v>
      </c>
      <c r="K83" s="87" t="s">
        <v>50</v>
      </c>
      <c r="L83" s="87" t="s">
        <v>50</v>
      </c>
      <c r="M83" s="87" t="s">
        <v>50</v>
      </c>
      <c r="N83" s="87" t="s">
        <v>50</v>
      </c>
      <c r="O83" s="87" t="s">
        <v>50</v>
      </c>
      <c r="P83" s="87" t="s">
        <v>50</v>
      </c>
      <c r="Q83" s="46" t="s">
        <v>13</v>
      </c>
    </row>
    <row r="84" spans="1:17" hidden="1" outlineLevel="1" x14ac:dyDescent="0.25">
      <c r="A84" s="89" t="s">
        <v>54</v>
      </c>
      <c r="B84" s="89">
        <v>0</v>
      </c>
      <c r="C84" s="89">
        <v>0</v>
      </c>
      <c r="D84" s="90">
        <v>0</v>
      </c>
      <c r="E84" s="90">
        <v>0</v>
      </c>
      <c r="F84" s="48" t="s">
        <v>50</v>
      </c>
      <c r="G84" s="38" t="s">
        <v>50</v>
      </c>
      <c r="H84" s="87" t="s">
        <v>50</v>
      </c>
      <c r="I84" s="87" t="s">
        <v>50</v>
      </c>
      <c r="J84" s="87" t="s">
        <v>50</v>
      </c>
      <c r="K84" s="87" t="s">
        <v>50</v>
      </c>
      <c r="L84" s="87" t="s">
        <v>50</v>
      </c>
      <c r="M84" s="87" t="s">
        <v>50</v>
      </c>
      <c r="N84" s="87" t="s">
        <v>50</v>
      </c>
      <c r="O84" s="87" t="s">
        <v>50</v>
      </c>
      <c r="P84" s="87" t="s">
        <v>50</v>
      </c>
      <c r="Q84" s="46" t="s">
        <v>13</v>
      </c>
    </row>
    <row r="85" spans="1:17" hidden="1" outlineLevel="1" x14ac:dyDescent="0.25">
      <c r="A85" s="89" t="s">
        <v>54</v>
      </c>
      <c r="B85" s="89">
        <v>0</v>
      </c>
      <c r="C85" s="89">
        <v>0</v>
      </c>
      <c r="D85" s="90">
        <v>0</v>
      </c>
      <c r="E85" s="90">
        <v>0</v>
      </c>
      <c r="F85" s="48" t="s">
        <v>50</v>
      </c>
      <c r="G85" s="38" t="s">
        <v>50</v>
      </c>
      <c r="H85" s="87" t="s">
        <v>50</v>
      </c>
      <c r="I85" s="87" t="s">
        <v>50</v>
      </c>
      <c r="J85" s="87" t="s">
        <v>50</v>
      </c>
      <c r="K85" s="87" t="s">
        <v>50</v>
      </c>
      <c r="L85" s="87" t="s">
        <v>50</v>
      </c>
      <c r="M85" s="87" t="s">
        <v>50</v>
      </c>
      <c r="N85" s="87" t="s">
        <v>50</v>
      </c>
      <c r="O85" s="87" t="s">
        <v>50</v>
      </c>
      <c r="P85" s="87" t="s">
        <v>50</v>
      </c>
      <c r="Q85" s="46" t="s">
        <v>13</v>
      </c>
    </row>
    <row r="86" spans="1:17" hidden="1" outlineLevel="1" x14ac:dyDescent="0.25">
      <c r="A86" s="89" t="s">
        <v>54</v>
      </c>
      <c r="B86" s="89">
        <v>0</v>
      </c>
      <c r="C86" s="89">
        <v>0</v>
      </c>
      <c r="D86" s="90">
        <v>0</v>
      </c>
      <c r="E86" s="90">
        <v>0</v>
      </c>
      <c r="F86" s="48" t="s">
        <v>50</v>
      </c>
      <c r="G86" s="38" t="s">
        <v>50</v>
      </c>
      <c r="H86" s="87" t="s">
        <v>50</v>
      </c>
      <c r="I86" s="87" t="s">
        <v>50</v>
      </c>
      <c r="J86" s="87" t="s">
        <v>50</v>
      </c>
      <c r="K86" s="87" t="s">
        <v>50</v>
      </c>
      <c r="L86" s="87" t="s">
        <v>50</v>
      </c>
      <c r="M86" s="87" t="s">
        <v>50</v>
      </c>
      <c r="N86" s="87" t="s">
        <v>50</v>
      </c>
      <c r="O86" s="87" t="s">
        <v>50</v>
      </c>
      <c r="P86" s="87" t="s">
        <v>50</v>
      </c>
      <c r="Q86" s="46" t="s">
        <v>13</v>
      </c>
    </row>
    <row r="87" spans="1:17" hidden="1" outlineLevel="1" x14ac:dyDescent="0.25">
      <c r="A87" s="89" t="s">
        <v>54</v>
      </c>
      <c r="B87" s="89">
        <v>0</v>
      </c>
      <c r="C87" s="89">
        <v>0</v>
      </c>
      <c r="D87" s="90">
        <v>0</v>
      </c>
      <c r="E87" s="90">
        <v>0</v>
      </c>
      <c r="F87" s="48" t="s">
        <v>50</v>
      </c>
      <c r="G87" s="38" t="s">
        <v>50</v>
      </c>
      <c r="H87" s="87" t="s">
        <v>50</v>
      </c>
      <c r="I87" s="87" t="s">
        <v>50</v>
      </c>
      <c r="J87" s="87" t="s">
        <v>50</v>
      </c>
      <c r="K87" s="87" t="s">
        <v>50</v>
      </c>
      <c r="L87" s="87" t="s">
        <v>50</v>
      </c>
      <c r="M87" s="87" t="s">
        <v>50</v>
      </c>
      <c r="N87" s="87" t="s">
        <v>50</v>
      </c>
      <c r="O87" s="87" t="s">
        <v>50</v>
      </c>
      <c r="P87" s="87" t="s">
        <v>50</v>
      </c>
      <c r="Q87" s="46" t="s">
        <v>13</v>
      </c>
    </row>
    <row r="88" spans="1:17" hidden="1" outlineLevel="1" x14ac:dyDescent="0.25">
      <c r="A88" s="89" t="s">
        <v>54</v>
      </c>
      <c r="B88" s="89">
        <v>0</v>
      </c>
      <c r="C88" s="89">
        <v>0</v>
      </c>
      <c r="D88" s="90">
        <v>0</v>
      </c>
      <c r="E88" s="90">
        <v>0</v>
      </c>
      <c r="F88" s="48" t="s">
        <v>50</v>
      </c>
      <c r="G88" s="38" t="s">
        <v>50</v>
      </c>
      <c r="H88" s="87" t="s">
        <v>50</v>
      </c>
      <c r="I88" s="87" t="s">
        <v>50</v>
      </c>
      <c r="J88" s="87" t="s">
        <v>50</v>
      </c>
      <c r="K88" s="87" t="s">
        <v>50</v>
      </c>
      <c r="L88" s="87" t="s">
        <v>50</v>
      </c>
      <c r="M88" s="87" t="s">
        <v>50</v>
      </c>
      <c r="N88" s="87" t="s">
        <v>50</v>
      </c>
      <c r="O88" s="87" t="s">
        <v>50</v>
      </c>
      <c r="P88" s="87" t="s">
        <v>50</v>
      </c>
      <c r="Q88" s="46" t="s">
        <v>13</v>
      </c>
    </row>
    <row r="89" spans="1:17" hidden="1" outlineLevel="1" x14ac:dyDescent="0.25">
      <c r="A89" s="89" t="s">
        <v>54</v>
      </c>
      <c r="B89" s="89">
        <v>0</v>
      </c>
      <c r="C89" s="89">
        <v>0</v>
      </c>
      <c r="D89" s="90">
        <v>0</v>
      </c>
      <c r="E89" s="90">
        <v>0</v>
      </c>
      <c r="F89" s="48" t="s">
        <v>50</v>
      </c>
      <c r="G89" s="38" t="s">
        <v>50</v>
      </c>
      <c r="H89" s="87" t="s">
        <v>50</v>
      </c>
      <c r="I89" s="87" t="s">
        <v>50</v>
      </c>
      <c r="J89" s="87" t="s">
        <v>50</v>
      </c>
      <c r="K89" s="87" t="s">
        <v>50</v>
      </c>
      <c r="L89" s="87" t="s">
        <v>50</v>
      </c>
      <c r="M89" s="87" t="s">
        <v>50</v>
      </c>
      <c r="N89" s="87" t="s">
        <v>50</v>
      </c>
      <c r="O89" s="87" t="s">
        <v>50</v>
      </c>
      <c r="P89" s="87" t="s">
        <v>50</v>
      </c>
      <c r="Q89" s="46" t="s">
        <v>13</v>
      </c>
    </row>
    <row r="90" spans="1:17" hidden="1" outlineLevel="1" x14ac:dyDescent="0.25">
      <c r="A90" s="89" t="s">
        <v>54</v>
      </c>
      <c r="B90" s="89">
        <v>0</v>
      </c>
      <c r="C90" s="89">
        <v>0</v>
      </c>
      <c r="D90" s="90">
        <v>0</v>
      </c>
      <c r="E90" s="90">
        <v>0</v>
      </c>
      <c r="F90" s="48" t="s">
        <v>50</v>
      </c>
      <c r="G90" s="38" t="s">
        <v>50</v>
      </c>
      <c r="H90" s="87" t="s">
        <v>50</v>
      </c>
      <c r="I90" s="87" t="s">
        <v>50</v>
      </c>
      <c r="J90" s="87" t="s">
        <v>50</v>
      </c>
      <c r="K90" s="87" t="s">
        <v>50</v>
      </c>
      <c r="L90" s="87" t="s">
        <v>50</v>
      </c>
      <c r="M90" s="87" t="s">
        <v>50</v>
      </c>
      <c r="N90" s="87" t="s">
        <v>50</v>
      </c>
      <c r="O90" s="87" t="s">
        <v>50</v>
      </c>
      <c r="P90" s="87" t="s">
        <v>50</v>
      </c>
      <c r="Q90" s="46" t="s">
        <v>13</v>
      </c>
    </row>
    <row r="91" spans="1:17" hidden="1" outlineLevel="1" x14ac:dyDescent="0.25">
      <c r="A91" s="89" t="s">
        <v>54</v>
      </c>
      <c r="B91" s="89">
        <v>0</v>
      </c>
      <c r="C91" s="89">
        <v>0</v>
      </c>
      <c r="D91" s="90">
        <v>0</v>
      </c>
      <c r="E91" s="90">
        <v>0</v>
      </c>
      <c r="F91" s="48" t="s">
        <v>50</v>
      </c>
      <c r="G91" s="38" t="s">
        <v>50</v>
      </c>
      <c r="H91" s="87" t="s">
        <v>50</v>
      </c>
      <c r="I91" s="87" t="s">
        <v>50</v>
      </c>
      <c r="J91" s="87" t="s">
        <v>50</v>
      </c>
      <c r="K91" s="87" t="s">
        <v>50</v>
      </c>
      <c r="L91" s="87" t="s">
        <v>50</v>
      </c>
      <c r="M91" s="87" t="s">
        <v>50</v>
      </c>
      <c r="N91" s="87" t="s">
        <v>50</v>
      </c>
      <c r="O91" s="87" t="s">
        <v>50</v>
      </c>
      <c r="P91" s="87" t="s">
        <v>50</v>
      </c>
      <c r="Q91" s="46" t="s">
        <v>13</v>
      </c>
    </row>
    <row r="92" spans="1:17" hidden="1" outlineLevel="1" x14ac:dyDescent="0.25">
      <c r="A92" s="89" t="s">
        <v>54</v>
      </c>
      <c r="B92" s="89">
        <v>0</v>
      </c>
      <c r="C92" s="89">
        <v>0</v>
      </c>
      <c r="D92" s="90">
        <v>0</v>
      </c>
      <c r="E92" s="90">
        <v>0</v>
      </c>
      <c r="F92" s="48" t="s">
        <v>50</v>
      </c>
      <c r="G92" s="38" t="s">
        <v>50</v>
      </c>
      <c r="H92" s="87" t="s">
        <v>50</v>
      </c>
      <c r="I92" s="87" t="s">
        <v>50</v>
      </c>
      <c r="J92" s="87" t="s">
        <v>50</v>
      </c>
      <c r="K92" s="87" t="s">
        <v>50</v>
      </c>
      <c r="L92" s="87" t="s">
        <v>50</v>
      </c>
      <c r="M92" s="87" t="s">
        <v>50</v>
      </c>
      <c r="N92" s="87" t="s">
        <v>50</v>
      </c>
      <c r="O92" s="87" t="s">
        <v>50</v>
      </c>
      <c r="P92" s="87" t="s">
        <v>50</v>
      </c>
      <c r="Q92" s="46" t="s">
        <v>13</v>
      </c>
    </row>
    <row r="93" spans="1:17" hidden="1" outlineLevel="1" x14ac:dyDescent="0.25">
      <c r="A93" s="89" t="s">
        <v>54</v>
      </c>
      <c r="B93" s="89">
        <v>0</v>
      </c>
      <c r="C93" s="89">
        <v>0</v>
      </c>
      <c r="D93" s="90">
        <v>0</v>
      </c>
      <c r="E93" s="90">
        <v>0</v>
      </c>
      <c r="F93" s="48" t="s">
        <v>50</v>
      </c>
      <c r="G93" s="38" t="s">
        <v>50</v>
      </c>
      <c r="H93" s="87" t="s">
        <v>50</v>
      </c>
      <c r="I93" s="87" t="s">
        <v>50</v>
      </c>
      <c r="J93" s="87" t="s">
        <v>50</v>
      </c>
      <c r="K93" s="87" t="s">
        <v>50</v>
      </c>
      <c r="L93" s="87" t="s">
        <v>50</v>
      </c>
      <c r="M93" s="87" t="s">
        <v>50</v>
      </c>
      <c r="N93" s="87" t="s">
        <v>50</v>
      </c>
      <c r="O93" s="87" t="s">
        <v>50</v>
      </c>
      <c r="P93" s="87" t="s">
        <v>50</v>
      </c>
      <c r="Q93" s="46" t="s">
        <v>13</v>
      </c>
    </row>
    <row r="94" spans="1:17" ht="40.799999999999997" hidden="1" outlineLevel="1" x14ac:dyDescent="0.25">
      <c r="A94" s="78" t="s">
        <v>7</v>
      </c>
      <c r="B94" s="79" t="s">
        <v>157</v>
      </c>
      <c r="C94" s="79" t="s">
        <v>158</v>
      </c>
      <c r="D94" s="80" t="s">
        <v>159</v>
      </c>
      <c r="E94" s="80" t="s">
        <v>160</v>
      </c>
      <c r="F94" s="81" t="s">
        <v>9</v>
      </c>
      <c r="G94" s="82" t="s">
        <v>10</v>
      </c>
      <c r="H94" s="80" t="s">
        <v>161</v>
      </c>
      <c r="I94" s="80" t="s">
        <v>162</v>
      </c>
      <c r="J94" s="80" t="s">
        <v>163</v>
      </c>
      <c r="K94" s="80" t="s">
        <v>164</v>
      </c>
      <c r="L94" s="80" t="s">
        <v>165</v>
      </c>
      <c r="M94" s="80" t="s">
        <v>166</v>
      </c>
      <c r="N94" s="80" t="s">
        <v>167</v>
      </c>
      <c r="O94" s="80" t="s">
        <v>168</v>
      </c>
      <c r="P94" s="83" t="s">
        <v>169</v>
      </c>
      <c r="Q94" s="84"/>
    </row>
    <row r="95" spans="1:17" collapsed="1" x14ac:dyDescent="0.25">
      <c r="A95" s="85">
        <v>113</v>
      </c>
      <c r="B95" s="85">
        <v>1</v>
      </c>
      <c r="C95" s="85">
        <v>1</v>
      </c>
      <c r="D95" s="86">
        <v>1</v>
      </c>
      <c r="E95" s="86">
        <v>1</v>
      </c>
      <c r="F95" s="48" t="s">
        <v>117</v>
      </c>
      <c r="G95" s="38" t="s">
        <v>36</v>
      </c>
      <c r="H95" s="87">
        <v>1804709.7120000001</v>
      </c>
      <c r="I95" s="87">
        <v>8328641.2381000007</v>
      </c>
      <c r="J95" s="87">
        <v>16200562.172</v>
      </c>
      <c r="K95" s="87">
        <v>22913184.617100004</v>
      </c>
      <c r="L95" s="87">
        <v>40103227.658899993</v>
      </c>
      <c r="M95" s="87">
        <v>46437420.552100003</v>
      </c>
      <c r="N95" s="87">
        <v>46437420.552100018</v>
      </c>
      <c r="O95" s="87">
        <v>46437420.552099995</v>
      </c>
      <c r="P95" s="87">
        <v>31437420.552099995</v>
      </c>
      <c r="Q95" s="46" t="s">
        <v>13</v>
      </c>
    </row>
    <row r="96" spans="1:17" x14ac:dyDescent="0.25">
      <c r="A96" s="89">
        <v>114</v>
      </c>
      <c r="B96" s="89">
        <v>1</v>
      </c>
      <c r="C96" s="89">
        <v>1</v>
      </c>
      <c r="D96" s="90">
        <v>1</v>
      </c>
      <c r="E96" s="90">
        <v>1</v>
      </c>
      <c r="F96" s="48" t="s">
        <v>118</v>
      </c>
      <c r="G96" s="38" t="s">
        <v>36</v>
      </c>
      <c r="H96" s="87">
        <v>943588.48619999993</v>
      </c>
      <c r="I96" s="87">
        <v>8851608.1730999984</v>
      </c>
      <c r="J96" s="87">
        <v>19157183.131700005</v>
      </c>
      <c r="K96" s="87">
        <v>30498393.528900001</v>
      </c>
      <c r="L96" s="87">
        <v>56607047.801799998</v>
      </c>
      <c r="M96" s="87">
        <v>82486308.725500003</v>
      </c>
      <c r="N96" s="87">
        <v>91519743.047300011</v>
      </c>
      <c r="O96" s="87">
        <v>91519743.047300011</v>
      </c>
      <c r="P96" s="87">
        <v>76519743.047300011</v>
      </c>
      <c r="Q96" s="46" t="s">
        <v>13</v>
      </c>
    </row>
    <row r="97" spans="1:17" x14ac:dyDescent="0.25">
      <c r="A97" s="89">
        <v>115</v>
      </c>
      <c r="B97" s="89">
        <v>1</v>
      </c>
      <c r="C97" s="89">
        <v>1</v>
      </c>
      <c r="D97" s="90">
        <v>1</v>
      </c>
      <c r="E97" s="90">
        <v>1</v>
      </c>
      <c r="F97" s="48" t="s">
        <v>119</v>
      </c>
      <c r="G97" s="38" t="s">
        <v>36</v>
      </c>
      <c r="H97" s="87">
        <v>2671085.5438000001</v>
      </c>
      <c r="I97" s="87">
        <v>13146815.426500004</v>
      </c>
      <c r="J97" s="87">
        <v>26326587.470100001</v>
      </c>
      <c r="K97" s="87">
        <v>40181276.232600003</v>
      </c>
      <c r="L97" s="87">
        <v>68765150.45540002</v>
      </c>
      <c r="M97" s="87">
        <v>96168711.744299993</v>
      </c>
      <c r="N97" s="87">
        <v>106882691.68019998</v>
      </c>
      <c r="O97" s="87">
        <v>106882691.68019998</v>
      </c>
      <c r="P97" s="87">
        <v>91882691.680199981</v>
      </c>
      <c r="Q97" s="46" t="s">
        <v>13</v>
      </c>
    </row>
    <row r="98" spans="1:17" x14ac:dyDescent="0.25">
      <c r="A98" s="89">
        <v>116</v>
      </c>
      <c r="B98" s="89">
        <v>1</v>
      </c>
      <c r="C98" s="89">
        <v>1</v>
      </c>
      <c r="D98" s="90">
        <v>1</v>
      </c>
      <c r="E98" s="90">
        <v>1</v>
      </c>
      <c r="F98" s="48" t="s">
        <v>120</v>
      </c>
      <c r="G98" s="38" t="s">
        <v>36</v>
      </c>
      <c r="H98" s="87">
        <v>2004257.2351000002</v>
      </c>
      <c r="I98" s="87">
        <v>10714354.574900003</v>
      </c>
      <c r="J98" s="87">
        <v>22776636.138400007</v>
      </c>
      <c r="K98" s="87">
        <v>35259318.041700006</v>
      </c>
      <c r="L98" s="87">
        <v>61816956.280599996</v>
      </c>
      <c r="M98" s="87">
        <v>72408486.014699996</v>
      </c>
      <c r="N98" s="87">
        <v>72408486.01470001</v>
      </c>
      <c r="O98" s="87">
        <v>72408486.01470001</v>
      </c>
      <c r="P98" s="87">
        <v>57408486.01470001</v>
      </c>
      <c r="Q98" s="46" t="s">
        <v>13</v>
      </c>
    </row>
    <row r="99" spans="1:17" x14ac:dyDescent="0.25">
      <c r="A99" s="89">
        <v>117</v>
      </c>
      <c r="B99" s="89">
        <v>1</v>
      </c>
      <c r="C99" s="89">
        <v>1</v>
      </c>
      <c r="D99" s="90">
        <v>1</v>
      </c>
      <c r="E99" s="90">
        <v>1</v>
      </c>
      <c r="F99" s="48" t="s">
        <v>121</v>
      </c>
      <c r="G99" s="38" t="s">
        <v>36</v>
      </c>
      <c r="H99" s="87">
        <v>873665.2527999999</v>
      </c>
      <c r="I99" s="87">
        <v>8273767.2612000015</v>
      </c>
      <c r="J99" s="87">
        <v>19440438.513000004</v>
      </c>
      <c r="K99" s="87">
        <v>30340078.814500004</v>
      </c>
      <c r="L99" s="87">
        <v>56286639.335199997</v>
      </c>
      <c r="M99" s="87">
        <v>78946424.183400005</v>
      </c>
      <c r="N99" s="87">
        <v>79456167.67490001</v>
      </c>
      <c r="O99" s="87">
        <v>79456167.674899995</v>
      </c>
      <c r="P99" s="87">
        <v>64456167.674899995</v>
      </c>
      <c r="Q99" s="46" t="s">
        <v>13</v>
      </c>
    </row>
    <row r="100" spans="1:17" x14ac:dyDescent="0.25">
      <c r="A100" s="89">
        <v>118</v>
      </c>
      <c r="B100" s="89">
        <v>1</v>
      </c>
      <c r="C100" s="89">
        <v>1</v>
      </c>
      <c r="D100" s="90">
        <v>1</v>
      </c>
      <c r="E100" s="90">
        <v>1</v>
      </c>
      <c r="F100" s="48" t="s">
        <v>122</v>
      </c>
      <c r="G100" s="38" t="s">
        <v>36</v>
      </c>
      <c r="H100" s="87">
        <v>2362005.5778999999</v>
      </c>
      <c r="I100" s="87">
        <v>12146501.251300002</v>
      </c>
      <c r="J100" s="87">
        <v>23731369.483199999</v>
      </c>
      <c r="K100" s="87">
        <v>35738144.690799996</v>
      </c>
      <c r="L100" s="87">
        <v>58602991.2764</v>
      </c>
      <c r="M100" s="87">
        <v>65926726.840599984</v>
      </c>
      <c r="N100" s="87">
        <v>65926726.840599991</v>
      </c>
      <c r="O100" s="87">
        <v>65926726.840599984</v>
      </c>
      <c r="P100" s="87">
        <v>50926726.840599984</v>
      </c>
      <c r="Q100" s="46" t="s">
        <v>13</v>
      </c>
    </row>
    <row r="101" spans="1:17" x14ac:dyDescent="0.25">
      <c r="A101" s="89">
        <v>119</v>
      </c>
      <c r="B101" s="89">
        <v>1</v>
      </c>
      <c r="C101" s="89">
        <v>1</v>
      </c>
      <c r="D101" s="90">
        <v>1</v>
      </c>
      <c r="E101" s="90">
        <v>1</v>
      </c>
      <c r="F101" s="48" t="s">
        <v>123</v>
      </c>
      <c r="G101" s="38" t="s">
        <v>36</v>
      </c>
      <c r="H101" s="87">
        <v>2832920.7352</v>
      </c>
      <c r="I101" s="87">
        <v>10761167.4167</v>
      </c>
      <c r="J101" s="87">
        <v>19291382.084999997</v>
      </c>
      <c r="K101" s="87">
        <v>27215640.945300002</v>
      </c>
      <c r="L101" s="87">
        <v>40342464.883299999</v>
      </c>
      <c r="M101" s="87">
        <v>40342464.883299999</v>
      </c>
      <c r="N101" s="87">
        <v>40342464.883299999</v>
      </c>
      <c r="O101" s="87">
        <v>40342464.883299991</v>
      </c>
      <c r="P101" s="87">
        <v>25342464.883299991</v>
      </c>
      <c r="Q101" s="46" t="s">
        <v>13</v>
      </c>
    </row>
    <row r="102" spans="1:17" x14ac:dyDescent="0.25">
      <c r="A102" s="89">
        <v>120</v>
      </c>
      <c r="B102" s="89">
        <v>1</v>
      </c>
      <c r="C102" s="89">
        <v>1</v>
      </c>
      <c r="D102" s="90">
        <v>1</v>
      </c>
      <c r="E102" s="90">
        <v>1</v>
      </c>
      <c r="F102" s="48" t="s">
        <v>124</v>
      </c>
      <c r="G102" s="38" t="s">
        <v>36</v>
      </c>
      <c r="H102" s="87">
        <v>3383672.8585000001</v>
      </c>
      <c r="I102" s="87">
        <v>12878937.979700001</v>
      </c>
      <c r="J102" s="87">
        <v>22034718.578899998</v>
      </c>
      <c r="K102" s="87">
        <v>31085149.604100004</v>
      </c>
      <c r="L102" s="87">
        <v>46760901.350299999</v>
      </c>
      <c r="M102" s="87">
        <v>46760901.350299999</v>
      </c>
      <c r="N102" s="87">
        <v>46760901.350299999</v>
      </c>
      <c r="O102" s="87">
        <v>46760901.350299999</v>
      </c>
      <c r="P102" s="87">
        <v>31760901.350299999</v>
      </c>
      <c r="Q102" s="46" t="s">
        <v>13</v>
      </c>
    </row>
    <row r="103" spans="1:17" x14ac:dyDescent="0.25">
      <c r="A103" s="89">
        <v>121</v>
      </c>
      <c r="B103" s="89">
        <v>1</v>
      </c>
      <c r="C103" s="89">
        <v>1</v>
      </c>
      <c r="D103" s="90">
        <v>1</v>
      </c>
      <c r="E103" s="90">
        <v>1</v>
      </c>
      <c r="F103" s="48" t="s">
        <v>125</v>
      </c>
      <c r="G103" s="38" t="s">
        <v>36</v>
      </c>
      <c r="H103" s="87">
        <v>3276005.7092999998</v>
      </c>
      <c r="I103" s="87">
        <v>11932159.7458</v>
      </c>
      <c r="J103" s="87">
        <v>19878665.942399997</v>
      </c>
      <c r="K103" s="87">
        <v>28812612.8189</v>
      </c>
      <c r="L103" s="87">
        <v>44060654.771299988</v>
      </c>
      <c r="M103" s="87">
        <v>44060654.771299995</v>
      </c>
      <c r="N103" s="87">
        <v>44060654.771299995</v>
      </c>
      <c r="O103" s="87">
        <v>44060654.771299988</v>
      </c>
      <c r="P103" s="87">
        <v>29060654.771299988</v>
      </c>
      <c r="Q103" s="46" t="s">
        <v>13</v>
      </c>
    </row>
    <row r="104" spans="1:17" x14ac:dyDescent="0.25">
      <c r="A104" s="89">
        <v>122</v>
      </c>
      <c r="B104" s="89">
        <v>1</v>
      </c>
      <c r="C104" s="89">
        <v>1</v>
      </c>
      <c r="D104" s="90">
        <v>1</v>
      </c>
      <c r="E104" s="90">
        <v>1</v>
      </c>
      <c r="F104" s="48" t="s">
        <v>126</v>
      </c>
      <c r="G104" s="38" t="s">
        <v>36</v>
      </c>
      <c r="H104" s="87">
        <v>2709520.0688</v>
      </c>
      <c r="I104" s="87">
        <v>12788171.320699999</v>
      </c>
      <c r="J104" s="87">
        <v>23935023.439599998</v>
      </c>
      <c r="K104" s="87">
        <v>34599661.062299997</v>
      </c>
      <c r="L104" s="87">
        <v>57763480.651599988</v>
      </c>
      <c r="M104" s="87">
        <v>78219344.435599998</v>
      </c>
      <c r="N104" s="87">
        <v>78219344.435600013</v>
      </c>
      <c r="O104" s="87">
        <v>78219344.435599998</v>
      </c>
      <c r="P104" s="87">
        <v>63219344.435599998</v>
      </c>
      <c r="Q104" s="46" t="s">
        <v>13</v>
      </c>
    </row>
    <row r="105" spans="1:17" x14ac:dyDescent="0.25">
      <c r="A105" s="89">
        <v>123</v>
      </c>
      <c r="B105" s="89">
        <v>1</v>
      </c>
      <c r="C105" s="89">
        <v>1</v>
      </c>
      <c r="D105" s="90">
        <v>1</v>
      </c>
      <c r="E105" s="90">
        <v>1</v>
      </c>
      <c r="F105" s="48" t="s">
        <v>127</v>
      </c>
      <c r="G105" s="38" t="s">
        <v>36</v>
      </c>
      <c r="H105" s="87">
        <v>1721591.3952000001</v>
      </c>
      <c r="I105" s="87">
        <v>9754843.2149999999</v>
      </c>
      <c r="J105" s="87">
        <v>19748886.086100001</v>
      </c>
      <c r="K105" s="87">
        <v>29680827.257400002</v>
      </c>
      <c r="L105" s="87">
        <v>51317079.874400005</v>
      </c>
      <c r="M105" s="87">
        <v>58768769.585099995</v>
      </c>
      <c r="N105" s="87">
        <v>58768769.58510001</v>
      </c>
      <c r="O105" s="87">
        <v>58768769.585100003</v>
      </c>
      <c r="P105" s="87">
        <v>43768769.585100003</v>
      </c>
      <c r="Q105" s="46" t="s">
        <v>13</v>
      </c>
    </row>
    <row r="106" spans="1:17" x14ac:dyDescent="0.25">
      <c r="A106" s="89">
        <v>124</v>
      </c>
      <c r="B106" s="89">
        <v>1</v>
      </c>
      <c r="C106" s="89">
        <v>1</v>
      </c>
      <c r="D106" s="90">
        <v>1</v>
      </c>
      <c r="E106" s="90">
        <v>1</v>
      </c>
      <c r="F106" s="48" t="s">
        <v>128</v>
      </c>
      <c r="G106" s="38" t="s">
        <v>36</v>
      </c>
      <c r="H106" s="87">
        <v>3335153.2314999998</v>
      </c>
      <c r="I106" s="87">
        <v>12131392.008300001</v>
      </c>
      <c r="J106" s="87">
        <v>20881168.6789</v>
      </c>
      <c r="K106" s="87">
        <v>30403210.282200001</v>
      </c>
      <c r="L106" s="87">
        <v>43436341.388400003</v>
      </c>
      <c r="M106" s="87">
        <v>43612669.759500012</v>
      </c>
      <c r="N106" s="87">
        <v>43612669.759500012</v>
      </c>
      <c r="O106" s="87">
        <v>43612669.759500004</v>
      </c>
      <c r="P106" s="87">
        <v>28612669.759500004</v>
      </c>
      <c r="Q106" s="46" t="s">
        <v>13</v>
      </c>
    </row>
    <row r="107" spans="1:17" x14ac:dyDescent="0.25">
      <c r="A107" s="89">
        <v>125</v>
      </c>
      <c r="B107" s="89">
        <v>1</v>
      </c>
      <c r="C107" s="89">
        <v>1</v>
      </c>
      <c r="D107" s="90">
        <v>1</v>
      </c>
      <c r="E107" s="90">
        <v>1</v>
      </c>
      <c r="F107" s="48" t="s">
        <v>129</v>
      </c>
      <c r="G107" s="38" t="s">
        <v>36</v>
      </c>
      <c r="H107" s="87">
        <v>2791113.5093999999</v>
      </c>
      <c r="I107" s="87">
        <v>12422799.628300002</v>
      </c>
      <c r="J107" s="87">
        <v>24467780.7302</v>
      </c>
      <c r="K107" s="87">
        <v>35524565.1699</v>
      </c>
      <c r="L107" s="87">
        <v>61948100.71509999</v>
      </c>
      <c r="M107" s="87">
        <v>90005510.847200006</v>
      </c>
      <c r="N107" s="87">
        <v>101565954.67719999</v>
      </c>
      <c r="O107" s="87">
        <v>101565954.67720002</v>
      </c>
      <c r="P107" s="87">
        <v>86565954.677200019</v>
      </c>
      <c r="Q107" s="46" t="s">
        <v>13</v>
      </c>
    </row>
    <row r="108" spans="1:17" x14ac:dyDescent="0.25">
      <c r="A108" s="128">
        <v>126</v>
      </c>
      <c r="B108" s="128">
        <v>1</v>
      </c>
      <c r="C108" s="128">
        <v>1</v>
      </c>
      <c r="D108" s="129">
        <v>1</v>
      </c>
      <c r="E108" s="129">
        <v>1</v>
      </c>
      <c r="F108" s="48" t="s">
        <v>130</v>
      </c>
      <c r="G108" s="38" t="s">
        <v>36</v>
      </c>
      <c r="H108" s="87">
        <v>1770002.5117999997</v>
      </c>
      <c r="I108" s="87">
        <v>9342546.3205999993</v>
      </c>
      <c r="J108" s="87">
        <v>18145597.3114</v>
      </c>
      <c r="K108" s="87">
        <v>26101656.539300002</v>
      </c>
      <c r="L108" s="87">
        <v>45589835.6017</v>
      </c>
      <c r="M108" s="87">
        <v>53299693.269699998</v>
      </c>
      <c r="N108" s="87">
        <v>53299693.269700006</v>
      </c>
      <c r="O108" s="87">
        <v>53299693.269700006</v>
      </c>
      <c r="P108" s="87">
        <v>38299693.269700006</v>
      </c>
      <c r="Q108" s="46" t="s">
        <v>13</v>
      </c>
    </row>
    <row r="109" spans="1:17" x14ac:dyDescent="0.25">
      <c r="A109" s="85">
        <v>182</v>
      </c>
      <c r="B109" s="85">
        <v>1</v>
      </c>
      <c r="C109" s="85">
        <v>1</v>
      </c>
      <c r="D109" s="86">
        <v>1</v>
      </c>
      <c r="E109" s="86">
        <v>1</v>
      </c>
      <c r="F109" s="48" t="s">
        <v>131</v>
      </c>
      <c r="G109" s="38" t="s">
        <v>38</v>
      </c>
      <c r="H109" s="87">
        <v>902076.42359999998</v>
      </c>
      <c r="I109" s="87">
        <v>8905328.3544000015</v>
      </c>
      <c r="J109" s="87">
        <v>19044746.393900003</v>
      </c>
      <c r="K109" s="87">
        <v>28352593.429699995</v>
      </c>
      <c r="L109" s="87">
        <v>49538648.505799994</v>
      </c>
      <c r="M109" s="87">
        <v>70137106.421399996</v>
      </c>
      <c r="N109" s="87">
        <v>86716853.303600013</v>
      </c>
      <c r="O109" s="87">
        <v>100264110.22149999</v>
      </c>
      <c r="P109" s="87">
        <v>85264110.221499994</v>
      </c>
      <c r="Q109" s="46" t="s">
        <v>13</v>
      </c>
    </row>
    <row r="110" spans="1:17" x14ac:dyDescent="0.25">
      <c r="A110" s="89">
        <v>183</v>
      </c>
      <c r="B110" s="89">
        <v>1</v>
      </c>
      <c r="C110" s="89">
        <v>1</v>
      </c>
      <c r="D110" s="90">
        <v>1</v>
      </c>
      <c r="E110" s="90">
        <v>1</v>
      </c>
      <c r="F110" s="48" t="s">
        <v>132</v>
      </c>
      <c r="G110" s="38" t="s">
        <v>38</v>
      </c>
      <c r="H110" s="87">
        <v>966438.74339999992</v>
      </c>
      <c r="I110" s="87">
        <v>8677234.5694999993</v>
      </c>
      <c r="J110" s="87">
        <v>18087104.803199999</v>
      </c>
      <c r="K110" s="87">
        <v>29282069.437500007</v>
      </c>
      <c r="L110" s="87">
        <v>53117111.272500008</v>
      </c>
      <c r="M110" s="87">
        <v>61459933.650699988</v>
      </c>
      <c r="N110" s="87">
        <v>62431647.127300009</v>
      </c>
      <c r="O110" s="87">
        <v>62431647.127300009</v>
      </c>
      <c r="P110" s="87">
        <v>47431647.127300009</v>
      </c>
      <c r="Q110" s="46" t="s">
        <v>13</v>
      </c>
    </row>
    <row r="111" spans="1:17" x14ac:dyDescent="0.25">
      <c r="A111" s="89">
        <v>184</v>
      </c>
      <c r="B111" s="89">
        <v>1</v>
      </c>
      <c r="C111" s="89">
        <v>1</v>
      </c>
      <c r="D111" s="90">
        <v>1</v>
      </c>
      <c r="E111" s="90">
        <v>1</v>
      </c>
      <c r="F111" s="48" t="s">
        <v>133</v>
      </c>
      <c r="G111" s="38" t="s">
        <v>38</v>
      </c>
      <c r="H111" s="87">
        <v>3292225.8681999999</v>
      </c>
      <c r="I111" s="87">
        <v>14115445.820500001</v>
      </c>
      <c r="J111" s="87">
        <v>26801368.527499992</v>
      </c>
      <c r="K111" s="87">
        <v>40495678.636900008</v>
      </c>
      <c r="L111" s="87">
        <v>69674441.933000013</v>
      </c>
      <c r="M111" s="87">
        <v>98627878.063999966</v>
      </c>
      <c r="N111" s="87">
        <v>120897532.19479994</v>
      </c>
      <c r="O111" s="87">
        <v>131835522.79810001</v>
      </c>
      <c r="P111" s="87">
        <v>116835522.79810001</v>
      </c>
      <c r="Q111" s="46" t="s">
        <v>13</v>
      </c>
    </row>
    <row r="112" spans="1:17" x14ac:dyDescent="0.25">
      <c r="A112" s="89">
        <v>185</v>
      </c>
      <c r="B112" s="89">
        <v>1</v>
      </c>
      <c r="C112" s="89">
        <v>1</v>
      </c>
      <c r="D112" s="90">
        <v>1</v>
      </c>
      <c r="E112" s="90">
        <v>1</v>
      </c>
      <c r="F112" s="48" t="s">
        <v>134</v>
      </c>
      <c r="G112" s="38" t="s">
        <v>38</v>
      </c>
      <c r="H112" s="87">
        <v>1298302.7351000002</v>
      </c>
      <c r="I112" s="87">
        <v>11609648.323900001</v>
      </c>
      <c r="J112" s="87">
        <v>24056208.641399994</v>
      </c>
      <c r="K112" s="87">
        <v>38501741.842099994</v>
      </c>
      <c r="L112" s="87">
        <v>65617859.787200004</v>
      </c>
      <c r="M112" s="87">
        <v>74812629.343899995</v>
      </c>
      <c r="N112" s="87">
        <v>74812629.34389998</v>
      </c>
      <c r="O112" s="87">
        <v>74812629.34389998</v>
      </c>
      <c r="P112" s="87">
        <v>59812629.34389998</v>
      </c>
      <c r="Q112" s="46" t="s">
        <v>13</v>
      </c>
    </row>
    <row r="113" spans="1:17" x14ac:dyDescent="0.25">
      <c r="A113" s="89">
        <v>186</v>
      </c>
      <c r="B113" s="89">
        <v>1</v>
      </c>
      <c r="C113" s="89">
        <v>1</v>
      </c>
      <c r="D113" s="90">
        <v>1</v>
      </c>
      <c r="E113" s="90">
        <v>1</v>
      </c>
      <c r="F113" s="48" t="s">
        <v>135</v>
      </c>
      <c r="G113" s="38" t="s">
        <v>38</v>
      </c>
      <c r="H113" s="87">
        <v>859431.22620000003</v>
      </c>
      <c r="I113" s="87">
        <v>7552062.0144999996</v>
      </c>
      <c r="J113" s="87">
        <v>15405796.836399999</v>
      </c>
      <c r="K113" s="87">
        <v>23428967.222100001</v>
      </c>
      <c r="L113" s="87">
        <v>44424005.417300001</v>
      </c>
      <c r="M113" s="87">
        <v>57071062.570400007</v>
      </c>
      <c r="N113" s="87">
        <v>57071062.5704</v>
      </c>
      <c r="O113" s="87">
        <v>57071062.5704</v>
      </c>
      <c r="P113" s="87">
        <v>42071062.5704</v>
      </c>
      <c r="Q113" s="46" t="s">
        <v>13</v>
      </c>
    </row>
    <row r="114" spans="1:17" x14ac:dyDescent="0.25">
      <c r="A114" s="89">
        <v>187</v>
      </c>
      <c r="B114" s="89">
        <v>1</v>
      </c>
      <c r="C114" s="89">
        <v>1</v>
      </c>
      <c r="D114" s="90">
        <v>1</v>
      </c>
      <c r="E114" s="90">
        <v>1</v>
      </c>
      <c r="F114" s="48" t="s">
        <v>136</v>
      </c>
      <c r="G114" s="38" t="s">
        <v>38</v>
      </c>
      <c r="H114" s="87">
        <v>2213798.3827000004</v>
      </c>
      <c r="I114" s="87">
        <v>10319521.597400002</v>
      </c>
      <c r="J114" s="87">
        <v>19941816.866099998</v>
      </c>
      <c r="K114" s="87">
        <v>29530804.550199997</v>
      </c>
      <c r="L114" s="87">
        <v>49483650.234699994</v>
      </c>
      <c r="M114" s="87">
        <v>55781839.436399996</v>
      </c>
      <c r="N114" s="87">
        <v>55781839.436399989</v>
      </c>
      <c r="O114" s="87">
        <v>55781839.436399996</v>
      </c>
      <c r="P114" s="87">
        <v>40781839.436399996</v>
      </c>
      <c r="Q114" s="46" t="s">
        <v>13</v>
      </c>
    </row>
    <row r="115" spans="1:17" x14ac:dyDescent="0.25">
      <c r="A115" s="89">
        <v>188</v>
      </c>
      <c r="B115" s="89">
        <v>1</v>
      </c>
      <c r="C115" s="89">
        <v>1</v>
      </c>
      <c r="D115" s="90">
        <v>1</v>
      </c>
      <c r="E115" s="90">
        <v>1</v>
      </c>
      <c r="F115" s="48" t="s">
        <v>137</v>
      </c>
      <c r="G115" s="38" t="s">
        <v>38</v>
      </c>
      <c r="H115" s="87">
        <v>2517207.8646</v>
      </c>
      <c r="I115" s="87">
        <v>10920294.678400002</v>
      </c>
      <c r="J115" s="87">
        <v>20515754.019700006</v>
      </c>
      <c r="K115" s="87">
        <v>32030715.455499999</v>
      </c>
      <c r="L115" s="87">
        <v>56635802.359599993</v>
      </c>
      <c r="M115" s="87">
        <v>73931041.97829999</v>
      </c>
      <c r="N115" s="87">
        <v>74303919.982799992</v>
      </c>
      <c r="O115" s="87">
        <v>74303919.982800007</v>
      </c>
      <c r="P115" s="87">
        <v>59303919.982800007</v>
      </c>
      <c r="Q115" s="46" t="s">
        <v>13</v>
      </c>
    </row>
    <row r="116" spans="1:17" x14ac:dyDescent="0.25">
      <c r="A116" s="89">
        <v>189</v>
      </c>
      <c r="B116" s="89">
        <v>1</v>
      </c>
      <c r="C116" s="89">
        <v>1</v>
      </c>
      <c r="D116" s="90">
        <v>1</v>
      </c>
      <c r="E116" s="90">
        <v>1</v>
      </c>
      <c r="F116" s="48" t="s">
        <v>138</v>
      </c>
      <c r="G116" s="38" t="s">
        <v>38</v>
      </c>
      <c r="H116" s="87">
        <v>1003250.5098000001</v>
      </c>
      <c r="I116" s="87">
        <v>9053269.7653000001</v>
      </c>
      <c r="J116" s="87">
        <v>19143554.2456</v>
      </c>
      <c r="K116" s="87">
        <v>30626310.046399996</v>
      </c>
      <c r="L116" s="87">
        <v>49117882.071699984</v>
      </c>
      <c r="M116" s="87">
        <v>49117882.071699984</v>
      </c>
      <c r="N116" s="87">
        <v>49117882.071699992</v>
      </c>
      <c r="O116" s="87">
        <v>49117882.071699992</v>
      </c>
      <c r="P116" s="87">
        <v>34117882.071699992</v>
      </c>
      <c r="Q116" s="46" t="s">
        <v>13</v>
      </c>
    </row>
    <row r="117" spans="1:17" x14ac:dyDescent="0.25">
      <c r="A117" s="89">
        <v>190</v>
      </c>
      <c r="B117" s="89">
        <v>1</v>
      </c>
      <c r="C117" s="89">
        <v>1</v>
      </c>
      <c r="D117" s="90">
        <v>1</v>
      </c>
      <c r="E117" s="90">
        <v>1</v>
      </c>
      <c r="F117" s="48" t="s">
        <v>139</v>
      </c>
      <c r="G117" s="38" t="s">
        <v>38</v>
      </c>
      <c r="H117" s="87">
        <v>1821201.9578000002</v>
      </c>
      <c r="I117" s="87">
        <v>11716697.7488</v>
      </c>
      <c r="J117" s="87">
        <v>22952432.447900001</v>
      </c>
      <c r="K117" s="87">
        <v>35801533.095100001</v>
      </c>
      <c r="L117" s="87">
        <v>62874189.042500004</v>
      </c>
      <c r="M117" s="87">
        <v>86915729.653600007</v>
      </c>
      <c r="N117" s="87">
        <v>107034603.61819997</v>
      </c>
      <c r="O117" s="87">
        <v>130333625.40369995</v>
      </c>
      <c r="P117" s="87">
        <v>115333625.40369995</v>
      </c>
      <c r="Q117" s="46" t="s">
        <v>13</v>
      </c>
    </row>
    <row r="118" spans="1:17" x14ac:dyDescent="0.25">
      <c r="A118" s="89">
        <v>191</v>
      </c>
      <c r="B118" s="89">
        <v>1</v>
      </c>
      <c r="C118" s="89">
        <v>1</v>
      </c>
      <c r="D118" s="90">
        <v>1</v>
      </c>
      <c r="E118" s="90">
        <v>1</v>
      </c>
      <c r="F118" s="48" t="s">
        <v>140</v>
      </c>
      <c r="G118" s="38" t="s">
        <v>38</v>
      </c>
      <c r="H118" s="87">
        <v>1440034.8533000001</v>
      </c>
      <c r="I118" s="87">
        <v>10253376.763999999</v>
      </c>
      <c r="J118" s="87">
        <v>21984848.069899999</v>
      </c>
      <c r="K118" s="87">
        <v>34687795.527000003</v>
      </c>
      <c r="L118" s="87">
        <v>61806406.479399994</v>
      </c>
      <c r="M118" s="87">
        <v>89271143.82159999</v>
      </c>
      <c r="N118" s="87">
        <v>99365697.512899995</v>
      </c>
      <c r="O118" s="87">
        <v>99365697.512899995</v>
      </c>
      <c r="P118" s="87">
        <v>84365697.512899995</v>
      </c>
      <c r="Q118" s="46" t="s">
        <v>13</v>
      </c>
    </row>
    <row r="119" spans="1:17" x14ac:dyDescent="0.25">
      <c r="A119" s="89">
        <v>192</v>
      </c>
      <c r="B119" s="89">
        <v>1</v>
      </c>
      <c r="C119" s="89">
        <v>1</v>
      </c>
      <c r="D119" s="90">
        <v>1</v>
      </c>
      <c r="E119" s="90">
        <v>1</v>
      </c>
      <c r="F119" s="48" t="s">
        <v>141</v>
      </c>
      <c r="G119" s="38" t="s">
        <v>38</v>
      </c>
      <c r="H119" s="87">
        <v>3490312.6297000004</v>
      </c>
      <c r="I119" s="87">
        <v>12005964.7546</v>
      </c>
      <c r="J119" s="87">
        <v>21188851.910099998</v>
      </c>
      <c r="K119" s="87">
        <v>30747542.028099999</v>
      </c>
      <c r="L119" s="87">
        <v>45326089.89320001</v>
      </c>
      <c r="M119" s="87">
        <v>46842079.248199999</v>
      </c>
      <c r="N119" s="87">
        <v>47075644.5506</v>
      </c>
      <c r="O119" s="87">
        <v>47075644.550599992</v>
      </c>
      <c r="P119" s="87">
        <v>32075644.550599992</v>
      </c>
      <c r="Q119" s="46" t="s">
        <v>13</v>
      </c>
    </row>
    <row r="120" spans="1:17" x14ac:dyDescent="0.25">
      <c r="A120" s="89">
        <v>193</v>
      </c>
      <c r="B120" s="89">
        <v>1</v>
      </c>
      <c r="C120" s="89">
        <v>1</v>
      </c>
      <c r="D120" s="90">
        <v>1</v>
      </c>
      <c r="E120" s="90">
        <v>1</v>
      </c>
      <c r="F120" s="48" t="s">
        <v>142</v>
      </c>
      <c r="G120" s="38" t="s">
        <v>38</v>
      </c>
      <c r="H120" s="87">
        <v>1149465.571</v>
      </c>
      <c r="I120" s="87">
        <v>7784241.4283000017</v>
      </c>
      <c r="J120" s="87">
        <v>17102369.8288</v>
      </c>
      <c r="K120" s="87">
        <v>27228479.287</v>
      </c>
      <c r="L120" s="87">
        <v>49822506.6241</v>
      </c>
      <c r="M120" s="87">
        <v>57865736.816900015</v>
      </c>
      <c r="N120" s="87">
        <v>58000986.657099992</v>
      </c>
      <c r="O120" s="87">
        <v>58128722.616499998</v>
      </c>
      <c r="P120" s="87">
        <v>43128722.616499998</v>
      </c>
      <c r="Q120" s="46" t="s">
        <v>13</v>
      </c>
    </row>
    <row r="121" spans="1:17" x14ac:dyDescent="0.25">
      <c r="A121" s="89">
        <v>194</v>
      </c>
      <c r="B121" s="89">
        <v>1</v>
      </c>
      <c r="C121" s="89">
        <v>1</v>
      </c>
      <c r="D121" s="90">
        <v>1</v>
      </c>
      <c r="E121" s="90">
        <v>1</v>
      </c>
      <c r="F121" s="48" t="s">
        <v>143</v>
      </c>
      <c r="G121" s="38" t="s">
        <v>38</v>
      </c>
      <c r="H121" s="87">
        <v>2338227.3826000001</v>
      </c>
      <c r="I121" s="87">
        <v>11777998.258400001</v>
      </c>
      <c r="J121" s="87">
        <v>23449589.411800001</v>
      </c>
      <c r="K121" s="87">
        <v>36889664.926999994</v>
      </c>
      <c r="L121" s="87">
        <v>65685338.900100008</v>
      </c>
      <c r="M121" s="87">
        <v>92757660.64199999</v>
      </c>
      <c r="N121" s="87">
        <v>104058329.22149998</v>
      </c>
      <c r="O121" s="87">
        <v>104058329.22149998</v>
      </c>
      <c r="P121" s="87">
        <v>89058329.221499979</v>
      </c>
      <c r="Q121" s="46" t="s">
        <v>13</v>
      </c>
    </row>
    <row r="122" spans="1:17" x14ac:dyDescent="0.25">
      <c r="A122" s="89">
        <v>195</v>
      </c>
      <c r="B122" s="89">
        <v>1</v>
      </c>
      <c r="C122" s="89">
        <v>1</v>
      </c>
      <c r="D122" s="90">
        <v>1</v>
      </c>
      <c r="E122" s="90">
        <v>1</v>
      </c>
      <c r="F122" s="48" t="s">
        <v>144</v>
      </c>
      <c r="G122" s="38" t="s">
        <v>38</v>
      </c>
      <c r="H122" s="87">
        <v>2166324.8692999999</v>
      </c>
      <c r="I122" s="87">
        <v>11768505.7259</v>
      </c>
      <c r="J122" s="87">
        <v>23605793.916299999</v>
      </c>
      <c r="K122" s="87">
        <v>36486014.624499999</v>
      </c>
      <c r="L122" s="87">
        <v>65519427.91650001</v>
      </c>
      <c r="M122" s="87">
        <v>95863630.252599984</v>
      </c>
      <c r="N122" s="87">
        <v>118379884.25450005</v>
      </c>
      <c r="O122" s="87">
        <v>118379884.25450003</v>
      </c>
      <c r="P122" s="87">
        <v>103379884.25450003</v>
      </c>
      <c r="Q122" s="46" t="s">
        <v>13</v>
      </c>
    </row>
    <row r="123" spans="1:17" x14ac:dyDescent="0.25">
      <c r="A123" s="89">
        <v>196</v>
      </c>
      <c r="B123" s="89">
        <v>1</v>
      </c>
      <c r="C123" s="89">
        <v>1</v>
      </c>
      <c r="D123" s="90">
        <v>1</v>
      </c>
      <c r="E123" s="90">
        <v>1</v>
      </c>
      <c r="F123" s="48" t="s">
        <v>145</v>
      </c>
      <c r="G123" s="38" t="s">
        <v>38</v>
      </c>
      <c r="H123" s="87">
        <v>1025448.1448</v>
      </c>
      <c r="I123" s="87">
        <v>9740277.216500001</v>
      </c>
      <c r="J123" s="87">
        <v>20406636.1664</v>
      </c>
      <c r="K123" s="87">
        <v>31278259.717100002</v>
      </c>
      <c r="L123" s="87">
        <v>57152869.89949999</v>
      </c>
      <c r="M123" s="87">
        <v>84396092.486400008</v>
      </c>
      <c r="N123" s="87">
        <v>96119229.954099998</v>
      </c>
      <c r="O123" s="87">
        <v>96119229.954100013</v>
      </c>
      <c r="P123" s="87">
        <v>81119229.954100013</v>
      </c>
      <c r="Q123" s="46" t="s">
        <v>13</v>
      </c>
    </row>
    <row r="124" spans="1:17" x14ac:dyDescent="0.25">
      <c r="A124" s="89">
        <v>197</v>
      </c>
      <c r="B124" s="89">
        <v>1</v>
      </c>
      <c r="C124" s="89">
        <v>1</v>
      </c>
      <c r="D124" s="90">
        <v>1</v>
      </c>
      <c r="E124" s="90">
        <v>1</v>
      </c>
      <c r="F124" s="48" t="s">
        <v>146</v>
      </c>
      <c r="G124" s="38" t="s">
        <v>38</v>
      </c>
      <c r="H124" s="87">
        <v>1417607.05</v>
      </c>
      <c r="I124" s="87">
        <v>4962446.790000001</v>
      </c>
      <c r="J124" s="87">
        <v>9263967.5192000009</v>
      </c>
      <c r="K124" s="87">
        <v>14685124.8378</v>
      </c>
      <c r="L124" s="87">
        <v>27719806.560600005</v>
      </c>
      <c r="M124" s="87">
        <v>36326851.984700009</v>
      </c>
      <c r="N124" s="87">
        <v>44971217.338199988</v>
      </c>
      <c r="O124" s="87">
        <v>49789669.568800002</v>
      </c>
      <c r="P124" s="87">
        <v>34789669.568800002</v>
      </c>
      <c r="Q124" s="46" t="s">
        <v>13</v>
      </c>
    </row>
    <row r="125" spans="1:17" x14ac:dyDescent="0.25">
      <c r="A125" s="89">
        <v>198</v>
      </c>
      <c r="B125" s="89">
        <v>1</v>
      </c>
      <c r="C125" s="89">
        <v>1</v>
      </c>
      <c r="D125" s="90">
        <v>1</v>
      </c>
      <c r="E125" s="90">
        <v>1</v>
      </c>
      <c r="F125" s="48" t="s">
        <v>147</v>
      </c>
      <c r="G125" s="38" t="s">
        <v>38</v>
      </c>
      <c r="H125" s="87">
        <v>2118.5446000000002</v>
      </c>
      <c r="I125" s="87">
        <v>66582.030999999988</v>
      </c>
      <c r="J125" s="87">
        <v>115297.40609999999</v>
      </c>
      <c r="K125" s="87">
        <v>159841.93830000001</v>
      </c>
      <c r="L125" s="87">
        <v>219637.08689999999</v>
      </c>
      <c r="M125" s="87">
        <v>238453.10749999998</v>
      </c>
      <c r="N125" s="87">
        <v>238453.10749999998</v>
      </c>
      <c r="O125" s="87">
        <v>238453.10749999998</v>
      </c>
      <c r="P125" s="87">
        <v>0</v>
      </c>
      <c r="Q125" s="46" t="s">
        <v>13</v>
      </c>
    </row>
    <row r="126" spans="1:17" x14ac:dyDescent="0.25">
      <c r="A126" s="89">
        <v>199</v>
      </c>
      <c r="B126" s="89">
        <v>1</v>
      </c>
      <c r="C126" s="89">
        <v>1</v>
      </c>
      <c r="D126" s="90">
        <v>1</v>
      </c>
      <c r="E126" s="90">
        <v>1</v>
      </c>
      <c r="F126" s="48" t="s">
        <v>148</v>
      </c>
      <c r="G126" s="38" t="s">
        <v>38</v>
      </c>
      <c r="H126" s="87">
        <v>2580570.5888000005</v>
      </c>
      <c r="I126" s="87">
        <v>13292139.401800001</v>
      </c>
      <c r="J126" s="87">
        <v>25412140.511600003</v>
      </c>
      <c r="K126" s="87">
        <v>38339819.869800001</v>
      </c>
      <c r="L126" s="87">
        <v>65098206.036200002</v>
      </c>
      <c r="M126" s="87">
        <v>90226456.080300003</v>
      </c>
      <c r="N126" s="87">
        <v>104112468.7772</v>
      </c>
      <c r="O126" s="87">
        <v>112805087.41439998</v>
      </c>
      <c r="P126" s="87">
        <v>97805087.414399981</v>
      </c>
      <c r="Q126" s="46" t="s">
        <v>13</v>
      </c>
    </row>
    <row r="127" spans="1:17" x14ac:dyDescent="0.25">
      <c r="A127" s="89">
        <v>200</v>
      </c>
      <c r="B127" s="89">
        <v>1</v>
      </c>
      <c r="C127" s="89">
        <v>1</v>
      </c>
      <c r="D127" s="90">
        <v>1</v>
      </c>
      <c r="E127" s="90">
        <v>1</v>
      </c>
      <c r="F127" s="48" t="s">
        <v>149</v>
      </c>
      <c r="G127" s="38" t="s">
        <v>38</v>
      </c>
      <c r="H127" s="87">
        <v>2454793.0433</v>
      </c>
      <c r="I127" s="87">
        <v>14553985.009699998</v>
      </c>
      <c r="J127" s="87">
        <v>26388709.8035</v>
      </c>
      <c r="K127" s="87">
        <v>40414173.281899996</v>
      </c>
      <c r="L127" s="87">
        <v>67395411.98210001</v>
      </c>
      <c r="M127" s="87">
        <v>87287518.769300014</v>
      </c>
      <c r="N127" s="87">
        <v>94933294.265500039</v>
      </c>
      <c r="O127" s="87">
        <v>94965296.431500003</v>
      </c>
      <c r="P127" s="87">
        <v>79965296.431500003</v>
      </c>
      <c r="Q127" s="46" t="s">
        <v>13</v>
      </c>
    </row>
    <row r="128" spans="1:17" x14ac:dyDescent="0.25">
      <c r="A128" s="89">
        <v>201</v>
      </c>
      <c r="B128" s="89">
        <v>1</v>
      </c>
      <c r="C128" s="89">
        <v>1</v>
      </c>
      <c r="D128" s="90">
        <v>1</v>
      </c>
      <c r="E128" s="90">
        <v>1</v>
      </c>
      <c r="F128" s="48" t="s">
        <v>150</v>
      </c>
      <c r="G128" s="38" t="s">
        <v>38</v>
      </c>
      <c r="H128" s="87">
        <v>1296909.4942000001</v>
      </c>
      <c r="I128" s="87">
        <v>9963358.8819999993</v>
      </c>
      <c r="J128" s="87">
        <v>19588600.770000003</v>
      </c>
      <c r="K128" s="87">
        <v>29754562.489400003</v>
      </c>
      <c r="L128" s="87">
        <v>34310091.070599988</v>
      </c>
      <c r="M128" s="87">
        <v>34310091.070599996</v>
      </c>
      <c r="N128" s="87">
        <v>34310091.070599996</v>
      </c>
      <c r="O128" s="87">
        <v>34310091.070599988</v>
      </c>
      <c r="P128" s="87">
        <v>19310091.070599988</v>
      </c>
      <c r="Q128" s="46" t="s">
        <v>13</v>
      </c>
    </row>
    <row r="129" spans="1:17" x14ac:dyDescent="0.25">
      <c r="A129" s="89">
        <v>202</v>
      </c>
      <c r="B129" s="89">
        <v>1</v>
      </c>
      <c r="C129" s="89">
        <v>1</v>
      </c>
      <c r="D129" s="90">
        <v>1</v>
      </c>
      <c r="E129" s="90">
        <v>1</v>
      </c>
      <c r="F129" s="48" t="s">
        <v>151</v>
      </c>
      <c r="G129" s="38" t="s">
        <v>38</v>
      </c>
      <c r="H129" s="87">
        <v>2110054.6250999998</v>
      </c>
      <c r="I129" s="87">
        <v>13570440.3397</v>
      </c>
      <c r="J129" s="87">
        <v>28515143.750399996</v>
      </c>
      <c r="K129" s="87">
        <v>46590644.781400003</v>
      </c>
      <c r="L129" s="87">
        <v>82789936.040699989</v>
      </c>
      <c r="M129" s="87">
        <v>113082102.79339999</v>
      </c>
      <c r="N129" s="87">
        <v>124353872.69489996</v>
      </c>
      <c r="O129" s="87">
        <v>124353872.69489998</v>
      </c>
      <c r="P129" s="87">
        <v>109353872.69489998</v>
      </c>
      <c r="Q129" s="46" t="s">
        <v>13</v>
      </c>
    </row>
    <row r="130" spans="1:17" x14ac:dyDescent="0.25">
      <c r="A130" s="89">
        <v>203</v>
      </c>
      <c r="B130" s="89">
        <v>1</v>
      </c>
      <c r="C130" s="89">
        <v>1</v>
      </c>
      <c r="D130" s="90">
        <v>1</v>
      </c>
      <c r="E130" s="90">
        <v>1</v>
      </c>
      <c r="F130" s="48" t="s">
        <v>152</v>
      </c>
      <c r="G130" s="38" t="s">
        <v>38</v>
      </c>
      <c r="H130" s="87">
        <v>380570.37650000007</v>
      </c>
      <c r="I130" s="87">
        <v>7846916.4354000008</v>
      </c>
      <c r="J130" s="87">
        <v>18285639.395099998</v>
      </c>
      <c r="K130" s="87">
        <v>30135632.203999996</v>
      </c>
      <c r="L130" s="87">
        <v>52945476.7007</v>
      </c>
      <c r="M130" s="87">
        <v>75564793.593499959</v>
      </c>
      <c r="N130" s="87">
        <v>93331200.847099975</v>
      </c>
      <c r="O130" s="87">
        <v>112859383.08879998</v>
      </c>
      <c r="P130" s="87">
        <v>97859383.088799983</v>
      </c>
      <c r="Q130" s="46" t="s">
        <v>13</v>
      </c>
    </row>
    <row r="131" spans="1:17" hidden="1" outlineLevel="1" x14ac:dyDescent="0.25">
      <c r="A131" s="89" t="s">
        <v>54</v>
      </c>
      <c r="B131" s="89">
        <v>0</v>
      </c>
      <c r="C131" s="89">
        <v>0</v>
      </c>
      <c r="D131" s="90">
        <v>0</v>
      </c>
      <c r="E131" s="90">
        <v>0</v>
      </c>
      <c r="F131" s="48" t="s">
        <v>50</v>
      </c>
      <c r="G131" s="38" t="s">
        <v>50</v>
      </c>
      <c r="H131" s="87" t="s">
        <v>50</v>
      </c>
      <c r="I131" s="87" t="s">
        <v>50</v>
      </c>
      <c r="J131" s="87" t="s">
        <v>50</v>
      </c>
      <c r="K131" s="87" t="s">
        <v>50</v>
      </c>
      <c r="L131" s="87" t="s">
        <v>50</v>
      </c>
      <c r="M131" s="87" t="s">
        <v>50</v>
      </c>
      <c r="N131" s="87" t="s">
        <v>50</v>
      </c>
      <c r="O131" s="87" t="s">
        <v>50</v>
      </c>
      <c r="P131" s="87" t="s">
        <v>50</v>
      </c>
      <c r="Q131" s="46" t="s">
        <v>13</v>
      </c>
    </row>
    <row r="132" spans="1:17" hidden="1" outlineLevel="1" x14ac:dyDescent="0.25">
      <c r="A132" s="89" t="s">
        <v>54</v>
      </c>
      <c r="B132" s="89">
        <v>0</v>
      </c>
      <c r="C132" s="89">
        <v>0</v>
      </c>
      <c r="D132" s="90">
        <v>0</v>
      </c>
      <c r="E132" s="90">
        <v>0</v>
      </c>
      <c r="F132" s="48" t="s">
        <v>50</v>
      </c>
      <c r="G132" s="38" t="s">
        <v>50</v>
      </c>
      <c r="H132" s="87" t="s">
        <v>50</v>
      </c>
      <c r="I132" s="87" t="s">
        <v>50</v>
      </c>
      <c r="J132" s="87" t="s">
        <v>50</v>
      </c>
      <c r="K132" s="87" t="s">
        <v>50</v>
      </c>
      <c r="L132" s="87" t="s">
        <v>50</v>
      </c>
      <c r="M132" s="87" t="s">
        <v>50</v>
      </c>
      <c r="N132" s="87" t="s">
        <v>50</v>
      </c>
      <c r="O132" s="87" t="s">
        <v>50</v>
      </c>
      <c r="P132" s="87" t="s">
        <v>50</v>
      </c>
      <c r="Q132" s="46" t="s">
        <v>13</v>
      </c>
    </row>
    <row r="133" spans="1:17" hidden="1" outlineLevel="1" x14ac:dyDescent="0.25">
      <c r="A133" s="89" t="s">
        <v>54</v>
      </c>
      <c r="B133" s="89">
        <v>0</v>
      </c>
      <c r="C133" s="89">
        <v>0</v>
      </c>
      <c r="D133" s="90">
        <v>0</v>
      </c>
      <c r="E133" s="90">
        <v>0</v>
      </c>
      <c r="F133" s="48" t="s">
        <v>50</v>
      </c>
      <c r="G133" s="38" t="s">
        <v>50</v>
      </c>
      <c r="H133" s="87" t="s">
        <v>50</v>
      </c>
      <c r="I133" s="87" t="s">
        <v>50</v>
      </c>
      <c r="J133" s="87" t="s">
        <v>50</v>
      </c>
      <c r="K133" s="87" t="s">
        <v>50</v>
      </c>
      <c r="L133" s="87" t="s">
        <v>50</v>
      </c>
      <c r="M133" s="87" t="s">
        <v>50</v>
      </c>
      <c r="N133" s="87" t="s">
        <v>50</v>
      </c>
      <c r="O133" s="87" t="s">
        <v>50</v>
      </c>
      <c r="P133" s="87" t="s">
        <v>50</v>
      </c>
      <c r="Q133" s="46" t="s">
        <v>13</v>
      </c>
    </row>
    <row r="134" spans="1:17" hidden="1" outlineLevel="1" x14ac:dyDescent="0.25">
      <c r="A134" s="89" t="s">
        <v>54</v>
      </c>
      <c r="B134" s="89">
        <v>0</v>
      </c>
      <c r="C134" s="89">
        <v>0</v>
      </c>
      <c r="D134" s="90">
        <v>0</v>
      </c>
      <c r="E134" s="90">
        <v>0</v>
      </c>
      <c r="F134" s="48" t="s">
        <v>50</v>
      </c>
      <c r="G134" s="38" t="s">
        <v>50</v>
      </c>
      <c r="H134" s="87" t="s">
        <v>50</v>
      </c>
      <c r="I134" s="87" t="s">
        <v>50</v>
      </c>
      <c r="J134" s="87" t="s">
        <v>50</v>
      </c>
      <c r="K134" s="87" t="s">
        <v>50</v>
      </c>
      <c r="L134" s="87" t="s">
        <v>50</v>
      </c>
      <c r="M134" s="87" t="s">
        <v>50</v>
      </c>
      <c r="N134" s="87" t="s">
        <v>50</v>
      </c>
      <c r="O134" s="87" t="s">
        <v>50</v>
      </c>
      <c r="P134" s="87" t="s">
        <v>50</v>
      </c>
      <c r="Q134" s="46" t="s">
        <v>13</v>
      </c>
    </row>
    <row r="135" spans="1:17" hidden="1" outlineLevel="1" x14ac:dyDescent="0.25">
      <c r="A135" s="89" t="s">
        <v>54</v>
      </c>
      <c r="B135" s="89">
        <v>0</v>
      </c>
      <c r="C135" s="89">
        <v>0</v>
      </c>
      <c r="D135" s="90">
        <v>0</v>
      </c>
      <c r="E135" s="90">
        <v>0</v>
      </c>
      <c r="F135" s="48" t="s">
        <v>50</v>
      </c>
      <c r="G135" s="38" t="s">
        <v>50</v>
      </c>
      <c r="H135" s="87" t="s">
        <v>50</v>
      </c>
      <c r="I135" s="87" t="s">
        <v>50</v>
      </c>
      <c r="J135" s="87" t="s">
        <v>50</v>
      </c>
      <c r="K135" s="87" t="s">
        <v>50</v>
      </c>
      <c r="L135" s="87" t="s">
        <v>50</v>
      </c>
      <c r="M135" s="87" t="s">
        <v>50</v>
      </c>
      <c r="N135" s="87" t="s">
        <v>50</v>
      </c>
      <c r="O135" s="87" t="s">
        <v>50</v>
      </c>
      <c r="P135" s="87" t="s">
        <v>50</v>
      </c>
      <c r="Q135" s="46" t="s">
        <v>13</v>
      </c>
    </row>
    <row r="136" spans="1:17" hidden="1" outlineLevel="1" x14ac:dyDescent="0.25">
      <c r="A136" s="89" t="s">
        <v>54</v>
      </c>
      <c r="B136" s="89">
        <v>0</v>
      </c>
      <c r="C136" s="89">
        <v>0</v>
      </c>
      <c r="D136" s="90">
        <v>0</v>
      </c>
      <c r="E136" s="90">
        <v>0</v>
      </c>
      <c r="F136" s="48" t="s">
        <v>50</v>
      </c>
      <c r="G136" s="38" t="s">
        <v>50</v>
      </c>
      <c r="H136" s="87" t="s">
        <v>50</v>
      </c>
      <c r="I136" s="87" t="s">
        <v>50</v>
      </c>
      <c r="J136" s="87" t="s">
        <v>50</v>
      </c>
      <c r="K136" s="87" t="s">
        <v>50</v>
      </c>
      <c r="L136" s="87" t="s">
        <v>50</v>
      </c>
      <c r="M136" s="87" t="s">
        <v>50</v>
      </c>
      <c r="N136" s="87" t="s">
        <v>50</v>
      </c>
      <c r="O136" s="87" t="s">
        <v>50</v>
      </c>
      <c r="P136" s="87" t="s">
        <v>50</v>
      </c>
      <c r="Q136" s="46" t="s">
        <v>13</v>
      </c>
    </row>
    <row r="137" spans="1:17" hidden="1" outlineLevel="1" x14ac:dyDescent="0.25">
      <c r="A137" s="89" t="s">
        <v>54</v>
      </c>
      <c r="B137" s="89">
        <v>0</v>
      </c>
      <c r="C137" s="89">
        <v>0</v>
      </c>
      <c r="D137" s="90">
        <v>0</v>
      </c>
      <c r="E137" s="90">
        <v>0</v>
      </c>
      <c r="F137" s="48" t="s">
        <v>50</v>
      </c>
      <c r="G137" s="38" t="s">
        <v>50</v>
      </c>
      <c r="H137" s="87" t="s">
        <v>50</v>
      </c>
      <c r="I137" s="87" t="s">
        <v>50</v>
      </c>
      <c r="J137" s="87" t="s">
        <v>50</v>
      </c>
      <c r="K137" s="87" t="s">
        <v>50</v>
      </c>
      <c r="L137" s="87" t="s">
        <v>50</v>
      </c>
      <c r="M137" s="87" t="s">
        <v>50</v>
      </c>
      <c r="N137" s="87" t="s">
        <v>50</v>
      </c>
      <c r="O137" s="87" t="s">
        <v>50</v>
      </c>
      <c r="P137" s="87" t="s">
        <v>50</v>
      </c>
      <c r="Q137" s="46" t="s">
        <v>13</v>
      </c>
    </row>
    <row r="138" spans="1:17" hidden="1" outlineLevel="1" x14ac:dyDescent="0.25">
      <c r="A138" s="89" t="s">
        <v>54</v>
      </c>
      <c r="B138" s="89">
        <v>0</v>
      </c>
      <c r="C138" s="89">
        <v>0</v>
      </c>
      <c r="D138" s="90">
        <v>0</v>
      </c>
      <c r="E138" s="90">
        <v>0</v>
      </c>
      <c r="F138" s="48" t="s">
        <v>50</v>
      </c>
      <c r="G138" s="38" t="s">
        <v>50</v>
      </c>
      <c r="H138" s="87" t="s">
        <v>50</v>
      </c>
      <c r="I138" s="87" t="s">
        <v>50</v>
      </c>
      <c r="J138" s="87" t="s">
        <v>50</v>
      </c>
      <c r="K138" s="87" t="s">
        <v>50</v>
      </c>
      <c r="L138" s="87" t="s">
        <v>50</v>
      </c>
      <c r="M138" s="87" t="s">
        <v>50</v>
      </c>
      <c r="N138" s="87" t="s">
        <v>50</v>
      </c>
      <c r="O138" s="87" t="s">
        <v>50</v>
      </c>
      <c r="P138" s="87" t="s">
        <v>50</v>
      </c>
      <c r="Q138" s="46" t="s">
        <v>13</v>
      </c>
    </row>
    <row r="139" spans="1:17" hidden="1" outlineLevel="1" x14ac:dyDescent="0.25">
      <c r="A139" s="89" t="s">
        <v>54</v>
      </c>
      <c r="B139" s="89">
        <v>0</v>
      </c>
      <c r="C139" s="89">
        <v>0</v>
      </c>
      <c r="D139" s="90">
        <v>0</v>
      </c>
      <c r="E139" s="90">
        <v>0</v>
      </c>
      <c r="F139" s="48" t="s">
        <v>50</v>
      </c>
      <c r="G139" s="38" t="s">
        <v>50</v>
      </c>
      <c r="H139" s="87" t="s">
        <v>50</v>
      </c>
      <c r="I139" s="87" t="s">
        <v>50</v>
      </c>
      <c r="J139" s="87" t="s">
        <v>50</v>
      </c>
      <c r="K139" s="87" t="s">
        <v>50</v>
      </c>
      <c r="L139" s="87" t="s">
        <v>50</v>
      </c>
      <c r="M139" s="87" t="s">
        <v>50</v>
      </c>
      <c r="N139" s="87" t="s">
        <v>50</v>
      </c>
      <c r="O139" s="87" t="s">
        <v>50</v>
      </c>
      <c r="P139" s="87" t="s">
        <v>50</v>
      </c>
      <c r="Q139" s="46" t="s">
        <v>13</v>
      </c>
    </row>
    <row r="140" spans="1:17" hidden="1" outlineLevel="1" x14ac:dyDescent="0.25">
      <c r="A140" s="89" t="s">
        <v>54</v>
      </c>
      <c r="B140" s="89">
        <v>0</v>
      </c>
      <c r="C140" s="89">
        <v>0</v>
      </c>
      <c r="D140" s="90">
        <v>0</v>
      </c>
      <c r="E140" s="90">
        <v>0</v>
      </c>
      <c r="F140" s="48" t="s">
        <v>50</v>
      </c>
      <c r="G140" s="38" t="s">
        <v>50</v>
      </c>
      <c r="H140" s="87" t="s">
        <v>50</v>
      </c>
      <c r="I140" s="87" t="s">
        <v>50</v>
      </c>
      <c r="J140" s="87" t="s">
        <v>50</v>
      </c>
      <c r="K140" s="87" t="s">
        <v>50</v>
      </c>
      <c r="L140" s="87" t="s">
        <v>50</v>
      </c>
      <c r="M140" s="87" t="s">
        <v>50</v>
      </c>
      <c r="N140" s="87" t="s">
        <v>50</v>
      </c>
      <c r="O140" s="87" t="s">
        <v>50</v>
      </c>
      <c r="P140" s="87" t="s">
        <v>50</v>
      </c>
      <c r="Q140" s="46" t="s">
        <v>13</v>
      </c>
    </row>
    <row r="141" spans="1:17" hidden="1" outlineLevel="1" x14ac:dyDescent="0.25">
      <c r="A141" s="89" t="s">
        <v>54</v>
      </c>
      <c r="B141" s="89">
        <v>0</v>
      </c>
      <c r="C141" s="89">
        <v>0</v>
      </c>
      <c r="D141" s="90">
        <v>0</v>
      </c>
      <c r="E141" s="90">
        <v>0</v>
      </c>
      <c r="F141" s="48" t="s">
        <v>50</v>
      </c>
      <c r="G141" s="38" t="s">
        <v>50</v>
      </c>
      <c r="H141" s="87" t="s">
        <v>50</v>
      </c>
      <c r="I141" s="87" t="s">
        <v>50</v>
      </c>
      <c r="J141" s="87" t="s">
        <v>50</v>
      </c>
      <c r="K141" s="87" t="s">
        <v>50</v>
      </c>
      <c r="L141" s="87" t="s">
        <v>50</v>
      </c>
      <c r="M141" s="87" t="s">
        <v>50</v>
      </c>
      <c r="N141" s="87" t="s">
        <v>50</v>
      </c>
      <c r="O141" s="87" t="s">
        <v>50</v>
      </c>
      <c r="P141" s="87" t="s">
        <v>50</v>
      </c>
      <c r="Q141" s="46" t="s">
        <v>13</v>
      </c>
    </row>
    <row r="142" spans="1:17" hidden="1" outlineLevel="1" x14ac:dyDescent="0.25">
      <c r="A142" s="89" t="s">
        <v>54</v>
      </c>
      <c r="B142" s="89">
        <v>0</v>
      </c>
      <c r="C142" s="89">
        <v>0</v>
      </c>
      <c r="D142" s="90">
        <v>0</v>
      </c>
      <c r="E142" s="90">
        <v>0</v>
      </c>
      <c r="F142" s="48" t="s">
        <v>50</v>
      </c>
      <c r="G142" s="38" t="s">
        <v>50</v>
      </c>
      <c r="H142" s="87" t="s">
        <v>50</v>
      </c>
      <c r="I142" s="87" t="s">
        <v>50</v>
      </c>
      <c r="J142" s="87" t="s">
        <v>50</v>
      </c>
      <c r="K142" s="87" t="s">
        <v>50</v>
      </c>
      <c r="L142" s="87" t="s">
        <v>50</v>
      </c>
      <c r="M142" s="87" t="s">
        <v>50</v>
      </c>
      <c r="N142" s="87" t="s">
        <v>50</v>
      </c>
      <c r="O142" s="87" t="s">
        <v>50</v>
      </c>
      <c r="P142" s="87" t="s">
        <v>50</v>
      </c>
      <c r="Q142" s="46" t="s">
        <v>13</v>
      </c>
    </row>
    <row r="143" spans="1:17" hidden="1" outlineLevel="1" x14ac:dyDescent="0.25">
      <c r="A143" s="89" t="s">
        <v>54</v>
      </c>
      <c r="B143" s="89">
        <v>0</v>
      </c>
      <c r="C143" s="89">
        <v>0</v>
      </c>
      <c r="D143" s="90">
        <v>0</v>
      </c>
      <c r="E143" s="90">
        <v>0</v>
      </c>
      <c r="F143" s="48" t="s">
        <v>50</v>
      </c>
      <c r="G143" s="38" t="s">
        <v>50</v>
      </c>
      <c r="H143" s="87" t="s">
        <v>50</v>
      </c>
      <c r="I143" s="87" t="s">
        <v>50</v>
      </c>
      <c r="J143" s="87" t="s">
        <v>50</v>
      </c>
      <c r="K143" s="87" t="s">
        <v>50</v>
      </c>
      <c r="L143" s="87" t="s">
        <v>50</v>
      </c>
      <c r="M143" s="87" t="s">
        <v>50</v>
      </c>
      <c r="N143" s="87" t="s">
        <v>50</v>
      </c>
      <c r="O143" s="87" t="s">
        <v>50</v>
      </c>
      <c r="P143" s="87" t="s">
        <v>50</v>
      </c>
      <c r="Q143" s="46" t="s">
        <v>13</v>
      </c>
    </row>
    <row r="144" spans="1:17" hidden="1" outlineLevel="1" x14ac:dyDescent="0.25">
      <c r="A144" s="89" t="s">
        <v>54</v>
      </c>
      <c r="B144" s="89">
        <v>0</v>
      </c>
      <c r="C144" s="89">
        <v>0</v>
      </c>
      <c r="D144" s="90">
        <v>0</v>
      </c>
      <c r="E144" s="90">
        <v>0</v>
      </c>
      <c r="F144" s="48" t="s">
        <v>50</v>
      </c>
      <c r="G144" s="38" t="s">
        <v>50</v>
      </c>
      <c r="H144" s="87" t="s">
        <v>50</v>
      </c>
      <c r="I144" s="87" t="s">
        <v>50</v>
      </c>
      <c r="J144" s="87" t="s">
        <v>50</v>
      </c>
      <c r="K144" s="87" t="s">
        <v>50</v>
      </c>
      <c r="L144" s="87" t="s">
        <v>50</v>
      </c>
      <c r="M144" s="87" t="s">
        <v>50</v>
      </c>
      <c r="N144" s="87" t="s">
        <v>50</v>
      </c>
      <c r="O144" s="87" t="s">
        <v>50</v>
      </c>
      <c r="P144" s="87" t="s">
        <v>50</v>
      </c>
      <c r="Q144" s="46" t="s">
        <v>13</v>
      </c>
    </row>
    <row r="145" spans="1:17" hidden="1" outlineLevel="1" x14ac:dyDescent="0.25">
      <c r="A145" s="89" t="s">
        <v>54</v>
      </c>
      <c r="B145" s="89">
        <v>0</v>
      </c>
      <c r="C145" s="89">
        <v>0</v>
      </c>
      <c r="D145" s="90">
        <v>0</v>
      </c>
      <c r="E145" s="90">
        <v>0</v>
      </c>
      <c r="F145" s="48" t="s">
        <v>50</v>
      </c>
      <c r="G145" s="38" t="s">
        <v>50</v>
      </c>
      <c r="H145" s="87" t="s">
        <v>50</v>
      </c>
      <c r="I145" s="87" t="s">
        <v>50</v>
      </c>
      <c r="J145" s="87" t="s">
        <v>50</v>
      </c>
      <c r="K145" s="87" t="s">
        <v>50</v>
      </c>
      <c r="L145" s="87" t="s">
        <v>50</v>
      </c>
      <c r="M145" s="87" t="s">
        <v>50</v>
      </c>
      <c r="N145" s="87" t="s">
        <v>50</v>
      </c>
      <c r="O145" s="87" t="s">
        <v>50</v>
      </c>
      <c r="P145" s="87" t="s">
        <v>50</v>
      </c>
      <c r="Q145" s="46" t="s">
        <v>13</v>
      </c>
    </row>
    <row r="146" spans="1:17" hidden="1" outlineLevel="1" x14ac:dyDescent="0.25">
      <c r="A146" s="89" t="s">
        <v>54</v>
      </c>
      <c r="B146" s="89">
        <v>0</v>
      </c>
      <c r="C146" s="89">
        <v>0</v>
      </c>
      <c r="D146" s="90">
        <v>0</v>
      </c>
      <c r="E146" s="90">
        <v>0</v>
      </c>
      <c r="F146" s="48" t="s">
        <v>50</v>
      </c>
      <c r="G146" s="38" t="s">
        <v>50</v>
      </c>
      <c r="H146" s="87" t="s">
        <v>50</v>
      </c>
      <c r="I146" s="87" t="s">
        <v>50</v>
      </c>
      <c r="J146" s="87" t="s">
        <v>50</v>
      </c>
      <c r="K146" s="87" t="s">
        <v>50</v>
      </c>
      <c r="L146" s="87" t="s">
        <v>50</v>
      </c>
      <c r="M146" s="87" t="s">
        <v>50</v>
      </c>
      <c r="N146" s="87" t="s">
        <v>50</v>
      </c>
      <c r="O146" s="87" t="s">
        <v>50</v>
      </c>
      <c r="P146" s="87" t="s">
        <v>50</v>
      </c>
      <c r="Q146" s="46" t="s">
        <v>13</v>
      </c>
    </row>
    <row r="147" spans="1:17" hidden="1" outlineLevel="1" x14ac:dyDescent="0.25">
      <c r="A147" s="89" t="s">
        <v>54</v>
      </c>
      <c r="B147" s="89">
        <v>0</v>
      </c>
      <c r="C147" s="89">
        <v>0</v>
      </c>
      <c r="D147" s="90">
        <v>0</v>
      </c>
      <c r="E147" s="90">
        <v>0</v>
      </c>
      <c r="F147" s="48" t="s">
        <v>50</v>
      </c>
      <c r="G147" s="38" t="s">
        <v>50</v>
      </c>
      <c r="H147" s="87" t="s">
        <v>50</v>
      </c>
      <c r="I147" s="87" t="s">
        <v>50</v>
      </c>
      <c r="J147" s="87" t="s">
        <v>50</v>
      </c>
      <c r="K147" s="87" t="s">
        <v>50</v>
      </c>
      <c r="L147" s="87" t="s">
        <v>50</v>
      </c>
      <c r="M147" s="87" t="s">
        <v>50</v>
      </c>
      <c r="N147" s="87" t="s">
        <v>50</v>
      </c>
      <c r="O147" s="87" t="s">
        <v>50</v>
      </c>
      <c r="P147" s="87" t="s">
        <v>50</v>
      </c>
      <c r="Q147" s="46" t="s">
        <v>13</v>
      </c>
    </row>
    <row r="148" spans="1:17" hidden="1" outlineLevel="1" x14ac:dyDescent="0.25">
      <c r="A148" s="89" t="s">
        <v>54</v>
      </c>
      <c r="B148" s="89">
        <v>0</v>
      </c>
      <c r="C148" s="89">
        <v>0</v>
      </c>
      <c r="D148" s="90">
        <v>0</v>
      </c>
      <c r="E148" s="90">
        <v>0</v>
      </c>
      <c r="F148" s="48" t="s">
        <v>50</v>
      </c>
      <c r="G148" s="38" t="s">
        <v>50</v>
      </c>
      <c r="H148" s="87" t="s">
        <v>50</v>
      </c>
      <c r="I148" s="87" t="s">
        <v>50</v>
      </c>
      <c r="J148" s="87" t="s">
        <v>50</v>
      </c>
      <c r="K148" s="87" t="s">
        <v>50</v>
      </c>
      <c r="L148" s="87" t="s">
        <v>50</v>
      </c>
      <c r="M148" s="87" t="s">
        <v>50</v>
      </c>
      <c r="N148" s="87" t="s">
        <v>50</v>
      </c>
      <c r="O148" s="87" t="s">
        <v>50</v>
      </c>
      <c r="P148" s="87" t="s">
        <v>50</v>
      </c>
      <c r="Q148" s="46" t="s">
        <v>13</v>
      </c>
    </row>
    <row r="149" spans="1:17" collapsed="1" x14ac:dyDescent="0.25">
      <c r="A149" s="159" t="s">
        <v>42</v>
      </c>
      <c r="B149" s="160"/>
      <c r="C149" s="160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60"/>
    </row>
  </sheetData>
  <conditionalFormatting sqref="A14:C93 A95:C148">
    <cfRule type="expression" dxfId="6" priority="20">
      <formula>SEARCH("Error",$A14,1)&gt;0</formula>
    </cfRule>
  </conditionalFormatting>
  <conditionalFormatting sqref="F95:F148 F14:F93">
    <cfRule type="duplicateValues" dxfId="5" priority="8"/>
  </conditionalFormatting>
  <conditionalFormatting sqref="A14:P93 A95:P148">
    <cfRule type="expression" dxfId="4" priority="7">
      <formula>$F14=""</formula>
    </cfRule>
    <cfRule type="expression" dxfId="3" priority="21" stopIfTrue="1">
      <formula>EVEN((SUBTOTAL(3,$A$14:$A14)))=SUBTOTAL(3,$A$14:$A14)</formula>
    </cfRule>
  </conditionalFormatting>
  <conditionalFormatting sqref="H12:P12">
    <cfRule type="expression" dxfId="2" priority="18">
      <formula>H12=OFFSET(H12,0,-1)=FALSE</formula>
    </cfRule>
  </conditionalFormatting>
  <conditionalFormatting sqref="A14:P93 A95:P148">
    <cfRule type="expression" dxfId="1" priority="17">
      <formula>ISBLANK(A14)</formula>
    </cfRule>
  </conditionalFormatting>
  <conditionalFormatting sqref="A7:E7">
    <cfRule type="expression" dxfId="0" priority="67">
      <formula>COUNTA($A$14:$A$148)=SUBTOTAL(3,$A$14:$A$148)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Layer Comparison</vt:lpstr>
      <vt:lpstr>Sheet1</vt:lpstr>
      <vt:lpstr>'Layer Comparison'!Dyn_Insured</vt:lpstr>
      <vt:lpstr>'Layer Comparison'!Excess_Latest</vt:lpstr>
      <vt:lpstr>'Layer Comparison'!Excess_Past</vt:lpstr>
      <vt:lpstr>'Layer Comparison'!Limit_Latest</vt:lpstr>
      <vt:lpstr>'Layer Comparison'!Limit_Past</vt:lpstr>
      <vt:lpstr>'Layer Comparison'!Print_Area</vt:lpstr>
      <vt:lpstr>'Layer Comparison'!Print_Titles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Wooding, Hamish</dc:creator>
  <cp:lastModifiedBy>craig scott</cp:lastModifiedBy>
  <dcterms:created xsi:type="dcterms:W3CDTF">2021-11-02T16:13:26Z</dcterms:created>
  <dcterms:modified xsi:type="dcterms:W3CDTF">2022-11-17T14:49:55Z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2021-11-02T16:13:28Z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e01db516-3cea-4071-945f-6d8ef002b53f</vt:lpwstr>
  </property>
  <property fmtid="{D5CDD505-2E9C-101B-9397-08002B2CF9AE}" pid="8" name="MSIP_Label_d347b247-e90e-43a3-9d7b-004f14ae6873_ContentBits">
    <vt:lpwstr>0</vt:lpwstr>
  </property>
</Properties>
</file>