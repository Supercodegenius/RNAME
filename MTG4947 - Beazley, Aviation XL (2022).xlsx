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S:\4. REINSURANCE\3. Specialty\~Miscellaneous\ALPS\ALPS Data\Schedules ABC &amp; Loss Ladders\"/>
    </mc:Choice>
  </mc:AlternateContent>
  <xr:revisionPtr revIDLastSave="0" documentId="13_ncr:1_{C49D8B4D-085C-480C-B81F-A95BE7A0F0A8}" xr6:coauthVersionLast="47" xr6:coauthVersionMax="47" xr10:uidLastSave="{00000000-0000-0000-0000-000000000000}"/>
  <bookViews>
    <workbookView xWindow="28680" yWindow="-120" windowWidth="29040" windowHeight="15840" tabRatio="916" firstSheet="1" activeTab="3" xr2:uid="{00000000-000D-0000-FFFF-FFFF00000000}"/>
  </bookViews>
  <sheets>
    <sheet name="#Version# (Hide)" sheetId="21" state="hidden" r:id="rId1"/>
    <sheet name="Schedule ABC" sheetId="31" r:id="rId2"/>
    <sheet name="Schedule ABC  | Audit Notes" sheetId="10" r:id="rId3"/>
    <sheet name="Supplementary Insureds" sheetId="32" r:id="rId4"/>
    <sheet name="Lookups and Validations (Hide)" sheetId="20" state="hidden" r:id="rId5"/>
  </sheets>
  <definedNames>
    <definedName name="_xlnm._FilterDatabase" localSheetId="1" hidden="1">'Schedule ABC'!$A$16:$Z$253</definedName>
    <definedName name="_xlnm._FilterDatabase" localSheetId="3" hidden="1">'Supplementary Insureds'!$A$16:$S$226</definedName>
    <definedName name="_xlnm.Print_Area" localSheetId="0">'#Version# (Hide)'!$A$4:$E$13</definedName>
    <definedName name="_xlnm.Print_Area" localSheetId="1">'Schedule ABC'!$A$1:$P$329</definedName>
    <definedName name="_xlnm.Print_Area" localSheetId="2">'Schedule ABC  | Audit Notes'!$A$1:$I$29</definedName>
    <definedName name="_xlnm.Print_Area" localSheetId="3">'Supplementary Insureds'!$A$1:$P$226</definedName>
    <definedName name="_xlnm.Print_Titles" localSheetId="0">'#Version# (Hide)'!$4:$7</definedName>
    <definedName name="_xlnm.Print_Titles" localSheetId="1">'Schedule ABC'!$13:$14</definedName>
    <definedName name="_xlnm.Print_Titles" localSheetId="2">'Schedule ABC  | Audit Notes'!$1:$3</definedName>
    <definedName name="_xlnm.Print_Titles" localSheetId="3">'Supplementary Insureds'!$13:$14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0" l="1"/>
  <c r="P226" i="32" l="1"/>
  <c r="P225" i="32"/>
  <c r="P224" i="32"/>
  <c r="P223" i="32"/>
  <c r="P222" i="32"/>
  <c r="P221" i="32"/>
  <c r="P220" i="32"/>
  <c r="P219" i="32"/>
  <c r="P218" i="32"/>
  <c r="P217" i="32"/>
  <c r="P216" i="32"/>
  <c r="P215" i="32"/>
  <c r="P214" i="32"/>
  <c r="P213" i="32"/>
  <c r="P212" i="32"/>
  <c r="P211" i="32"/>
  <c r="P210" i="32"/>
  <c r="P209" i="32"/>
  <c r="P208" i="32"/>
  <c r="P207" i="32"/>
  <c r="P206" i="32"/>
  <c r="P205" i="32"/>
  <c r="P204" i="32"/>
  <c r="P203" i="32"/>
  <c r="P202" i="32"/>
  <c r="P201" i="32"/>
  <c r="P200" i="32"/>
  <c r="P199" i="32"/>
  <c r="P198" i="32"/>
  <c r="P197" i="32"/>
  <c r="P196" i="32"/>
  <c r="P195" i="32"/>
  <c r="P194" i="32"/>
  <c r="P193" i="32"/>
  <c r="P192" i="32"/>
  <c r="P191" i="32"/>
  <c r="P190" i="32"/>
  <c r="P189" i="32"/>
  <c r="P188" i="32"/>
  <c r="P187" i="32"/>
  <c r="P186" i="32"/>
  <c r="P185" i="32"/>
  <c r="P184" i="32"/>
  <c r="P183" i="32"/>
  <c r="P182" i="32"/>
  <c r="P181" i="32"/>
  <c r="P180" i="32"/>
  <c r="P179" i="32"/>
  <c r="P178" i="32"/>
  <c r="P177" i="32"/>
  <c r="P176" i="32"/>
  <c r="P175" i="32"/>
  <c r="P174" i="32"/>
  <c r="P173" i="32"/>
  <c r="P172" i="32"/>
  <c r="P171" i="32"/>
  <c r="P170" i="32"/>
  <c r="P169" i="32"/>
  <c r="P168" i="32"/>
  <c r="P167" i="32"/>
  <c r="P166" i="32"/>
  <c r="P165" i="32"/>
  <c r="P164" i="32"/>
  <c r="P163" i="32"/>
  <c r="P162" i="32"/>
  <c r="P161" i="32"/>
  <c r="P160" i="32"/>
  <c r="P159" i="32"/>
  <c r="P158" i="32"/>
  <c r="P157" i="32"/>
  <c r="P156" i="32"/>
  <c r="P155" i="32"/>
  <c r="P154" i="32"/>
  <c r="P153" i="32"/>
  <c r="P152" i="32"/>
  <c r="P151" i="32"/>
  <c r="P150" i="32"/>
  <c r="P149" i="32"/>
  <c r="P148" i="32"/>
  <c r="P147" i="32"/>
  <c r="P146" i="32"/>
  <c r="P145" i="32"/>
  <c r="P144" i="32"/>
  <c r="P143" i="32"/>
  <c r="P142" i="32"/>
  <c r="P141" i="32"/>
  <c r="P140" i="32"/>
  <c r="P139" i="32"/>
  <c r="P138" i="32"/>
  <c r="P137" i="32"/>
  <c r="P136" i="32"/>
  <c r="P135" i="32"/>
  <c r="P134" i="32"/>
  <c r="P133" i="32"/>
  <c r="P132" i="32"/>
  <c r="P131" i="32"/>
  <c r="P130" i="32"/>
  <c r="P129" i="32"/>
  <c r="P128" i="32"/>
  <c r="P126" i="32"/>
  <c r="P125" i="32"/>
  <c r="P124" i="32"/>
  <c r="P123" i="32"/>
  <c r="P122" i="32"/>
  <c r="P121" i="32"/>
  <c r="P120" i="32"/>
  <c r="P119" i="32"/>
  <c r="P118" i="32"/>
  <c r="P117" i="32"/>
  <c r="P116" i="32"/>
  <c r="P115" i="32"/>
  <c r="P114" i="32"/>
  <c r="P113" i="32"/>
  <c r="P112" i="32"/>
  <c r="P111" i="32"/>
  <c r="P110" i="32"/>
  <c r="P109" i="32"/>
  <c r="P108" i="32"/>
  <c r="P107" i="32"/>
  <c r="P106" i="32"/>
  <c r="P105" i="32"/>
  <c r="P104" i="32"/>
  <c r="P103" i="32"/>
  <c r="P102" i="32"/>
  <c r="P101" i="32"/>
  <c r="P100" i="32"/>
  <c r="P99" i="32"/>
  <c r="P98" i="32"/>
  <c r="P97" i="32"/>
  <c r="P96" i="32"/>
  <c r="P95" i="32"/>
  <c r="P94" i="32"/>
  <c r="P93" i="32"/>
  <c r="P92" i="32"/>
  <c r="P91" i="32"/>
  <c r="P90" i="32"/>
  <c r="P89" i="32"/>
  <c r="P88" i="32"/>
  <c r="P87" i="32"/>
  <c r="P86" i="32"/>
  <c r="P85" i="32"/>
  <c r="P84" i="32"/>
  <c r="P83" i="32"/>
  <c r="P82" i="32"/>
  <c r="P81" i="32"/>
  <c r="P80" i="32"/>
  <c r="P79" i="32"/>
  <c r="P78" i="32"/>
  <c r="P77" i="32"/>
  <c r="P76" i="32"/>
  <c r="P75" i="32"/>
  <c r="P74" i="32"/>
  <c r="P73" i="32"/>
  <c r="P72" i="32"/>
  <c r="P71" i="32"/>
  <c r="P70" i="32"/>
  <c r="P69" i="32"/>
  <c r="P68" i="32"/>
  <c r="P67" i="32"/>
  <c r="P66" i="32"/>
  <c r="P65" i="32"/>
  <c r="P64" i="32"/>
  <c r="P63" i="32"/>
  <c r="P62" i="32"/>
  <c r="P61" i="32"/>
  <c r="P60" i="32"/>
  <c r="P59" i="32"/>
  <c r="P58" i="32"/>
  <c r="P57" i="32"/>
  <c r="P56" i="32"/>
  <c r="P55" i="32"/>
  <c r="P54" i="32"/>
  <c r="P53" i="32"/>
  <c r="P51" i="32"/>
  <c r="P50" i="32"/>
  <c r="P48" i="32"/>
  <c r="P47" i="32"/>
  <c r="P46" i="32"/>
  <c r="P45" i="32"/>
  <c r="P44" i="32"/>
  <c r="P42" i="32"/>
  <c r="P41" i="32"/>
  <c r="P40" i="32"/>
  <c r="P39" i="32"/>
  <c r="P38" i="32"/>
  <c r="P37" i="32"/>
  <c r="P36" i="32"/>
  <c r="P35" i="32"/>
  <c r="P33" i="32"/>
  <c r="P32" i="32"/>
  <c r="P31" i="32"/>
  <c r="P30" i="32"/>
  <c r="P29" i="32"/>
  <c r="P27" i="32"/>
  <c r="P26" i="32"/>
  <c r="P25" i="32"/>
  <c r="P24" i="32"/>
  <c r="P23" i="32"/>
  <c r="P21" i="32"/>
  <c r="P20" i="32"/>
  <c r="P19" i="32"/>
  <c r="P18" i="32"/>
  <c r="P17" i="32"/>
  <c r="A1" i="32"/>
  <c r="P329" i="31"/>
  <c r="P328" i="31"/>
  <c r="P327" i="31"/>
  <c r="P326" i="31"/>
  <c r="P325" i="31"/>
  <c r="P324" i="31"/>
  <c r="P323" i="31"/>
  <c r="P322" i="31"/>
  <c r="P321" i="31"/>
  <c r="P320" i="31"/>
  <c r="P319" i="31"/>
  <c r="P318" i="31"/>
  <c r="P317" i="31"/>
  <c r="P316" i="31"/>
  <c r="P315" i="31"/>
  <c r="P314" i="31"/>
  <c r="P313" i="31"/>
  <c r="P312" i="31"/>
  <c r="P311" i="31"/>
  <c r="P310" i="31"/>
  <c r="P309" i="31"/>
  <c r="P308" i="31"/>
  <c r="P307" i="31"/>
  <c r="P306" i="31"/>
  <c r="P305" i="31"/>
  <c r="P304" i="31"/>
  <c r="P303" i="31"/>
  <c r="P302" i="31"/>
  <c r="P301" i="31"/>
  <c r="P300" i="31"/>
  <c r="P299" i="31"/>
  <c r="P298" i="31"/>
  <c r="P297" i="31"/>
  <c r="P296" i="31"/>
  <c r="P295" i="31"/>
  <c r="P294" i="31"/>
  <c r="P293" i="31"/>
  <c r="P292" i="31"/>
  <c r="P291" i="31"/>
  <c r="P290" i="31"/>
  <c r="P289" i="31"/>
  <c r="P288" i="31"/>
  <c r="P287" i="31"/>
  <c r="P286" i="31"/>
  <c r="P285" i="31"/>
  <c r="P284" i="31"/>
  <c r="P283" i="31"/>
  <c r="P282" i="31"/>
  <c r="P281" i="31"/>
  <c r="P280" i="31"/>
  <c r="P279" i="31"/>
  <c r="P278" i="31"/>
  <c r="P277" i="31"/>
  <c r="P276" i="31"/>
  <c r="P275" i="31"/>
  <c r="P274" i="31"/>
  <c r="P273" i="31"/>
  <c r="P272" i="31"/>
  <c r="P271" i="31"/>
  <c r="P270" i="31"/>
  <c r="P269" i="31"/>
  <c r="P268" i="31"/>
  <c r="P267" i="31"/>
  <c r="P266" i="31"/>
  <c r="P265" i="31"/>
  <c r="P264" i="31"/>
  <c r="P263" i="31"/>
  <c r="P262" i="31"/>
  <c r="P261" i="31"/>
  <c r="P260" i="31"/>
  <c r="P259" i="31"/>
  <c r="P258" i="31"/>
  <c r="P257" i="31"/>
  <c r="P256" i="31"/>
  <c r="P255" i="31"/>
  <c r="P254" i="31"/>
  <c r="P253" i="31"/>
  <c r="P252" i="31"/>
  <c r="P251" i="31"/>
  <c r="P250" i="31"/>
  <c r="P249" i="31"/>
  <c r="P248" i="31"/>
  <c r="P247" i="31"/>
  <c r="P246" i="31"/>
  <c r="P245" i="31"/>
  <c r="P244" i="31"/>
  <c r="P243" i="31"/>
  <c r="P242" i="31"/>
  <c r="P240" i="31"/>
  <c r="P239" i="31"/>
  <c r="P238" i="31"/>
  <c r="P237" i="31"/>
  <c r="P236" i="31"/>
  <c r="P235" i="31"/>
  <c r="P234" i="31"/>
  <c r="P233" i="31"/>
  <c r="P231" i="31"/>
  <c r="P230" i="31"/>
  <c r="P228" i="31"/>
  <c r="P227" i="31"/>
  <c r="P225" i="31"/>
  <c r="P224" i="31"/>
  <c r="P223" i="31"/>
  <c r="P222" i="31"/>
  <c r="P221" i="31"/>
  <c r="P219" i="31"/>
  <c r="P218" i="31"/>
  <c r="P217" i="31"/>
  <c r="P216" i="31"/>
  <c r="P215" i="31"/>
  <c r="P214" i="31"/>
  <c r="P213" i="31"/>
  <c r="P212" i="31"/>
  <c r="P211" i="31"/>
  <c r="P210" i="31"/>
  <c r="P209" i="31"/>
  <c r="P208" i="31"/>
  <c r="P207" i="31"/>
  <c r="P206" i="31"/>
  <c r="P205" i="31"/>
  <c r="P204" i="31"/>
  <c r="P203" i="31"/>
  <c r="P202" i="31"/>
  <c r="P201" i="31"/>
  <c r="P200" i="31"/>
  <c r="P199" i="31"/>
  <c r="P198" i="31"/>
  <c r="P197" i="31"/>
  <c r="P196" i="31"/>
  <c r="P195" i="31"/>
  <c r="P194" i="31"/>
  <c r="P192" i="31"/>
  <c r="P191" i="31"/>
  <c r="P190" i="31"/>
  <c r="P189" i="31"/>
  <c r="P188" i="31"/>
  <c r="P187" i="31"/>
  <c r="P186" i="31"/>
  <c r="P185" i="31"/>
  <c r="P184" i="31"/>
  <c r="P183" i="31"/>
  <c r="P182" i="31"/>
  <c r="P181" i="31"/>
  <c r="P180" i="31"/>
  <c r="P179" i="31"/>
  <c r="P178" i="31"/>
  <c r="P177" i="31"/>
  <c r="P176" i="31"/>
  <c r="P175" i="31"/>
  <c r="P174" i="31"/>
  <c r="P173" i="31"/>
  <c r="P172" i="31"/>
  <c r="P171" i="31"/>
  <c r="P170" i="31"/>
  <c r="P169" i="31"/>
  <c r="P168" i="31"/>
  <c r="P167" i="31"/>
  <c r="P166" i="31"/>
  <c r="P165" i="31"/>
  <c r="P164" i="31"/>
  <c r="P163" i="31"/>
  <c r="P162" i="31"/>
  <c r="P161" i="31"/>
  <c r="P159" i="31"/>
  <c r="P158" i="31"/>
  <c r="P157" i="31"/>
  <c r="P156" i="31"/>
  <c r="P155" i="31"/>
  <c r="P154" i="31"/>
  <c r="P153" i="31"/>
  <c r="P152" i="31"/>
  <c r="P151" i="31"/>
  <c r="P150" i="31"/>
  <c r="P149" i="31"/>
  <c r="P148" i="31"/>
  <c r="P147" i="31"/>
  <c r="P146" i="31"/>
  <c r="P143" i="31"/>
  <c r="P142" i="31"/>
  <c r="P141" i="31"/>
  <c r="P140" i="31"/>
  <c r="P139" i="31"/>
  <c r="P138" i="31"/>
  <c r="P137" i="31"/>
  <c r="P136" i="31"/>
  <c r="P135" i="31"/>
  <c r="P134" i="31"/>
  <c r="P133" i="31"/>
  <c r="P132" i="31"/>
  <c r="P131" i="31"/>
  <c r="P130" i="31"/>
  <c r="P129" i="31"/>
  <c r="P128" i="31"/>
  <c r="P127" i="31"/>
  <c r="P126" i="31"/>
  <c r="P125" i="31"/>
  <c r="P124" i="31"/>
  <c r="P123" i="31"/>
  <c r="P122" i="31"/>
  <c r="P121" i="31"/>
  <c r="P120" i="31"/>
  <c r="P119" i="31"/>
  <c r="P117" i="31"/>
  <c r="P116" i="31"/>
  <c r="P115" i="31"/>
  <c r="P114" i="31"/>
  <c r="P113" i="31"/>
  <c r="P112" i="31"/>
  <c r="P111" i="31"/>
  <c r="P110" i="31"/>
  <c r="P109" i="31"/>
  <c r="P108" i="31"/>
  <c r="P107" i="31"/>
  <c r="P106" i="31"/>
  <c r="P105" i="31"/>
  <c r="P104" i="31"/>
  <c r="P103" i="31"/>
  <c r="P102" i="31"/>
  <c r="P101" i="31"/>
  <c r="P100" i="31"/>
  <c r="P99" i="31"/>
  <c r="P98" i="31"/>
  <c r="P97" i="31"/>
  <c r="P96" i="31"/>
  <c r="P95" i="31"/>
  <c r="P93" i="31"/>
  <c r="P92" i="31"/>
  <c r="P91" i="31"/>
  <c r="P90" i="31"/>
  <c r="P89" i="31"/>
  <c r="P88" i="31"/>
  <c r="P87" i="31"/>
  <c r="P86" i="31"/>
  <c r="P85" i="31"/>
  <c r="P84" i="31"/>
  <c r="P83" i="31"/>
  <c r="P82" i="31"/>
  <c r="P81" i="31"/>
  <c r="P80" i="31"/>
  <c r="P79" i="31"/>
  <c r="P78" i="31"/>
  <c r="P77" i="31"/>
  <c r="P76" i="31"/>
  <c r="P75" i="31"/>
  <c r="P74" i="31"/>
  <c r="P73" i="31"/>
  <c r="P72" i="31"/>
  <c r="P71" i="31"/>
  <c r="P70" i="31"/>
  <c r="P69" i="31"/>
  <c r="P68" i="31"/>
  <c r="P67" i="31"/>
  <c r="P66" i="31"/>
  <c r="P65" i="31"/>
  <c r="P64" i="31"/>
  <c r="P63" i="31"/>
  <c r="P62" i="31"/>
  <c r="P61" i="31"/>
  <c r="P60" i="31"/>
  <c r="P59" i="31"/>
  <c r="P57" i="31"/>
  <c r="P56" i="31"/>
  <c r="P55" i="31"/>
  <c r="P54" i="31"/>
  <c r="P53" i="31"/>
  <c r="P52" i="31"/>
  <c r="P51" i="31"/>
  <c r="P50" i="31"/>
  <c r="P49" i="31"/>
  <c r="P48" i="31"/>
  <c r="P47" i="31"/>
  <c r="P46" i="31"/>
  <c r="P45" i="31"/>
  <c r="P44" i="31"/>
  <c r="P43" i="31"/>
  <c r="P42" i="31"/>
  <c r="P41" i="31"/>
  <c r="P40" i="31"/>
  <c r="P39" i="31"/>
  <c r="P38" i="31"/>
  <c r="P37" i="31"/>
  <c r="P36" i="31"/>
  <c r="P35" i="31"/>
  <c r="P34" i="31"/>
  <c r="P33" i="31"/>
  <c r="P32" i="31"/>
  <c r="P30" i="31"/>
  <c r="P29" i="31"/>
  <c r="P28" i="31"/>
  <c r="P27" i="31"/>
  <c r="P26" i="31"/>
  <c r="P25" i="31"/>
  <c r="P24" i="31"/>
  <c r="P23" i="31"/>
  <c r="P22" i="31"/>
  <c r="P21" i="31"/>
  <c r="P20" i="31"/>
  <c r="P18" i="31"/>
  <c r="P17" i="31"/>
  <c r="A1" i="31"/>
  <c r="A1" i="10" s="1"/>
  <c r="D27" i="10" l="1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C17" i="10" l="1"/>
  <c r="D17" i="10" l="1"/>
  <c r="D5" i="21"/>
  <c r="D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thomsoncx</author>
  </authors>
  <commentList>
    <comment ref="A1" authorId="0" shapeId="0" xr:uid="{0BD4F713-F35E-490D-8EA5-58EDA45E02C9}">
      <text>
        <r>
          <rPr>
            <b/>
            <sz val="9"/>
            <color indexed="81"/>
            <rFont val="Tahoma"/>
            <family val="2"/>
          </rPr>
          <t>Reinsured Name:</t>
        </r>
        <r>
          <rPr>
            <sz val="9"/>
            <color indexed="81"/>
            <rFont val="Tahoma"/>
            <family val="2"/>
          </rPr>
          <t xml:space="preserve">
Please enter reinsured name on the Cover tab</t>
        </r>
      </text>
    </comment>
    <comment ref="A3" authorId="0" shapeId="0" xr:uid="{2E680881-FE2C-4441-8E22-0E98352C2834}">
      <text>
        <r>
          <rPr>
            <b/>
            <sz val="9"/>
            <color indexed="81"/>
            <rFont val="Tahoma"/>
            <family val="2"/>
          </rPr>
          <t>Current Lines Advised On:</t>
        </r>
        <r>
          <rPr>
            <sz val="9"/>
            <color indexed="81"/>
            <rFont val="Tahoma"/>
            <family val="2"/>
          </rPr>
          <t xml:space="preserve">
Please enter current lines advised on date dd/mm/yy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thomsoncx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Reinsured Name:</t>
        </r>
        <r>
          <rPr>
            <sz val="9"/>
            <color indexed="81"/>
            <rFont val="Tahoma"/>
            <family val="2"/>
          </rPr>
          <t xml:space="preserve">
Please enter reinsured name on the Cover tab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thomsoncx</author>
  </authors>
  <commentList>
    <comment ref="A1" authorId="0" shapeId="0" xr:uid="{A2792D02-6121-406D-AD45-C70D7818AF3B}">
      <text>
        <r>
          <rPr>
            <b/>
            <sz val="9"/>
            <color indexed="81"/>
            <rFont val="Tahoma"/>
            <family val="2"/>
          </rPr>
          <t>Reinsured Name:</t>
        </r>
        <r>
          <rPr>
            <sz val="9"/>
            <color indexed="81"/>
            <rFont val="Tahoma"/>
            <family val="2"/>
          </rPr>
          <t xml:space="preserve">
Please enter reinsured name on the Cover tab</t>
        </r>
      </text>
    </comment>
    <comment ref="A3" authorId="0" shapeId="0" xr:uid="{1126B2BE-7842-4E8C-B771-F9F4C717CD95}">
      <text>
        <r>
          <rPr>
            <b/>
            <sz val="9"/>
            <color indexed="81"/>
            <rFont val="Tahoma"/>
            <family val="2"/>
          </rPr>
          <t>Current Lines Advised On:</t>
        </r>
        <r>
          <rPr>
            <sz val="9"/>
            <color indexed="81"/>
            <rFont val="Tahoma"/>
            <family val="2"/>
          </rPr>
          <t xml:space="preserve">
Please enter current lines advised on date dd/mm/yy HERE</t>
        </r>
      </text>
    </comment>
  </commentList>
</comments>
</file>

<file path=xl/sharedStrings.xml><?xml version="1.0" encoding="utf-8"?>
<sst xmlns="http://schemas.openxmlformats.org/spreadsheetml/2006/main" count="1614" uniqueCount="281">
  <si>
    <t>EUR</t>
  </si>
  <si>
    <t>CAD</t>
  </si>
  <si>
    <t>original est.</t>
  </si>
  <si>
    <t>revised est.</t>
  </si>
  <si>
    <t>estimate</t>
  </si>
  <si>
    <t>5.</t>
  </si>
  <si>
    <t>1.</t>
  </si>
  <si>
    <t>2.</t>
  </si>
  <si>
    <t>3.</t>
  </si>
  <si>
    <t xml:space="preserve">Indicate any Aggregate Deductibles as an Audit Note rather than as a Hull or Liability Excess. </t>
  </si>
  <si>
    <t>4.</t>
  </si>
  <si>
    <t>Please enter Hull values excluding TLO.</t>
  </si>
  <si>
    <t>Where spares for an insured are written on the same placement as the hulls and are for a greater maximum limit than the maximum hull,</t>
  </si>
  <si>
    <t>the Reinsured shall base their line on the maximum hull, any maximum line structure for spares being disregarded in these circumstances.</t>
  </si>
  <si>
    <t>6.</t>
  </si>
  <si>
    <t>Schedule</t>
  </si>
  <si>
    <t>Insured</t>
  </si>
  <si>
    <t>Inception</t>
  </si>
  <si>
    <t>Expiry</t>
  </si>
  <si>
    <t>Ccy</t>
  </si>
  <si>
    <t>Hull Limit</t>
  </si>
  <si>
    <t>Hull Excess</t>
  </si>
  <si>
    <t>Liability Limit</t>
  </si>
  <si>
    <t>Liability Excess</t>
  </si>
  <si>
    <t>Sched</t>
  </si>
  <si>
    <t>Hccy</t>
  </si>
  <si>
    <t>Hlimit</t>
  </si>
  <si>
    <t>Hexcess</t>
  </si>
  <si>
    <t>HLinePer</t>
  </si>
  <si>
    <t>Hstatus</t>
  </si>
  <si>
    <t>Lccy</t>
  </si>
  <si>
    <t>Llimit</t>
  </si>
  <si>
    <t>Lexcess</t>
  </si>
  <si>
    <t>LLinePer</t>
  </si>
  <si>
    <t>Lstatus</t>
  </si>
  <si>
    <t>A</t>
  </si>
  <si>
    <t>Aegean Airlines</t>
  </si>
  <si>
    <t>USD</t>
  </si>
  <si>
    <t>Aeroflot</t>
  </si>
  <si>
    <t>Aerolineas Argentinas</t>
  </si>
  <si>
    <t>Aeromexico</t>
  </si>
  <si>
    <t>Air Algerie</t>
  </si>
  <si>
    <t>Air Asia</t>
  </si>
  <si>
    <t>Air Berlin</t>
  </si>
  <si>
    <t>Air Canada</t>
  </si>
  <si>
    <t>Air France</t>
  </si>
  <si>
    <t>Air India Limited</t>
  </si>
  <si>
    <t>Air New Zealand</t>
  </si>
  <si>
    <t>Air Transat</t>
  </si>
  <si>
    <t>All Nippon Airways</t>
  </si>
  <si>
    <t>JPY</t>
  </si>
  <si>
    <t>Asiana Airlines</t>
  </si>
  <si>
    <t>Avianca Taca Holdings</t>
  </si>
  <si>
    <t>Azul Linhas Aereas</t>
  </si>
  <si>
    <t>CAAC</t>
  </si>
  <si>
    <t>Cathay Pacific</t>
  </si>
  <si>
    <t>China Airlines (Taiwan)</t>
  </si>
  <si>
    <t>China Hainan Airlines</t>
  </si>
  <si>
    <t>Deutsche Lufthansa - Segment A</t>
  </si>
  <si>
    <t>Deutsche Lufthansa - Segment B</t>
  </si>
  <si>
    <t>Deutsche Lufthansa - Segment C</t>
  </si>
  <si>
    <t>DHL International</t>
  </si>
  <si>
    <t>Dragonair</t>
  </si>
  <si>
    <t>easyJet</t>
  </si>
  <si>
    <t>Egypt Air</t>
  </si>
  <si>
    <t>El Al Israel Airlines</t>
  </si>
  <si>
    <t>Emirates</t>
  </si>
  <si>
    <t>Ethiopian Airlines</t>
  </si>
  <si>
    <t>Etihad Airways</t>
  </si>
  <si>
    <t>Eva Airways Corp</t>
  </si>
  <si>
    <t>FIN Group</t>
  </si>
  <si>
    <t>Garuda Indonesia</t>
  </si>
  <si>
    <t>Gol Transportes Aereo</t>
  </si>
  <si>
    <t>Gulf Air</t>
  </si>
  <si>
    <t>International Airlines Group</t>
  </si>
  <si>
    <t>Japan Airlines Corp</t>
  </si>
  <si>
    <t>Jet Airways (India)</t>
  </si>
  <si>
    <t>Korean Air Lines</t>
  </si>
  <si>
    <t>Kuwait Airways</t>
  </si>
  <si>
    <t>Malaysian Airlines System</t>
  </si>
  <si>
    <t>Monarch Airlines</t>
  </si>
  <si>
    <t>GBP</t>
  </si>
  <si>
    <t>Oman Air</t>
  </si>
  <si>
    <t>Pakistan International Airlines Corp</t>
  </si>
  <si>
    <t>Philippine Airlines</t>
  </si>
  <si>
    <t>PT Lion Mentari</t>
  </si>
  <si>
    <t>Qantas Airways</t>
  </si>
  <si>
    <t>Qatar Airways</t>
  </si>
  <si>
    <t>Royal Air Maroc</t>
  </si>
  <si>
    <t>Royal Jordanian</t>
  </si>
  <si>
    <t>Ryanair</t>
  </si>
  <si>
    <t>Saudi Arabian Airlines</t>
  </si>
  <si>
    <t>Singapore Airlines</t>
  </si>
  <si>
    <t>South African Airways</t>
  </si>
  <si>
    <t>Thai Airways International</t>
  </si>
  <si>
    <t>Thomas Cook</t>
  </si>
  <si>
    <t>Transaero Airlines</t>
  </si>
  <si>
    <t>TUI AG</t>
  </si>
  <si>
    <t>Tunis Air</t>
  </si>
  <si>
    <t>Vietnam Airlines</t>
  </si>
  <si>
    <t>Virgin Atlantic Airways</t>
  </si>
  <si>
    <t>Virgin Australia</t>
  </si>
  <si>
    <t>Westjet Airlines</t>
  </si>
  <si>
    <t>B</t>
  </si>
  <si>
    <t>Alaska Air Group</t>
  </si>
  <si>
    <t>American Airlines</t>
  </si>
  <si>
    <t>Delta Air Lines</t>
  </si>
  <si>
    <t>Fedex Corp</t>
  </si>
  <si>
    <t>Hawaiian Airlines</t>
  </si>
  <si>
    <t>Jetblue Airways Corp</t>
  </si>
  <si>
    <t>Mesa Air Group</t>
  </si>
  <si>
    <t>Republic Airways</t>
  </si>
  <si>
    <t>SkyWest Airlines</t>
  </si>
  <si>
    <t>Southwest Airlines Company</t>
  </si>
  <si>
    <t>Spirit Airlines</t>
  </si>
  <si>
    <t>Trans States Holdings</t>
  </si>
  <si>
    <t>United Continental Holdings</t>
  </si>
  <si>
    <t>United Parcel Service</t>
  </si>
  <si>
    <t>Virgin America</t>
  </si>
  <si>
    <t>C</t>
  </si>
  <si>
    <t>Airbus Group N.V.</t>
  </si>
  <si>
    <t>BAE Systems</t>
  </si>
  <si>
    <t>Boeing/MDC</t>
  </si>
  <si>
    <t>Bombardier/Canadair/Learjet</t>
  </si>
  <si>
    <t>Dassault Aviation</t>
  </si>
  <si>
    <t>Embraer</t>
  </si>
  <si>
    <t>General Dynamics/Gulfstream</t>
  </si>
  <si>
    <t>General Electric/Gecas</t>
  </si>
  <si>
    <t>Honeywell</t>
  </si>
  <si>
    <t>Israel Aircraft Industrie</t>
  </si>
  <si>
    <t>L3 Communications</t>
  </si>
  <si>
    <t>Lockheed Martin Corp</t>
  </si>
  <si>
    <t>Northrop Grumman Corp</t>
  </si>
  <si>
    <t>Parker Hannifin Corp</t>
  </si>
  <si>
    <t>Raytheon Company</t>
  </si>
  <si>
    <t>Rockwell Collins</t>
  </si>
  <si>
    <t>Rolls Royce</t>
  </si>
  <si>
    <t>Safran</t>
  </si>
  <si>
    <t>Textron</t>
  </si>
  <si>
    <t>Thales</t>
  </si>
  <si>
    <t>United Technologies</t>
  </si>
  <si>
    <t>Schedules A, B and C</t>
  </si>
  <si>
    <t>Lines not yet signed may vary slightly from those stated.</t>
  </si>
  <si>
    <t>DATA VALIDATION TABLES</t>
  </si>
  <si>
    <t>INSURED</t>
  </si>
  <si>
    <t>CURRENCY</t>
  </si>
  <si>
    <t>SCHEDULE</t>
  </si>
  <si>
    <t>LINE</t>
  </si>
  <si>
    <t>S</t>
  </si>
  <si>
    <t>E</t>
  </si>
  <si>
    <t>INR</t>
  </si>
  <si>
    <t>Schedule A, B and C Audit Notes</t>
  </si>
  <si>
    <t>(S) Signed or 
(E) Estimated</t>
  </si>
  <si>
    <t>Client % Line</t>
  </si>
  <si>
    <t>Hull Information</t>
  </si>
  <si>
    <t>Liability Information</t>
  </si>
  <si>
    <t>Date</t>
  </si>
  <si>
    <t>Signed</t>
  </si>
  <si>
    <t>Estimated</t>
  </si>
  <si>
    <t>Add new entry to end of list - included automatically - Dynamic Range</t>
  </si>
  <si>
    <t>►   Insert new line HERE to add new entry</t>
  </si>
  <si>
    <t>Yemen Airways</t>
  </si>
  <si>
    <t>SA</t>
  </si>
  <si>
    <t>WIZZ AIR Limited</t>
  </si>
  <si>
    <t>Viva Aerobus</t>
  </si>
  <si>
    <t>TransAsia Airways</t>
  </si>
  <si>
    <t>Tiger Airways</t>
  </si>
  <si>
    <t>Sun Country Airlines</t>
  </si>
  <si>
    <t>SB</t>
  </si>
  <si>
    <t>SriLankan Airlines</t>
  </si>
  <si>
    <t>Porter Aviation Holdings</t>
  </si>
  <si>
    <t>Pegasus Airlines</t>
  </si>
  <si>
    <t>Onur Air</t>
  </si>
  <si>
    <t>Nordwind Airlines</t>
  </si>
  <si>
    <t>National Air Services</t>
  </si>
  <si>
    <t>Meridiana</t>
  </si>
  <si>
    <t>Linhas Aereas de Angola</t>
  </si>
  <si>
    <t>Jeju Air</t>
  </si>
  <si>
    <t>Indigo</t>
  </si>
  <si>
    <t>Frontier Airlines</t>
  </si>
  <si>
    <t>Fiji Airways</t>
  </si>
  <si>
    <t>Far Eastern Air Transport</t>
  </si>
  <si>
    <t>Conviasa Venezuela</t>
  </si>
  <si>
    <t>Compania Panama De Aviacion, S.A.</t>
  </si>
  <si>
    <t>Cebu Air Inc.</t>
  </si>
  <si>
    <t>Caribbean Airlines</t>
  </si>
  <si>
    <t>Bangladesh Airlines Corporation</t>
  </si>
  <si>
    <t>Bangkok Airways</t>
  </si>
  <si>
    <t>Aserca Airlines</t>
  </si>
  <si>
    <t>Arkia Israeli Airlines</t>
  </si>
  <si>
    <t>Allegiant Air WestJet Express</t>
  </si>
  <si>
    <t>Airblue Limited</t>
  </si>
  <si>
    <t>Air Tahiti Nui</t>
  </si>
  <si>
    <t>Air Malta</t>
  </si>
  <si>
    <t>Air Arabia</t>
  </si>
  <si>
    <t>Skymark Airlines</t>
  </si>
  <si>
    <t>Premium Status</t>
  </si>
  <si>
    <t>Lookup and Validation Tables</t>
  </si>
  <si>
    <t>Notes</t>
  </si>
  <si>
    <t>Yes</t>
  </si>
  <si>
    <t>No</t>
  </si>
  <si>
    <t>(Hidden sheet)</t>
  </si>
  <si>
    <t>Yes/No/(bank)</t>
  </si>
  <si>
    <t>Attachment</t>
  </si>
  <si>
    <t>Insureds with Audit Notes will be highlighted italic bold. (Audit note number shown far left)</t>
  </si>
  <si>
    <t>(Latest first - please add latest changes to TOP of list)</t>
  </si>
  <si>
    <t>When a significant change or a number of minor changes are made change the version number, either to the next integer (significant change or natural progression) or by a fraction</t>
  </si>
  <si>
    <t>Version</t>
  </si>
  <si>
    <t>Changed by</t>
  </si>
  <si>
    <t>Hawaii Island Air Inc</t>
  </si>
  <si>
    <t>Silver Airways</t>
  </si>
  <si>
    <t>Notes:</t>
  </si>
  <si>
    <t>Some exhibits may contain numbers or text, this is ok except where it is not obvious that the number (or date or %) is text as this could affect formula / exports etc.  A note has been added:</t>
  </si>
  <si>
    <t>The blue text is either created in the number format: #,##0;(#,##0);0;[Blue]@ or as a conditional format: Istext(cellref).</t>
  </si>
  <si>
    <t>To revert any blue back to black:</t>
  </si>
  <si>
    <t xml:space="preserve">either change the formatting to #,##0;(#,##0);0;@ </t>
  </si>
  <si>
    <t>or remove the conditional formatting Home&gt; Conditional Formatting &gt; manage rules &gt; select the blue/Istext rule and amend or delete from the cell / sheet.</t>
  </si>
  <si>
    <t>Audit #</t>
  </si>
  <si>
    <t>TAP</t>
  </si>
  <si>
    <t>SAS</t>
  </si>
  <si>
    <t>LS</t>
  </si>
  <si>
    <t>Template tabs updated for 2016 use</t>
  </si>
  <si>
    <t>CT</t>
  </si>
  <si>
    <t>Section 2 | Breakdown of Income conditional format changed so numbers &lt;=1 are shown as % (changed from &lt;1)</t>
  </si>
  <si>
    <t>Leonardo</t>
  </si>
  <si>
    <t>Air Madagascar</t>
  </si>
  <si>
    <t>Interjet</t>
  </si>
  <si>
    <t>Royal Brunei Airlines</t>
  </si>
  <si>
    <t>Turkmenistan Airlines</t>
  </si>
  <si>
    <t>Endeavor Air</t>
  </si>
  <si>
    <t>GdF</t>
  </si>
  <si>
    <t>Updated list of insureds for Schedules ABC and ABC (ii)</t>
  </si>
  <si>
    <t>Cleaned up named ranges, lookups and conditional formatting</t>
  </si>
  <si>
    <t>Sky Airlines (Chile)</t>
  </si>
  <si>
    <r>
      <t xml:space="preserve">#Version# </t>
    </r>
    <r>
      <rPr>
        <sz val="10"/>
        <color theme="4"/>
        <rFont val="Calibri"/>
        <family val="2"/>
      </rPr>
      <t>(Hidden Sheet)</t>
    </r>
  </si>
  <si>
    <r>
      <t xml:space="preserve">Text entries are shown in </t>
    </r>
    <r>
      <rPr>
        <b/>
        <sz val="10"/>
        <color rgb="FF0070C0"/>
        <rFont val="Arial"/>
        <family val="2"/>
      </rPr>
      <t>blue</t>
    </r>
    <r>
      <rPr>
        <sz val="10"/>
        <color theme="4"/>
        <rFont val="Arial"/>
        <family val="2"/>
      </rPr>
      <t xml:space="preserve"> text to make it clear to the user that the entry is not a number excel can use in a formula.  I can be reverted to black text after review for publishing.</t>
    </r>
  </si>
  <si>
    <t xml:space="preserve">Rebranded WTW template </t>
  </si>
  <si>
    <t>Primary AVN52 Sub-Limit</t>
  </si>
  <si>
    <t>Grounding Liability Sub-Limit</t>
  </si>
  <si>
    <t>To add an Audit Note, please select an Insured Group from the drop-down list in the highlighted cells below.</t>
  </si>
  <si>
    <t>HM</t>
  </si>
  <si>
    <t>Added AVN52 and Grounding Sub-limits</t>
  </si>
  <si>
    <t>Wccy</t>
  </si>
  <si>
    <t>Wlimit</t>
  </si>
  <si>
    <t>Gccy</t>
  </si>
  <si>
    <t>Glimit</t>
  </si>
  <si>
    <t>Air Mauritius</t>
  </si>
  <si>
    <t>Anadolu Jet</t>
  </si>
  <si>
    <t>Fuji Dream Airlines</t>
  </si>
  <si>
    <t>Germania</t>
  </si>
  <si>
    <t>Solaseed Air</t>
  </si>
  <si>
    <t>Volaris</t>
  </si>
  <si>
    <t>Volotea</t>
  </si>
  <si>
    <t>WOW air</t>
  </si>
  <si>
    <t>Omni Air International</t>
  </si>
  <si>
    <t>SC</t>
  </si>
  <si>
    <t>China Airports</t>
  </si>
  <si>
    <t>Dubai Airport</t>
  </si>
  <si>
    <t>Dutch ATC</t>
  </si>
  <si>
    <t>Dutch Schiphol Airport</t>
  </si>
  <si>
    <t>Eurocontrol (EU)</t>
  </si>
  <si>
    <t>Gatwick Airport</t>
  </si>
  <si>
    <t>German Airports</t>
  </si>
  <si>
    <t>Heathrow Airport Holdings</t>
  </si>
  <si>
    <t>Hong Kong Airport Authority</t>
  </si>
  <si>
    <t>NATS</t>
  </si>
  <si>
    <t>Nav Canada</t>
  </si>
  <si>
    <t>Naviair (Scandinavia)</t>
  </si>
  <si>
    <t>PANNJ</t>
  </si>
  <si>
    <t>Paris Airports</t>
  </si>
  <si>
    <t>Russian ATC</t>
  </si>
  <si>
    <t>Spanish Airports (AENA)</t>
  </si>
  <si>
    <t>Turkish Airports (DHMI)</t>
  </si>
  <si>
    <t>AirServices Australia</t>
  </si>
  <si>
    <t>Changi Airport Group</t>
  </si>
  <si>
    <t>Chicago Airport</t>
  </si>
  <si>
    <t xml:space="preserve">Where policy information is included, expiring limits are currently shown. Please provide up to date renewal information where applicable. Primary / Excess policy information are to be provided, including associated AVN52 and Grounding sub-limits. </t>
  </si>
  <si>
    <t>Supplementary Insureds</t>
  </si>
  <si>
    <t>Not Renewed</t>
  </si>
  <si>
    <t>Please advise NETT SIGNED LINES participation on ALL acceptances for 2019, 2020 and 2021.</t>
  </si>
  <si>
    <t>Not 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</si>
</sst>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6" formatCode="dd/mmm/yyyy"/>
    <numFmt numFmtId="167" formatCode="&quot;Current Lines Advised On: &quot;\ dd\ mmm\ yyyy"/>
    <numFmt numFmtId="168" formatCode="0.0000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 * #,##0_ ;_ * \-#,##0_ ;_ * &quot;-&quot;_ ;_ @_ "/>
    <numFmt numFmtId="173" formatCode="_ * #,##0.00_ ;_ * \-#,##0.00_ ;_ * &quot;-&quot;??_ ;_ @_ "/>
    <numFmt numFmtId="176" formatCode="_-* #,##0\ _F_-;\-* #,##0\ _F_-;_-* &quot;-&quot;\ _F_-;_-@_-"/>
    <numFmt numFmtId="177" formatCode="_-* #,##0.00\ _F_-;\-* #,##0.00\ _F_-;_-* &quot;-&quot;??\ _F_-;_-@_-"/>
    <numFmt numFmtId="178" formatCode="_-* #,##0\ &quot;F&quot;_-;\-* #,##0\ &quot;F&quot;_-;_-* &quot;-&quot;\ &quot;F&quot;_-;_-@_-"/>
    <numFmt numFmtId="179" formatCode="_-* #,##0.00\ &quot;F&quot;_-;\-* #,##0.00\ &quot;F&quot;_-;_-* &quot;-&quot;??\ &quot;F&quot;_-;_-@_-"/>
    <numFmt numFmtId="180" formatCode="0_)"/>
    <numFmt numFmtId="181" formatCode="0.0%"/>
  </numFmts>
  <fonts count="60"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2"/>
      <color theme="1"/>
      <name val="Arial"/>
      <family val="2"/>
    </font>
    <font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6"/>
      <color indexed="8"/>
      <name val="Arial MT"/>
    </font>
    <font>
      <sz val="12"/>
      <name val="바탕체"/>
      <family val="1"/>
      <charset val="129"/>
    </font>
    <font>
      <sz val="11"/>
      <color theme="1"/>
      <name val="SwissReSans"/>
      <family val="2"/>
    </font>
    <font>
      <sz val="8"/>
      <name val="Arial"/>
      <family val="2"/>
    </font>
    <font>
      <sz val="16"/>
      <color rgb="FFC00000"/>
      <name val="Calibri"/>
      <family val="2"/>
    </font>
    <font>
      <sz val="8"/>
      <color theme="1"/>
      <name val="Arial"/>
      <family val="2"/>
      <scheme val="minor"/>
    </font>
    <font>
      <sz val="10"/>
      <color rgb="FFC00000"/>
      <name val="Calibri"/>
      <family val="2"/>
    </font>
    <font>
      <u val="double"/>
      <sz val="10"/>
      <color rgb="FFC00000"/>
      <name val="Calibri"/>
      <family val="2"/>
    </font>
    <font>
      <sz val="2"/>
      <color rgb="FFC00000"/>
      <name val="Calibri"/>
      <family val="2"/>
    </font>
    <font>
      <i/>
      <sz val="7"/>
      <color indexed="8"/>
      <name val="Arial"/>
      <family val="2"/>
    </font>
    <font>
      <sz val="10"/>
      <color indexed="8"/>
      <name val="Arial"/>
      <family val="2"/>
    </font>
    <font>
      <sz val="10"/>
      <name val="Arial "/>
    </font>
    <font>
      <sz val="10"/>
      <color indexed="8"/>
      <name val="Arial Narrow"/>
      <family val="2"/>
    </font>
    <font>
      <sz val="14"/>
      <color indexed="9"/>
      <name val="Arial Black"/>
      <family val="2"/>
    </font>
    <font>
      <b/>
      <sz val="10"/>
      <color indexed="9"/>
      <name val="Arial"/>
      <family val="2"/>
    </font>
    <font>
      <sz val="8"/>
      <name val="Arial Narrow"/>
      <family val="2"/>
    </font>
    <font>
      <b/>
      <sz val="10"/>
      <color theme="1"/>
      <name val="Arial"/>
      <family val="2"/>
      <scheme val="minor"/>
    </font>
    <font>
      <sz val="10"/>
      <color rgb="FFC00000"/>
      <name val="Arial"/>
      <family val="2"/>
      <scheme val="minor"/>
    </font>
    <font>
      <i/>
      <sz val="10"/>
      <color rgb="FFC00000"/>
      <name val="Arial"/>
      <family val="2"/>
      <scheme val="minor"/>
    </font>
    <font>
      <b/>
      <sz val="10"/>
      <color rgb="FF0070C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</font>
    <font>
      <b/>
      <i/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70C0"/>
      <name val="Arial"/>
      <family val="2"/>
      <scheme val="minor"/>
    </font>
    <font>
      <sz val="9"/>
      <color theme="0"/>
      <name val="Arial"/>
      <family val="2"/>
      <scheme val="minor"/>
    </font>
    <font>
      <sz val="2"/>
      <color theme="9" tint="-0.499984740745262"/>
      <name val="Arial"/>
      <family val="2"/>
      <scheme val="minor"/>
    </font>
    <font>
      <sz val="16"/>
      <color theme="4"/>
      <name val="Arial"/>
      <family val="2"/>
      <scheme val="minor"/>
    </font>
    <font>
      <sz val="8"/>
      <color theme="0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i/>
      <sz val="8"/>
      <color theme="0"/>
      <name val="Arial"/>
      <family val="2"/>
      <scheme val="minor"/>
    </font>
    <font>
      <b/>
      <i/>
      <sz val="10"/>
      <color rgb="FF7030A0"/>
      <name val="Arial"/>
      <family val="2"/>
      <scheme val="minor"/>
    </font>
    <font>
      <sz val="7"/>
      <color rgb="FF7030A0"/>
      <name val="Arial"/>
      <family val="2"/>
      <scheme val="minor"/>
    </font>
    <font>
      <sz val="9"/>
      <color rgb="FF7030A0"/>
      <name val="Arial"/>
      <family val="2"/>
      <scheme val="minor"/>
    </font>
    <font>
      <sz val="10"/>
      <color theme="0" tint="-0.499984740745262"/>
      <name val="Arial"/>
      <family val="2"/>
      <scheme val="minor"/>
    </font>
    <font>
      <sz val="16"/>
      <color theme="4"/>
      <name val="Calibri"/>
      <family val="2"/>
    </font>
    <font>
      <sz val="10"/>
      <color theme="4"/>
      <name val="Calibri"/>
      <family val="2"/>
    </font>
    <font>
      <u val="double"/>
      <sz val="16"/>
      <color theme="4"/>
      <name val="Calibri"/>
      <family val="2"/>
    </font>
    <font>
      <sz val="10"/>
      <color theme="4"/>
      <name val="Arial"/>
      <family val="2"/>
    </font>
    <font>
      <b/>
      <sz val="9"/>
      <color theme="1"/>
      <name val="Arial"/>
      <family val="2"/>
      <scheme val="minor"/>
    </font>
    <font>
      <b/>
      <sz val="7"/>
      <color rgb="FF7030A0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</fills>
  <borders count="36">
    <border>
      <left/>
      <right/>
      <top/>
      <bottom/>
      <diagonal/>
    </border>
    <border>
      <left style="thick">
        <color theme="0" tint="-0.24994659260841701"/>
      </left>
      <right/>
      <top style="thick">
        <color theme="0" tint="-0.24994659260841701"/>
      </top>
      <bottom/>
      <diagonal/>
    </border>
    <border>
      <left/>
      <right style="thick">
        <color theme="0" tint="-0.24994659260841701"/>
      </right>
      <top style="thick">
        <color theme="0" tint="-0.24994659260841701"/>
      </top>
      <bottom/>
      <diagonal/>
    </border>
    <border>
      <left style="thick">
        <color theme="0" tint="-0.24994659260841701"/>
      </left>
      <right/>
      <top/>
      <bottom/>
      <diagonal/>
    </border>
    <border>
      <left/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 style="thick">
        <color theme="0" tint="-0.24994659260841701"/>
      </bottom>
      <diagonal/>
    </border>
    <border>
      <left/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14996795556505021"/>
      </bottom>
      <diagonal/>
    </border>
    <border>
      <left style="thick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2499465926084170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ck">
        <color theme="0" tint="-0.24994659260841701"/>
      </right>
      <top style="thin">
        <color theme="0" tint="-0.14996795556505021"/>
      </top>
      <bottom/>
      <diagonal/>
    </border>
    <border>
      <left style="thick">
        <color theme="0" tint="-0.24994659260841701"/>
      </left>
      <right/>
      <top style="thin">
        <color theme="0" tint="-0.14996795556505021"/>
      </top>
      <bottom style="thin">
        <color theme="9" tint="0.59999389629810485"/>
      </bottom>
      <diagonal/>
    </border>
    <border>
      <left/>
      <right/>
      <top style="thin">
        <color theme="0" tint="-0.14996795556505021"/>
      </top>
      <bottom style="thin">
        <color theme="9" tint="0.59999389629810485"/>
      </bottom>
      <diagonal/>
    </border>
    <border>
      <left/>
      <right style="thick">
        <color theme="0" tint="-0.24994659260841701"/>
      </right>
      <top style="thin">
        <color theme="0" tint="-0.14996795556505021"/>
      </top>
      <bottom style="thin">
        <color theme="9" tint="0.59999389629810485"/>
      </bottom>
      <diagonal/>
    </border>
    <border>
      <left style="thick">
        <color theme="0" tint="-0.24994659260841701"/>
      </left>
      <right/>
      <top style="thin">
        <color theme="0" tint="-0.14996795556505021"/>
      </top>
      <bottom style="thick">
        <color theme="0" tint="-0.24994659260841701"/>
      </bottom>
      <diagonal/>
    </border>
    <border>
      <left/>
      <right/>
      <top style="thin">
        <color theme="0" tint="-0.14996795556505021"/>
      </top>
      <bottom style="thick">
        <color theme="0" tint="-0.24994659260841701"/>
      </bottom>
      <diagonal/>
    </border>
    <border>
      <left/>
      <right style="thick">
        <color theme="0" tint="-0.24994659260841701"/>
      </right>
      <top style="thin">
        <color theme="0" tint="-0.14996795556505021"/>
      </top>
      <bottom style="thick">
        <color theme="0" tint="-0.24994659260841701"/>
      </bottom>
      <diagonal/>
    </border>
    <border>
      <left style="thick">
        <color theme="0" tint="-0.24994659260841701"/>
      </left>
      <right/>
      <top/>
      <bottom style="thin">
        <color theme="0" tint="-0.14996795556505021"/>
      </bottom>
      <diagonal/>
    </border>
    <border>
      <left/>
      <right style="thick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77111117893"/>
      </right>
      <top/>
      <bottom/>
      <diagonal/>
    </border>
    <border>
      <left style="thick">
        <color theme="0" tint="-0.249977111117893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24994659260841701"/>
      </right>
      <top style="thin">
        <color theme="0" tint="-0.14996795556505021"/>
      </top>
      <bottom style="thin">
        <color theme="0" tint="-0.499984740745262"/>
      </bottom>
      <diagonal/>
    </border>
    <border>
      <left style="thick">
        <color theme="0" tint="-0.24994659260841701"/>
      </left>
      <right/>
      <top/>
      <bottom style="thin">
        <color theme="9" tint="0.59999389629810485"/>
      </bottom>
      <diagonal/>
    </border>
    <border>
      <left/>
      <right/>
      <top/>
      <bottom style="thin">
        <color theme="9" tint="0.59999389629810485"/>
      </bottom>
      <diagonal/>
    </border>
    <border>
      <left/>
      <right style="thick">
        <color theme="0" tint="-0.24994659260841701"/>
      </right>
      <top/>
      <bottom style="thin">
        <color theme="9" tint="0.59999389629810485"/>
      </bottom>
      <diagonal/>
    </border>
  </borders>
  <cellStyleXfs count="47">
    <xf numFmtId="0" fontId="0" fillId="0" borderId="0"/>
    <xf numFmtId="0" fontId="10" fillId="0" borderId="0"/>
    <xf numFmtId="170" fontId="12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3" fillId="0" borderId="0"/>
    <xf numFmtId="0" fontId="14" fillId="0" borderId="0"/>
    <xf numFmtId="1" fontId="15" fillId="0" borderId="0"/>
    <xf numFmtId="0" fontId="10" fillId="0" borderId="0"/>
    <xf numFmtId="9" fontId="15" fillId="0" borderId="0" applyFont="0" applyFill="0" applyBorder="0" applyAlignment="0" applyProtection="0"/>
    <xf numFmtId="0" fontId="13" fillId="0" borderId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7" fillId="0" borderId="0"/>
    <xf numFmtId="43" fontId="1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80" fontId="13" fillId="0" borderId="0"/>
    <xf numFmtId="0" fontId="25" fillId="0" borderId="0"/>
    <xf numFmtId="0" fontId="26" fillId="0" borderId="0"/>
    <xf numFmtId="0" fontId="26" fillId="0" borderId="0"/>
    <xf numFmtId="0" fontId="13" fillId="0" borderId="0"/>
    <xf numFmtId="0" fontId="13" fillId="0" borderId="0"/>
    <xf numFmtId="9" fontId="2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7" fillId="4" borderId="0">
      <alignment horizontal="right" vertical="top" wrapText="1"/>
    </xf>
    <xf numFmtId="38" fontId="27" fillId="4" borderId="0">
      <alignment horizontal="right" vertical="top" wrapText="1"/>
    </xf>
    <xf numFmtId="181" fontId="27" fillId="4" borderId="0">
      <alignment horizontal="right" vertical="top" wrapText="1"/>
    </xf>
    <xf numFmtId="0" fontId="28" fillId="5" borderId="0">
      <alignment horizontal="centerContinuous" vertical="top" wrapText="1"/>
    </xf>
    <xf numFmtId="0" fontId="29" fillId="6" borderId="0">
      <alignment horizontal="right" wrapText="1"/>
    </xf>
    <xf numFmtId="1" fontId="30" fillId="0" borderId="0">
      <alignment horizontal="center"/>
    </xf>
    <xf numFmtId="0" fontId="25" fillId="0" borderId="0"/>
    <xf numFmtId="0" fontId="36" fillId="0" borderId="0"/>
    <xf numFmtId="0" fontId="36" fillId="0" borderId="0"/>
    <xf numFmtId="170" fontId="2" fillId="0" borderId="0" applyFont="0" applyFill="0" applyBorder="0" applyAlignment="0" applyProtection="0"/>
    <xf numFmtId="0" fontId="13" fillId="0" borderId="0"/>
    <xf numFmtId="0" fontId="1" fillId="0" borderId="0"/>
    <xf numFmtId="0" fontId="10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247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1" fillId="3" borderId="0" xfId="0" applyFont="1" applyFill="1" applyAlignment="1">
      <alignment vertical="top" wrapText="1"/>
    </xf>
    <xf numFmtId="0" fontId="18" fillId="2" borderId="0" xfId="0" applyFont="1" applyFill="1"/>
    <xf numFmtId="0" fontId="19" fillId="0" borderId="0" xfId="7" applyFont="1"/>
    <xf numFmtId="0" fontId="21" fillId="0" borderId="0" xfId="7" applyFont="1"/>
    <xf numFmtId="0" fontId="19" fillId="0" borderId="0" xfId="0" applyFont="1" applyFill="1" applyBorder="1" applyAlignment="1" applyProtection="1">
      <alignment horizontal="left" vertical="center" indent="1"/>
    </xf>
    <xf numFmtId="0" fontId="0" fillId="0" borderId="0" xfId="0" applyNumberFormat="1"/>
    <xf numFmtId="0" fontId="21" fillId="0" borderId="0" xfId="0" applyFont="1" applyFill="1" applyBorder="1" applyAlignment="1" applyProtection="1">
      <alignment horizontal="left" vertical="center" indent="1"/>
    </xf>
    <xf numFmtId="0" fontId="22" fillId="0" borderId="0" xfId="0" applyFont="1" applyFill="1" applyBorder="1" applyAlignment="1" applyProtection="1">
      <alignment horizontal="right" vertical="center" indent="1"/>
    </xf>
    <xf numFmtId="0" fontId="0" fillId="0" borderId="0" xfId="0" applyNumberFormat="1" applyFont="1"/>
    <xf numFmtId="0" fontId="5" fillId="0" borderId="0" xfId="0" applyNumberFormat="1" applyFont="1"/>
    <xf numFmtId="0" fontId="23" fillId="0" borderId="0" xfId="0" applyFont="1" applyFill="1" applyBorder="1" applyAlignment="1" applyProtection="1">
      <alignment horizontal="left" vertical="center" indent="1"/>
    </xf>
    <xf numFmtId="166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vertical="center"/>
    </xf>
    <xf numFmtId="0" fontId="33" fillId="0" borderId="0" xfId="0" applyFont="1"/>
    <xf numFmtId="0" fontId="32" fillId="0" borderId="0" xfId="0" applyFont="1" applyAlignment="1">
      <alignment vertical="center"/>
    </xf>
    <xf numFmtId="0" fontId="32" fillId="0" borderId="0" xfId="0" applyFont="1" applyBorder="1" applyAlignment="1">
      <alignment vertical="center"/>
    </xf>
    <xf numFmtId="0" fontId="3" fillId="0" borderId="0" xfId="0" applyFont="1" applyAlignment="1">
      <alignment horizontal="centerContinuous" vertical="center"/>
    </xf>
    <xf numFmtId="0" fontId="40" fillId="0" borderId="0" xfId="0" applyFont="1" applyAlignment="1">
      <alignment vertical="center"/>
    </xf>
    <xf numFmtId="0" fontId="31" fillId="0" borderId="0" xfId="0" applyFont="1" applyBorder="1" applyAlignment="1">
      <alignment vertical="center"/>
    </xf>
    <xf numFmtId="0" fontId="41" fillId="0" borderId="0" xfId="0" applyFont="1" applyBorder="1" applyAlignment="1">
      <alignment vertical="center" wrapText="1"/>
    </xf>
    <xf numFmtId="0" fontId="39" fillId="0" borderId="0" xfId="0" applyFont="1" applyBorder="1" applyAlignment="1" applyProtection="1">
      <alignment vertical="center" wrapText="1"/>
      <protection locked="0"/>
    </xf>
    <xf numFmtId="0" fontId="4" fillId="0" borderId="0" xfId="1" applyFont="1" applyAlignment="1">
      <alignment horizontal="centerContinuous"/>
    </xf>
    <xf numFmtId="0" fontId="4" fillId="0" borderId="0" xfId="1" applyFont="1" applyAlignment="1">
      <alignment horizontal="left"/>
    </xf>
    <xf numFmtId="0" fontId="39" fillId="0" borderId="0" xfId="0" applyFont="1" applyBorder="1" applyAlignment="1">
      <alignment vertical="center"/>
    </xf>
    <xf numFmtId="0" fontId="39" fillId="0" borderId="0" xfId="0" applyFont="1" applyBorder="1" applyAlignment="1" applyProtection="1">
      <alignment vertical="top" wrapText="1"/>
      <protection locked="0"/>
    </xf>
    <xf numFmtId="0" fontId="20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4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0" fontId="44" fillId="0" borderId="0" xfId="0" applyFont="1" applyAlignment="1">
      <alignment horizontal="centerContinuous"/>
    </xf>
    <xf numFmtId="0" fontId="44" fillId="0" borderId="0" xfId="0" applyFont="1" applyAlignment="1">
      <alignment vertical="center"/>
    </xf>
    <xf numFmtId="0" fontId="44" fillId="0" borderId="0" xfId="1" applyFont="1" applyAlignment="1">
      <alignment horizontal="centerContinuous"/>
    </xf>
    <xf numFmtId="0" fontId="50" fillId="0" borderId="0" xfId="0" applyFont="1" applyBorder="1" applyAlignment="1">
      <alignment vertical="center" wrapText="1"/>
    </xf>
    <xf numFmtId="0" fontId="31" fillId="12" borderId="0" xfId="0" applyFont="1" applyFill="1" applyBorder="1" applyAlignment="1">
      <alignment vertical="center"/>
    </xf>
    <xf numFmtId="0" fontId="46" fillId="8" borderId="7" xfId="0" applyFont="1" applyFill="1" applyBorder="1" applyAlignment="1">
      <alignment horizontal="centerContinuous"/>
    </xf>
    <xf numFmtId="0" fontId="47" fillId="8" borderId="8" xfId="0" applyFont="1" applyFill="1" applyBorder="1" applyAlignment="1">
      <alignment horizontal="centerContinuous"/>
    </xf>
    <xf numFmtId="0" fontId="42" fillId="7" borderId="7" xfId="0" applyFont="1" applyFill="1" applyBorder="1" applyAlignment="1">
      <alignment horizontal="right" vertical="center" wrapText="1"/>
    </xf>
    <xf numFmtId="0" fontId="45" fillId="7" borderId="8" xfId="0" applyFont="1" applyFill="1" applyBorder="1" applyAlignment="1">
      <alignment horizontal="left" vertical="center" textRotation="90" wrapText="1"/>
    </xf>
    <xf numFmtId="0" fontId="20" fillId="10" borderId="9" xfId="0" applyFont="1" applyFill="1" applyBorder="1" applyAlignment="1">
      <alignment horizontal="center" vertical="center" textRotation="90"/>
    </xf>
    <xf numFmtId="0" fontId="20" fillId="10" borderId="9" xfId="0" applyFont="1" applyFill="1" applyBorder="1" applyAlignment="1">
      <alignment vertical="center"/>
    </xf>
    <xf numFmtId="0" fontId="20" fillId="10" borderId="9" xfId="0" applyFont="1" applyFill="1" applyBorder="1" applyAlignment="1">
      <alignment horizontal="right" vertical="center" indent="1"/>
    </xf>
    <xf numFmtId="0" fontId="20" fillId="10" borderId="10" xfId="0" applyFont="1" applyFill="1" applyBorder="1" applyAlignment="1">
      <alignment horizontal="right" vertical="center"/>
    </xf>
    <xf numFmtId="0" fontId="20" fillId="10" borderId="9" xfId="0" applyFont="1" applyFill="1" applyBorder="1" applyAlignment="1">
      <alignment horizontal="right" vertical="center"/>
    </xf>
    <xf numFmtId="0" fontId="20" fillId="10" borderId="9" xfId="0" applyFont="1" applyFill="1" applyBorder="1" applyAlignment="1">
      <alignment horizontal="right" vertical="center" wrapText="1"/>
    </xf>
    <xf numFmtId="0" fontId="20" fillId="10" borderId="11" xfId="0" applyFont="1" applyFill="1" applyBorder="1" applyAlignment="1">
      <alignment horizontal="right" vertical="center" textRotation="90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9" fillId="0" borderId="6" xfId="0" applyFont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10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0" fontId="46" fillId="8" borderId="7" xfId="1" applyFont="1" applyFill="1" applyBorder="1" applyAlignment="1">
      <alignment horizontal="centerContinuous" vertical="center"/>
    </xf>
    <xf numFmtId="0" fontId="47" fillId="8" borderId="8" xfId="1" applyFont="1" applyFill="1" applyBorder="1" applyAlignment="1">
      <alignment horizontal="centerContinuous" vertical="center"/>
    </xf>
    <xf numFmtId="0" fontId="42" fillId="7" borderId="7" xfId="1" applyFont="1" applyFill="1" applyBorder="1" applyAlignment="1">
      <alignment horizontal="right" vertical="center" wrapText="1"/>
    </xf>
    <xf numFmtId="0" fontId="45" fillId="7" borderId="8" xfId="1" applyFont="1" applyFill="1" applyBorder="1" applyAlignment="1">
      <alignment horizontal="left" vertical="center" textRotation="90" wrapText="1"/>
    </xf>
    <xf numFmtId="0" fontId="52" fillId="0" borderId="0" xfId="0" applyFont="1" applyFill="1" applyBorder="1" applyAlignment="1" applyProtection="1">
      <alignment horizontal="left" vertical="center" indent="1"/>
    </xf>
    <xf numFmtId="0" fontId="53" fillId="0" borderId="0" xfId="0" applyFont="1" applyFill="1" applyBorder="1" applyAlignment="1" applyProtection="1">
      <alignment horizontal="left" vertical="center" indent="1"/>
    </xf>
    <xf numFmtId="0" fontId="54" fillId="0" borderId="0" xfId="0" applyFont="1" applyFill="1" applyBorder="1" applyAlignment="1" applyProtection="1">
      <alignment horizontal="right" vertical="center" indent="1"/>
    </xf>
    <xf numFmtId="0" fontId="55" fillId="0" borderId="0" xfId="0" applyFont="1" applyAlignment="1">
      <alignment vertical="center"/>
    </xf>
    <xf numFmtId="0" fontId="42" fillId="7" borderId="7" xfId="0" applyFont="1" applyFill="1" applyBorder="1" applyAlignment="1">
      <alignment horizontal="center" vertical="center" wrapText="1"/>
    </xf>
    <xf numFmtId="0" fontId="42" fillId="7" borderId="7" xfId="1" applyFont="1" applyFill="1" applyBorder="1" applyAlignment="1">
      <alignment horizontal="center" vertical="center" wrapText="1"/>
    </xf>
    <xf numFmtId="0" fontId="42" fillId="7" borderId="8" xfId="0" applyFont="1" applyFill="1" applyBorder="1" applyAlignment="1">
      <alignment horizontal="center" vertical="center" wrapText="1"/>
    </xf>
    <xf numFmtId="0" fontId="39" fillId="0" borderId="29" xfId="0" applyFont="1" applyBorder="1" applyAlignment="1" applyProtection="1">
      <alignment horizontal="right" vertical="center"/>
      <protection locked="0"/>
    </xf>
    <xf numFmtId="3" fontId="39" fillId="0" borderId="15" xfId="0" applyNumberFormat="1" applyFont="1" applyBorder="1" applyAlignment="1" applyProtection="1">
      <alignment vertical="center"/>
      <protection locked="0"/>
    </xf>
    <xf numFmtId="168" fontId="39" fillId="0" borderId="30" xfId="0" applyNumberFormat="1" applyFont="1" applyBorder="1" applyAlignment="1" applyProtection="1">
      <alignment vertical="center"/>
      <protection locked="0"/>
    </xf>
    <xf numFmtId="0" fontId="39" fillId="0" borderId="29" xfId="1" applyFont="1" applyBorder="1" applyAlignment="1" applyProtection="1">
      <alignment horizontal="right"/>
      <protection locked="0"/>
    </xf>
    <xf numFmtId="3" fontId="39" fillId="0" borderId="30" xfId="1" applyNumberFormat="1" applyFont="1" applyBorder="1" applyProtection="1">
      <protection locked="0"/>
    </xf>
    <xf numFmtId="0" fontId="20" fillId="11" borderId="3" xfId="1" applyFont="1" applyFill="1" applyBorder="1" applyAlignment="1">
      <alignment horizontal="right" vertical="center"/>
    </xf>
    <xf numFmtId="0" fontId="20" fillId="11" borderId="4" xfId="1" applyFont="1" applyFill="1" applyBorder="1" applyAlignment="1">
      <alignment horizontal="left" vertical="center" textRotation="90" wrapText="1"/>
    </xf>
    <xf numFmtId="0" fontId="39" fillId="0" borderId="13" xfId="1" applyFont="1" applyBorder="1" applyProtection="1">
      <protection locked="0"/>
    </xf>
    <xf numFmtId="0" fontId="39" fillId="0" borderId="14" xfId="1" applyFont="1" applyBorder="1" applyProtection="1">
      <protection locked="0"/>
    </xf>
    <xf numFmtId="166" fontId="39" fillId="0" borderId="14" xfId="1" applyNumberFormat="1" applyFont="1" applyBorder="1" applyAlignment="1" applyProtection="1">
      <alignment horizontal="right"/>
      <protection locked="0"/>
    </xf>
    <xf numFmtId="0" fontId="39" fillId="0" borderId="13" xfId="1" applyFont="1" applyBorder="1" applyAlignment="1" applyProtection="1">
      <alignment horizontal="right"/>
      <protection locked="0"/>
    </xf>
    <xf numFmtId="3" fontId="39" fillId="0" borderId="14" xfId="1" applyNumberFormat="1" applyFont="1" applyBorder="1" applyProtection="1">
      <protection locked="0"/>
    </xf>
    <xf numFmtId="168" fontId="39" fillId="0" borderId="14" xfId="1" applyNumberFormat="1" applyFont="1" applyBorder="1" applyProtection="1">
      <protection locked="0"/>
    </xf>
    <xf numFmtId="0" fontId="39" fillId="0" borderId="14" xfId="1" applyFont="1" applyBorder="1" applyAlignment="1" applyProtection="1">
      <alignment horizontal="right"/>
      <protection locked="0"/>
    </xf>
    <xf numFmtId="0" fontId="20" fillId="10" borderId="11" xfId="0" applyFont="1" applyFill="1" applyBorder="1" applyAlignment="1">
      <alignment horizontal="right" vertical="center"/>
    </xf>
    <xf numFmtId="0" fontId="20" fillId="11" borderId="26" xfId="1" applyFont="1" applyFill="1" applyBorder="1" applyAlignment="1">
      <alignment horizontal="left" vertical="center" textRotation="90" wrapText="1"/>
    </xf>
    <xf numFmtId="0" fontId="49" fillId="0" borderId="3" xfId="0" applyFont="1" applyBorder="1" applyAlignment="1">
      <alignment horizontal="center" vertical="center" shrinkToFit="1"/>
    </xf>
    <xf numFmtId="0" fontId="56" fillId="0" borderId="15" xfId="0" applyFont="1" applyBorder="1"/>
    <xf numFmtId="168" fontId="39" fillId="0" borderId="14" xfId="0" applyNumberFormat="1" applyFont="1" applyBorder="1" applyAlignment="1" applyProtection="1">
      <alignment vertical="center"/>
      <protection locked="0"/>
    </xf>
    <xf numFmtId="0" fontId="39" fillId="0" borderId="14" xfId="0" applyFont="1" applyBorder="1" applyAlignment="1" applyProtection="1">
      <alignment horizontal="right" vertical="center"/>
      <protection locked="0"/>
    </xf>
    <xf numFmtId="0" fontId="56" fillId="0" borderId="29" xfId="0" applyFont="1" applyBorder="1" applyAlignment="1" applyProtection="1">
      <alignment horizontal="right" vertical="center"/>
      <protection locked="0"/>
    </xf>
    <xf numFmtId="0" fontId="57" fillId="0" borderId="3" xfId="0" applyFont="1" applyBorder="1" applyAlignment="1">
      <alignment horizontal="center" vertical="center" shrinkToFit="1"/>
    </xf>
    <xf numFmtId="0" fontId="39" fillId="0" borderId="15" xfId="1" applyFont="1" applyBorder="1" applyProtection="1">
      <protection locked="0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2" fillId="0" borderId="0" xfId="0" applyFont="1"/>
    <xf numFmtId="167" fontId="3" fillId="0" borderId="0" xfId="0" applyNumberFormat="1" applyFont="1" applyAlignment="1" applyProtection="1">
      <alignment horizontal="centerContinuous" vertical="center"/>
      <protection locked="0"/>
    </xf>
    <xf numFmtId="167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48" fillId="0" borderId="0" xfId="1" applyFont="1" applyAlignment="1">
      <alignment vertical="center"/>
    </xf>
    <xf numFmtId="0" fontId="38" fillId="0" borderId="0" xfId="0" applyFont="1"/>
    <xf numFmtId="0" fontId="37" fillId="0" borderId="0" xfId="0" applyFont="1"/>
    <xf numFmtId="0" fontId="37" fillId="0" borderId="0" xfId="0" applyFont="1" applyAlignment="1">
      <alignment vertical="center" wrapText="1"/>
    </xf>
    <xf numFmtId="0" fontId="47" fillId="8" borderId="0" xfId="0" applyFont="1" applyFill="1" applyAlignment="1">
      <alignment horizontal="centerContinuous"/>
    </xf>
    <xf numFmtId="0" fontId="37" fillId="0" borderId="0" xfId="0" applyFont="1" applyAlignment="1">
      <alignment horizontal="center" vertical="center"/>
    </xf>
    <xf numFmtId="0" fontId="45" fillId="7" borderId="0" xfId="0" applyFont="1" applyFill="1" applyAlignment="1">
      <alignment horizontal="center" vertical="center" textRotation="90" wrapText="1"/>
    </xf>
    <xf numFmtId="0" fontId="42" fillId="7" borderId="0" xfId="0" applyFont="1" applyFill="1" applyAlignment="1">
      <alignment vertical="center" wrapText="1"/>
    </xf>
    <xf numFmtId="0" fontId="42" fillId="7" borderId="0" xfId="0" applyFont="1" applyFill="1" applyAlignment="1">
      <alignment horizontal="right" vertical="center" wrapText="1" indent="1"/>
    </xf>
    <xf numFmtId="0" fontId="42" fillId="7" borderId="0" xfId="0" applyFont="1" applyFill="1" applyAlignment="1">
      <alignment horizontal="right" vertical="center" wrapText="1"/>
    </xf>
    <xf numFmtId="0" fontId="45" fillId="7" borderId="0" xfId="0" applyFont="1" applyFill="1" applyAlignment="1">
      <alignment horizontal="left" vertical="center" textRotation="90" wrapText="1"/>
    </xf>
    <xf numFmtId="0" fontId="39" fillId="0" borderId="0" xfId="0" applyFont="1" applyAlignment="1">
      <alignment horizontal="center" vertical="center" textRotation="90" wrapText="1"/>
    </xf>
    <xf numFmtId="0" fontId="42" fillId="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textRotation="90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 inden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textRotation="90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20" fillId="0" borderId="0" xfId="0" applyFont="1" applyAlignment="1">
      <alignment horizontal="center" vertical="center" textRotation="90"/>
    </xf>
    <xf numFmtId="0" fontId="49" fillId="0" borderId="0" xfId="0" applyFont="1" applyAlignment="1">
      <alignment horizontal="center" vertical="center" shrinkToFit="1"/>
    </xf>
    <xf numFmtId="0" fontId="39" fillId="0" borderId="0" xfId="0" applyFont="1"/>
    <xf numFmtId="0" fontId="56" fillId="0" borderId="0" xfId="0" applyFont="1"/>
    <xf numFmtId="0" fontId="56" fillId="0" borderId="14" xfId="0" applyFont="1" applyBorder="1" applyAlignment="1" applyProtection="1">
      <alignment horizontal="right" vertical="center"/>
      <protection locked="0"/>
    </xf>
    <xf numFmtId="3" fontId="39" fillId="0" borderId="0" xfId="0" applyNumberFormat="1" applyFont="1" applyAlignment="1" applyProtection="1">
      <alignment vertical="center"/>
      <protection locked="0"/>
    </xf>
    <xf numFmtId="0" fontId="4" fillId="0" borderId="0" xfId="1" applyFont="1"/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167" fontId="3" fillId="0" borderId="0" xfId="1" applyNumberFormat="1" applyFont="1" applyAlignment="1">
      <alignment horizontal="left" vertical="center"/>
    </xf>
    <xf numFmtId="0" fontId="3" fillId="0" borderId="0" xfId="1" applyFont="1"/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/>
    </xf>
    <xf numFmtId="49" fontId="3" fillId="0" borderId="0" xfId="1" applyNumberFormat="1" applyFont="1"/>
    <xf numFmtId="0" fontId="37" fillId="0" borderId="0" xfId="1" applyFont="1"/>
    <xf numFmtId="0" fontId="37" fillId="0" borderId="0" xfId="1" applyFont="1" applyAlignment="1">
      <alignment vertical="center" wrapText="1"/>
    </xf>
    <xf numFmtId="0" fontId="47" fillId="8" borderId="0" xfId="1" applyFont="1" applyFill="1" applyAlignment="1">
      <alignment horizontal="centerContinuous" vertical="center"/>
    </xf>
    <xf numFmtId="0" fontId="37" fillId="0" borderId="0" xfId="1" applyFont="1" applyAlignment="1">
      <alignment horizontal="left"/>
    </xf>
    <xf numFmtId="0" fontId="45" fillId="7" borderId="0" xfId="1" applyFont="1" applyFill="1" applyAlignment="1">
      <alignment horizontal="center" vertical="center" textRotation="90" wrapText="1"/>
    </xf>
    <xf numFmtId="0" fontId="42" fillId="7" borderId="0" xfId="1" applyFont="1" applyFill="1" applyAlignment="1">
      <alignment vertical="center" wrapText="1"/>
    </xf>
    <xf numFmtId="0" fontId="42" fillId="7" borderId="0" xfId="1" applyFont="1" applyFill="1" applyAlignment="1">
      <alignment horizontal="right" vertical="center" wrapText="1" indent="1"/>
    </xf>
    <xf numFmtId="0" fontId="42" fillId="7" borderId="0" xfId="1" applyFont="1" applyFill="1" applyAlignment="1">
      <alignment horizontal="right" vertical="center" wrapText="1"/>
    </xf>
    <xf numFmtId="0" fontId="45" fillId="7" borderId="0" xfId="1" applyFont="1" applyFill="1" applyAlignment="1">
      <alignment horizontal="left" vertical="center" textRotation="90" wrapText="1"/>
    </xf>
    <xf numFmtId="0" fontId="42" fillId="7" borderId="0" xfId="1" applyFont="1" applyFill="1" applyAlignment="1">
      <alignment horizontal="center" vertical="center" wrapText="1"/>
    </xf>
    <xf numFmtId="0" fontId="9" fillId="0" borderId="0" xfId="1" applyFont="1" applyAlignment="1">
      <alignment horizontal="center" vertical="center" textRotation="90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right" vertical="center" wrapText="1" indent="1"/>
    </xf>
    <xf numFmtId="0" fontId="9" fillId="0" borderId="0" xfId="1" applyFont="1" applyAlignment="1">
      <alignment horizontal="right" vertical="center" wrapText="1"/>
    </xf>
    <xf numFmtId="0" fontId="9" fillId="0" borderId="0" xfId="1" applyFont="1" applyAlignment="1">
      <alignment horizontal="left" vertical="center" textRotation="90" wrapText="1"/>
    </xf>
    <xf numFmtId="0" fontId="9" fillId="0" borderId="0" xfId="1" applyFont="1"/>
    <xf numFmtId="0" fontId="20" fillId="11" borderId="0" xfId="1" applyFont="1" applyFill="1" applyAlignment="1">
      <alignment horizontal="center" vertical="center" textRotation="90"/>
    </xf>
    <xf numFmtId="0" fontId="20" fillId="11" borderId="0" xfId="1" applyFont="1" applyFill="1" applyAlignment="1">
      <alignment vertical="center"/>
    </xf>
    <xf numFmtId="0" fontId="20" fillId="11" borderId="0" xfId="1" applyFont="1" applyFill="1" applyAlignment="1">
      <alignment horizontal="right" vertical="center" indent="1"/>
    </xf>
    <xf numFmtId="0" fontId="20" fillId="11" borderId="0" xfId="1" applyFont="1" applyFill="1" applyAlignment="1">
      <alignment horizontal="right" vertical="center"/>
    </xf>
    <xf numFmtId="0" fontId="20" fillId="11" borderId="0" xfId="1" applyFont="1" applyFill="1" applyAlignment="1">
      <alignment horizontal="right" vertical="center" wrapText="1"/>
    </xf>
    <xf numFmtId="0" fontId="20" fillId="0" borderId="28" xfId="0" applyFont="1" applyBorder="1" applyAlignment="1">
      <alignment horizontal="center" vertical="center" textRotation="90"/>
    </xf>
    <xf numFmtId="0" fontId="39" fillId="0" borderId="0" xfId="1" applyFont="1"/>
    <xf numFmtId="0" fontId="39" fillId="0" borderId="13" xfId="0" applyFont="1" applyFill="1" applyBorder="1" applyAlignment="1" applyProtection="1">
      <alignment horizontal="right" vertical="center"/>
      <protection locked="0"/>
    </xf>
    <xf numFmtId="3" fontId="39" fillId="0" borderId="14" xfId="0" applyNumberFormat="1" applyFont="1" applyFill="1" applyBorder="1" applyAlignment="1" applyProtection="1">
      <alignment vertical="center"/>
      <protection locked="0"/>
    </xf>
    <xf numFmtId="0" fontId="39" fillId="0" borderId="14" xfId="0" applyFont="1" applyFill="1" applyBorder="1" applyAlignment="1" applyProtection="1">
      <alignment vertical="center"/>
      <protection locked="0"/>
    </xf>
    <xf numFmtId="168" fontId="39" fillId="0" borderId="14" xfId="0" applyNumberFormat="1" applyFont="1" applyFill="1" applyBorder="1" applyAlignment="1" applyProtection="1">
      <alignment vertical="center"/>
      <protection locked="0"/>
    </xf>
    <xf numFmtId="0" fontId="39" fillId="0" borderId="31" xfId="0" applyFont="1" applyFill="1" applyBorder="1" applyAlignment="1" applyProtection="1">
      <alignment vertical="center"/>
      <protection locked="0"/>
    </xf>
    <xf numFmtId="166" fontId="39" fillId="0" borderId="14" xfId="0" applyNumberFormat="1" applyFont="1" applyFill="1" applyBorder="1" applyAlignment="1" applyProtection="1">
      <alignment horizontal="right" vertical="center"/>
      <protection locked="0"/>
    </xf>
    <xf numFmtId="0" fontId="39" fillId="0" borderId="17" xfId="0" applyFont="1" applyFill="1" applyBorder="1" applyAlignment="1" applyProtection="1">
      <alignment horizontal="right" vertical="center"/>
      <protection locked="0"/>
    </xf>
    <xf numFmtId="0" fontId="39" fillId="0" borderId="15" xfId="0" applyFont="1" applyFill="1" applyBorder="1" applyAlignment="1" applyProtection="1">
      <alignment vertical="center"/>
      <protection locked="0"/>
    </xf>
    <xf numFmtId="0" fontId="39" fillId="0" borderId="16" xfId="0" applyFont="1" applyFill="1" applyBorder="1" applyAlignment="1" applyProtection="1">
      <alignment horizontal="center" vertical="center"/>
      <protection locked="0"/>
    </xf>
    <xf numFmtId="0" fontId="39" fillId="0" borderId="17" xfId="0" applyFont="1" applyFill="1" applyBorder="1" applyAlignment="1" applyProtection="1">
      <alignment vertical="center"/>
      <protection locked="0"/>
    </xf>
    <xf numFmtId="166" fontId="39" fillId="0" borderId="17" xfId="0" applyNumberFormat="1" applyFont="1" applyFill="1" applyBorder="1" applyAlignment="1" applyProtection="1">
      <alignment horizontal="right" vertical="center"/>
      <protection locked="0"/>
    </xf>
    <xf numFmtId="0" fontId="39" fillId="0" borderId="16" xfId="0" applyFont="1" applyFill="1" applyBorder="1" applyAlignment="1" applyProtection="1">
      <alignment horizontal="right" vertical="center"/>
      <protection locked="0"/>
    </xf>
    <xf numFmtId="3" fontId="39" fillId="0" borderId="17" xfId="0" applyNumberFormat="1" applyFont="1" applyFill="1" applyBorder="1" applyAlignment="1" applyProtection="1">
      <alignment vertical="center"/>
      <protection locked="0"/>
    </xf>
    <xf numFmtId="168" fontId="39" fillId="0" borderId="17" xfId="0" applyNumberFormat="1" applyFont="1" applyFill="1" applyBorder="1" applyAlignment="1" applyProtection="1">
      <alignment vertical="center"/>
      <protection locked="0"/>
    </xf>
    <xf numFmtId="0" fontId="39" fillId="0" borderId="18" xfId="0" applyFont="1" applyFill="1" applyBorder="1" applyAlignment="1" applyProtection="1">
      <alignment vertical="center"/>
      <protection locked="0"/>
    </xf>
    <xf numFmtId="0" fontId="39" fillId="0" borderId="13" xfId="0" applyFont="1" applyFill="1" applyBorder="1" applyAlignment="1" applyProtection="1">
      <alignment horizontal="center" vertical="center"/>
      <protection locked="0"/>
    </xf>
    <xf numFmtId="166" fontId="39" fillId="0" borderId="12" xfId="0" applyNumberFormat="1" applyFont="1" applyFill="1" applyBorder="1" applyAlignment="1" applyProtection="1">
      <alignment horizontal="right" vertical="center"/>
      <protection locked="0"/>
    </xf>
    <xf numFmtId="3" fontId="39" fillId="0" borderId="12" xfId="0" applyNumberFormat="1" applyFont="1" applyFill="1" applyBorder="1" applyAlignment="1" applyProtection="1">
      <alignment vertical="center"/>
      <protection locked="0"/>
    </xf>
    <xf numFmtId="0" fontId="39" fillId="0" borderId="14" xfId="0" applyFont="1" applyFill="1" applyBorder="1" applyAlignment="1" applyProtection="1">
      <alignment horizontal="right" vertical="center"/>
      <protection locked="0"/>
    </xf>
    <xf numFmtId="168" fontId="56" fillId="0" borderId="14" xfId="0" applyNumberFormat="1" applyFont="1" applyFill="1" applyBorder="1" applyAlignment="1" applyProtection="1">
      <alignment vertical="center"/>
      <protection locked="0"/>
    </xf>
    <xf numFmtId="0" fontId="56" fillId="0" borderId="15" xfId="0" applyFont="1" applyFill="1" applyBorder="1" applyAlignment="1" applyProtection="1">
      <alignment vertical="center"/>
      <protection locked="0"/>
    </xf>
    <xf numFmtId="0" fontId="39" fillId="0" borderId="33" xfId="0" applyFont="1" applyFill="1" applyBorder="1" applyAlignment="1" applyProtection="1">
      <alignment horizontal="center" vertical="center"/>
      <protection locked="0"/>
    </xf>
    <xf numFmtId="0" fontId="39" fillId="0" borderId="34" xfId="0" applyFont="1" applyFill="1" applyBorder="1" applyAlignment="1" applyProtection="1">
      <alignment vertical="center"/>
      <protection locked="0"/>
    </xf>
    <xf numFmtId="166" fontId="39" fillId="0" borderId="34" xfId="0" applyNumberFormat="1" applyFont="1" applyFill="1" applyBorder="1" applyAlignment="1" applyProtection="1">
      <alignment horizontal="right" vertical="center"/>
      <protection locked="0"/>
    </xf>
    <xf numFmtId="0" fontId="39" fillId="0" borderId="33" xfId="0" applyFont="1" applyFill="1" applyBorder="1" applyAlignment="1" applyProtection="1">
      <alignment horizontal="right" vertical="center"/>
      <protection locked="0"/>
    </xf>
    <xf numFmtId="3" fontId="39" fillId="0" borderId="34" xfId="0" applyNumberFormat="1" applyFont="1" applyFill="1" applyBorder="1" applyAlignment="1" applyProtection="1">
      <alignment vertical="center"/>
      <protection locked="0"/>
    </xf>
    <xf numFmtId="168" fontId="39" fillId="0" borderId="34" xfId="0" applyNumberFormat="1" applyFont="1" applyFill="1" applyBorder="1" applyAlignment="1" applyProtection="1">
      <alignment vertical="center"/>
      <protection locked="0"/>
    </xf>
    <xf numFmtId="0" fontId="39" fillId="0" borderId="35" xfId="0" applyFont="1" applyFill="1" applyBorder="1" applyAlignment="1" applyProtection="1">
      <alignment vertical="center"/>
      <protection locked="0"/>
    </xf>
    <xf numFmtId="0" fontId="39" fillId="0" borderId="34" xfId="0" applyFont="1" applyFill="1" applyBorder="1" applyAlignment="1" applyProtection="1">
      <alignment horizontal="right" vertical="center"/>
      <protection locked="0"/>
    </xf>
    <xf numFmtId="0" fontId="39" fillId="0" borderId="19" xfId="0" applyFont="1" applyFill="1" applyBorder="1" applyAlignment="1" applyProtection="1">
      <alignment horizontal="center" vertical="center"/>
      <protection locked="0"/>
    </xf>
    <xf numFmtId="0" fontId="39" fillId="0" borderId="20" xfId="0" applyFont="1" applyFill="1" applyBorder="1" applyAlignment="1" applyProtection="1">
      <alignment vertical="center"/>
      <protection locked="0"/>
    </xf>
    <xf numFmtId="166" fontId="39" fillId="0" borderId="20" xfId="0" applyNumberFormat="1" applyFont="1" applyFill="1" applyBorder="1" applyAlignment="1" applyProtection="1">
      <alignment horizontal="right" vertical="center"/>
      <protection locked="0"/>
    </xf>
    <xf numFmtId="0" fontId="39" fillId="0" borderId="19" xfId="0" applyFont="1" applyFill="1" applyBorder="1" applyAlignment="1" applyProtection="1">
      <alignment horizontal="right" vertical="center"/>
      <protection locked="0"/>
    </xf>
    <xf numFmtId="3" fontId="39" fillId="0" borderId="20" xfId="0" applyNumberFormat="1" applyFont="1" applyFill="1" applyBorder="1" applyAlignment="1" applyProtection="1">
      <alignment vertical="center"/>
      <protection locked="0"/>
    </xf>
    <xf numFmtId="168" fontId="39" fillId="0" borderId="20" xfId="0" applyNumberFormat="1" applyFont="1" applyFill="1" applyBorder="1" applyAlignment="1" applyProtection="1">
      <alignment vertical="center"/>
      <protection locked="0"/>
    </xf>
    <xf numFmtId="0" fontId="39" fillId="0" borderId="21" xfId="0" applyFont="1" applyFill="1" applyBorder="1" applyAlignment="1" applyProtection="1">
      <alignment vertical="center"/>
      <protection locked="0"/>
    </xf>
    <xf numFmtId="0" fontId="39" fillId="0" borderId="20" xfId="0" applyFont="1" applyFill="1" applyBorder="1" applyAlignment="1" applyProtection="1">
      <alignment horizontal="right" vertical="center"/>
      <protection locked="0"/>
    </xf>
    <xf numFmtId="0" fontId="39" fillId="0" borderId="25" xfId="0" applyFont="1" applyFill="1" applyBorder="1" applyAlignment="1" applyProtection="1">
      <alignment horizontal="right" vertical="center"/>
      <protection locked="0"/>
    </xf>
    <xf numFmtId="0" fontId="59" fillId="0" borderId="14" xfId="0" applyFont="1" applyFill="1" applyBorder="1" applyAlignment="1" applyProtection="1">
      <alignment vertical="center"/>
      <protection locked="0"/>
    </xf>
    <xf numFmtId="166" fontId="59" fillId="0" borderId="14" xfId="0" applyNumberFormat="1" applyFont="1" applyFill="1" applyBorder="1" applyAlignment="1" applyProtection="1">
      <alignment horizontal="right" vertical="center"/>
      <protection locked="0"/>
    </xf>
    <xf numFmtId="0" fontId="59" fillId="0" borderId="13" xfId="0" applyFont="1" applyFill="1" applyBorder="1" applyAlignment="1" applyProtection="1">
      <alignment horizontal="right" vertical="center"/>
      <protection locked="0"/>
    </xf>
    <xf numFmtId="3" fontId="59" fillId="0" borderId="14" xfId="0" applyNumberFormat="1" applyFont="1" applyFill="1" applyBorder="1" applyAlignment="1" applyProtection="1">
      <alignment vertical="center"/>
      <protection locked="0"/>
    </xf>
    <xf numFmtId="168" fontId="59" fillId="0" borderId="14" xfId="0" applyNumberFormat="1" applyFont="1" applyFill="1" applyBorder="1" applyAlignment="1" applyProtection="1">
      <alignment vertical="center"/>
      <protection locked="0"/>
    </xf>
    <xf numFmtId="0" fontId="59" fillId="0" borderId="31" xfId="0" applyFont="1" applyFill="1" applyBorder="1" applyAlignment="1" applyProtection="1">
      <alignment vertical="center"/>
      <protection locked="0"/>
    </xf>
    <xf numFmtId="0" fontId="59" fillId="0" borderId="17" xfId="0" applyFont="1" applyFill="1" applyBorder="1" applyAlignment="1" applyProtection="1">
      <alignment horizontal="right" vertical="center"/>
      <protection locked="0"/>
    </xf>
    <xf numFmtId="0" fontId="59" fillId="0" borderId="15" xfId="0" applyFont="1" applyFill="1" applyBorder="1" applyAlignment="1" applyProtection="1">
      <alignment vertical="center"/>
      <protection locked="0"/>
    </xf>
    <xf numFmtId="0" fontId="3" fillId="0" borderId="15" xfId="0" applyFont="1" applyFill="1" applyBorder="1"/>
    <xf numFmtId="0" fontId="39" fillId="0" borderId="13" xfId="1" applyFont="1" applyFill="1" applyBorder="1" applyProtection="1">
      <protection locked="0"/>
    </xf>
    <xf numFmtId="0" fontId="39" fillId="0" borderId="14" xfId="1" applyFont="1" applyFill="1" applyBorder="1" applyProtection="1">
      <protection locked="0"/>
    </xf>
    <xf numFmtId="166" fontId="39" fillId="0" borderId="14" xfId="1" applyNumberFormat="1" applyFont="1" applyFill="1" applyBorder="1" applyAlignment="1" applyProtection="1">
      <alignment horizontal="right"/>
      <protection locked="0"/>
    </xf>
    <xf numFmtId="0" fontId="39" fillId="0" borderId="13" xfId="1" applyFont="1" applyFill="1" applyBorder="1" applyAlignment="1" applyProtection="1">
      <alignment horizontal="right"/>
      <protection locked="0"/>
    </xf>
    <xf numFmtId="3" fontId="39" fillId="0" borderId="14" xfId="1" applyNumberFormat="1" applyFont="1" applyFill="1" applyBorder="1" applyProtection="1">
      <protection locked="0"/>
    </xf>
    <xf numFmtId="168" fontId="39" fillId="0" borderId="14" xfId="1" applyNumberFormat="1" applyFont="1" applyFill="1" applyBorder="1" applyProtection="1">
      <protection locked="0"/>
    </xf>
    <xf numFmtId="0" fontId="39" fillId="0" borderId="15" xfId="1" applyFont="1" applyFill="1" applyBorder="1" applyProtection="1">
      <protection locked="0"/>
    </xf>
    <xf numFmtId="0" fontId="39" fillId="0" borderId="14" xfId="1" applyFont="1" applyFill="1" applyBorder="1" applyAlignment="1" applyProtection="1">
      <alignment horizontal="right"/>
      <protection locked="0"/>
    </xf>
    <xf numFmtId="0" fontId="59" fillId="0" borderId="13" xfId="1" applyFont="1" applyFill="1" applyBorder="1" applyProtection="1">
      <protection locked="0"/>
    </xf>
    <xf numFmtId="0" fontId="59" fillId="0" borderId="14" xfId="1" applyFont="1" applyFill="1" applyBorder="1" applyProtection="1">
      <protection locked="0"/>
    </xf>
    <xf numFmtId="166" fontId="59" fillId="0" borderId="14" xfId="1" applyNumberFormat="1" applyFont="1" applyFill="1" applyBorder="1" applyAlignment="1" applyProtection="1">
      <alignment horizontal="right"/>
      <protection locked="0"/>
    </xf>
    <xf numFmtId="0" fontId="59" fillId="0" borderId="13" xfId="1" applyFont="1" applyFill="1" applyBorder="1" applyAlignment="1" applyProtection="1">
      <alignment horizontal="right"/>
      <protection locked="0"/>
    </xf>
    <xf numFmtId="3" fontId="59" fillId="0" borderId="14" xfId="1" applyNumberFormat="1" applyFont="1" applyFill="1" applyBorder="1" applyProtection="1">
      <protection locked="0"/>
    </xf>
    <xf numFmtId="168" fontId="59" fillId="0" borderId="14" xfId="1" applyNumberFormat="1" applyFont="1" applyFill="1" applyBorder="1" applyProtection="1">
      <protection locked="0"/>
    </xf>
    <xf numFmtId="0" fontId="59" fillId="0" borderId="15" xfId="1" applyFont="1" applyFill="1" applyBorder="1" applyProtection="1">
      <protection locked="0"/>
    </xf>
    <xf numFmtId="0" fontId="59" fillId="0" borderId="14" xfId="1" applyFont="1" applyFill="1" applyBorder="1" applyAlignment="1" applyProtection="1">
      <alignment horizontal="right"/>
      <protection locked="0"/>
    </xf>
    <xf numFmtId="0" fontId="58" fillId="0" borderId="15" xfId="1" applyFont="1" applyFill="1" applyBorder="1" applyProtection="1">
      <protection locked="0"/>
    </xf>
    <xf numFmtId="0" fontId="39" fillId="0" borderId="22" xfId="1" applyFont="1" applyFill="1" applyBorder="1" applyProtection="1">
      <protection locked="0"/>
    </xf>
    <xf numFmtId="0" fontId="39" fillId="0" borderId="23" xfId="1" applyFont="1" applyFill="1" applyBorder="1" applyProtection="1">
      <protection locked="0"/>
    </xf>
    <xf numFmtId="166" fontId="39" fillId="0" borderId="23" xfId="1" applyNumberFormat="1" applyFont="1" applyFill="1" applyBorder="1" applyAlignment="1" applyProtection="1">
      <alignment horizontal="right"/>
      <protection locked="0"/>
    </xf>
    <xf numFmtId="0" fontId="39" fillId="0" borderId="22" xfId="1" applyFont="1" applyFill="1" applyBorder="1" applyAlignment="1" applyProtection="1">
      <alignment horizontal="right"/>
      <protection locked="0"/>
    </xf>
    <xf numFmtId="3" fontId="39" fillId="0" borderId="23" xfId="1" applyNumberFormat="1" applyFont="1" applyFill="1" applyBorder="1" applyProtection="1">
      <protection locked="0"/>
    </xf>
    <xf numFmtId="168" fontId="39" fillId="0" borderId="23" xfId="1" applyNumberFormat="1" applyFont="1" applyFill="1" applyBorder="1" applyProtection="1">
      <protection locked="0"/>
    </xf>
    <xf numFmtId="0" fontId="39" fillId="0" borderId="24" xfId="1" applyFont="1" applyFill="1" applyBorder="1" applyProtection="1">
      <protection locked="0"/>
    </xf>
    <xf numFmtId="0" fontId="39" fillId="0" borderId="23" xfId="1" applyFont="1" applyFill="1" applyBorder="1" applyAlignment="1" applyProtection="1">
      <alignment horizontal="right"/>
      <protection locked="0"/>
    </xf>
    <xf numFmtId="166" fontId="39" fillId="0" borderId="0" xfId="0" applyNumberFormat="1" applyFont="1" applyFill="1" applyAlignment="1" applyProtection="1">
      <alignment horizontal="right" vertical="center"/>
      <protection locked="0"/>
    </xf>
    <xf numFmtId="3" fontId="39" fillId="0" borderId="0" xfId="0" applyNumberFormat="1" applyFont="1" applyFill="1" applyAlignment="1" applyProtection="1">
      <alignment vertical="center"/>
      <protection locked="0"/>
    </xf>
    <xf numFmtId="0" fontId="39" fillId="0" borderId="13" xfId="0" applyFont="1" applyFill="1" applyBorder="1" applyAlignment="1" applyProtection="1">
      <alignment vertical="center"/>
      <protection locked="0"/>
    </xf>
    <xf numFmtId="3" fontId="39" fillId="0" borderId="9" xfId="0" applyNumberFormat="1" applyFont="1" applyFill="1" applyBorder="1" applyAlignment="1" applyProtection="1">
      <alignment vertical="center"/>
      <protection locked="0"/>
    </xf>
    <xf numFmtId="0" fontId="3" fillId="0" borderId="32" xfId="0" applyFont="1" applyFill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 applyProtection="1">
      <alignment horizontal="left" vertical="center"/>
      <protection locked="0"/>
    </xf>
  </cellXfs>
  <cellStyles count="47">
    <cellStyle name="Comma 2" xfId="2" xr:uid="{00000000-0005-0000-0000-000000000000}"/>
    <cellStyle name="Comma 2 2" xfId="41" xr:uid="{00000000-0005-0000-0000-000001000000}"/>
    <cellStyle name="Comma 2 2 2" xfId="46" xr:uid="{00000000-0005-0000-0000-000002000000}"/>
    <cellStyle name="Comma 2 3" xfId="45" xr:uid="{00000000-0005-0000-0000-000003000000}"/>
    <cellStyle name="Comma 3" xfId="15" xr:uid="{00000000-0005-0000-0000-000004000000}"/>
    <cellStyle name="Comma 3 2" xfId="16" xr:uid="{00000000-0005-0000-0000-000005000000}"/>
    <cellStyle name="Comma 4" xfId="17" xr:uid="{00000000-0005-0000-0000-000006000000}"/>
    <cellStyle name="Comma 5" xfId="18" xr:uid="{00000000-0005-0000-0000-000007000000}"/>
    <cellStyle name="Comma 6" xfId="19" xr:uid="{00000000-0005-0000-0000-000008000000}"/>
    <cellStyle name="Dezimal_XL Questionnaire_2002_July-10" xfId="3" xr:uid="{00000000-0005-0000-0000-000009000000}"/>
    <cellStyle name="Milliers [0]_EDYAN" xfId="20" xr:uid="{00000000-0005-0000-0000-00000A000000}"/>
    <cellStyle name="Milliers_EDYAN" xfId="21" xr:uid="{00000000-0005-0000-0000-00000B000000}"/>
    <cellStyle name="Monétaire [0]_EDYAN" xfId="22" xr:uid="{00000000-0005-0000-0000-00000C000000}"/>
    <cellStyle name="Monétaire_EDYAN" xfId="23" xr:uid="{00000000-0005-0000-0000-00000D000000}"/>
    <cellStyle name="Normal" xfId="0" builtinId="0"/>
    <cellStyle name="Normal - Style1" xfId="24" xr:uid="{00000000-0005-0000-0000-00000F000000}"/>
    <cellStyle name="Normal 10" xfId="40" xr:uid="{00000000-0005-0000-0000-000010000000}"/>
    <cellStyle name="Normal 11" xfId="42" xr:uid="{00000000-0005-0000-0000-000011000000}"/>
    <cellStyle name="Normal 2" xfId="4" xr:uid="{00000000-0005-0000-0000-000012000000}"/>
    <cellStyle name="Normal 2 2" xfId="5" xr:uid="{00000000-0005-0000-0000-000013000000}"/>
    <cellStyle name="Normal 2 3" xfId="44" xr:uid="{00000000-0005-0000-0000-000014000000}"/>
    <cellStyle name="Normal 3" xfId="6" xr:uid="{00000000-0005-0000-0000-000015000000}"/>
    <cellStyle name="Normal 3 2" xfId="25" xr:uid="{00000000-0005-0000-0000-000016000000}"/>
    <cellStyle name="Normal 3 3" xfId="26" xr:uid="{00000000-0005-0000-0000-000017000000}"/>
    <cellStyle name="Normal 3_List of Fac in force at 19.04.11 for TF" xfId="27" xr:uid="{00000000-0005-0000-0000-000018000000}"/>
    <cellStyle name="Normal 4" xfId="1" xr:uid="{00000000-0005-0000-0000-000019000000}"/>
    <cellStyle name="Normal 4 2" xfId="43" xr:uid="{00000000-0005-0000-0000-00001A000000}"/>
    <cellStyle name="Normal 5" xfId="7" xr:uid="{00000000-0005-0000-0000-00001B000000}"/>
    <cellStyle name="Normal 6" xfId="14" xr:uid="{00000000-0005-0000-0000-00001C000000}"/>
    <cellStyle name="Normal 7" xfId="28" xr:uid="{00000000-0005-0000-0000-00001D000000}"/>
    <cellStyle name="Normal 8" xfId="29" xr:uid="{00000000-0005-0000-0000-00001E000000}"/>
    <cellStyle name="Normal 9" xfId="39" xr:uid="{00000000-0005-0000-0000-00001F000000}"/>
    <cellStyle name="Percent 2" xfId="8" xr:uid="{00000000-0005-0000-0000-000021000000}"/>
    <cellStyle name="Percent 2 2" xfId="30" xr:uid="{00000000-0005-0000-0000-000022000000}"/>
    <cellStyle name="Percent 3" xfId="31" xr:uid="{00000000-0005-0000-0000-000023000000}"/>
    <cellStyle name="Standard_XL Questionnaire_2002_July-10" xfId="9" xr:uid="{00000000-0005-0000-0000-000024000000}"/>
    <cellStyle name="Table Body" xfId="32" xr:uid="{00000000-0005-0000-0000-000025000000}"/>
    <cellStyle name="Table Body $" xfId="33" xr:uid="{00000000-0005-0000-0000-000026000000}"/>
    <cellStyle name="Table Body %" xfId="34" xr:uid="{00000000-0005-0000-0000-000027000000}"/>
    <cellStyle name="Table Header" xfId="35" xr:uid="{00000000-0005-0000-0000-000028000000}"/>
    <cellStyle name="Table Subheader" xfId="36" xr:uid="{00000000-0005-0000-0000-000029000000}"/>
    <cellStyle name="Year" xfId="37" xr:uid="{00000000-0005-0000-0000-00002A000000}"/>
    <cellStyle name="Обычный_1-квартал 2006" xfId="38" xr:uid="{00000000-0005-0000-0000-00002B000000}"/>
    <cellStyle name="쉼표 [0]_Updated result(Hull XL)" xfId="10" xr:uid="{00000000-0005-0000-0000-00002C000000}"/>
    <cellStyle name="콤마 [0]_~wlD202" xfId="11" xr:uid="{00000000-0005-0000-0000-00002D000000}"/>
    <cellStyle name="콤마_~wlD202" xfId="12" xr:uid="{00000000-0005-0000-0000-00002E000000}"/>
    <cellStyle name="표준_Updated result(Hull XL)" xfId="13" xr:uid="{00000000-0005-0000-0000-00002F000000}"/>
  </cellStyles>
  <dxfs count="26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b/>
        <i/>
        <color rgb="FF7030A0"/>
      </font>
    </dxf>
    <dxf>
      <font>
        <color rgb="FF7030A0"/>
      </font>
    </dxf>
    <dxf>
      <fill>
        <patternFill>
          <bgColor theme="4" tint="0.79998168889431442"/>
        </patternFill>
      </fill>
    </dxf>
    <dxf>
      <border>
        <bottom style="thin">
          <color theme="0" tint="-0.499984740745262"/>
        </bottom>
        <vertical/>
        <horizontal/>
      </border>
    </dxf>
    <dxf>
      <fill>
        <patternFill>
          <bgColor theme="4" tint="0.79998168889431442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ont>
        <color rgb="FF7030A0"/>
      </font>
    </dxf>
    <dxf>
      <border>
        <bottom style="thin">
          <color theme="0" tint="-0.499984740745262"/>
        </bottom>
        <vertical/>
        <horizontal/>
      </border>
    </dxf>
    <dxf>
      <font>
        <b/>
        <i/>
        <color rgb="FF7030A0"/>
      </font>
    </dxf>
    <dxf>
      <fill>
        <patternFill>
          <bgColor theme="0" tint="-0.499984740745262"/>
        </patternFill>
      </fill>
    </dxf>
    <dxf>
      <font>
        <color rgb="FF7030A0"/>
      </font>
    </dxf>
    <dxf>
      <border>
        <bottom style="thin">
          <color theme="0" tint="-0.499984740745262"/>
        </bottom>
        <vertical/>
        <horizontal/>
      </border>
    </dxf>
    <dxf>
      <font>
        <b/>
        <i/>
        <color rgb="FF7030A0"/>
      </font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dashDot">
          <color theme="1" tint="0.499984740745262"/>
        </top>
        <vertical/>
        <horizontal/>
      </border>
    </dxf>
  </dxfs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eXPRESS_Apr2015">
  <a:themeElements>
    <a:clrScheme name="Beazley">
      <a:dk1>
        <a:sysClr val="windowText" lastClr="000000"/>
      </a:dk1>
      <a:lt1>
        <a:sysClr val="window" lastClr="FFFFFF"/>
      </a:lt1>
      <a:dk2>
        <a:srgbClr val="63666A"/>
      </a:dk2>
      <a:lt2>
        <a:srgbClr val="EEECE1"/>
      </a:lt2>
      <a:accent1>
        <a:srgbClr val="CF118C"/>
      </a:accent1>
      <a:accent2>
        <a:srgbClr val="FFB81C"/>
      </a:accent2>
      <a:accent3>
        <a:srgbClr val="5078B9"/>
      </a:accent3>
      <a:accent4>
        <a:srgbClr val="C110A0"/>
      </a:accent4>
      <a:accent5>
        <a:srgbClr val="00C389"/>
      </a:accent5>
      <a:accent6>
        <a:srgbClr val="63666A"/>
      </a:accent6>
      <a:hlink>
        <a:srgbClr val="00A0D2"/>
      </a:hlink>
      <a:folHlink>
        <a:srgbClr val="63666A"/>
      </a:folHlink>
    </a:clrScheme>
    <a:fontScheme name="eXPRESS_Apr2015">
      <a:majorFont>
        <a:latin typeface="Calibri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1_default 1">
        <a:dk1>
          <a:srgbClr val="000000"/>
        </a:dk1>
        <a:lt1>
          <a:srgbClr val="FFFFFF"/>
        </a:lt1>
        <a:dk2>
          <a:srgbClr val="FDB813"/>
        </a:dk2>
        <a:lt2>
          <a:srgbClr val="67CDF2"/>
        </a:lt2>
        <a:accent1>
          <a:srgbClr val="0071BB"/>
        </a:accent1>
        <a:accent2>
          <a:srgbClr val="00ADEF"/>
        </a:accent2>
        <a:accent3>
          <a:srgbClr val="FFFFFF"/>
        </a:accent3>
        <a:accent4>
          <a:srgbClr val="000000"/>
        </a:accent4>
        <a:accent5>
          <a:srgbClr val="AABBDA"/>
        </a:accent5>
        <a:accent6>
          <a:srgbClr val="009CD9"/>
        </a:accent6>
        <a:hlink>
          <a:srgbClr val="B5D334"/>
        </a:hlink>
        <a:folHlink>
          <a:srgbClr val="723C97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:D29"/>
  <sheetViews>
    <sheetView showGridLines="0" workbookViewId="0"/>
  </sheetViews>
  <sheetFormatPr defaultColWidth="9.109375" defaultRowHeight="13.2"/>
  <cols>
    <col min="1" max="1" width="11.44140625" style="11" bestFit="1" customWidth="1"/>
    <col min="2" max="2" width="10.44140625" style="11" customWidth="1"/>
    <col min="3" max="3" width="11.6640625" style="11" customWidth="1"/>
    <col min="4" max="4" width="132.109375" style="11" bestFit="1" customWidth="1"/>
    <col min="5" max="5" width="1.109375" style="11" customWidth="1"/>
    <col min="6" max="6" width="9.109375" style="11"/>
    <col min="7" max="7" width="9.44140625" style="11" bestFit="1" customWidth="1"/>
    <col min="8" max="8" width="10.44140625" style="11" bestFit="1" customWidth="1"/>
    <col min="9" max="9" width="12.44140625" style="11" bestFit="1" customWidth="1"/>
    <col min="10" max="16384" width="9.109375" style="11"/>
  </cols>
  <sheetData>
    <row r="1" spans="1:4" ht="21">
      <c r="A1" s="72" t="s">
        <v>234</v>
      </c>
      <c r="B1" s="10"/>
      <c r="C1" s="10"/>
    </row>
    <row r="2" spans="1:4" s="14" customFormat="1" ht="13.8">
      <c r="A2" s="73" t="s">
        <v>205</v>
      </c>
      <c r="B2" s="12"/>
      <c r="C2" s="12"/>
      <c r="D2" s="13"/>
    </row>
    <row r="3" spans="1:4" s="14" customFormat="1" ht="13.8">
      <c r="A3" s="73" t="s">
        <v>206</v>
      </c>
      <c r="B3" s="12"/>
      <c r="C3" s="12"/>
    </row>
    <row r="4" spans="1:4" ht="21">
      <c r="A4" s="12"/>
      <c r="B4" s="10"/>
      <c r="C4" s="10"/>
      <c r="D4" s="74" t="str">
        <f>CONCATENATE("Current Questionnaire #Version: V",TEXT(MAX($B$7:$B$13),"#,##0.00"),"#")</f>
        <v>Current Questionnaire #Version: V1.60#</v>
      </c>
    </row>
    <row r="5" spans="1:4" ht="21">
      <c r="B5" s="10"/>
      <c r="C5" s="10"/>
      <c r="D5" s="74" t="str">
        <f>CONCATENATE("Current Questionnaire #Version Date: ",TEXT(MAX($A$7:$A$13),"dd/mmm/yyyy"),"#")</f>
        <v>Current Questionnaire #Version Date: 10/Nov/2017#</v>
      </c>
    </row>
    <row r="6" spans="1:4" s="15" customFormat="1" ht="4.2">
      <c r="B6" s="16"/>
      <c r="C6" s="16"/>
    </row>
    <row r="7" spans="1:4" s="20" customFormat="1" ht="11.4">
      <c r="A7" s="17" t="s">
        <v>156</v>
      </c>
      <c r="B7" s="18" t="s">
        <v>207</v>
      </c>
      <c r="C7" s="19" t="s">
        <v>208</v>
      </c>
      <c r="D7" s="20" t="s">
        <v>198</v>
      </c>
    </row>
    <row r="8" spans="1:4" s="20" customFormat="1" ht="11.4">
      <c r="A8" s="17">
        <v>43049</v>
      </c>
      <c r="B8" s="18">
        <v>1.6</v>
      </c>
      <c r="C8" s="19" t="s">
        <v>240</v>
      </c>
      <c r="D8" s="20" t="s">
        <v>241</v>
      </c>
    </row>
    <row r="9" spans="1:4" s="20" customFormat="1" ht="11.4">
      <c r="A9" s="17">
        <v>43048</v>
      </c>
      <c r="B9" s="18">
        <v>1.5</v>
      </c>
      <c r="C9" s="19" t="s">
        <v>230</v>
      </c>
      <c r="D9" s="20" t="s">
        <v>236</v>
      </c>
    </row>
    <row r="10" spans="1:4" s="20" customFormat="1" ht="11.4">
      <c r="A10" s="17">
        <v>42773</v>
      </c>
      <c r="B10" s="18">
        <v>1.4</v>
      </c>
      <c r="C10" s="19" t="s">
        <v>230</v>
      </c>
      <c r="D10" s="20" t="s">
        <v>231</v>
      </c>
    </row>
    <row r="11" spans="1:4" s="20" customFormat="1" ht="11.4">
      <c r="A11" s="17">
        <v>42773</v>
      </c>
      <c r="B11" s="18">
        <v>1.4</v>
      </c>
      <c r="C11" s="19" t="s">
        <v>230</v>
      </c>
      <c r="D11" s="20" t="s">
        <v>232</v>
      </c>
    </row>
    <row r="12" spans="1:4" s="20" customFormat="1" ht="11.4">
      <c r="A12" s="17">
        <v>42472</v>
      </c>
      <c r="B12" s="18">
        <v>1</v>
      </c>
      <c r="C12" s="19" t="s">
        <v>222</v>
      </c>
      <c r="D12" s="20" t="s">
        <v>223</v>
      </c>
    </row>
    <row r="13" spans="1:4" s="20" customFormat="1" ht="11.4">
      <c r="A13" s="17">
        <v>42394</v>
      </c>
      <c r="B13" s="18">
        <v>1</v>
      </c>
      <c r="C13" s="19" t="s">
        <v>220</v>
      </c>
      <c r="D13" s="20" t="s">
        <v>221</v>
      </c>
    </row>
    <row r="23" spans="1:3" ht="21">
      <c r="A23" s="72" t="s">
        <v>211</v>
      </c>
      <c r="B23" s="10"/>
      <c r="C23" s="10"/>
    </row>
    <row r="24" spans="1:3">
      <c r="A24" s="11" t="s">
        <v>212</v>
      </c>
    </row>
    <row r="25" spans="1:3">
      <c r="A25" s="75" t="s">
        <v>235</v>
      </c>
    </row>
    <row r="26" spans="1:3">
      <c r="A26" s="11" t="s">
        <v>213</v>
      </c>
    </row>
    <row r="27" spans="1:3">
      <c r="A27" s="11" t="s">
        <v>214</v>
      </c>
    </row>
    <row r="28" spans="1:3">
      <c r="A28" s="11" t="s">
        <v>215</v>
      </c>
    </row>
    <row r="29" spans="1:3">
      <c r="A29" s="11" t="s">
        <v>216</v>
      </c>
    </row>
  </sheetData>
  <sheetProtection formatCells="0" formatColumns="0" formatRows="0" sort="0" autoFilter="0" pivotTables="0"/>
  <conditionalFormatting sqref="A8:E13">
    <cfRule type="expression" dxfId="25" priority="4">
      <formula>$A8&lt;&gt;OFFSET($A8,-1,0)</formula>
    </cfRule>
  </conditionalFormatting>
  <conditionalFormatting sqref="A8:E11">
    <cfRule type="expression" dxfId="24" priority="3">
      <formula>$B8&lt;&gt;OFFSET($B8,-1,0)</formula>
    </cfRule>
  </conditionalFormatting>
  <pageMargins left="0.39370078740157483" right="0.39370078740157483" top="0.39370078740157483" bottom="0.74803149606299213" header="0.31496062992125984" footer="0.19685039370078741"/>
  <pageSetup paperSize="9" scale="80" orientation="landscape" r:id="rId1"/>
  <headerFooter scaleWithDoc="0">
    <oddFooter>&amp;L&amp;6&amp;G 
 &amp;R&amp;"Calibri,Regular"&amp;KFFFFFFPage &amp;P of &amp;N &amp;"Calibri,Bold"| &amp;A   &amp;6
&amp;K01+008
&amp;"-,Regular"&amp;5&amp;K000000&amp;Z&amp;F&amp;A Printed: 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F744-951F-48C0-9954-D42EFAB41E56}">
  <sheetPr>
    <pageSetUpPr fitToPage="1"/>
  </sheetPr>
  <dimension ref="A1:Z528"/>
  <sheetViews>
    <sheetView showGridLines="0" zoomScale="90" zoomScaleNormal="90" zoomScalePageLayoutView="70" workbookViewId="0">
      <pane ySplit="16" topLeftCell="A17" activePane="bottomLeft" state="frozen"/>
      <selection activeCell="P12" sqref="P12"/>
      <selection pane="bottomLeft" activeCell="P12" sqref="P12"/>
    </sheetView>
  </sheetViews>
  <sheetFormatPr defaultColWidth="10.6640625" defaultRowHeight="13.2" outlineLevelRow="1"/>
  <cols>
    <col min="1" max="1" width="3.33203125" style="1" customWidth="1"/>
    <col min="2" max="2" width="35.6640625" style="1" customWidth="1"/>
    <col min="3" max="4" width="12.6640625" style="1" bestFit="1" customWidth="1"/>
    <col min="5" max="5" width="12.6640625" style="1" customWidth="1"/>
    <col min="6" max="6" width="5.109375" style="1" customWidth="1"/>
    <col min="7" max="7" width="15" style="1" customWidth="1"/>
    <col min="8" max="8" width="13.5546875" style="1" customWidth="1"/>
    <col min="9" max="9" width="9.33203125" style="1" customWidth="1"/>
    <col min="10" max="11" width="5.109375" style="1" customWidth="1"/>
    <col min="12" max="12" width="15" style="1" customWidth="1"/>
    <col min="13" max="13" width="13.5546875" style="1" customWidth="1"/>
    <col min="14" max="14" width="9.33203125" style="1" customWidth="1"/>
    <col min="15" max="15" width="5.109375" style="1" customWidth="1"/>
    <col min="16" max="16" width="2.6640625" style="107" bestFit="1" customWidth="1"/>
    <col min="17" max="17" width="0.44140625" style="107" customWidth="1"/>
    <col min="18" max="18" width="5.109375" customWidth="1"/>
    <col min="19" max="19" width="15" customWidth="1"/>
    <col min="20" max="20" width="5.109375" customWidth="1"/>
    <col min="21" max="21" width="15" customWidth="1"/>
    <col min="22" max="16384" width="10.6640625" style="1"/>
  </cols>
  <sheetData>
    <row r="1" spans="1:26" s="3" customFormat="1">
      <c r="A1" s="24" t="e">
        <f>ReinsuredWorkbook</f>
        <v>#NAME?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103"/>
      <c r="Q1" s="103"/>
      <c r="R1"/>
      <c r="S1"/>
      <c r="T1"/>
      <c r="U1"/>
      <c r="Z1" s="21"/>
    </row>
    <row r="2" spans="1:26" s="2" customFormat="1" ht="20.399999999999999">
      <c r="A2" s="39" t="s">
        <v>141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8"/>
      <c r="Q2" s="38"/>
      <c r="R2"/>
      <c r="S2"/>
      <c r="T2"/>
      <c r="U2"/>
      <c r="Z2" s="104"/>
    </row>
    <row r="3" spans="1:26" s="3" customFormat="1">
      <c r="A3" s="105">
        <v>44613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/>
      <c r="S3"/>
      <c r="T3"/>
      <c r="U3"/>
      <c r="Z3" s="22"/>
    </row>
    <row r="4" spans="1:26" s="3" customFormat="1">
      <c r="P4" s="106"/>
      <c r="Q4" s="106"/>
      <c r="R4"/>
      <c r="S4"/>
      <c r="T4"/>
      <c r="U4"/>
      <c r="Z4" s="22"/>
    </row>
    <row r="5" spans="1:26">
      <c r="A5" s="1" t="s">
        <v>6</v>
      </c>
      <c r="B5" s="1" t="s">
        <v>279</v>
      </c>
      <c r="C5" s="102"/>
      <c r="Z5" s="104"/>
    </row>
    <row r="6" spans="1:26" ht="25.5" customHeight="1">
      <c r="A6" s="108" t="s">
        <v>7</v>
      </c>
      <c r="B6" s="244" t="s">
        <v>276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Z6" s="104"/>
    </row>
    <row r="7" spans="1:26">
      <c r="A7" s="1" t="s">
        <v>8</v>
      </c>
      <c r="B7" s="1" t="s">
        <v>9</v>
      </c>
      <c r="C7" s="102"/>
      <c r="Z7" s="104"/>
    </row>
    <row r="8" spans="1:26">
      <c r="A8" s="1" t="s">
        <v>10</v>
      </c>
      <c r="B8" s="1" t="s">
        <v>11</v>
      </c>
      <c r="C8" s="102"/>
      <c r="Z8" s="104"/>
    </row>
    <row r="9" spans="1:26">
      <c r="A9" s="1" t="s">
        <v>5</v>
      </c>
      <c r="B9" s="1" t="s">
        <v>12</v>
      </c>
      <c r="C9" s="102"/>
      <c r="Z9" s="22"/>
    </row>
    <row r="10" spans="1:26">
      <c r="B10" s="1" t="s">
        <v>13</v>
      </c>
      <c r="Z10" s="22"/>
    </row>
    <row r="11" spans="1:26" s="3" customFormat="1">
      <c r="A11" s="3" t="s">
        <v>14</v>
      </c>
      <c r="B11" s="109" t="s">
        <v>204</v>
      </c>
      <c r="P11" s="103"/>
      <c r="Q11" s="103"/>
      <c r="R11"/>
      <c r="S11"/>
      <c r="T11"/>
      <c r="U11"/>
      <c r="Z11" s="22"/>
    </row>
    <row r="12" spans="1:26">
      <c r="A12" s="3"/>
      <c r="B12" s="109"/>
      <c r="C12" s="102"/>
      <c r="P12" s="1"/>
      <c r="Q12" s="1"/>
      <c r="Z12" s="22"/>
    </row>
    <row r="13" spans="1:26" s="111" customFormat="1">
      <c r="A13" s="110"/>
      <c r="C13" s="112"/>
      <c r="F13" s="44" t="s">
        <v>154</v>
      </c>
      <c r="G13" s="113"/>
      <c r="H13" s="113"/>
      <c r="I13" s="113"/>
      <c r="J13" s="45"/>
      <c r="K13" s="44" t="s">
        <v>155</v>
      </c>
      <c r="L13" s="113"/>
      <c r="M13" s="113"/>
      <c r="N13" s="113"/>
      <c r="O13" s="113"/>
      <c r="P13" s="114"/>
      <c r="Q13" s="114"/>
      <c r="R13"/>
      <c r="S13"/>
      <c r="T13"/>
      <c r="U13"/>
    </row>
    <row r="14" spans="1:26" ht="51">
      <c r="A14" s="115" t="s">
        <v>15</v>
      </c>
      <c r="B14" s="116" t="s">
        <v>16</v>
      </c>
      <c r="C14" s="117" t="s">
        <v>17</v>
      </c>
      <c r="D14" s="117" t="s">
        <v>18</v>
      </c>
      <c r="E14" s="117" t="s">
        <v>203</v>
      </c>
      <c r="F14" s="46" t="s">
        <v>19</v>
      </c>
      <c r="G14" s="118" t="s">
        <v>20</v>
      </c>
      <c r="H14" s="118" t="s">
        <v>21</v>
      </c>
      <c r="I14" s="118" t="s">
        <v>153</v>
      </c>
      <c r="J14" s="47" t="s">
        <v>152</v>
      </c>
      <c r="K14" s="46" t="s">
        <v>19</v>
      </c>
      <c r="L14" s="118" t="s">
        <v>22</v>
      </c>
      <c r="M14" s="118" t="s">
        <v>23</v>
      </c>
      <c r="N14" s="118" t="s">
        <v>153</v>
      </c>
      <c r="O14" s="119" t="s">
        <v>152</v>
      </c>
      <c r="P14" s="120" t="s">
        <v>217</v>
      </c>
      <c r="Q14" s="120"/>
      <c r="R14" s="76" t="s">
        <v>19</v>
      </c>
      <c r="S14" s="78" t="s">
        <v>237</v>
      </c>
      <c r="T14" s="76" t="s">
        <v>19</v>
      </c>
      <c r="U14" s="121" t="s">
        <v>238</v>
      </c>
    </row>
    <row r="15" spans="1:26" s="128" customFormat="1" hidden="1" outlineLevel="1">
      <c r="A15" s="122"/>
      <c r="B15" s="123"/>
      <c r="C15" s="124"/>
      <c r="D15" s="124"/>
      <c r="E15" s="124"/>
      <c r="F15" s="125"/>
      <c r="G15" s="125"/>
      <c r="H15" s="125"/>
      <c r="I15" s="125"/>
      <c r="J15" s="126"/>
      <c r="K15" s="125"/>
      <c r="L15" s="125"/>
      <c r="M15" s="125"/>
      <c r="N15" s="125"/>
      <c r="O15" s="126"/>
      <c r="P15" s="127"/>
      <c r="Q15" s="127"/>
      <c r="S15"/>
      <c r="T15"/>
      <c r="U15"/>
    </row>
    <row r="16" spans="1:26" ht="45.75" hidden="1" customHeight="1" outlineLevel="1">
      <c r="A16" s="48" t="s">
        <v>24</v>
      </c>
      <c r="B16" s="49" t="s">
        <v>16</v>
      </c>
      <c r="C16" s="50" t="s">
        <v>17</v>
      </c>
      <c r="D16" s="50" t="s">
        <v>18</v>
      </c>
      <c r="E16" s="50" t="s">
        <v>203</v>
      </c>
      <c r="F16" s="51" t="s">
        <v>25</v>
      </c>
      <c r="G16" s="52" t="s">
        <v>26</v>
      </c>
      <c r="H16" s="52" t="s">
        <v>27</v>
      </c>
      <c r="I16" s="53" t="s">
        <v>28</v>
      </c>
      <c r="J16" s="54" t="s">
        <v>29</v>
      </c>
      <c r="K16" s="52" t="s">
        <v>30</v>
      </c>
      <c r="L16" s="52" t="s">
        <v>31</v>
      </c>
      <c r="M16" s="52" t="s">
        <v>32</v>
      </c>
      <c r="N16" s="53" t="s">
        <v>33</v>
      </c>
      <c r="O16" s="54" t="s">
        <v>34</v>
      </c>
      <c r="P16" s="129" t="s">
        <v>217</v>
      </c>
      <c r="Q16" s="129"/>
      <c r="R16" s="51" t="s">
        <v>242</v>
      </c>
      <c r="S16" s="52" t="s">
        <v>243</v>
      </c>
      <c r="T16" s="51" t="s">
        <v>244</v>
      </c>
      <c r="U16" s="93" t="s">
        <v>245</v>
      </c>
    </row>
    <row r="17" spans="1:21" s="131" customFormat="1" ht="11.4" collapsed="1">
      <c r="A17" s="175" t="s">
        <v>35</v>
      </c>
      <c r="B17" s="176" t="s">
        <v>36</v>
      </c>
      <c r="C17" s="177">
        <v>43641</v>
      </c>
      <c r="D17" s="177">
        <v>44006</v>
      </c>
      <c r="E17" s="177">
        <v>43641</v>
      </c>
      <c r="F17" s="178" t="s">
        <v>37</v>
      </c>
      <c r="G17" s="179">
        <v>110000000</v>
      </c>
      <c r="H17" s="176">
        <v>0</v>
      </c>
      <c r="I17" s="180">
        <v>5</v>
      </c>
      <c r="J17" s="181"/>
      <c r="K17" s="173" t="s">
        <v>37</v>
      </c>
      <c r="L17" s="179">
        <v>750000000</v>
      </c>
      <c r="M17" s="179">
        <v>0</v>
      </c>
      <c r="N17" s="180">
        <v>5</v>
      </c>
      <c r="O17" s="174"/>
      <c r="P17" s="130" t="str">
        <f t="shared" ref="P17:P80" si="0">IFERROR(MATCH($B17,AN_List,FALSE),"")</f>
        <v/>
      </c>
      <c r="Q17" s="130"/>
      <c r="R17" s="79"/>
      <c r="S17" s="80"/>
      <c r="T17" s="98"/>
      <c r="U17" s="81"/>
    </row>
    <row r="18" spans="1:21" s="131" customFormat="1" ht="11.4">
      <c r="A18" s="175" t="s">
        <v>35</v>
      </c>
      <c r="B18" s="176" t="s">
        <v>36</v>
      </c>
      <c r="C18" s="177">
        <v>44007</v>
      </c>
      <c r="D18" s="177">
        <v>44371</v>
      </c>
      <c r="E18" s="177">
        <v>44007</v>
      </c>
      <c r="F18" s="178" t="s">
        <v>37</v>
      </c>
      <c r="G18" s="179">
        <v>110000000</v>
      </c>
      <c r="H18" s="176">
        <v>0</v>
      </c>
      <c r="I18" s="180">
        <v>5.5</v>
      </c>
      <c r="J18" s="181"/>
      <c r="K18" s="173" t="s">
        <v>37</v>
      </c>
      <c r="L18" s="179">
        <v>750000000</v>
      </c>
      <c r="M18" s="179">
        <v>0</v>
      </c>
      <c r="N18" s="180">
        <v>5.5</v>
      </c>
      <c r="O18" s="174"/>
      <c r="P18" s="130" t="str">
        <f t="shared" si="0"/>
        <v/>
      </c>
      <c r="Q18" s="130"/>
      <c r="R18" s="79"/>
      <c r="S18" s="80"/>
      <c r="T18" s="98"/>
      <c r="U18" s="81"/>
    </row>
    <row r="19" spans="1:21" s="131" customFormat="1" ht="11.4">
      <c r="A19" s="175" t="s">
        <v>35</v>
      </c>
      <c r="B19" s="176" t="s">
        <v>36</v>
      </c>
      <c r="C19" s="239">
        <v>44372</v>
      </c>
      <c r="D19" s="239">
        <v>44736</v>
      </c>
      <c r="E19" s="177">
        <v>44372</v>
      </c>
      <c r="F19" s="178" t="s">
        <v>37</v>
      </c>
      <c r="G19" s="240">
        <v>110000000</v>
      </c>
      <c r="H19" s="176">
        <v>0</v>
      </c>
      <c r="I19" s="180">
        <v>4</v>
      </c>
      <c r="J19" s="181"/>
      <c r="K19" s="173" t="s">
        <v>37</v>
      </c>
      <c r="L19" s="179">
        <v>750000000</v>
      </c>
      <c r="M19" s="179">
        <v>0</v>
      </c>
      <c r="N19" s="180">
        <v>4</v>
      </c>
      <c r="O19" s="174"/>
      <c r="P19" s="130"/>
      <c r="Q19" s="130"/>
      <c r="R19" s="79"/>
      <c r="S19" s="80"/>
      <c r="T19" s="98"/>
      <c r="U19" s="97"/>
    </row>
    <row r="20" spans="1:21" s="132" customFormat="1" ht="12">
      <c r="A20" s="182" t="s">
        <v>35</v>
      </c>
      <c r="B20" s="169" t="s">
        <v>38</v>
      </c>
      <c r="C20" s="183"/>
      <c r="D20" s="183"/>
      <c r="E20" s="172"/>
      <c r="F20" s="167"/>
      <c r="G20" s="184"/>
      <c r="H20" s="169"/>
      <c r="I20" s="170"/>
      <c r="J20" s="174"/>
      <c r="K20" s="185"/>
      <c r="L20" s="168"/>
      <c r="M20" s="168"/>
      <c r="N20" s="186"/>
      <c r="O20" s="187"/>
      <c r="P20" s="100" t="str">
        <f t="shared" si="0"/>
        <v/>
      </c>
      <c r="R20" s="99"/>
      <c r="S20" s="96"/>
      <c r="T20" s="133"/>
      <c r="U20" s="96"/>
    </row>
    <row r="21" spans="1:21" s="131" customFormat="1" ht="11.4">
      <c r="A21" s="175" t="s">
        <v>35</v>
      </c>
      <c r="B21" s="176" t="s">
        <v>38</v>
      </c>
      <c r="C21" s="177"/>
      <c r="D21" s="177"/>
      <c r="E21" s="177"/>
      <c r="F21" s="178"/>
      <c r="G21" s="179"/>
      <c r="H21" s="176"/>
      <c r="I21" s="180"/>
      <c r="J21" s="181"/>
      <c r="K21" s="173"/>
      <c r="L21" s="179"/>
      <c r="M21" s="179"/>
      <c r="N21" s="180"/>
      <c r="O21" s="174"/>
      <c r="P21" s="130" t="str">
        <f t="shared" si="0"/>
        <v/>
      </c>
      <c r="Q21" s="130"/>
      <c r="R21" s="79"/>
      <c r="S21" s="80"/>
      <c r="T21" s="98"/>
      <c r="U21" s="81"/>
    </row>
    <row r="22" spans="1:21" s="131" customFormat="1" ht="11.4">
      <c r="A22" s="175" t="s">
        <v>35</v>
      </c>
      <c r="B22" s="176" t="s">
        <v>38</v>
      </c>
      <c r="C22" s="177"/>
      <c r="D22" s="177"/>
      <c r="E22" s="177"/>
      <c r="F22" s="178"/>
      <c r="G22" s="179"/>
      <c r="H22" s="176"/>
      <c r="I22" s="180"/>
      <c r="J22" s="181"/>
      <c r="K22" s="173"/>
      <c r="L22" s="179"/>
      <c r="M22" s="179"/>
      <c r="N22" s="180"/>
      <c r="O22" s="174"/>
      <c r="P22" s="130" t="str">
        <f t="shared" si="0"/>
        <v/>
      </c>
      <c r="Q22" s="130"/>
      <c r="R22" s="79"/>
      <c r="S22" s="80"/>
      <c r="T22" s="98"/>
      <c r="U22" s="81"/>
    </row>
    <row r="23" spans="1:21" s="131" customFormat="1" ht="11.4">
      <c r="A23" s="182" t="s">
        <v>35</v>
      </c>
      <c r="B23" s="169" t="s">
        <v>39</v>
      </c>
      <c r="C23" s="172"/>
      <c r="D23" s="172"/>
      <c r="E23" s="172"/>
      <c r="F23" s="167"/>
      <c r="G23" s="168"/>
      <c r="H23" s="169"/>
      <c r="I23" s="170"/>
      <c r="J23" s="174"/>
      <c r="K23" s="185"/>
      <c r="L23" s="168"/>
      <c r="M23" s="168"/>
      <c r="N23" s="170"/>
      <c r="O23" s="174"/>
      <c r="P23" s="130" t="str">
        <f t="shared" si="0"/>
        <v/>
      </c>
      <c r="Q23" s="130"/>
      <c r="R23" s="79"/>
      <c r="S23" s="80"/>
      <c r="T23" s="98"/>
      <c r="U23" s="81"/>
    </row>
    <row r="24" spans="1:21" s="131" customFormat="1" ht="11.4">
      <c r="A24" s="182" t="s">
        <v>35</v>
      </c>
      <c r="B24" s="169" t="s">
        <v>39</v>
      </c>
      <c r="C24" s="172">
        <v>44105</v>
      </c>
      <c r="D24" s="172">
        <v>44469</v>
      </c>
      <c r="E24" s="172">
        <v>44105</v>
      </c>
      <c r="F24" s="167" t="s">
        <v>37</v>
      </c>
      <c r="G24" s="168">
        <v>155000000</v>
      </c>
      <c r="H24" s="169">
        <v>0</v>
      </c>
      <c r="I24" s="170">
        <v>2.5</v>
      </c>
      <c r="J24" s="174"/>
      <c r="K24" s="185" t="s">
        <v>37</v>
      </c>
      <c r="L24" s="168">
        <v>1750000000</v>
      </c>
      <c r="M24" s="168">
        <v>0</v>
      </c>
      <c r="N24" s="170">
        <v>2.5</v>
      </c>
      <c r="O24" s="174"/>
      <c r="P24" s="130" t="str">
        <f t="shared" si="0"/>
        <v/>
      </c>
      <c r="Q24" s="130"/>
      <c r="R24" s="79"/>
      <c r="S24" s="80"/>
      <c r="T24" s="98"/>
      <c r="U24" s="81"/>
    </row>
    <row r="25" spans="1:21" s="131" customFormat="1" ht="11.4">
      <c r="A25" s="188" t="s">
        <v>35</v>
      </c>
      <c r="B25" s="189" t="s">
        <v>39</v>
      </c>
      <c r="C25" s="190">
        <v>44470</v>
      </c>
      <c r="D25" s="190">
        <v>44834</v>
      </c>
      <c r="E25" s="190">
        <v>44470</v>
      </c>
      <c r="F25" s="191"/>
      <c r="G25" s="192" t="s">
        <v>278</v>
      </c>
      <c r="H25" s="189"/>
      <c r="I25" s="193"/>
      <c r="J25" s="194"/>
      <c r="K25" s="195"/>
      <c r="L25" s="192" t="s">
        <v>278</v>
      </c>
      <c r="M25" s="192"/>
      <c r="N25" s="193"/>
      <c r="O25" s="174"/>
      <c r="P25" s="130" t="str">
        <f t="shared" si="0"/>
        <v/>
      </c>
      <c r="Q25" s="130"/>
      <c r="R25" s="79"/>
      <c r="S25" s="80"/>
      <c r="T25" s="98"/>
      <c r="U25" s="81"/>
    </row>
    <row r="26" spans="1:21" s="131" customFormat="1" ht="11.4">
      <c r="A26" s="182" t="s">
        <v>35</v>
      </c>
      <c r="B26" s="169" t="s">
        <v>40</v>
      </c>
      <c r="C26" s="172"/>
      <c r="D26" s="172"/>
      <c r="E26" s="172"/>
      <c r="F26" s="167"/>
      <c r="G26" s="168"/>
      <c r="H26" s="169"/>
      <c r="I26" s="170"/>
      <c r="J26" s="174"/>
      <c r="K26" s="185"/>
      <c r="L26" s="168"/>
      <c r="M26" s="168"/>
      <c r="N26" s="170"/>
      <c r="O26" s="174"/>
      <c r="P26" s="130" t="str">
        <f t="shared" si="0"/>
        <v/>
      </c>
      <c r="Q26" s="130"/>
      <c r="R26" s="79"/>
      <c r="S26" s="80"/>
      <c r="T26" s="98"/>
      <c r="U26" s="81"/>
    </row>
    <row r="27" spans="1:21" s="131" customFormat="1" ht="11.4">
      <c r="A27" s="196" t="s">
        <v>35</v>
      </c>
      <c r="B27" s="197" t="s">
        <v>40</v>
      </c>
      <c r="C27" s="198"/>
      <c r="D27" s="198"/>
      <c r="E27" s="198"/>
      <c r="F27" s="199"/>
      <c r="G27" s="200"/>
      <c r="H27" s="197"/>
      <c r="I27" s="201"/>
      <c r="J27" s="202"/>
      <c r="K27" s="203"/>
      <c r="L27" s="200"/>
      <c r="M27" s="200"/>
      <c r="N27" s="201"/>
      <c r="O27" s="174"/>
      <c r="P27" s="130" t="str">
        <f t="shared" si="0"/>
        <v/>
      </c>
      <c r="Q27" s="130"/>
      <c r="R27" s="79"/>
      <c r="S27" s="80"/>
      <c r="T27" s="98"/>
      <c r="U27" s="81"/>
    </row>
    <row r="28" spans="1:21" s="131" customFormat="1" ht="11.4">
      <c r="A28" s="196" t="s">
        <v>35</v>
      </c>
      <c r="B28" s="197" t="s">
        <v>40</v>
      </c>
      <c r="C28" s="198"/>
      <c r="D28" s="198"/>
      <c r="E28" s="198"/>
      <c r="F28" s="199"/>
      <c r="G28" s="200"/>
      <c r="H28" s="197"/>
      <c r="I28" s="201"/>
      <c r="J28" s="202"/>
      <c r="K28" s="203"/>
      <c r="L28" s="200"/>
      <c r="M28" s="200"/>
      <c r="N28" s="201"/>
      <c r="O28" s="174"/>
      <c r="P28" s="130" t="str">
        <f t="shared" si="0"/>
        <v/>
      </c>
      <c r="Q28" s="130"/>
      <c r="R28" s="79"/>
      <c r="S28" s="80"/>
      <c r="T28" s="98"/>
      <c r="U28" s="81"/>
    </row>
    <row r="29" spans="1:21" s="131" customFormat="1" ht="11.4">
      <c r="A29" s="196" t="s">
        <v>35</v>
      </c>
      <c r="B29" s="197" t="s">
        <v>41</v>
      </c>
      <c r="C29" s="198">
        <v>43800</v>
      </c>
      <c r="D29" s="198">
        <v>44165</v>
      </c>
      <c r="E29" s="198">
        <v>43800</v>
      </c>
      <c r="F29" s="199" t="s">
        <v>37</v>
      </c>
      <c r="G29" s="200">
        <v>200000000</v>
      </c>
      <c r="H29" s="197">
        <v>0</v>
      </c>
      <c r="I29" s="201">
        <v>4</v>
      </c>
      <c r="J29" s="202"/>
      <c r="K29" s="203" t="s">
        <v>37</v>
      </c>
      <c r="L29" s="200">
        <v>1000000000</v>
      </c>
      <c r="M29" s="200">
        <v>0</v>
      </c>
      <c r="N29" s="201">
        <v>4</v>
      </c>
      <c r="O29" s="174"/>
      <c r="P29" s="130" t="str">
        <f t="shared" si="0"/>
        <v/>
      </c>
      <c r="Q29" s="130"/>
      <c r="R29" s="79"/>
      <c r="S29" s="80"/>
      <c r="T29" s="98"/>
      <c r="U29" s="81"/>
    </row>
    <row r="30" spans="1:21" s="131" customFormat="1" ht="11.4">
      <c r="A30" s="196" t="s">
        <v>35</v>
      </c>
      <c r="B30" s="197" t="s">
        <v>41</v>
      </c>
      <c r="C30" s="198">
        <v>44166</v>
      </c>
      <c r="D30" s="198">
        <v>44530</v>
      </c>
      <c r="E30" s="198">
        <v>44166</v>
      </c>
      <c r="F30" s="199" t="s">
        <v>37</v>
      </c>
      <c r="G30" s="200">
        <v>200000000</v>
      </c>
      <c r="H30" s="197">
        <v>0</v>
      </c>
      <c r="I30" s="201">
        <v>4</v>
      </c>
      <c r="J30" s="202"/>
      <c r="K30" s="203" t="s">
        <v>37</v>
      </c>
      <c r="L30" s="200">
        <v>1000000000</v>
      </c>
      <c r="M30" s="200">
        <v>0</v>
      </c>
      <c r="N30" s="201">
        <v>4</v>
      </c>
      <c r="O30" s="174"/>
      <c r="P30" s="130" t="str">
        <f t="shared" si="0"/>
        <v/>
      </c>
      <c r="Q30" s="130"/>
      <c r="R30" s="79"/>
      <c r="S30" s="80"/>
      <c r="T30" s="98"/>
      <c r="U30" s="81"/>
    </row>
    <row r="31" spans="1:21" s="131" customFormat="1" ht="11.4">
      <c r="A31" s="175" t="s">
        <v>35</v>
      </c>
      <c r="B31" s="176" t="s">
        <v>41</v>
      </c>
      <c r="C31" s="177">
        <v>44531</v>
      </c>
      <c r="D31" s="177">
        <v>44895</v>
      </c>
      <c r="E31" s="177">
        <v>44531</v>
      </c>
      <c r="F31" s="178" t="s">
        <v>37</v>
      </c>
      <c r="G31" s="179">
        <v>200000000</v>
      </c>
      <c r="H31" s="176">
        <v>0</v>
      </c>
      <c r="I31" s="180">
        <v>5</v>
      </c>
      <c r="J31" s="181"/>
      <c r="K31" s="173" t="s">
        <v>37</v>
      </c>
      <c r="L31" s="179">
        <v>1000000000</v>
      </c>
      <c r="M31" s="179">
        <v>0</v>
      </c>
      <c r="N31" s="180">
        <v>5</v>
      </c>
      <c r="O31" s="174"/>
      <c r="P31" s="130"/>
      <c r="Q31" s="130"/>
      <c r="R31" s="79"/>
      <c r="S31" s="80"/>
      <c r="T31" s="98"/>
      <c r="U31" s="81"/>
    </row>
    <row r="32" spans="1:21" s="131" customFormat="1" ht="11.4">
      <c r="A32" s="182" t="s">
        <v>35</v>
      </c>
      <c r="B32" s="169" t="s">
        <v>42</v>
      </c>
      <c r="C32" s="172"/>
      <c r="D32" s="172"/>
      <c r="E32" s="172"/>
      <c r="F32" s="167"/>
      <c r="G32" s="168"/>
      <c r="H32" s="169"/>
      <c r="I32" s="170"/>
      <c r="J32" s="174"/>
      <c r="K32" s="185"/>
      <c r="L32" s="168"/>
      <c r="M32" s="168"/>
      <c r="N32" s="170"/>
      <c r="O32" s="174"/>
      <c r="P32" s="130" t="str">
        <f t="shared" si="0"/>
        <v/>
      </c>
      <c r="Q32" s="130"/>
      <c r="R32" s="79"/>
      <c r="S32" s="80"/>
      <c r="T32" s="98"/>
      <c r="U32" s="81"/>
    </row>
    <row r="33" spans="1:21" s="131" customFormat="1" ht="11.4">
      <c r="A33" s="182" t="s">
        <v>35</v>
      </c>
      <c r="B33" s="169" t="s">
        <v>42</v>
      </c>
      <c r="C33" s="172"/>
      <c r="D33" s="172"/>
      <c r="E33" s="172"/>
      <c r="F33" s="167"/>
      <c r="G33" s="168"/>
      <c r="H33" s="169"/>
      <c r="I33" s="170"/>
      <c r="J33" s="174"/>
      <c r="K33" s="185"/>
      <c r="L33" s="168"/>
      <c r="M33" s="168"/>
      <c r="N33" s="170"/>
      <c r="O33" s="174"/>
      <c r="P33" s="130" t="str">
        <f t="shared" si="0"/>
        <v/>
      </c>
      <c r="Q33" s="130"/>
      <c r="R33" s="79"/>
      <c r="S33" s="80"/>
      <c r="T33" s="98"/>
      <c r="U33" s="81"/>
    </row>
    <row r="34" spans="1:21" s="131" customFormat="1" ht="11.4">
      <c r="A34" s="188" t="s">
        <v>35</v>
      </c>
      <c r="B34" s="189" t="s">
        <v>42</v>
      </c>
      <c r="C34" s="190"/>
      <c r="D34" s="190"/>
      <c r="E34" s="190"/>
      <c r="F34" s="191"/>
      <c r="G34" s="192"/>
      <c r="H34" s="189"/>
      <c r="I34" s="193"/>
      <c r="J34" s="194"/>
      <c r="K34" s="195"/>
      <c r="L34" s="192"/>
      <c r="M34" s="192"/>
      <c r="N34" s="193"/>
      <c r="O34" s="174"/>
      <c r="P34" s="130" t="str">
        <f t="shared" si="0"/>
        <v/>
      </c>
      <c r="Q34" s="130"/>
      <c r="R34" s="79"/>
      <c r="S34" s="80"/>
      <c r="T34" s="98"/>
      <c r="U34" s="81"/>
    </row>
    <row r="35" spans="1:21" s="131" customFormat="1" ht="11.4">
      <c r="A35" s="182" t="s">
        <v>35</v>
      </c>
      <c r="B35" s="169" t="s">
        <v>44</v>
      </c>
      <c r="C35" s="172"/>
      <c r="D35" s="172"/>
      <c r="E35" s="172"/>
      <c r="F35" s="167"/>
      <c r="G35" s="168"/>
      <c r="H35" s="169"/>
      <c r="I35" s="170"/>
      <c r="J35" s="174"/>
      <c r="K35" s="185"/>
      <c r="L35" s="168"/>
      <c r="M35" s="168"/>
      <c r="N35" s="170"/>
      <c r="O35" s="174"/>
      <c r="P35" s="130" t="str">
        <f t="shared" si="0"/>
        <v/>
      </c>
      <c r="Q35" s="130"/>
      <c r="R35" s="79"/>
      <c r="S35" s="80"/>
      <c r="T35" s="98"/>
      <c r="U35" s="81"/>
    </row>
    <row r="36" spans="1:21" s="131" customFormat="1" ht="11.4">
      <c r="A36" s="175" t="s">
        <v>35</v>
      </c>
      <c r="B36" s="176" t="s">
        <v>44</v>
      </c>
      <c r="C36" s="177"/>
      <c r="D36" s="177"/>
      <c r="E36" s="177"/>
      <c r="F36" s="178"/>
      <c r="G36" s="179"/>
      <c r="H36" s="176"/>
      <c r="I36" s="180"/>
      <c r="J36" s="181"/>
      <c r="K36" s="173"/>
      <c r="L36" s="179"/>
      <c r="M36" s="179"/>
      <c r="N36" s="180"/>
      <c r="O36" s="174"/>
      <c r="P36" s="130" t="str">
        <f t="shared" si="0"/>
        <v/>
      </c>
      <c r="Q36" s="130"/>
      <c r="R36" s="79"/>
      <c r="S36" s="80"/>
      <c r="T36" s="98"/>
      <c r="U36" s="81"/>
    </row>
    <row r="37" spans="1:21" s="131" customFormat="1" ht="11.4">
      <c r="A37" s="175" t="s">
        <v>35</v>
      </c>
      <c r="B37" s="176" t="s">
        <v>44</v>
      </c>
      <c r="C37" s="177"/>
      <c r="D37" s="177"/>
      <c r="E37" s="177"/>
      <c r="F37" s="178"/>
      <c r="G37" s="179"/>
      <c r="H37" s="176"/>
      <c r="I37" s="180"/>
      <c r="J37" s="181"/>
      <c r="K37" s="173"/>
      <c r="L37" s="179"/>
      <c r="M37" s="179"/>
      <c r="N37" s="180"/>
      <c r="O37" s="174"/>
      <c r="P37" s="130" t="str">
        <f t="shared" si="0"/>
        <v/>
      </c>
      <c r="Q37" s="130"/>
      <c r="R37" s="79"/>
      <c r="S37" s="80"/>
      <c r="T37" s="98"/>
      <c r="U37" s="81"/>
    </row>
    <row r="38" spans="1:21" s="131" customFormat="1" ht="11.4">
      <c r="A38" s="182" t="s">
        <v>35</v>
      </c>
      <c r="B38" s="169" t="s">
        <v>45</v>
      </c>
      <c r="C38" s="172"/>
      <c r="D38" s="172"/>
      <c r="E38" s="172"/>
      <c r="F38" s="167"/>
      <c r="G38" s="168"/>
      <c r="H38" s="169"/>
      <c r="I38" s="170"/>
      <c r="J38" s="174"/>
      <c r="K38" s="185"/>
      <c r="L38" s="168"/>
      <c r="M38" s="168"/>
      <c r="N38" s="170"/>
      <c r="O38" s="174"/>
      <c r="P38" s="130" t="str">
        <f t="shared" si="0"/>
        <v/>
      </c>
      <c r="Q38" s="130"/>
      <c r="R38" s="79"/>
      <c r="S38" s="80"/>
      <c r="T38" s="98"/>
      <c r="U38" s="81"/>
    </row>
    <row r="39" spans="1:21" s="131" customFormat="1" ht="11.4">
      <c r="A39" s="196" t="s">
        <v>35</v>
      </c>
      <c r="B39" s="197" t="s">
        <v>45</v>
      </c>
      <c r="C39" s="198"/>
      <c r="D39" s="198"/>
      <c r="E39" s="198"/>
      <c r="F39" s="199"/>
      <c r="G39" s="200"/>
      <c r="H39" s="197"/>
      <c r="I39" s="201"/>
      <c r="J39" s="202"/>
      <c r="K39" s="203"/>
      <c r="L39" s="200"/>
      <c r="M39" s="200"/>
      <c r="N39" s="201"/>
      <c r="O39" s="174"/>
      <c r="P39" s="130" t="str">
        <f t="shared" si="0"/>
        <v/>
      </c>
      <c r="Q39" s="130"/>
      <c r="R39" s="79"/>
      <c r="S39" s="80"/>
      <c r="T39" s="98"/>
      <c r="U39" s="81"/>
    </row>
    <row r="40" spans="1:21" s="131" customFormat="1" ht="11.4">
      <c r="A40" s="196" t="s">
        <v>35</v>
      </c>
      <c r="B40" s="197" t="s">
        <v>45</v>
      </c>
      <c r="C40" s="198"/>
      <c r="D40" s="198"/>
      <c r="E40" s="198"/>
      <c r="F40" s="199"/>
      <c r="G40" s="200"/>
      <c r="H40" s="197"/>
      <c r="I40" s="201"/>
      <c r="J40" s="202"/>
      <c r="K40" s="203"/>
      <c r="L40" s="200"/>
      <c r="M40" s="200"/>
      <c r="N40" s="201"/>
      <c r="O40" s="174"/>
      <c r="P40" s="130" t="str">
        <f t="shared" si="0"/>
        <v/>
      </c>
      <c r="Q40" s="130"/>
      <c r="R40" s="79"/>
      <c r="S40" s="80"/>
      <c r="T40" s="98"/>
      <c r="U40" s="81"/>
    </row>
    <row r="41" spans="1:21" s="131" customFormat="1" ht="11.4">
      <c r="A41" s="182" t="s">
        <v>35</v>
      </c>
      <c r="B41" s="169" t="s">
        <v>46</v>
      </c>
      <c r="C41" s="172"/>
      <c r="D41" s="172"/>
      <c r="E41" s="172"/>
      <c r="F41" s="167"/>
      <c r="G41" s="168"/>
      <c r="H41" s="169"/>
      <c r="I41" s="170"/>
      <c r="J41" s="174"/>
      <c r="K41" s="185"/>
      <c r="L41" s="168"/>
      <c r="M41" s="168"/>
      <c r="N41" s="170"/>
      <c r="O41" s="174"/>
      <c r="P41" s="130" t="str">
        <f t="shared" si="0"/>
        <v/>
      </c>
      <c r="Q41" s="130"/>
      <c r="R41" s="79"/>
      <c r="S41" s="80"/>
      <c r="T41" s="98"/>
      <c r="U41" s="81"/>
    </row>
    <row r="42" spans="1:21" s="131" customFormat="1" ht="11.4">
      <c r="A42" s="196" t="s">
        <v>35</v>
      </c>
      <c r="B42" s="197" t="s">
        <v>46</v>
      </c>
      <c r="C42" s="198"/>
      <c r="D42" s="198"/>
      <c r="E42" s="198"/>
      <c r="F42" s="199"/>
      <c r="G42" s="200"/>
      <c r="H42" s="197"/>
      <c r="I42" s="201"/>
      <c r="J42" s="202"/>
      <c r="K42" s="203"/>
      <c r="L42" s="200"/>
      <c r="M42" s="200"/>
      <c r="N42" s="201"/>
      <c r="O42" s="174"/>
      <c r="P42" s="130" t="str">
        <f t="shared" si="0"/>
        <v/>
      </c>
      <c r="Q42" s="130"/>
      <c r="R42" s="79"/>
      <c r="S42" s="80"/>
      <c r="T42" s="98"/>
      <c r="U42" s="81"/>
    </row>
    <row r="43" spans="1:21" s="131" customFormat="1" ht="11.4">
      <c r="A43" s="196" t="s">
        <v>35</v>
      </c>
      <c r="B43" s="197" t="s">
        <v>46</v>
      </c>
      <c r="C43" s="198"/>
      <c r="D43" s="198"/>
      <c r="E43" s="198"/>
      <c r="F43" s="199"/>
      <c r="G43" s="200"/>
      <c r="H43" s="197"/>
      <c r="I43" s="201"/>
      <c r="J43" s="202"/>
      <c r="K43" s="203"/>
      <c r="L43" s="200"/>
      <c r="M43" s="200"/>
      <c r="N43" s="201"/>
      <c r="O43" s="174"/>
      <c r="P43" s="130" t="str">
        <f t="shared" si="0"/>
        <v/>
      </c>
      <c r="Q43" s="130"/>
      <c r="R43" s="79"/>
      <c r="S43" s="80"/>
      <c r="T43" s="98"/>
      <c r="U43" s="81"/>
    </row>
    <row r="44" spans="1:21" s="131" customFormat="1" ht="11.4">
      <c r="A44" s="182" t="s">
        <v>35</v>
      </c>
      <c r="B44" s="169" t="s">
        <v>47</v>
      </c>
      <c r="C44" s="172"/>
      <c r="D44" s="172"/>
      <c r="E44" s="172"/>
      <c r="F44" s="167"/>
      <c r="G44" s="168"/>
      <c r="H44" s="169"/>
      <c r="I44" s="170"/>
      <c r="J44" s="174"/>
      <c r="K44" s="185"/>
      <c r="L44" s="168"/>
      <c r="M44" s="168"/>
      <c r="N44" s="170"/>
      <c r="O44" s="174"/>
      <c r="P44" s="130" t="str">
        <f t="shared" si="0"/>
        <v/>
      </c>
      <c r="Q44" s="130"/>
      <c r="R44" s="79"/>
      <c r="S44" s="80"/>
      <c r="T44" s="98"/>
      <c r="U44" s="81"/>
    </row>
    <row r="45" spans="1:21" s="131" customFormat="1" ht="11.4">
      <c r="A45" s="175" t="s">
        <v>35</v>
      </c>
      <c r="B45" s="176" t="s">
        <v>47</v>
      </c>
      <c r="C45" s="177"/>
      <c r="D45" s="177"/>
      <c r="E45" s="177"/>
      <c r="F45" s="178"/>
      <c r="G45" s="179"/>
      <c r="H45" s="176"/>
      <c r="I45" s="180"/>
      <c r="J45" s="181"/>
      <c r="K45" s="173"/>
      <c r="L45" s="179"/>
      <c r="M45" s="179"/>
      <c r="N45" s="180"/>
      <c r="O45" s="174"/>
      <c r="P45" s="130" t="str">
        <f t="shared" si="0"/>
        <v/>
      </c>
      <c r="Q45" s="130"/>
      <c r="R45" s="79"/>
      <c r="S45" s="80"/>
      <c r="T45" s="98"/>
      <c r="U45" s="81"/>
    </row>
    <row r="46" spans="1:21" s="131" customFormat="1" ht="11.4">
      <c r="A46" s="175" t="s">
        <v>35</v>
      </c>
      <c r="B46" s="176" t="s">
        <v>47</v>
      </c>
      <c r="C46" s="177"/>
      <c r="D46" s="177"/>
      <c r="E46" s="177"/>
      <c r="F46" s="178"/>
      <c r="G46" s="179"/>
      <c r="H46" s="176"/>
      <c r="I46" s="180"/>
      <c r="J46" s="181"/>
      <c r="K46" s="173"/>
      <c r="L46" s="179"/>
      <c r="M46" s="179"/>
      <c r="N46" s="180"/>
      <c r="O46" s="174"/>
      <c r="P46" s="130" t="str">
        <f t="shared" si="0"/>
        <v/>
      </c>
      <c r="Q46" s="130"/>
      <c r="R46" s="79"/>
      <c r="S46" s="80"/>
      <c r="T46" s="98"/>
      <c r="U46" s="81"/>
    </row>
    <row r="47" spans="1:21" s="131" customFormat="1" ht="11.4">
      <c r="A47" s="182" t="s">
        <v>35</v>
      </c>
      <c r="B47" s="169" t="s">
        <v>48</v>
      </c>
      <c r="C47" s="172"/>
      <c r="D47" s="172"/>
      <c r="E47" s="172"/>
      <c r="F47" s="167"/>
      <c r="G47" s="168"/>
      <c r="H47" s="169"/>
      <c r="I47" s="170"/>
      <c r="J47" s="174"/>
      <c r="K47" s="185"/>
      <c r="L47" s="168"/>
      <c r="M47" s="168"/>
      <c r="N47" s="170"/>
      <c r="O47" s="174"/>
      <c r="P47" s="130" t="str">
        <f t="shared" si="0"/>
        <v/>
      </c>
      <c r="Q47" s="130"/>
      <c r="R47" s="79"/>
      <c r="S47" s="80"/>
      <c r="T47" s="98"/>
      <c r="U47" s="81"/>
    </row>
    <row r="48" spans="1:21" s="131" customFormat="1" ht="11.4">
      <c r="A48" s="175" t="s">
        <v>35</v>
      </c>
      <c r="B48" s="176" t="s">
        <v>48</v>
      </c>
      <c r="C48" s="177"/>
      <c r="D48" s="177"/>
      <c r="E48" s="177"/>
      <c r="F48" s="178"/>
      <c r="G48" s="179"/>
      <c r="H48" s="176"/>
      <c r="I48" s="180"/>
      <c r="J48" s="181"/>
      <c r="K48" s="173"/>
      <c r="L48" s="179"/>
      <c r="M48" s="179"/>
      <c r="N48" s="180"/>
      <c r="O48" s="174"/>
      <c r="P48" s="130" t="str">
        <f t="shared" si="0"/>
        <v/>
      </c>
      <c r="Q48" s="130"/>
      <c r="R48" s="79"/>
      <c r="S48" s="80"/>
      <c r="T48" s="98"/>
      <c r="U48" s="81"/>
    </row>
    <row r="49" spans="1:21" s="131" customFormat="1" ht="11.4">
      <c r="A49" s="175" t="s">
        <v>35</v>
      </c>
      <c r="B49" s="176" t="s">
        <v>48</v>
      </c>
      <c r="C49" s="177"/>
      <c r="D49" s="177"/>
      <c r="E49" s="177"/>
      <c r="F49" s="178"/>
      <c r="G49" s="179"/>
      <c r="H49" s="176"/>
      <c r="I49" s="180"/>
      <c r="J49" s="181"/>
      <c r="K49" s="173"/>
      <c r="L49" s="179"/>
      <c r="M49" s="179"/>
      <c r="N49" s="180"/>
      <c r="O49" s="174"/>
      <c r="P49" s="130" t="str">
        <f t="shared" si="0"/>
        <v/>
      </c>
      <c r="Q49" s="130"/>
      <c r="R49" s="79"/>
      <c r="S49" s="80"/>
      <c r="T49" s="98"/>
      <c r="U49" s="81"/>
    </row>
    <row r="50" spans="1:21" s="131" customFormat="1" ht="11.4">
      <c r="A50" s="182" t="s">
        <v>35</v>
      </c>
      <c r="B50" s="169" t="s">
        <v>49</v>
      </c>
      <c r="C50" s="172"/>
      <c r="D50" s="172"/>
      <c r="E50" s="172"/>
      <c r="F50" s="167"/>
      <c r="G50" s="168"/>
      <c r="H50" s="169"/>
      <c r="I50" s="170"/>
      <c r="J50" s="174"/>
      <c r="K50" s="185"/>
      <c r="L50" s="168"/>
      <c r="M50" s="168"/>
      <c r="N50" s="170"/>
      <c r="O50" s="174"/>
      <c r="P50" s="130" t="str">
        <f t="shared" si="0"/>
        <v/>
      </c>
      <c r="Q50" s="130"/>
      <c r="R50" s="79"/>
      <c r="S50" s="80"/>
      <c r="T50" s="98"/>
      <c r="U50" s="81"/>
    </row>
    <row r="51" spans="1:21" s="131" customFormat="1" ht="11.4">
      <c r="A51" s="182" t="s">
        <v>35</v>
      </c>
      <c r="B51" s="169" t="s">
        <v>49</v>
      </c>
      <c r="C51" s="172"/>
      <c r="D51" s="172"/>
      <c r="E51" s="172"/>
      <c r="F51" s="178"/>
      <c r="G51" s="168"/>
      <c r="H51" s="169"/>
      <c r="I51" s="170"/>
      <c r="J51" s="174"/>
      <c r="K51" s="185"/>
      <c r="L51" s="168"/>
      <c r="M51" s="168"/>
      <c r="N51" s="170"/>
      <c r="O51" s="174"/>
      <c r="P51" s="130" t="str">
        <f t="shared" si="0"/>
        <v/>
      </c>
      <c r="Q51" s="130"/>
      <c r="R51" s="79"/>
      <c r="S51" s="80"/>
      <c r="T51" s="98"/>
      <c r="U51" s="81"/>
    </row>
    <row r="52" spans="1:21" s="131" customFormat="1" ht="11.4">
      <c r="A52" s="182" t="s">
        <v>35</v>
      </c>
      <c r="B52" s="169" t="s">
        <v>49</v>
      </c>
      <c r="C52" s="172"/>
      <c r="D52" s="172"/>
      <c r="E52" s="172"/>
      <c r="F52" s="204"/>
      <c r="G52" s="168"/>
      <c r="H52" s="169"/>
      <c r="I52" s="170"/>
      <c r="J52" s="174"/>
      <c r="K52" s="185"/>
      <c r="L52" s="168"/>
      <c r="M52" s="168"/>
      <c r="N52" s="170"/>
      <c r="O52" s="174"/>
      <c r="P52" s="130" t="str">
        <f t="shared" si="0"/>
        <v/>
      </c>
      <c r="Q52" s="130"/>
      <c r="R52" s="79"/>
      <c r="S52" s="80"/>
      <c r="T52" s="98"/>
      <c r="U52" s="81"/>
    </row>
    <row r="53" spans="1:21" s="131" customFormat="1" ht="11.4">
      <c r="A53" s="169" t="s">
        <v>35</v>
      </c>
      <c r="B53" s="169" t="s">
        <v>49</v>
      </c>
      <c r="C53" s="172"/>
      <c r="D53" s="172"/>
      <c r="E53" s="172"/>
      <c r="F53" s="167"/>
      <c r="G53" s="168"/>
      <c r="H53" s="169"/>
      <c r="I53" s="170"/>
      <c r="J53" s="171"/>
      <c r="K53" s="173"/>
      <c r="L53" s="168"/>
      <c r="M53" s="169"/>
      <c r="N53" s="170"/>
      <c r="O53" s="174"/>
      <c r="P53" s="130" t="str">
        <f t="shared" si="0"/>
        <v/>
      </c>
      <c r="Q53" s="130"/>
      <c r="R53" s="79"/>
      <c r="S53" s="80"/>
      <c r="T53" s="98"/>
      <c r="U53" s="81"/>
    </row>
    <row r="54" spans="1:21" s="131" customFormat="1" ht="11.4">
      <c r="A54" s="169" t="s">
        <v>35</v>
      </c>
      <c r="B54" s="169" t="s">
        <v>49</v>
      </c>
      <c r="C54" s="172"/>
      <c r="D54" s="172"/>
      <c r="E54" s="172"/>
      <c r="F54" s="167"/>
      <c r="G54" s="168"/>
      <c r="H54" s="169"/>
      <c r="I54" s="170"/>
      <c r="J54" s="171"/>
      <c r="K54" s="173"/>
      <c r="L54" s="168"/>
      <c r="M54" s="169"/>
      <c r="N54" s="170"/>
      <c r="O54" s="174"/>
      <c r="P54" s="130" t="str">
        <f t="shared" si="0"/>
        <v/>
      </c>
      <c r="Q54" s="130"/>
      <c r="R54" s="79"/>
      <c r="S54" s="80"/>
      <c r="T54" s="98"/>
      <c r="U54" s="81"/>
    </row>
    <row r="55" spans="1:21" s="131" customFormat="1" ht="11.4">
      <c r="A55" s="169" t="s">
        <v>35</v>
      </c>
      <c r="B55" s="169" t="s">
        <v>49</v>
      </c>
      <c r="C55" s="172"/>
      <c r="D55" s="172"/>
      <c r="E55" s="172"/>
      <c r="F55" s="167"/>
      <c r="G55" s="168"/>
      <c r="H55" s="169"/>
      <c r="I55" s="170"/>
      <c r="J55" s="171"/>
      <c r="K55" s="173"/>
      <c r="L55" s="168"/>
      <c r="M55" s="169"/>
      <c r="N55" s="170"/>
      <c r="O55" s="174"/>
      <c r="P55" s="130" t="str">
        <f t="shared" si="0"/>
        <v/>
      </c>
      <c r="Q55" s="130"/>
      <c r="R55" s="79"/>
      <c r="S55" s="80"/>
      <c r="T55" s="98"/>
      <c r="U55" s="81"/>
    </row>
    <row r="56" spans="1:21" s="131" customFormat="1" ht="11.4">
      <c r="A56" s="169" t="s">
        <v>35</v>
      </c>
      <c r="B56" s="169" t="s">
        <v>51</v>
      </c>
      <c r="C56" s="172">
        <v>43800</v>
      </c>
      <c r="D56" s="172">
        <v>44165</v>
      </c>
      <c r="E56" s="172">
        <v>43800</v>
      </c>
      <c r="F56" s="167" t="s">
        <v>37</v>
      </c>
      <c r="G56" s="168">
        <v>375000000</v>
      </c>
      <c r="H56" s="169">
        <v>0</v>
      </c>
      <c r="I56" s="170">
        <v>1.1000000000000001</v>
      </c>
      <c r="J56" s="171"/>
      <c r="K56" s="173" t="s">
        <v>37</v>
      </c>
      <c r="L56" s="168">
        <v>2250000000</v>
      </c>
      <c r="M56" s="169">
        <v>0</v>
      </c>
      <c r="N56" s="170">
        <v>1.1000000000000001</v>
      </c>
      <c r="O56" s="174"/>
      <c r="P56" s="130" t="str">
        <f t="shared" si="0"/>
        <v/>
      </c>
      <c r="Q56" s="130"/>
      <c r="R56" s="79"/>
      <c r="S56" s="80"/>
      <c r="T56" s="98"/>
      <c r="U56" s="81"/>
    </row>
    <row r="57" spans="1:21" s="131" customFormat="1" ht="11.4">
      <c r="A57" s="169" t="s">
        <v>35</v>
      </c>
      <c r="B57" s="169" t="s">
        <v>51</v>
      </c>
      <c r="C57" s="172"/>
      <c r="D57" s="172"/>
      <c r="E57" s="172"/>
      <c r="F57" s="167"/>
      <c r="G57" s="168" t="s">
        <v>278</v>
      </c>
      <c r="H57" s="169"/>
      <c r="I57" s="170"/>
      <c r="J57" s="171"/>
      <c r="K57" s="173"/>
      <c r="L57" s="168" t="s">
        <v>278</v>
      </c>
      <c r="M57" s="169"/>
      <c r="N57" s="170"/>
      <c r="O57" s="174"/>
      <c r="P57" s="130" t="str">
        <f t="shared" si="0"/>
        <v/>
      </c>
      <c r="Q57" s="130"/>
      <c r="R57" s="79"/>
      <c r="S57" s="80"/>
      <c r="T57" s="98"/>
      <c r="U57" s="81"/>
    </row>
    <row r="58" spans="1:21" s="131" customFormat="1" ht="11.4">
      <c r="A58" s="169" t="s">
        <v>35</v>
      </c>
      <c r="B58" s="169" t="s">
        <v>51</v>
      </c>
      <c r="C58" s="172"/>
      <c r="D58" s="172"/>
      <c r="E58" s="172"/>
      <c r="F58" s="167"/>
      <c r="G58" s="168"/>
      <c r="H58" s="169"/>
      <c r="I58" s="170"/>
      <c r="J58" s="171"/>
      <c r="K58" s="173"/>
      <c r="L58" s="168"/>
      <c r="M58" s="169"/>
      <c r="N58" s="170"/>
      <c r="O58" s="174"/>
      <c r="P58" s="130"/>
      <c r="Q58" s="130"/>
      <c r="R58" s="79"/>
      <c r="S58" s="80"/>
      <c r="T58" s="98"/>
      <c r="U58" s="81"/>
    </row>
    <row r="59" spans="1:21" s="131" customFormat="1" ht="11.4">
      <c r="A59" s="169" t="s">
        <v>35</v>
      </c>
      <c r="B59" s="169" t="s">
        <v>52</v>
      </c>
      <c r="C59" s="172"/>
      <c r="D59" s="172"/>
      <c r="E59" s="172"/>
      <c r="F59" s="167"/>
      <c r="G59" s="168"/>
      <c r="H59" s="169"/>
      <c r="I59" s="170"/>
      <c r="J59" s="171"/>
      <c r="K59" s="173"/>
      <c r="L59" s="168"/>
      <c r="M59" s="169"/>
      <c r="N59" s="170"/>
      <c r="O59" s="174"/>
      <c r="P59" s="130" t="str">
        <f t="shared" si="0"/>
        <v/>
      </c>
      <c r="Q59" s="130"/>
      <c r="R59" s="79"/>
      <c r="S59" s="80"/>
      <c r="T59" s="98"/>
      <c r="U59" s="81"/>
    </row>
    <row r="60" spans="1:21" s="131" customFormat="1" ht="11.4">
      <c r="A60" s="169" t="s">
        <v>35</v>
      </c>
      <c r="B60" s="169" t="s">
        <v>52</v>
      </c>
      <c r="C60" s="172"/>
      <c r="D60" s="172"/>
      <c r="E60" s="172"/>
      <c r="F60" s="167"/>
      <c r="G60" s="168"/>
      <c r="H60" s="169"/>
      <c r="I60" s="170"/>
      <c r="J60" s="171"/>
      <c r="K60" s="173"/>
      <c r="L60" s="168"/>
      <c r="M60" s="169"/>
      <c r="N60" s="170"/>
      <c r="O60" s="174"/>
      <c r="P60" s="130" t="str">
        <f t="shared" si="0"/>
        <v/>
      </c>
      <c r="Q60" s="130"/>
      <c r="R60" s="79"/>
      <c r="S60" s="80"/>
      <c r="T60" s="98"/>
      <c r="U60" s="81"/>
    </row>
    <row r="61" spans="1:21" s="131" customFormat="1" ht="11.4">
      <c r="A61" s="169" t="s">
        <v>35</v>
      </c>
      <c r="B61" s="169" t="s">
        <v>52</v>
      </c>
      <c r="C61" s="172"/>
      <c r="D61" s="172"/>
      <c r="E61" s="172"/>
      <c r="F61" s="167"/>
      <c r="G61" s="168"/>
      <c r="H61" s="169"/>
      <c r="I61" s="170"/>
      <c r="J61" s="171"/>
      <c r="K61" s="173"/>
      <c r="L61" s="168"/>
      <c r="M61" s="169"/>
      <c r="N61" s="170"/>
      <c r="O61" s="174"/>
      <c r="P61" s="130" t="str">
        <f t="shared" si="0"/>
        <v/>
      </c>
      <c r="Q61" s="130"/>
      <c r="R61" s="79"/>
      <c r="S61" s="80"/>
      <c r="T61" s="98"/>
      <c r="U61" s="81"/>
    </row>
    <row r="62" spans="1:21" s="131" customFormat="1" ht="11.4">
      <c r="A62" s="169" t="s">
        <v>35</v>
      </c>
      <c r="B62" s="169" t="s">
        <v>53</v>
      </c>
      <c r="C62" s="172"/>
      <c r="D62" s="172"/>
      <c r="E62" s="172"/>
      <c r="F62" s="167"/>
      <c r="G62" s="168"/>
      <c r="H62" s="169"/>
      <c r="I62" s="170"/>
      <c r="J62" s="171"/>
      <c r="K62" s="173"/>
      <c r="L62" s="168"/>
      <c r="M62" s="169"/>
      <c r="N62" s="170"/>
      <c r="O62" s="174"/>
      <c r="P62" s="130" t="str">
        <f t="shared" si="0"/>
        <v/>
      </c>
      <c r="Q62" s="130"/>
      <c r="R62" s="79"/>
      <c r="S62" s="80"/>
      <c r="T62" s="98"/>
      <c r="U62" s="81"/>
    </row>
    <row r="63" spans="1:21" s="131" customFormat="1" ht="11.4">
      <c r="A63" s="169" t="s">
        <v>35</v>
      </c>
      <c r="B63" s="169" t="s">
        <v>53</v>
      </c>
      <c r="C63" s="172"/>
      <c r="D63" s="172"/>
      <c r="E63" s="172"/>
      <c r="F63" s="167"/>
      <c r="G63" s="168"/>
      <c r="H63" s="169"/>
      <c r="I63" s="170"/>
      <c r="J63" s="171"/>
      <c r="K63" s="173"/>
      <c r="L63" s="168"/>
      <c r="M63" s="169"/>
      <c r="N63" s="170"/>
      <c r="O63" s="174"/>
      <c r="P63" s="130" t="str">
        <f t="shared" si="0"/>
        <v/>
      </c>
      <c r="Q63" s="130"/>
      <c r="R63" s="79"/>
      <c r="S63" s="80"/>
      <c r="T63" s="98"/>
      <c r="U63" s="81"/>
    </row>
    <row r="64" spans="1:21" s="131" customFormat="1" ht="11.4">
      <c r="A64" s="169" t="s">
        <v>35</v>
      </c>
      <c r="B64" s="169" t="s">
        <v>53</v>
      </c>
      <c r="C64" s="172"/>
      <c r="D64" s="172"/>
      <c r="E64" s="172"/>
      <c r="F64" s="167"/>
      <c r="G64" s="168"/>
      <c r="H64" s="169"/>
      <c r="I64" s="170"/>
      <c r="J64" s="171"/>
      <c r="K64" s="173"/>
      <c r="L64" s="168"/>
      <c r="M64" s="169"/>
      <c r="N64" s="170"/>
      <c r="O64" s="174"/>
      <c r="P64" s="130" t="str">
        <f t="shared" si="0"/>
        <v/>
      </c>
      <c r="Q64" s="130"/>
      <c r="R64" s="79"/>
      <c r="S64" s="80"/>
      <c r="T64" s="98"/>
      <c r="U64" s="81"/>
    </row>
    <row r="65" spans="1:21" s="131" customFormat="1" ht="11.4">
      <c r="A65" s="169" t="s">
        <v>35</v>
      </c>
      <c r="B65" s="169" t="s">
        <v>54</v>
      </c>
      <c r="C65" s="172"/>
      <c r="D65" s="172"/>
      <c r="E65" s="172"/>
      <c r="F65" s="167"/>
      <c r="G65" s="168"/>
      <c r="H65" s="169"/>
      <c r="I65" s="170"/>
      <c r="J65" s="171"/>
      <c r="K65" s="173"/>
      <c r="L65" s="168"/>
      <c r="M65" s="169"/>
      <c r="N65" s="170"/>
      <c r="O65" s="174"/>
      <c r="P65" s="130" t="str">
        <f t="shared" si="0"/>
        <v/>
      </c>
      <c r="Q65" s="130"/>
      <c r="R65" s="79"/>
      <c r="S65" s="80"/>
      <c r="T65" s="98"/>
      <c r="U65" s="81"/>
    </row>
    <row r="66" spans="1:21" s="131" customFormat="1" ht="11.4">
      <c r="A66" s="169" t="s">
        <v>35</v>
      </c>
      <c r="B66" s="169" t="s">
        <v>54</v>
      </c>
      <c r="C66" s="172"/>
      <c r="D66" s="172"/>
      <c r="E66" s="172"/>
      <c r="F66" s="167"/>
      <c r="G66" s="168"/>
      <c r="H66" s="169"/>
      <c r="I66" s="170"/>
      <c r="J66" s="171"/>
      <c r="K66" s="173"/>
      <c r="L66" s="168"/>
      <c r="M66" s="169"/>
      <c r="N66" s="170"/>
      <c r="O66" s="174"/>
      <c r="P66" s="130" t="str">
        <f t="shared" si="0"/>
        <v/>
      </c>
      <c r="Q66" s="130"/>
      <c r="R66" s="79"/>
      <c r="S66" s="80"/>
      <c r="T66" s="98"/>
      <c r="U66" s="81"/>
    </row>
    <row r="67" spans="1:21" s="131" customFormat="1" ht="11.4">
      <c r="A67" s="169" t="s">
        <v>35</v>
      </c>
      <c r="B67" s="169" t="s">
        <v>54</v>
      </c>
      <c r="C67" s="172"/>
      <c r="D67" s="172"/>
      <c r="E67" s="172"/>
      <c r="F67" s="167"/>
      <c r="G67" s="168"/>
      <c r="H67" s="169"/>
      <c r="I67" s="170"/>
      <c r="J67" s="171"/>
      <c r="K67" s="173"/>
      <c r="L67" s="168"/>
      <c r="M67" s="169"/>
      <c r="N67" s="170"/>
      <c r="O67" s="174"/>
      <c r="P67" s="130" t="str">
        <f t="shared" si="0"/>
        <v/>
      </c>
      <c r="Q67" s="130"/>
      <c r="R67" s="79"/>
      <c r="S67" s="80"/>
      <c r="T67" s="98"/>
      <c r="U67" s="81"/>
    </row>
    <row r="68" spans="1:21" s="131" customFormat="1" ht="11.4">
      <c r="A68" s="169" t="s">
        <v>35</v>
      </c>
      <c r="B68" s="169" t="s">
        <v>55</v>
      </c>
      <c r="C68" s="172"/>
      <c r="D68" s="172"/>
      <c r="E68" s="172"/>
      <c r="F68" s="167"/>
      <c r="G68" s="168"/>
      <c r="H68" s="169"/>
      <c r="I68" s="170"/>
      <c r="J68" s="171"/>
      <c r="K68" s="173"/>
      <c r="L68" s="168"/>
      <c r="M68" s="169"/>
      <c r="N68" s="170"/>
      <c r="O68" s="174"/>
      <c r="P68" s="130" t="str">
        <f t="shared" si="0"/>
        <v/>
      </c>
      <c r="Q68" s="130"/>
      <c r="R68" s="79"/>
      <c r="S68" s="80"/>
      <c r="T68" s="98"/>
      <c r="U68" s="81"/>
    </row>
    <row r="69" spans="1:21" s="131" customFormat="1" ht="11.4">
      <c r="A69" s="169" t="s">
        <v>35</v>
      </c>
      <c r="B69" s="169" t="s">
        <v>55</v>
      </c>
      <c r="C69" s="172"/>
      <c r="D69" s="172"/>
      <c r="E69" s="172"/>
      <c r="F69" s="167"/>
      <c r="G69" s="168"/>
      <c r="H69" s="169"/>
      <c r="I69" s="170"/>
      <c r="J69" s="171"/>
      <c r="K69" s="173"/>
      <c r="L69" s="168"/>
      <c r="M69" s="169"/>
      <c r="N69" s="170"/>
      <c r="O69" s="174"/>
      <c r="P69" s="130" t="str">
        <f t="shared" si="0"/>
        <v/>
      </c>
      <c r="Q69" s="130"/>
      <c r="R69" s="79"/>
      <c r="S69" s="80"/>
      <c r="T69" s="98"/>
      <c r="U69" s="81"/>
    </row>
    <row r="70" spans="1:21" s="131" customFormat="1" ht="11.4">
      <c r="A70" s="169" t="s">
        <v>35</v>
      </c>
      <c r="B70" s="169" t="s">
        <v>55</v>
      </c>
      <c r="C70" s="172"/>
      <c r="D70" s="172"/>
      <c r="E70" s="172"/>
      <c r="F70" s="167"/>
      <c r="G70" s="168"/>
      <c r="H70" s="169"/>
      <c r="I70" s="170"/>
      <c r="J70" s="171"/>
      <c r="K70" s="173"/>
      <c r="L70" s="168"/>
      <c r="M70" s="169"/>
      <c r="N70" s="170"/>
      <c r="O70" s="174"/>
      <c r="P70" s="130" t="str">
        <f t="shared" si="0"/>
        <v/>
      </c>
      <c r="Q70" s="130"/>
      <c r="R70" s="79"/>
      <c r="S70" s="80"/>
      <c r="T70" s="98"/>
      <c r="U70" s="81"/>
    </row>
    <row r="71" spans="1:21" s="131" customFormat="1" ht="11.4">
      <c r="A71" s="169" t="s">
        <v>35</v>
      </c>
      <c r="B71" s="169" t="s">
        <v>56</v>
      </c>
      <c r="C71" s="172"/>
      <c r="D71" s="172"/>
      <c r="E71" s="172"/>
      <c r="F71" s="167"/>
      <c r="G71" s="168"/>
      <c r="H71" s="169"/>
      <c r="I71" s="170"/>
      <c r="J71" s="171"/>
      <c r="K71" s="173"/>
      <c r="L71" s="168"/>
      <c r="M71" s="169"/>
      <c r="N71" s="170"/>
      <c r="O71" s="174"/>
      <c r="P71" s="130" t="str">
        <f t="shared" si="0"/>
        <v/>
      </c>
      <c r="Q71" s="130"/>
      <c r="R71" s="79"/>
      <c r="S71" s="80"/>
      <c r="T71" s="98"/>
      <c r="U71" s="81"/>
    </row>
    <row r="72" spans="1:21" s="131" customFormat="1" ht="11.4">
      <c r="A72" s="169" t="s">
        <v>35</v>
      </c>
      <c r="B72" s="169" t="s">
        <v>56</v>
      </c>
      <c r="C72" s="172"/>
      <c r="D72" s="172"/>
      <c r="E72" s="172"/>
      <c r="F72" s="167"/>
      <c r="G72" s="168"/>
      <c r="H72" s="169"/>
      <c r="I72" s="170"/>
      <c r="J72" s="171"/>
      <c r="K72" s="173"/>
      <c r="L72" s="168"/>
      <c r="M72" s="169"/>
      <c r="N72" s="170"/>
      <c r="O72" s="174"/>
      <c r="P72" s="130" t="str">
        <f t="shared" si="0"/>
        <v/>
      </c>
      <c r="Q72" s="130"/>
      <c r="R72" s="79"/>
      <c r="S72" s="80"/>
      <c r="T72" s="98"/>
      <c r="U72" s="81"/>
    </row>
    <row r="73" spans="1:21" s="131" customFormat="1" ht="11.4">
      <c r="A73" s="169" t="s">
        <v>35</v>
      </c>
      <c r="B73" s="169" t="s">
        <v>56</v>
      </c>
      <c r="C73" s="172"/>
      <c r="D73" s="172"/>
      <c r="E73" s="172"/>
      <c r="F73" s="167"/>
      <c r="G73" s="168"/>
      <c r="H73" s="169"/>
      <c r="I73" s="170"/>
      <c r="J73" s="171"/>
      <c r="K73" s="173"/>
      <c r="L73" s="168"/>
      <c r="M73" s="169"/>
      <c r="N73" s="170"/>
      <c r="O73" s="174"/>
      <c r="P73" s="130" t="str">
        <f t="shared" si="0"/>
        <v/>
      </c>
      <c r="Q73" s="130"/>
      <c r="R73" s="79"/>
      <c r="S73" s="80"/>
      <c r="T73" s="98"/>
      <c r="U73" s="81"/>
    </row>
    <row r="74" spans="1:21" s="131" customFormat="1" ht="11.4">
      <c r="A74" s="169" t="s">
        <v>35</v>
      </c>
      <c r="B74" s="169" t="s">
        <v>57</v>
      </c>
      <c r="C74" s="172"/>
      <c r="D74" s="172"/>
      <c r="E74" s="172"/>
      <c r="F74" s="167"/>
      <c r="G74" s="168"/>
      <c r="H74" s="169"/>
      <c r="I74" s="170"/>
      <c r="J74" s="171"/>
      <c r="K74" s="173"/>
      <c r="L74" s="168"/>
      <c r="M74" s="169"/>
      <c r="N74" s="170"/>
      <c r="O74" s="174"/>
      <c r="P74" s="130" t="str">
        <f t="shared" si="0"/>
        <v/>
      </c>
      <c r="Q74" s="130"/>
      <c r="R74" s="79"/>
      <c r="S74" s="80"/>
      <c r="T74" s="98"/>
      <c r="U74" s="81"/>
    </row>
    <row r="75" spans="1:21" s="131" customFormat="1" ht="11.4">
      <c r="A75" s="169" t="s">
        <v>35</v>
      </c>
      <c r="B75" s="169" t="s">
        <v>57</v>
      </c>
      <c r="C75" s="172"/>
      <c r="D75" s="172"/>
      <c r="E75" s="172"/>
      <c r="F75" s="167"/>
      <c r="G75" s="168"/>
      <c r="H75" s="169"/>
      <c r="I75" s="170"/>
      <c r="J75" s="171"/>
      <c r="K75" s="173"/>
      <c r="L75" s="168"/>
      <c r="M75" s="169"/>
      <c r="N75" s="170"/>
      <c r="O75" s="174"/>
      <c r="P75" s="130" t="str">
        <f t="shared" si="0"/>
        <v/>
      </c>
      <c r="Q75" s="130"/>
      <c r="R75" s="79"/>
      <c r="S75" s="80"/>
      <c r="T75" s="98"/>
      <c r="U75" s="81"/>
    </row>
    <row r="76" spans="1:21" s="131" customFormat="1" ht="11.4">
      <c r="A76" s="169" t="s">
        <v>35</v>
      </c>
      <c r="B76" s="169" t="s">
        <v>57</v>
      </c>
      <c r="C76" s="172"/>
      <c r="D76" s="172"/>
      <c r="E76" s="172"/>
      <c r="F76" s="167"/>
      <c r="G76" s="168"/>
      <c r="H76" s="169"/>
      <c r="I76" s="170"/>
      <c r="J76" s="171"/>
      <c r="K76" s="173"/>
      <c r="L76" s="168"/>
      <c r="M76" s="169"/>
      <c r="N76" s="170"/>
      <c r="O76" s="174"/>
      <c r="P76" s="130" t="str">
        <f t="shared" si="0"/>
        <v/>
      </c>
      <c r="Q76" s="130"/>
      <c r="R76" s="79"/>
      <c r="S76" s="80"/>
      <c r="T76" s="98"/>
      <c r="U76" s="81"/>
    </row>
    <row r="77" spans="1:21" s="131" customFormat="1" ht="11.4">
      <c r="A77" s="169" t="s">
        <v>35</v>
      </c>
      <c r="B77" s="169" t="s">
        <v>58</v>
      </c>
      <c r="C77" s="172"/>
      <c r="D77" s="172"/>
      <c r="E77" s="172"/>
      <c r="F77" s="167"/>
      <c r="G77" s="168"/>
      <c r="H77" s="169"/>
      <c r="I77" s="170"/>
      <c r="J77" s="171"/>
      <c r="K77" s="173"/>
      <c r="L77" s="168"/>
      <c r="M77" s="169"/>
      <c r="N77" s="170"/>
      <c r="O77" s="174"/>
      <c r="P77" s="130" t="str">
        <f t="shared" si="0"/>
        <v/>
      </c>
      <c r="Q77" s="130"/>
      <c r="R77" s="79"/>
      <c r="S77" s="80"/>
      <c r="T77" s="98"/>
      <c r="U77" s="81"/>
    </row>
    <row r="78" spans="1:21" s="131" customFormat="1" ht="11.4">
      <c r="A78" s="169" t="s">
        <v>35</v>
      </c>
      <c r="B78" s="169" t="s">
        <v>58</v>
      </c>
      <c r="C78" s="172"/>
      <c r="D78" s="172"/>
      <c r="E78" s="172"/>
      <c r="F78" s="167"/>
      <c r="G78" s="168"/>
      <c r="H78" s="169"/>
      <c r="I78" s="170"/>
      <c r="J78" s="171"/>
      <c r="K78" s="173"/>
      <c r="L78" s="168"/>
      <c r="M78" s="169"/>
      <c r="N78" s="170"/>
      <c r="O78" s="174"/>
      <c r="P78" s="130" t="str">
        <f t="shared" si="0"/>
        <v/>
      </c>
      <c r="Q78" s="130"/>
      <c r="R78" s="79"/>
      <c r="S78" s="80"/>
      <c r="T78" s="98"/>
      <c r="U78" s="81"/>
    </row>
    <row r="79" spans="1:21" s="131" customFormat="1" ht="11.4">
      <c r="A79" s="169" t="s">
        <v>35</v>
      </c>
      <c r="B79" s="169" t="s">
        <v>58</v>
      </c>
      <c r="C79" s="172"/>
      <c r="D79" s="172"/>
      <c r="E79" s="172"/>
      <c r="F79" s="167"/>
      <c r="G79" s="168"/>
      <c r="H79" s="169"/>
      <c r="I79" s="170"/>
      <c r="J79" s="171"/>
      <c r="K79" s="173"/>
      <c r="L79" s="168"/>
      <c r="M79" s="169"/>
      <c r="N79" s="170"/>
      <c r="O79" s="174"/>
      <c r="P79" s="130" t="str">
        <f t="shared" si="0"/>
        <v/>
      </c>
      <c r="Q79" s="130"/>
      <c r="R79" s="79"/>
      <c r="S79" s="80"/>
      <c r="T79" s="98"/>
      <c r="U79" s="81"/>
    </row>
    <row r="80" spans="1:21" s="131" customFormat="1" ht="11.4">
      <c r="A80" s="169" t="s">
        <v>35</v>
      </c>
      <c r="B80" s="169" t="s">
        <v>59</v>
      </c>
      <c r="C80" s="172"/>
      <c r="D80" s="172"/>
      <c r="E80" s="172"/>
      <c r="F80" s="167"/>
      <c r="G80" s="168"/>
      <c r="H80" s="169"/>
      <c r="I80" s="170"/>
      <c r="J80" s="171"/>
      <c r="K80" s="173"/>
      <c r="L80" s="168"/>
      <c r="M80" s="169"/>
      <c r="N80" s="170"/>
      <c r="O80" s="174"/>
      <c r="P80" s="130" t="str">
        <f t="shared" si="0"/>
        <v/>
      </c>
      <c r="Q80" s="130"/>
      <c r="R80" s="79"/>
      <c r="S80" s="80"/>
      <c r="T80" s="98"/>
      <c r="U80" s="81"/>
    </row>
    <row r="81" spans="1:21" s="131" customFormat="1" ht="11.4">
      <c r="A81" s="169" t="s">
        <v>35</v>
      </c>
      <c r="B81" s="169" t="s">
        <v>59</v>
      </c>
      <c r="C81" s="172"/>
      <c r="D81" s="172"/>
      <c r="E81" s="172"/>
      <c r="F81" s="167"/>
      <c r="G81" s="168"/>
      <c r="H81" s="169"/>
      <c r="I81" s="170"/>
      <c r="J81" s="171"/>
      <c r="K81" s="173"/>
      <c r="L81" s="168"/>
      <c r="M81" s="169"/>
      <c r="N81" s="170"/>
      <c r="O81" s="174"/>
      <c r="P81" s="130" t="str">
        <f t="shared" ref="P81:P140" si="1">IFERROR(MATCH($B81,AN_List,FALSE),"")</f>
        <v/>
      </c>
      <c r="Q81" s="130"/>
      <c r="R81" s="79"/>
      <c r="S81" s="80"/>
      <c r="T81" s="98"/>
      <c r="U81" s="81"/>
    </row>
    <row r="82" spans="1:21" s="131" customFormat="1" ht="11.4">
      <c r="A82" s="169" t="s">
        <v>35</v>
      </c>
      <c r="B82" s="169" t="s">
        <v>59</v>
      </c>
      <c r="C82" s="172"/>
      <c r="D82" s="172"/>
      <c r="E82" s="172"/>
      <c r="F82" s="167"/>
      <c r="G82" s="168"/>
      <c r="H82" s="169"/>
      <c r="I82" s="170"/>
      <c r="J82" s="171"/>
      <c r="K82" s="173"/>
      <c r="L82" s="168"/>
      <c r="M82" s="169"/>
      <c r="N82" s="170"/>
      <c r="O82" s="174"/>
      <c r="P82" s="130" t="str">
        <f t="shared" si="1"/>
        <v/>
      </c>
      <c r="Q82" s="130"/>
      <c r="R82" s="79"/>
      <c r="S82" s="80"/>
      <c r="T82" s="98"/>
      <c r="U82" s="81"/>
    </row>
    <row r="83" spans="1:21" s="131" customFormat="1" ht="11.4">
      <c r="A83" s="169" t="s">
        <v>35</v>
      </c>
      <c r="B83" s="169" t="s">
        <v>60</v>
      </c>
      <c r="C83" s="172"/>
      <c r="D83" s="172"/>
      <c r="E83" s="172"/>
      <c r="F83" s="167"/>
      <c r="G83" s="168"/>
      <c r="H83" s="169"/>
      <c r="I83" s="170"/>
      <c r="J83" s="171"/>
      <c r="K83" s="173"/>
      <c r="L83" s="168"/>
      <c r="M83" s="169"/>
      <c r="N83" s="170"/>
      <c r="O83" s="174"/>
      <c r="P83" s="130" t="str">
        <f t="shared" si="1"/>
        <v/>
      </c>
      <c r="Q83" s="130"/>
      <c r="R83" s="79"/>
      <c r="S83" s="80"/>
      <c r="T83" s="98"/>
      <c r="U83" s="81"/>
    </row>
    <row r="84" spans="1:21" s="131" customFormat="1" ht="11.4">
      <c r="A84" s="169" t="s">
        <v>35</v>
      </c>
      <c r="B84" s="169" t="s">
        <v>60</v>
      </c>
      <c r="C84" s="172"/>
      <c r="D84" s="172"/>
      <c r="E84" s="172"/>
      <c r="F84" s="167"/>
      <c r="G84" s="168"/>
      <c r="H84" s="169"/>
      <c r="I84" s="170"/>
      <c r="J84" s="171"/>
      <c r="K84" s="173"/>
      <c r="L84" s="168"/>
      <c r="M84" s="169"/>
      <c r="N84" s="170"/>
      <c r="O84" s="174"/>
      <c r="P84" s="130" t="str">
        <f t="shared" si="1"/>
        <v/>
      </c>
      <c r="Q84" s="130"/>
      <c r="R84" s="79"/>
      <c r="S84" s="80"/>
      <c r="T84" s="98"/>
      <c r="U84" s="81"/>
    </row>
    <row r="85" spans="1:21" s="131" customFormat="1" ht="11.4">
      <c r="A85" s="169" t="s">
        <v>35</v>
      </c>
      <c r="B85" s="169" t="s">
        <v>60</v>
      </c>
      <c r="C85" s="172"/>
      <c r="D85" s="172"/>
      <c r="E85" s="172"/>
      <c r="F85" s="167"/>
      <c r="G85" s="168"/>
      <c r="H85" s="169"/>
      <c r="I85" s="170"/>
      <c r="J85" s="171"/>
      <c r="K85" s="173"/>
      <c r="L85" s="168"/>
      <c r="M85" s="169"/>
      <c r="N85" s="170"/>
      <c r="O85" s="174"/>
      <c r="P85" s="130" t="str">
        <f t="shared" si="1"/>
        <v/>
      </c>
      <c r="Q85" s="130"/>
      <c r="R85" s="79"/>
      <c r="S85" s="80"/>
      <c r="T85" s="98"/>
      <c r="U85" s="81"/>
    </row>
    <row r="86" spans="1:21" s="131" customFormat="1" ht="11.4">
      <c r="A86" s="169" t="s">
        <v>35</v>
      </c>
      <c r="B86" s="169" t="s">
        <v>61</v>
      </c>
      <c r="C86" s="172"/>
      <c r="D86" s="172"/>
      <c r="E86" s="172"/>
      <c r="F86" s="167"/>
      <c r="G86" s="168"/>
      <c r="H86" s="169"/>
      <c r="I86" s="170"/>
      <c r="J86" s="171"/>
      <c r="K86" s="173"/>
      <c r="L86" s="168"/>
      <c r="M86" s="169"/>
      <c r="N86" s="170"/>
      <c r="O86" s="174"/>
      <c r="P86" s="130" t="str">
        <f t="shared" si="1"/>
        <v/>
      </c>
      <c r="Q86" s="130"/>
      <c r="R86" s="79"/>
      <c r="S86" s="80"/>
      <c r="T86" s="98"/>
      <c r="U86" s="81"/>
    </row>
    <row r="87" spans="1:21" s="131" customFormat="1" ht="11.4">
      <c r="A87" s="169" t="s">
        <v>35</v>
      </c>
      <c r="B87" s="169" t="s">
        <v>61</v>
      </c>
      <c r="C87" s="172"/>
      <c r="D87" s="172"/>
      <c r="E87" s="172"/>
      <c r="F87" s="167"/>
      <c r="G87" s="168"/>
      <c r="H87" s="169"/>
      <c r="I87" s="170"/>
      <c r="J87" s="171"/>
      <c r="K87" s="173"/>
      <c r="L87" s="168"/>
      <c r="M87" s="169"/>
      <c r="N87" s="170"/>
      <c r="O87" s="174"/>
      <c r="P87" s="130" t="str">
        <f t="shared" si="1"/>
        <v/>
      </c>
      <c r="Q87" s="130"/>
      <c r="R87" s="79"/>
      <c r="S87" s="80"/>
      <c r="T87" s="98"/>
      <c r="U87" s="81"/>
    </row>
    <row r="88" spans="1:21" s="131" customFormat="1" ht="11.4">
      <c r="A88" s="169" t="s">
        <v>35</v>
      </c>
      <c r="B88" s="169" t="s">
        <v>61</v>
      </c>
      <c r="C88" s="172"/>
      <c r="D88" s="172"/>
      <c r="E88" s="172"/>
      <c r="F88" s="167"/>
      <c r="G88" s="168"/>
      <c r="H88" s="169"/>
      <c r="I88" s="170"/>
      <c r="J88" s="171"/>
      <c r="K88" s="173"/>
      <c r="L88" s="168"/>
      <c r="M88" s="169"/>
      <c r="N88" s="170"/>
      <c r="O88" s="174"/>
      <c r="P88" s="130" t="str">
        <f t="shared" si="1"/>
        <v/>
      </c>
      <c r="Q88" s="130"/>
      <c r="R88" s="79"/>
      <c r="S88" s="80"/>
      <c r="T88" s="98"/>
      <c r="U88" s="81"/>
    </row>
    <row r="89" spans="1:21" s="131" customFormat="1" ht="11.4">
      <c r="A89" s="169" t="s">
        <v>35</v>
      </c>
      <c r="B89" s="169" t="s">
        <v>63</v>
      </c>
      <c r="C89" s="172"/>
      <c r="D89" s="172"/>
      <c r="E89" s="172"/>
      <c r="F89" s="167"/>
      <c r="G89" s="168"/>
      <c r="H89" s="169"/>
      <c r="I89" s="170"/>
      <c r="J89" s="171"/>
      <c r="K89" s="173"/>
      <c r="L89" s="168"/>
      <c r="M89" s="169"/>
      <c r="N89" s="170"/>
      <c r="O89" s="174"/>
      <c r="P89" s="130" t="str">
        <f t="shared" si="1"/>
        <v/>
      </c>
      <c r="Q89" s="130"/>
      <c r="R89" s="79"/>
      <c r="S89" s="80"/>
      <c r="T89" s="98"/>
      <c r="U89" s="81"/>
    </row>
    <row r="90" spans="1:21" s="131" customFormat="1" ht="11.4">
      <c r="A90" s="169" t="s">
        <v>35</v>
      </c>
      <c r="B90" s="169" t="s">
        <v>63</v>
      </c>
      <c r="C90" s="172"/>
      <c r="D90" s="172"/>
      <c r="E90" s="172"/>
      <c r="F90" s="167"/>
      <c r="G90" s="168"/>
      <c r="H90" s="169"/>
      <c r="I90" s="170"/>
      <c r="J90" s="171"/>
      <c r="K90" s="173"/>
      <c r="L90" s="168"/>
      <c r="M90" s="169"/>
      <c r="N90" s="170"/>
      <c r="O90" s="174"/>
      <c r="P90" s="130" t="str">
        <f t="shared" si="1"/>
        <v/>
      </c>
      <c r="Q90" s="130"/>
      <c r="R90" s="79"/>
      <c r="S90" s="80"/>
      <c r="T90" s="98"/>
      <c r="U90" s="81"/>
    </row>
    <row r="91" spans="1:21" s="131" customFormat="1" ht="11.4">
      <c r="A91" s="169" t="s">
        <v>35</v>
      </c>
      <c r="B91" s="169" t="s">
        <v>63</v>
      </c>
      <c r="C91" s="172"/>
      <c r="D91" s="172"/>
      <c r="E91" s="172"/>
      <c r="F91" s="167"/>
      <c r="G91" s="168"/>
      <c r="H91" s="169"/>
      <c r="I91" s="170"/>
      <c r="J91" s="171"/>
      <c r="K91" s="173"/>
      <c r="L91" s="168"/>
      <c r="M91" s="169"/>
      <c r="N91" s="170"/>
      <c r="O91" s="174"/>
      <c r="P91" s="130" t="str">
        <f t="shared" si="1"/>
        <v/>
      </c>
      <c r="Q91" s="130"/>
      <c r="R91" s="79"/>
      <c r="S91" s="80"/>
      <c r="T91" s="98"/>
      <c r="U91" s="81"/>
    </row>
    <row r="92" spans="1:21" s="131" customFormat="1" ht="11.4">
      <c r="A92" s="169" t="s">
        <v>35</v>
      </c>
      <c r="B92" s="169" t="s">
        <v>64</v>
      </c>
      <c r="C92" s="172">
        <v>43450</v>
      </c>
      <c r="D92" s="172">
        <v>43814</v>
      </c>
      <c r="E92" s="172">
        <v>43450</v>
      </c>
      <c r="F92" s="167" t="s">
        <v>37</v>
      </c>
      <c r="G92" s="168">
        <v>250000000</v>
      </c>
      <c r="H92" s="169">
        <v>0</v>
      </c>
      <c r="I92" s="170">
        <v>2.5</v>
      </c>
      <c r="J92" s="171"/>
      <c r="K92" s="173" t="s">
        <v>37</v>
      </c>
      <c r="L92" s="168">
        <v>1250000000</v>
      </c>
      <c r="M92" s="169">
        <v>0</v>
      </c>
      <c r="N92" s="170">
        <v>2.5</v>
      </c>
      <c r="O92" s="174"/>
      <c r="P92" s="130" t="str">
        <f t="shared" si="1"/>
        <v/>
      </c>
      <c r="Q92" s="130"/>
      <c r="R92" s="79"/>
      <c r="S92" s="80"/>
      <c r="T92" s="98"/>
      <c r="U92" s="81"/>
    </row>
    <row r="93" spans="1:21" s="131" customFormat="1" ht="11.4">
      <c r="A93" s="169" t="s">
        <v>35</v>
      </c>
      <c r="B93" s="169" t="s">
        <v>64</v>
      </c>
      <c r="C93" s="172">
        <v>43815</v>
      </c>
      <c r="D93" s="172">
        <v>44362</v>
      </c>
      <c r="E93" s="172">
        <v>44362</v>
      </c>
      <c r="F93" s="167" t="s">
        <v>37</v>
      </c>
      <c r="G93" s="168">
        <v>250000000</v>
      </c>
      <c r="H93" s="169">
        <v>0</v>
      </c>
      <c r="I93" s="170">
        <v>2.5</v>
      </c>
      <c r="J93" s="171"/>
      <c r="K93" s="173" t="s">
        <v>37</v>
      </c>
      <c r="L93" s="168">
        <v>1250000000</v>
      </c>
      <c r="M93" s="169">
        <v>0</v>
      </c>
      <c r="N93" s="170">
        <v>2.5</v>
      </c>
      <c r="O93" s="174"/>
      <c r="P93" s="130" t="str">
        <f t="shared" si="1"/>
        <v/>
      </c>
      <c r="Q93" s="130"/>
      <c r="R93" s="79"/>
      <c r="S93" s="80"/>
      <c r="T93" s="98"/>
      <c r="U93" s="81"/>
    </row>
    <row r="94" spans="1:21" s="131" customFormat="1" ht="11.4">
      <c r="A94" s="169" t="s">
        <v>35</v>
      </c>
      <c r="B94" s="169" t="s">
        <v>64</v>
      </c>
      <c r="C94" s="172">
        <v>44363</v>
      </c>
      <c r="D94" s="172">
        <v>44741</v>
      </c>
      <c r="E94" s="172">
        <v>44363</v>
      </c>
      <c r="F94" s="167" t="s">
        <v>37</v>
      </c>
      <c r="G94" s="168">
        <v>250000000</v>
      </c>
      <c r="H94" s="169">
        <v>0</v>
      </c>
      <c r="I94" s="170">
        <v>2.5</v>
      </c>
      <c r="J94" s="171"/>
      <c r="K94" s="173" t="s">
        <v>37</v>
      </c>
      <c r="L94" s="168">
        <v>1250000000</v>
      </c>
      <c r="M94" s="169">
        <v>0</v>
      </c>
      <c r="N94" s="170">
        <v>2.5</v>
      </c>
      <c r="O94" s="174"/>
      <c r="P94" s="130"/>
      <c r="Q94" s="130"/>
      <c r="R94" s="79"/>
      <c r="S94" s="80"/>
      <c r="T94" s="98"/>
      <c r="U94" s="81"/>
    </row>
    <row r="95" spans="1:21" s="131" customFormat="1" ht="11.4">
      <c r="A95" s="169" t="s">
        <v>35</v>
      </c>
      <c r="B95" s="169" t="s">
        <v>65</v>
      </c>
      <c r="C95" s="172"/>
      <c r="D95" s="172"/>
      <c r="E95" s="172"/>
      <c r="F95" s="167"/>
      <c r="G95" s="168"/>
      <c r="H95" s="169"/>
      <c r="I95" s="170"/>
      <c r="J95" s="171"/>
      <c r="K95" s="173"/>
      <c r="L95" s="168"/>
      <c r="M95" s="169"/>
      <c r="N95" s="170"/>
      <c r="O95" s="174"/>
      <c r="P95" s="130" t="str">
        <f t="shared" si="1"/>
        <v/>
      </c>
      <c r="Q95" s="130"/>
      <c r="R95" s="79"/>
      <c r="S95" s="80"/>
      <c r="T95" s="98"/>
      <c r="U95" s="81"/>
    </row>
    <row r="96" spans="1:21" s="131" customFormat="1" ht="11.4">
      <c r="A96" s="169" t="s">
        <v>35</v>
      </c>
      <c r="B96" s="169" t="s">
        <v>65</v>
      </c>
      <c r="C96" s="172"/>
      <c r="D96" s="172"/>
      <c r="E96" s="172"/>
      <c r="F96" s="167"/>
      <c r="G96" s="168"/>
      <c r="H96" s="169"/>
      <c r="I96" s="170"/>
      <c r="J96" s="171"/>
      <c r="K96" s="173"/>
      <c r="L96" s="168"/>
      <c r="M96" s="169"/>
      <c r="N96" s="170"/>
      <c r="O96" s="174"/>
      <c r="P96" s="130" t="str">
        <f t="shared" si="1"/>
        <v/>
      </c>
      <c r="Q96" s="130"/>
      <c r="R96" s="79"/>
      <c r="S96" s="80"/>
      <c r="T96" s="98"/>
      <c r="U96" s="81"/>
    </row>
    <row r="97" spans="1:21" s="131" customFormat="1" ht="11.4">
      <c r="A97" s="169" t="s">
        <v>35</v>
      </c>
      <c r="B97" s="169" t="s">
        <v>65</v>
      </c>
      <c r="C97" s="172"/>
      <c r="D97" s="172"/>
      <c r="E97" s="172"/>
      <c r="F97" s="167"/>
      <c r="G97" s="168"/>
      <c r="H97" s="169"/>
      <c r="I97" s="170"/>
      <c r="J97" s="171"/>
      <c r="K97" s="173"/>
      <c r="L97" s="168"/>
      <c r="M97" s="169"/>
      <c r="N97" s="170"/>
      <c r="O97" s="174"/>
      <c r="P97" s="130" t="str">
        <f t="shared" si="1"/>
        <v/>
      </c>
      <c r="Q97" s="130"/>
      <c r="R97" s="79"/>
      <c r="S97" s="80"/>
      <c r="T97" s="98"/>
      <c r="U97" s="81"/>
    </row>
    <row r="98" spans="1:21" s="131" customFormat="1" ht="11.4">
      <c r="A98" s="169" t="s">
        <v>35</v>
      </c>
      <c r="B98" s="169" t="s">
        <v>66</v>
      </c>
      <c r="C98" s="172"/>
      <c r="D98" s="172"/>
      <c r="E98" s="172"/>
      <c r="F98" s="167"/>
      <c r="G98" s="168"/>
      <c r="H98" s="169"/>
      <c r="I98" s="170"/>
      <c r="J98" s="171"/>
      <c r="K98" s="173"/>
      <c r="L98" s="168"/>
      <c r="M98" s="169"/>
      <c r="N98" s="170"/>
      <c r="O98" s="174"/>
      <c r="P98" s="130" t="str">
        <f t="shared" si="1"/>
        <v/>
      </c>
      <c r="Q98" s="130"/>
      <c r="R98" s="79"/>
      <c r="S98" s="80"/>
      <c r="T98" s="98"/>
      <c r="U98" s="81"/>
    </row>
    <row r="99" spans="1:21" s="131" customFormat="1" ht="11.4">
      <c r="A99" s="169" t="s">
        <v>35</v>
      </c>
      <c r="B99" s="169" t="s">
        <v>66</v>
      </c>
      <c r="C99" s="172"/>
      <c r="D99" s="172"/>
      <c r="E99" s="172"/>
      <c r="F99" s="167"/>
      <c r="G99" s="168"/>
      <c r="H99" s="169"/>
      <c r="I99" s="170"/>
      <c r="J99" s="171"/>
      <c r="K99" s="173"/>
      <c r="L99" s="168"/>
      <c r="M99" s="169"/>
      <c r="N99" s="170"/>
      <c r="O99" s="174"/>
      <c r="P99" s="130" t="str">
        <f t="shared" si="1"/>
        <v/>
      </c>
      <c r="Q99" s="130"/>
      <c r="R99" s="79"/>
      <c r="S99" s="80"/>
      <c r="T99" s="98"/>
      <c r="U99" s="81"/>
    </row>
    <row r="100" spans="1:21" s="131" customFormat="1" ht="11.4">
      <c r="A100" s="169" t="s">
        <v>35</v>
      </c>
      <c r="B100" s="169" t="s">
        <v>66</v>
      </c>
      <c r="C100" s="172"/>
      <c r="D100" s="172"/>
      <c r="E100" s="172"/>
      <c r="F100" s="167"/>
      <c r="G100" s="168"/>
      <c r="H100" s="169"/>
      <c r="I100" s="170"/>
      <c r="J100" s="171"/>
      <c r="K100" s="173"/>
      <c r="L100" s="168"/>
      <c r="M100" s="169"/>
      <c r="N100" s="170"/>
      <c r="O100" s="174"/>
      <c r="P100" s="130" t="str">
        <f t="shared" si="1"/>
        <v/>
      </c>
      <c r="Q100" s="130"/>
      <c r="R100" s="79"/>
      <c r="S100" s="80"/>
      <c r="T100" s="98"/>
      <c r="U100" s="81"/>
    </row>
    <row r="101" spans="1:21" s="131" customFormat="1" ht="11.4">
      <c r="A101" s="169" t="s">
        <v>35</v>
      </c>
      <c r="B101" s="169" t="s">
        <v>67</v>
      </c>
      <c r="C101" s="172"/>
      <c r="D101" s="172"/>
      <c r="E101" s="172"/>
      <c r="F101" s="167"/>
      <c r="G101" s="168"/>
      <c r="H101" s="169"/>
      <c r="I101" s="170"/>
      <c r="J101" s="171"/>
      <c r="K101" s="173"/>
      <c r="L101" s="168"/>
      <c r="M101" s="169"/>
      <c r="N101" s="170"/>
      <c r="O101" s="174"/>
      <c r="P101" s="130" t="str">
        <f t="shared" si="1"/>
        <v/>
      </c>
      <c r="Q101" s="130"/>
      <c r="R101" s="79"/>
      <c r="S101" s="80"/>
      <c r="T101" s="98"/>
      <c r="U101" s="81"/>
    </row>
    <row r="102" spans="1:21" s="131" customFormat="1" ht="11.4">
      <c r="A102" s="169" t="s">
        <v>35</v>
      </c>
      <c r="B102" s="169" t="s">
        <v>67</v>
      </c>
      <c r="C102" s="172"/>
      <c r="D102" s="172"/>
      <c r="E102" s="172"/>
      <c r="F102" s="167"/>
      <c r="G102" s="168"/>
      <c r="H102" s="169"/>
      <c r="I102" s="170"/>
      <c r="J102" s="171"/>
      <c r="K102" s="173"/>
      <c r="L102" s="168"/>
      <c r="M102" s="169"/>
      <c r="N102" s="170"/>
      <c r="O102" s="174"/>
      <c r="P102" s="130" t="str">
        <f t="shared" si="1"/>
        <v/>
      </c>
      <c r="Q102" s="130"/>
      <c r="R102" s="79"/>
      <c r="S102" s="80"/>
      <c r="T102" s="98"/>
      <c r="U102" s="81"/>
    </row>
    <row r="103" spans="1:21" s="131" customFormat="1" ht="11.4">
      <c r="A103" s="169" t="s">
        <v>35</v>
      </c>
      <c r="B103" s="169" t="s">
        <v>67</v>
      </c>
      <c r="C103" s="172"/>
      <c r="D103" s="172"/>
      <c r="E103" s="172"/>
      <c r="F103" s="167"/>
      <c r="G103" s="168"/>
      <c r="H103" s="169"/>
      <c r="I103" s="170"/>
      <c r="J103" s="171"/>
      <c r="K103" s="173"/>
      <c r="L103" s="168"/>
      <c r="M103" s="169"/>
      <c r="N103" s="170"/>
      <c r="O103" s="174"/>
      <c r="P103" s="130" t="str">
        <f t="shared" si="1"/>
        <v/>
      </c>
      <c r="Q103" s="130"/>
      <c r="R103" s="79"/>
      <c r="S103" s="80"/>
      <c r="T103" s="98"/>
      <c r="U103" s="81"/>
    </row>
    <row r="104" spans="1:21" s="131" customFormat="1" ht="11.4">
      <c r="A104" s="169" t="s">
        <v>35</v>
      </c>
      <c r="B104" s="169" t="s">
        <v>68</v>
      </c>
      <c r="C104" s="172"/>
      <c r="D104" s="172"/>
      <c r="E104" s="172"/>
      <c r="F104" s="167"/>
      <c r="G104" s="168"/>
      <c r="H104" s="169"/>
      <c r="I104" s="170"/>
      <c r="J104" s="171"/>
      <c r="K104" s="173"/>
      <c r="L104" s="168"/>
      <c r="M104" s="169"/>
      <c r="N104" s="170"/>
      <c r="O104" s="174"/>
      <c r="P104" s="130" t="str">
        <f t="shared" si="1"/>
        <v/>
      </c>
      <c r="Q104" s="130"/>
      <c r="R104" s="79"/>
      <c r="S104" s="80"/>
      <c r="T104" s="98"/>
      <c r="U104" s="81"/>
    </row>
    <row r="105" spans="1:21" s="131" customFormat="1" ht="11.4">
      <c r="A105" s="169" t="s">
        <v>35</v>
      </c>
      <c r="B105" s="169" t="s">
        <v>68</v>
      </c>
      <c r="C105" s="172"/>
      <c r="D105" s="172"/>
      <c r="E105" s="172"/>
      <c r="F105" s="167"/>
      <c r="G105" s="168"/>
      <c r="H105" s="169"/>
      <c r="I105" s="170"/>
      <c r="J105" s="171"/>
      <c r="K105" s="173"/>
      <c r="L105" s="168"/>
      <c r="M105" s="169"/>
      <c r="N105" s="170"/>
      <c r="O105" s="174"/>
      <c r="P105" s="130" t="str">
        <f t="shared" si="1"/>
        <v/>
      </c>
      <c r="Q105" s="130"/>
      <c r="R105" s="79"/>
      <c r="S105" s="80"/>
      <c r="T105" s="98"/>
      <c r="U105" s="81"/>
    </row>
    <row r="106" spans="1:21" s="131" customFormat="1" ht="11.4">
      <c r="A106" s="169" t="s">
        <v>35</v>
      </c>
      <c r="B106" s="169" t="s">
        <v>68</v>
      </c>
      <c r="C106" s="172"/>
      <c r="D106" s="172"/>
      <c r="E106" s="172"/>
      <c r="F106" s="167"/>
      <c r="G106" s="168"/>
      <c r="H106" s="169"/>
      <c r="I106" s="170"/>
      <c r="J106" s="171"/>
      <c r="K106" s="173"/>
      <c r="L106" s="168"/>
      <c r="M106" s="169"/>
      <c r="N106" s="170"/>
      <c r="O106" s="174"/>
      <c r="P106" s="130" t="str">
        <f t="shared" si="1"/>
        <v/>
      </c>
      <c r="Q106" s="130"/>
      <c r="R106" s="79"/>
      <c r="S106" s="80"/>
      <c r="T106" s="98"/>
      <c r="U106" s="81"/>
    </row>
    <row r="107" spans="1:21" s="131" customFormat="1" ht="11.4">
      <c r="A107" s="169" t="s">
        <v>35</v>
      </c>
      <c r="B107" s="169" t="s">
        <v>69</v>
      </c>
      <c r="C107" s="172"/>
      <c r="D107" s="172"/>
      <c r="E107" s="172"/>
      <c r="F107" s="167"/>
      <c r="G107" s="168"/>
      <c r="H107" s="169"/>
      <c r="I107" s="170"/>
      <c r="J107" s="171"/>
      <c r="K107" s="173"/>
      <c r="L107" s="168"/>
      <c r="M107" s="169"/>
      <c r="N107" s="170"/>
      <c r="O107" s="174"/>
      <c r="P107" s="130" t="str">
        <f t="shared" si="1"/>
        <v/>
      </c>
      <c r="Q107" s="130"/>
      <c r="R107" s="79"/>
      <c r="S107" s="80"/>
      <c r="T107" s="98"/>
      <c r="U107" s="81"/>
    </row>
    <row r="108" spans="1:21" s="131" customFormat="1" ht="11.4">
      <c r="A108" s="169" t="s">
        <v>35</v>
      </c>
      <c r="B108" s="169" t="s">
        <v>69</v>
      </c>
      <c r="C108" s="172"/>
      <c r="D108" s="172"/>
      <c r="E108" s="172"/>
      <c r="F108" s="167"/>
      <c r="G108" s="168"/>
      <c r="H108" s="169"/>
      <c r="I108" s="170"/>
      <c r="J108" s="171"/>
      <c r="K108" s="173"/>
      <c r="L108" s="168"/>
      <c r="M108" s="169"/>
      <c r="N108" s="170"/>
      <c r="O108" s="174"/>
      <c r="P108" s="130" t="str">
        <f t="shared" si="1"/>
        <v/>
      </c>
      <c r="Q108" s="130"/>
      <c r="R108" s="79"/>
      <c r="S108" s="80"/>
      <c r="T108" s="98"/>
      <c r="U108" s="81"/>
    </row>
    <row r="109" spans="1:21" s="131" customFormat="1" ht="11.4">
      <c r="A109" s="169" t="s">
        <v>35</v>
      </c>
      <c r="B109" s="169" t="s">
        <v>69</v>
      </c>
      <c r="C109" s="172"/>
      <c r="D109" s="172"/>
      <c r="E109" s="172"/>
      <c r="F109" s="167"/>
      <c r="G109" s="168"/>
      <c r="H109" s="169"/>
      <c r="I109" s="170"/>
      <c r="J109" s="171"/>
      <c r="K109" s="173"/>
      <c r="L109" s="168"/>
      <c r="M109" s="169"/>
      <c r="N109" s="170"/>
      <c r="O109" s="174"/>
      <c r="P109" s="130" t="str">
        <f t="shared" si="1"/>
        <v/>
      </c>
      <c r="Q109" s="130"/>
      <c r="R109" s="79"/>
      <c r="S109" s="80"/>
      <c r="T109" s="98"/>
      <c r="U109" s="81"/>
    </row>
    <row r="110" spans="1:21" s="131" customFormat="1" ht="11.4">
      <c r="A110" s="169" t="s">
        <v>35</v>
      </c>
      <c r="B110" s="169" t="s">
        <v>70</v>
      </c>
      <c r="C110" s="172"/>
      <c r="D110" s="172"/>
      <c r="E110" s="172"/>
      <c r="F110" s="167"/>
      <c r="G110" s="168"/>
      <c r="H110" s="169"/>
      <c r="I110" s="170"/>
      <c r="J110" s="171"/>
      <c r="K110" s="173"/>
      <c r="L110" s="168"/>
      <c r="M110" s="169"/>
      <c r="N110" s="170"/>
      <c r="O110" s="174"/>
      <c r="P110" s="130" t="str">
        <f t="shared" si="1"/>
        <v/>
      </c>
      <c r="Q110" s="130"/>
      <c r="R110" s="79"/>
      <c r="S110" s="80"/>
      <c r="T110" s="98"/>
      <c r="U110" s="81"/>
    </row>
    <row r="111" spans="1:21" s="131" customFormat="1" ht="11.4">
      <c r="A111" s="169" t="s">
        <v>35</v>
      </c>
      <c r="B111" s="169" t="s">
        <v>70</v>
      </c>
      <c r="C111" s="172"/>
      <c r="D111" s="172"/>
      <c r="E111" s="172"/>
      <c r="F111" s="167"/>
      <c r="G111" s="168"/>
      <c r="H111" s="169"/>
      <c r="I111" s="170"/>
      <c r="J111" s="171"/>
      <c r="K111" s="173"/>
      <c r="L111" s="168"/>
      <c r="M111" s="169"/>
      <c r="N111" s="170"/>
      <c r="O111" s="174"/>
      <c r="P111" s="130" t="str">
        <f t="shared" si="1"/>
        <v/>
      </c>
      <c r="Q111" s="130"/>
      <c r="R111" s="79"/>
      <c r="S111" s="80"/>
      <c r="T111" s="98"/>
      <c r="U111" s="81"/>
    </row>
    <row r="112" spans="1:21" s="131" customFormat="1" ht="11.4">
      <c r="A112" s="169" t="s">
        <v>35</v>
      </c>
      <c r="B112" s="169" t="s">
        <v>70</v>
      </c>
      <c r="C112" s="172"/>
      <c r="D112" s="172"/>
      <c r="E112" s="172"/>
      <c r="F112" s="167"/>
      <c r="G112" s="168"/>
      <c r="H112" s="169"/>
      <c r="I112" s="170"/>
      <c r="J112" s="171"/>
      <c r="K112" s="173"/>
      <c r="L112" s="168"/>
      <c r="M112" s="169"/>
      <c r="N112" s="170"/>
      <c r="O112" s="174"/>
      <c r="P112" s="130" t="str">
        <f t="shared" si="1"/>
        <v/>
      </c>
      <c r="Q112" s="130"/>
      <c r="R112" s="79"/>
      <c r="S112" s="80"/>
      <c r="T112" s="98"/>
      <c r="U112" s="81"/>
    </row>
    <row r="113" spans="1:21" s="131" customFormat="1" ht="11.4">
      <c r="A113" s="169" t="s">
        <v>35</v>
      </c>
      <c r="B113" s="169" t="s">
        <v>71</v>
      </c>
      <c r="C113" s="172"/>
      <c r="D113" s="172"/>
      <c r="E113" s="172"/>
      <c r="F113" s="167"/>
      <c r="G113" s="168"/>
      <c r="H113" s="169"/>
      <c r="I113" s="170"/>
      <c r="J113" s="171"/>
      <c r="K113" s="173"/>
      <c r="L113" s="168"/>
      <c r="M113" s="169"/>
      <c r="N113" s="170"/>
      <c r="O113" s="174"/>
      <c r="P113" s="130" t="str">
        <f t="shared" si="1"/>
        <v/>
      </c>
      <c r="Q113" s="130"/>
      <c r="R113" s="79"/>
      <c r="S113" s="80"/>
      <c r="T113" s="98"/>
      <c r="U113" s="81"/>
    </row>
    <row r="114" spans="1:21" s="131" customFormat="1" ht="11.4">
      <c r="A114" s="169" t="s">
        <v>35</v>
      </c>
      <c r="B114" s="169" t="s">
        <v>71</v>
      </c>
      <c r="C114" s="172"/>
      <c r="D114" s="172"/>
      <c r="E114" s="172"/>
      <c r="F114" s="167"/>
      <c r="G114" s="168"/>
      <c r="H114" s="169"/>
      <c r="I114" s="170"/>
      <c r="J114" s="171"/>
      <c r="K114" s="173"/>
      <c r="L114" s="168"/>
      <c r="M114" s="169"/>
      <c r="N114" s="170"/>
      <c r="O114" s="174"/>
      <c r="P114" s="130" t="str">
        <f t="shared" si="1"/>
        <v/>
      </c>
      <c r="Q114" s="130"/>
      <c r="R114" s="79"/>
      <c r="S114" s="80"/>
      <c r="T114" s="98"/>
      <c r="U114" s="81"/>
    </row>
    <row r="115" spans="1:21" s="131" customFormat="1" ht="11.4">
      <c r="A115" s="169" t="s">
        <v>35</v>
      </c>
      <c r="B115" s="169" t="s">
        <v>71</v>
      </c>
      <c r="C115" s="172"/>
      <c r="D115" s="172"/>
      <c r="E115" s="172"/>
      <c r="F115" s="167"/>
      <c r="G115" s="168"/>
      <c r="H115" s="169"/>
      <c r="I115" s="170"/>
      <c r="J115" s="171"/>
      <c r="K115" s="173"/>
      <c r="L115" s="168"/>
      <c r="M115" s="169"/>
      <c r="N115" s="170"/>
      <c r="O115" s="174"/>
      <c r="P115" s="130" t="str">
        <f t="shared" si="1"/>
        <v/>
      </c>
      <c r="Q115" s="130"/>
      <c r="R115" s="79"/>
      <c r="S115" s="80"/>
      <c r="T115" s="98"/>
      <c r="U115" s="81"/>
    </row>
    <row r="116" spans="1:21" s="131" customFormat="1" ht="11.4">
      <c r="A116" s="169" t="s">
        <v>35</v>
      </c>
      <c r="B116" s="169" t="s">
        <v>72</v>
      </c>
      <c r="C116" s="172">
        <v>43840</v>
      </c>
      <c r="D116" s="172">
        <v>44113</v>
      </c>
      <c r="E116" s="172">
        <v>43840</v>
      </c>
      <c r="F116" s="167" t="s">
        <v>37</v>
      </c>
      <c r="G116" s="168">
        <v>85000000</v>
      </c>
      <c r="H116" s="169">
        <v>0</v>
      </c>
      <c r="I116" s="170">
        <v>3.5</v>
      </c>
      <c r="J116" s="171"/>
      <c r="K116" s="173" t="s">
        <v>37</v>
      </c>
      <c r="L116" s="168">
        <v>750000000</v>
      </c>
      <c r="M116" s="169">
        <v>0</v>
      </c>
      <c r="N116" s="170">
        <v>3.5</v>
      </c>
      <c r="O116" s="174"/>
      <c r="P116" s="130" t="str">
        <f t="shared" si="1"/>
        <v/>
      </c>
      <c r="Q116" s="130"/>
      <c r="R116" s="79"/>
      <c r="S116" s="80"/>
      <c r="T116" s="98"/>
      <c r="U116" s="81"/>
    </row>
    <row r="117" spans="1:21" s="131" customFormat="1" ht="11.4">
      <c r="A117" s="169" t="s">
        <v>35</v>
      </c>
      <c r="B117" s="169" t="s">
        <v>72</v>
      </c>
      <c r="C117" s="172">
        <v>44114</v>
      </c>
      <c r="D117" s="172">
        <v>44478</v>
      </c>
      <c r="E117" s="172">
        <v>44114</v>
      </c>
      <c r="F117" s="167" t="s">
        <v>37</v>
      </c>
      <c r="G117" s="168">
        <v>85000000</v>
      </c>
      <c r="H117" s="169">
        <v>0</v>
      </c>
      <c r="I117" s="170">
        <v>4</v>
      </c>
      <c r="J117" s="171"/>
      <c r="K117" s="173" t="s">
        <v>37</v>
      </c>
      <c r="L117" s="168">
        <v>750000000</v>
      </c>
      <c r="M117" s="169">
        <v>0</v>
      </c>
      <c r="N117" s="170">
        <v>4</v>
      </c>
      <c r="O117" s="174"/>
      <c r="P117" s="130" t="str">
        <f t="shared" si="1"/>
        <v/>
      </c>
      <c r="Q117" s="130"/>
      <c r="R117" s="79"/>
      <c r="S117" s="80"/>
      <c r="T117" s="98"/>
      <c r="U117" s="81"/>
    </row>
    <row r="118" spans="1:21" s="131" customFormat="1" ht="11.4">
      <c r="A118" s="169" t="s">
        <v>35</v>
      </c>
      <c r="B118" s="169" t="s">
        <v>72</v>
      </c>
      <c r="C118" s="172">
        <v>44479</v>
      </c>
      <c r="D118" s="172">
        <v>44843</v>
      </c>
      <c r="E118" s="172">
        <v>44479</v>
      </c>
      <c r="F118" s="167" t="s">
        <v>37</v>
      </c>
      <c r="G118" s="168">
        <v>85000000</v>
      </c>
      <c r="H118" s="169">
        <v>0</v>
      </c>
      <c r="I118" s="170">
        <v>4</v>
      </c>
      <c r="J118" s="171"/>
      <c r="K118" s="173" t="s">
        <v>37</v>
      </c>
      <c r="L118" s="168">
        <v>750000000</v>
      </c>
      <c r="M118" s="169">
        <v>0</v>
      </c>
      <c r="N118" s="170">
        <v>4</v>
      </c>
      <c r="O118" s="174"/>
      <c r="P118" s="130"/>
      <c r="Q118" s="130"/>
      <c r="R118" s="79"/>
      <c r="S118" s="80"/>
      <c r="T118" s="98"/>
      <c r="U118" s="81"/>
    </row>
    <row r="119" spans="1:21" s="131" customFormat="1" ht="11.4">
      <c r="A119" s="169" t="s">
        <v>35</v>
      </c>
      <c r="B119" s="169" t="s">
        <v>73</v>
      </c>
      <c r="C119" s="172"/>
      <c r="D119" s="172"/>
      <c r="E119" s="172"/>
      <c r="F119" s="167"/>
      <c r="G119" s="168"/>
      <c r="H119" s="169"/>
      <c r="I119" s="170"/>
      <c r="J119" s="171"/>
      <c r="K119" s="173"/>
      <c r="L119" s="168"/>
      <c r="M119" s="169"/>
      <c r="N119" s="170"/>
      <c r="O119" s="174"/>
      <c r="P119" s="130" t="str">
        <f t="shared" si="1"/>
        <v/>
      </c>
      <c r="Q119" s="130"/>
      <c r="R119" s="79"/>
      <c r="S119" s="80"/>
      <c r="T119" s="98"/>
      <c r="U119" s="81"/>
    </row>
    <row r="120" spans="1:21" s="131" customFormat="1" ht="11.4">
      <c r="A120" s="169" t="s">
        <v>35</v>
      </c>
      <c r="B120" s="169" t="s">
        <v>73</v>
      </c>
      <c r="C120" s="172"/>
      <c r="D120" s="172"/>
      <c r="E120" s="172"/>
      <c r="F120" s="167"/>
      <c r="G120" s="168"/>
      <c r="H120" s="169"/>
      <c r="I120" s="170"/>
      <c r="J120" s="171"/>
      <c r="K120" s="173"/>
      <c r="L120" s="168"/>
      <c r="M120" s="169"/>
      <c r="N120" s="170"/>
      <c r="O120" s="174"/>
      <c r="P120" s="130" t="str">
        <f t="shared" si="1"/>
        <v/>
      </c>
      <c r="Q120" s="130"/>
      <c r="R120" s="79"/>
      <c r="S120" s="80"/>
      <c r="T120" s="98"/>
      <c r="U120" s="81"/>
    </row>
    <row r="121" spans="1:21" s="131" customFormat="1" ht="11.4">
      <c r="A121" s="169" t="s">
        <v>35</v>
      </c>
      <c r="B121" s="169" t="s">
        <v>73</v>
      </c>
      <c r="C121" s="172">
        <v>44516</v>
      </c>
      <c r="D121" s="172">
        <v>44880</v>
      </c>
      <c r="E121" s="172">
        <v>44516</v>
      </c>
      <c r="F121" s="167" t="s">
        <v>37</v>
      </c>
      <c r="G121" s="168">
        <v>275000000</v>
      </c>
      <c r="H121" s="169">
        <v>0</v>
      </c>
      <c r="I121" s="170">
        <v>1.75</v>
      </c>
      <c r="J121" s="171"/>
      <c r="K121" s="173" t="s">
        <v>37</v>
      </c>
      <c r="L121" s="168">
        <v>1500000000</v>
      </c>
      <c r="M121" s="169">
        <v>0</v>
      </c>
      <c r="N121" s="170">
        <v>1.75</v>
      </c>
      <c r="O121" s="174"/>
      <c r="P121" s="130" t="str">
        <f t="shared" si="1"/>
        <v/>
      </c>
      <c r="Q121" s="130"/>
      <c r="R121" s="79"/>
      <c r="S121" s="80"/>
      <c r="T121" s="98"/>
      <c r="U121" s="81"/>
    </row>
    <row r="122" spans="1:21" s="131" customFormat="1" ht="11.4">
      <c r="A122" s="169" t="s">
        <v>35</v>
      </c>
      <c r="B122" s="169" t="s">
        <v>74</v>
      </c>
      <c r="C122" s="172"/>
      <c r="D122" s="172"/>
      <c r="E122" s="172"/>
      <c r="F122" s="167"/>
      <c r="G122" s="168"/>
      <c r="H122" s="169"/>
      <c r="I122" s="170"/>
      <c r="J122" s="171"/>
      <c r="K122" s="173"/>
      <c r="L122" s="168"/>
      <c r="M122" s="169"/>
      <c r="N122" s="170"/>
      <c r="O122" s="174"/>
      <c r="P122" s="130" t="str">
        <f t="shared" si="1"/>
        <v/>
      </c>
      <c r="Q122" s="130"/>
      <c r="R122" s="79"/>
      <c r="S122" s="80"/>
      <c r="T122" s="98"/>
      <c r="U122" s="81"/>
    </row>
    <row r="123" spans="1:21" s="131" customFormat="1" ht="11.4">
      <c r="A123" s="169" t="s">
        <v>35</v>
      </c>
      <c r="B123" s="169" t="s">
        <v>74</v>
      </c>
      <c r="C123" s="172"/>
      <c r="D123" s="172"/>
      <c r="E123" s="172"/>
      <c r="F123" s="167"/>
      <c r="G123" s="168"/>
      <c r="H123" s="169"/>
      <c r="I123" s="170"/>
      <c r="J123" s="171"/>
      <c r="K123" s="173"/>
      <c r="L123" s="168"/>
      <c r="M123" s="169"/>
      <c r="N123" s="170"/>
      <c r="O123" s="174"/>
      <c r="P123" s="130" t="str">
        <f t="shared" si="1"/>
        <v/>
      </c>
      <c r="Q123" s="130"/>
      <c r="R123" s="79"/>
      <c r="S123" s="80"/>
      <c r="T123" s="98"/>
      <c r="U123" s="81"/>
    </row>
    <row r="124" spans="1:21" s="131" customFormat="1" ht="11.4">
      <c r="A124" s="169" t="s">
        <v>35</v>
      </c>
      <c r="B124" s="169" t="s">
        <v>74</v>
      </c>
      <c r="C124" s="172"/>
      <c r="D124" s="172"/>
      <c r="E124" s="172"/>
      <c r="F124" s="167"/>
      <c r="G124" s="168"/>
      <c r="H124" s="169"/>
      <c r="I124" s="170"/>
      <c r="J124" s="171"/>
      <c r="K124" s="173"/>
      <c r="L124" s="168"/>
      <c r="M124" s="169"/>
      <c r="N124" s="170"/>
      <c r="O124" s="174"/>
      <c r="P124" s="130" t="str">
        <f t="shared" si="1"/>
        <v/>
      </c>
      <c r="Q124" s="130"/>
      <c r="R124" s="79"/>
      <c r="S124" s="80"/>
      <c r="T124" s="98"/>
      <c r="U124" s="81"/>
    </row>
    <row r="125" spans="1:21" s="131" customFormat="1" ht="11.4">
      <c r="A125" s="169" t="s">
        <v>35</v>
      </c>
      <c r="B125" s="169" t="s">
        <v>75</v>
      </c>
      <c r="C125" s="172"/>
      <c r="D125" s="172"/>
      <c r="E125" s="172"/>
      <c r="F125" s="167"/>
      <c r="G125" s="168"/>
      <c r="H125" s="169"/>
      <c r="I125" s="170"/>
      <c r="J125" s="171"/>
      <c r="K125" s="173"/>
      <c r="L125" s="168"/>
      <c r="M125" s="169"/>
      <c r="N125" s="170"/>
      <c r="O125" s="174"/>
      <c r="P125" s="130" t="str">
        <f t="shared" si="1"/>
        <v/>
      </c>
      <c r="Q125" s="130"/>
      <c r="R125" s="79"/>
      <c r="S125" s="80"/>
      <c r="T125" s="98"/>
      <c r="U125" s="81"/>
    </row>
    <row r="126" spans="1:21" s="131" customFormat="1" ht="11.4">
      <c r="A126" s="169" t="s">
        <v>35</v>
      </c>
      <c r="B126" s="169" t="s">
        <v>75</v>
      </c>
      <c r="C126" s="172"/>
      <c r="D126" s="172"/>
      <c r="E126" s="172"/>
      <c r="F126" s="167"/>
      <c r="G126" s="168"/>
      <c r="H126" s="169"/>
      <c r="I126" s="170"/>
      <c r="J126" s="171"/>
      <c r="K126" s="173"/>
      <c r="L126" s="168"/>
      <c r="M126" s="169"/>
      <c r="N126" s="170"/>
      <c r="O126" s="174"/>
      <c r="P126" s="130" t="str">
        <f t="shared" si="1"/>
        <v/>
      </c>
      <c r="Q126" s="130"/>
      <c r="R126" s="79"/>
      <c r="S126" s="80"/>
      <c r="T126" s="98"/>
      <c r="U126" s="81"/>
    </row>
    <row r="127" spans="1:21" s="131" customFormat="1" ht="11.4">
      <c r="A127" s="169" t="s">
        <v>35</v>
      </c>
      <c r="B127" s="169" t="s">
        <v>75</v>
      </c>
      <c r="C127" s="172"/>
      <c r="D127" s="172"/>
      <c r="E127" s="172"/>
      <c r="F127" s="167"/>
      <c r="G127" s="168"/>
      <c r="H127" s="169"/>
      <c r="I127" s="170"/>
      <c r="J127" s="171"/>
      <c r="K127" s="173"/>
      <c r="L127" s="168"/>
      <c r="M127" s="169"/>
      <c r="N127" s="170"/>
      <c r="O127" s="174"/>
      <c r="P127" s="130" t="str">
        <f t="shared" si="1"/>
        <v/>
      </c>
      <c r="Q127" s="130"/>
      <c r="R127" s="79"/>
      <c r="S127" s="80"/>
      <c r="T127" s="98"/>
      <c r="U127" s="81"/>
    </row>
    <row r="128" spans="1:21" s="131" customFormat="1" ht="11.4">
      <c r="A128" s="169" t="s">
        <v>35</v>
      </c>
      <c r="B128" s="169" t="s">
        <v>76</v>
      </c>
      <c r="C128" s="172"/>
      <c r="D128" s="172"/>
      <c r="E128" s="172"/>
      <c r="F128" s="167"/>
      <c r="G128" s="168"/>
      <c r="H128" s="169"/>
      <c r="I128" s="170"/>
      <c r="J128" s="171"/>
      <c r="K128" s="173"/>
      <c r="L128" s="168"/>
      <c r="M128" s="169"/>
      <c r="N128" s="170"/>
      <c r="O128" s="174"/>
      <c r="P128" s="130" t="str">
        <f t="shared" si="1"/>
        <v/>
      </c>
      <c r="Q128" s="130"/>
      <c r="R128" s="79"/>
      <c r="S128" s="80"/>
      <c r="T128" s="98"/>
      <c r="U128" s="81"/>
    </row>
    <row r="129" spans="1:21" s="131" customFormat="1" ht="11.4">
      <c r="A129" s="169" t="s">
        <v>35</v>
      </c>
      <c r="B129" s="169" t="s">
        <v>76</v>
      </c>
      <c r="C129" s="172"/>
      <c r="D129" s="172"/>
      <c r="E129" s="172"/>
      <c r="F129" s="167"/>
      <c r="G129" s="168"/>
      <c r="H129" s="169"/>
      <c r="I129" s="170"/>
      <c r="J129" s="171"/>
      <c r="K129" s="173"/>
      <c r="L129" s="168"/>
      <c r="M129" s="169"/>
      <c r="N129" s="170"/>
      <c r="O129" s="174"/>
      <c r="P129" s="130" t="str">
        <f t="shared" si="1"/>
        <v/>
      </c>
      <c r="Q129" s="130"/>
      <c r="R129" s="79"/>
      <c r="S129" s="80"/>
      <c r="T129" s="98"/>
      <c r="U129" s="81"/>
    </row>
    <row r="130" spans="1:21" s="131" customFormat="1" ht="11.4">
      <c r="A130" s="169" t="s">
        <v>35</v>
      </c>
      <c r="B130" s="169" t="s">
        <v>76</v>
      </c>
      <c r="C130" s="172"/>
      <c r="D130" s="172"/>
      <c r="E130" s="172"/>
      <c r="F130" s="167"/>
      <c r="G130" s="168"/>
      <c r="H130" s="169"/>
      <c r="I130" s="170"/>
      <c r="J130" s="171"/>
      <c r="K130" s="173"/>
      <c r="L130" s="168"/>
      <c r="M130" s="169"/>
      <c r="N130" s="170"/>
      <c r="O130" s="174"/>
      <c r="P130" s="130" t="str">
        <f t="shared" si="1"/>
        <v/>
      </c>
      <c r="Q130" s="130"/>
      <c r="R130" s="79"/>
      <c r="S130" s="80"/>
      <c r="T130" s="98"/>
      <c r="U130" s="81"/>
    </row>
    <row r="131" spans="1:21" s="131" customFormat="1" ht="11.4">
      <c r="A131" s="169" t="s">
        <v>35</v>
      </c>
      <c r="B131" s="169" t="s">
        <v>77</v>
      </c>
      <c r="C131" s="172"/>
      <c r="D131" s="172"/>
      <c r="E131" s="172"/>
      <c r="F131" s="167"/>
      <c r="G131" s="168"/>
      <c r="H131" s="169"/>
      <c r="I131" s="170"/>
      <c r="J131" s="171"/>
      <c r="K131" s="173"/>
      <c r="L131" s="168"/>
      <c r="M131" s="169"/>
      <c r="N131" s="170"/>
      <c r="O131" s="174"/>
      <c r="P131" s="130" t="str">
        <f t="shared" si="1"/>
        <v/>
      </c>
      <c r="Q131" s="130"/>
      <c r="R131" s="79"/>
      <c r="S131" s="80"/>
      <c r="T131" s="98"/>
      <c r="U131" s="81"/>
    </row>
    <row r="132" spans="1:21" s="131" customFormat="1" ht="11.4">
      <c r="A132" s="169" t="s">
        <v>35</v>
      </c>
      <c r="B132" s="169" t="s">
        <v>77</v>
      </c>
      <c r="C132" s="172"/>
      <c r="D132" s="172"/>
      <c r="E132" s="172"/>
      <c r="F132" s="167"/>
      <c r="G132" s="168"/>
      <c r="H132" s="169"/>
      <c r="I132" s="170"/>
      <c r="J132" s="171"/>
      <c r="K132" s="173"/>
      <c r="L132" s="168"/>
      <c r="M132" s="169"/>
      <c r="N132" s="170"/>
      <c r="O132" s="174"/>
      <c r="P132" s="130" t="str">
        <f t="shared" si="1"/>
        <v/>
      </c>
      <c r="Q132" s="130"/>
      <c r="R132" s="79"/>
      <c r="S132" s="80"/>
      <c r="T132" s="98"/>
      <c r="U132" s="81"/>
    </row>
    <row r="133" spans="1:21" s="131" customFormat="1" ht="11.4">
      <c r="A133" s="169" t="s">
        <v>35</v>
      </c>
      <c r="B133" s="169" t="s">
        <v>77</v>
      </c>
      <c r="C133" s="172"/>
      <c r="D133" s="172"/>
      <c r="E133" s="172"/>
      <c r="F133" s="167"/>
      <c r="G133" s="168"/>
      <c r="H133" s="169"/>
      <c r="I133" s="170"/>
      <c r="J133" s="171"/>
      <c r="K133" s="173"/>
      <c r="L133" s="168"/>
      <c r="M133" s="169"/>
      <c r="N133" s="170"/>
      <c r="O133" s="174"/>
      <c r="P133" s="130" t="str">
        <f t="shared" si="1"/>
        <v/>
      </c>
      <c r="Q133" s="130"/>
      <c r="R133" s="79"/>
      <c r="S133" s="80"/>
      <c r="T133" s="98"/>
      <c r="U133" s="81"/>
    </row>
    <row r="134" spans="1:21" s="131" customFormat="1" ht="11.4">
      <c r="A134" s="169" t="s">
        <v>35</v>
      </c>
      <c r="B134" s="169" t="s">
        <v>78</v>
      </c>
      <c r="C134" s="172"/>
      <c r="D134" s="172"/>
      <c r="E134" s="172"/>
      <c r="F134" s="167"/>
      <c r="G134" s="168"/>
      <c r="H134" s="169"/>
      <c r="I134" s="170"/>
      <c r="J134" s="171"/>
      <c r="K134" s="173"/>
      <c r="L134" s="168"/>
      <c r="M134" s="169"/>
      <c r="N134" s="170"/>
      <c r="O134" s="174"/>
      <c r="P134" s="130" t="str">
        <f t="shared" si="1"/>
        <v/>
      </c>
      <c r="Q134" s="130"/>
      <c r="R134" s="79"/>
      <c r="S134" s="80"/>
      <c r="T134" s="98"/>
      <c r="U134" s="81"/>
    </row>
    <row r="135" spans="1:21" s="131" customFormat="1" ht="11.4">
      <c r="A135" s="169" t="s">
        <v>35</v>
      </c>
      <c r="B135" s="169" t="s">
        <v>78</v>
      </c>
      <c r="C135" s="172"/>
      <c r="D135" s="172"/>
      <c r="E135" s="172"/>
      <c r="F135" s="167"/>
      <c r="G135" s="168"/>
      <c r="H135" s="169"/>
      <c r="I135" s="170"/>
      <c r="J135" s="171"/>
      <c r="K135" s="173"/>
      <c r="L135" s="168"/>
      <c r="M135" s="169"/>
      <c r="N135" s="170"/>
      <c r="O135" s="174"/>
      <c r="P135" s="130" t="str">
        <f t="shared" si="1"/>
        <v/>
      </c>
      <c r="Q135" s="130"/>
      <c r="R135" s="79"/>
      <c r="S135" s="80"/>
      <c r="T135" s="98"/>
      <c r="U135" s="81"/>
    </row>
    <row r="136" spans="1:21" s="131" customFormat="1" ht="11.4">
      <c r="A136" s="169" t="s">
        <v>35</v>
      </c>
      <c r="B136" s="169" t="s">
        <v>78</v>
      </c>
      <c r="C136" s="172"/>
      <c r="D136" s="172"/>
      <c r="E136" s="172"/>
      <c r="F136" s="167"/>
      <c r="G136" s="168"/>
      <c r="H136" s="169"/>
      <c r="I136" s="170"/>
      <c r="J136" s="171"/>
      <c r="K136" s="173"/>
      <c r="L136" s="168"/>
      <c r="M136" s="169"/>
      <c r="N136" s="170"/>
      <c r="O136" s="174"/>
      <c r="P136" s="130" t="str">
        <f t="shared" si="1"/>
        <v/>
      </c>
      <c r="Q136" s="130"/>
      <c r="R136" s="79"/>
      <c r="S136" s="80"/>
      <c r="T136" s="98"/>
      <c r="U136" s="81"/>
    </row>
    <row r="137" spans="1:21" s="131" customFormat="1" ht="11.4">
      <c r="A137" s="169" t="s">
        <v>35</v>
      </c>
      <c r="B137" s="169" t="s">
        <v>79</v>
      </c>
      <c r="C137" s="172"/>
      <c r="D137" s="172"/>
      <c r="E137" s="172"/>
      <c r="F137" s="167"/>
      <c r="G137" s="168"/>
      <c r="H137" s="169"/>
      <c r="I137" s="170"/>
      <c r="J137" s="171"/>
      <c r="K137" s="173"/>
      <c r="L137" s="168"/>
      <c r="M137" s="169"/>
      <c r="N137" s="170"/>
      <c r="O137" s="174"/>
      <c r="P137" s="130" t="str">
        <f t="shared" si="1"/>
        <v/>
      </c>
      <c r="Q137" s="130"/>
      <c r="R137" s="79"/>
      <c r="S137" s="80"/>
      <c r="T137" s="98"/>
      <c r="U137" s="81"/>
    </row>
    <row r="138" spans="1:21" s="131" customFormat="1" ht="11.4">
      <c r="A138" s="169" t="s">
        <v>35</v>
      </c>
      <c r="B138" s="169" t="s">
        <v>79</v>
      </c>
      <c r="C138" s="172"/>
      <c r="D138" s="172"/>
      <c r="E138" s="172"/>
      <c r="F138" s="167"/>
      <c r="G138" s="168"/>
      <c r="H138" s="169"/>
      <c r="I138" s="170"/>
      <c r="J138" s="171"/>
      <c r="K138" s="173"/>
      <c r="L138" s="168"/>
      <c r="M138" s="169"/>
      <c r="N138" s="170"/>
      <c r="O138" s="174"/>
      <c r="P138" s="130" t="str">
        <f t="shared" si="1"/>
        <v/>
      </c>
      <c r="Q138" s="130"/>
      <c r="R138" s="79"/>
      <c r="S138" s="80"/>
      <c r="T138" s="98"/>
      <c r="U138" s="81"/>
    </row>
    <row r="139" spans="1:21" s="131" customFormat="1" ht="11.4">
      <c r="A139" s="169" t="s">
        <v>35</v>
      </c>
      <c r="B139" s="169" t="s">
        <v>79</v>
      </c>
      <c r="C139" s="172"/>
      <c r="D139" s="172"/>
      <c r="E139" s="172"/>
      <c r="F139" s="167"/>
      <c r="G139" s="168"/>
      <c r="H139" s="169"/>
      <c r="I139" s="170"/>
      <c r="J139" s="171"/>
      <c r="K139" s="173"/>
      <c r="L139" s="168"/>
      <c r="M139" s="169"/>
      <c r="N139" s="170"/>
      <c r="O139" s="174"/>
      <c r="P139" s="130" t="str">
        <f t="shared" si="1"/>
        <v/>
      </c>
      <c r="Q139" s="130"/>
      <c r="R139" s="79"/>
      <c r="S139" s="80"/>
      <c r="T139" s="98"/>
      <c r="U139" s="81"/>
    </row>
    <row r="140" spans="1:21" s="131" customFormat="1" ht="11.4">
      <c r="A140" s="169" t="s">
        <v>35</v>
      </c>
      <c r="B140" s="169" t="s">
        <v>82</v>
      </c>
      <c r="C140" s="172"/>
      <c r="D140" s="172"/>
      <c r="E140" s="172"/>
      <c r="F140" s="167"/>
      <c r="G140" s="168"/>
      <c r="H140" s="169"/>
      <c r="I140" s="170"/>
      <c r="J140" s="171"/>
      <c r="K140" s="173"/>
      <c r="L140" s="168"/>
      <c r="M140" s="169"/>
      <c r="N140" s="170"/>
      <c r="O140" s="174"/>
      <c r="P140" s="130" t="str">
        <f t="shared" si="1"/>
        <v/>
      </c>
      <c r="Q140" s="130"/>
      <c r="R140" s="79"/>
      <c r="S140" s="80"/>
      <c r="T140" s="98"/>
      <c r="U140" s="81"/>
    </row>
    <row r="141" spans="1:21" s="131" customFormat="1" ht="11.4">
      <c r="A141" s="169" t="s">
        <v>35</v>
      </c>
      <c r="B141" s="169" t="s">
        <v>82</v>
      </c>
      <c r="C141" s="172"/>
      <c r="D141" s="172"/>
      <c r="E141" s="172"/>
      <c r="F141" s="167"/>
      <c r="G141" s="168"/>
      <c r="H141" s="169"/>
      <c r="I141" s="170"/>
      <c r="J141" s="171"/>
      <c r="K141" s="173"/>
      <c r="L141" s="168"/>
      <c r="M141" s="169"/>
      <c r="N141" s="170"/>
      <c r="O141" s="174"/>
      <c r="P141" s="130" t="str">
        <f t="shared" ref="P141:P204" si="2">IFERROR(MATCH($B141,AN_List,FALSE),"")</f>
        <v/>
      </c>
      <c r="Q141" s="130"/>
      <c r="R141" s="79"/>
      <c r="S141" s="80"/>
      <c r="T141" s="98"/>
      <c r="U141" s="81"/>
    </row>
    <row r="142" spans="1:21" s="131" customFormat="1" ht="11.4">
      <c r="A142" s="169" t="s">
        <v>35</v>
      </c>
      <c r="B142" s="169" t="s">
        <v>82</v>
      </c>
      <c r="C142" s="172"/>
      <c r="D142" s="172"/>
      <c r="E142" s="172"/>
      <c r="F142" s="167"/>
      <c r="G142" s="168"/>
      <c r="H142" s="169"/>
      <c r="I142" s="170"/>
      <c r="J142" s="171"/>
      <c r="K142" s="173"/>
      <c r="L142" s="168"/>
      <c r="M142" s="169"/>
      <c r="N142" s="170"/>
      <c r="O142" s="174"/>
      <c r="P142" s="130" t="str">
        <f t="shared" si="2"/>
        <v/>
      </c>
      <c r="Q142" s="130"/>
      <c r="R142" s="79"/>
      <c r="S142" s="80"/>
      <c r="T142" s="98"/>
      <c r="U142" s="81"/>
    </row>
    <row r="143" spans="1:21" s="131" customFormat="1" ht="11.4">
      <c r="A143" s="169" t="s">
        <v>35</v>
      </c>
      <c r="B143" s="169" t="s">
        <v>83</v>
      </c>
      <c r="C143" s="172">
        <v>43829</v>
      </c>
      <c r="D143" s="172">
        <v>44194</v>
      </c>
      <c r="E143" s="172">
        <v>43829</v>
      </c>
      <c r="F143" s="167" t="s">
        <v>37</v>
      </c>
      <c r="G143" s="168">
        <v>250000000</v>
      </c>
      <c r="H143" s="169">
        <v>0</v>
      </c>
      <c r="I143" s="170">
        <v>3</v>
      </c>
      <c r="J143" s="171"/>
      <c r="K143" s="173" t="s">
        <v>37</v>
      </c>
      <c r="L143" s="168">
        <v>1000000000</v>
      </c>
      <c r="M143" s="169">
        <v>0</v>
      </c>
      <c r="N143" s="170">
        <v>3</v>
      </c>
      <c r="O143" s="174"/>
      <c r="P143" s="130" t="str">
        <f t="shared" si="2"/>
        <v/>
      </c>
      <c r="Q143" s="130"/>
      <c r="R143" s="79"/>
      <c r="S143" s="80"/>
      <c r="T143" s="98"/>
      <c r="U143" s="81"/>
    </row>
    <row r="144" spans="1:21" s="131" customFormat="1" ht="11.4">
      <c r="A144" s="205" t="s">
        <v>35</v>
      </c>
      <c r="B144" s="205" t="s">
        <v>83</v>
      </c>
      <c r="C144" s="206">
        <v>44195</v>
      </c>
      <c r="D144" s="206">
        <v>44559</v>
      </c>
      <c r="E144" s="206">
        <v>44195</v>
      </c>
      <c r="F144" s="207" t="s">
        <v>37</v>
      </c>
      <c r="G144" s="208">
        <v>170000000</v>
      </c>
      <c r="H144" s="205">
        <v>0</v>
      </c>
      <c r="I144" s="209">
        <v>3</v>
      </c>
      <c r="J144" s="210"/>
      <c r="K144" s="211" t="s">
        <v>37</v>
      </c>
      <c r="L144" s="208">
        <v>750000000</v>
      </c>
      <c r="M144" s="205">
        <v>0</v>
      </c>
      <c r="N144" s="209">
        <v>3</v>
      </c>
      <c r="O144" s="212"/>
      <c r="P144" s="130"/>
      <c r="Q144" s="130"/>
      <c r="R144" s="79"/>
      <c r="S144" s="80"/>
      <c r="T144" s="98"/>
      <c r="U144" s="81"/>
    </row>
    <row r="145" spans="1:21" s="131" customFormat="1" ht="11.4">
      <c r="A145" s="205" t="s">
        <v>35</v>
      </c>
      <c r="B145" s="205" t="s">
        <v>83</v>
      </c>
      <c r="C145" s="206">
        <v>44560</v>
      </c>
      <c r="D145" s="206">
        <v>44924</v>
      </c>
      <c r="E145" s="206">
        <v>44560</v>
      </c>
      <c r="F145" s="207"/>
      <c r="G145" s="208">
        <v>170000000</v>
      </c>
      <c r="H145" s="205">
        <v>0</v>
      </c>
      <c r="I145" s="209">
        <v>3</v>
      </c>
      <c r="J145" s="210"/>
      <c r="K145" s="211"/>
      <c r="L145" s="208">
        <v>750000000</v>
      </c>
      <c r="M145" s="205">
        <v>0</v>
      </c>
      <c r="N145" s="209">
        <v>3</v>
      </c>
      <c r="O145" s="212"/>
      <c r="P145" s="130"/>
      <c r="Q145" s="130"/>
      <c r="R145" s="79"/>
      <c r="S145" s="80"/>
      <c r="T145" s="98"/>
      <c r="U145" s="81"/>
    </row>
    <row r="146" spans="1:21" s="131" customFormat="1" ht="11.4">
      <c r="A146" s="169" t="s">
        <v>35</v>
      </c>
      <c r="B146" s="169" t="s">
        <v>84</v>
      </c>
      <c r="C146" s="172"/>
      <c r="D146" s="172"/>
      <c r="E146" s="172"/>
      <c r="F146" s="167"/>
      <c r="G146" s="168"/>
      <c r="H146" s="169"/>
      <c r="I146" s="170"/>
      <c r="J146" s="171"/>
      <c r="K146" s="173"/>
      <c r="L146" s="168"/>
      <c r="M146" s="169"/>
      <c r="N146" s="170"/>
      <c r="O146" s="174"/>
      <c r="P146" s="130" t="str">
        <f t="shared" si="2"/>
        <v/>
      </c>
      <c r="Q146" s="130"/>
      <c r="R146" s="79"/>
      <c r="S146" s="80"/>
      <c r="T146" s="98"/>
      <c r="U146" s="81"/>
    </row>
    <row r="147" spans="1:21" s="131" customFormat="1" ht="11.4">
      <c r="A147" s="169" t="s">
        <v>35</v>
      </c>
      <c r="B147" s="169" t="s">
        <v>84</v>
      </c>
      <c r="C147" s="172"/>
      <c r="D147" s="172"/>
      <c r="E147" s="172"/>
      <c r="F147" s="167"/>
      <c r="G147" s="168"/>
      <c r="H147" s="169"/>
      <c r="I147" s="170"/>
      <c r="J147" s="171"/>
      <c r="K147" s="173"/>
      <c r="L147" s="168"/>
      <c r="M147" s="169"/>
      <c r="N147" s="170"/>
      <c r="O147" s="174"/>
      <c r="P147" s="130" t="str">
        <f t="shared" si="2"/>
        <v/>
      </c>
      <c r="Q147" s="130"/>
      <c r="R147" s="79"/>
      <c r="S147" s="80"/>
      <c r="T147" s="98"/>
      <c r="U147" s="81"/>
    </row>
    <row r="148" spans="1:21" s="131" customFormat="1" ht="11.4">
      <c r="A148" s="169" t="s">
        <v>35</v>
      </c>
      <c r="B148" s="169" t="s">
        <v>84</v>
      </c>
      <c r="C148" s="172"/>
      <c r="D148" s="172"/>
      <c r="E148" s="172"/>
      <c r="F148" s="167"/>
      <c r="G148" s="168"/>
      <c r="H148" s="169"/>
      <c r="I148" s="170"/>
      <c r="J148" s="171"/>
      <c r="K148" s="173"/>
      <c r="L148" s="168"/>
      <c r="M148" s="169"/>
      <c r="N148" s="170"/>
      <c r="O148" s="174"/>
      <c r="P148" s="130" t="str">
        <f t="shared" si="2"/>
        <v/>
      </c>
      <c r="Q148" s="130"/>
      <c r="R148" s="79"/>
      <c r="S148" s="80"/>
      <c r="T148" s="98"/>
      <c r="U148" s="81"/>
    </row>
    <row r="149" spans="1:21" s="131" customFormat="1" ht="11.4">
      <c r="A149" s="169" t="s">
        <v>35</v>
      </c>
      <c r="B149" s="169" t="s">
        <v>85</v>
      </c>
      <c r="C149" s="172"/>
      <c r="D149" s="172"/>
      <c r="E149" s="172"/>
      <c r="F149" s="167"/>
      <c r="G149" s="168"/>
      <c r="H149" s="169"/>
      <c r="I149" s="170"/>
      <c r="J149" s="171"/>
      <c r="K149" s="173"/>
      <c r="L149" s="168"/>
      <c r="M149" s="169"/>
      <c r="N149" s="170"/>
      <c r="O149" s="174"/>
      <c r="P149" s="130" t="str">
        <f t="shared" si="2"/>
        <v/>
      </c>
      <c r="Q149" s="130"/>
      <c r="R149" s="79"/>
      <c r="S149" s="80"/>
      <c r="T149" s="98"/>
      <c r="U149" s="81"/>
    </row>
    <row r="150" spans="1:21" s="131" customFormat="1" ht="11.4">
      <c r="A150" s="169" t="s">
        <v>35</v>
      </c>
      <c r="B150" s="169" t="s">
        <v>85</v>
      </c>
      <c r="C150" s="172"/>
      <c r="D150" s="172"/>
      <c r="E150" s="172"/>
      <c r="F150" s="167"/>
      <c r="G150" s="168"/>
      <c r="H150" s="169"/>
      <c r="I150" s="170"/>
      <c r="J150" s="171"/>
      <c r="K150" s="173"/>
      <c r="L150" s="168"/>
      <c r="M150" s="169"/>
      <c r="N150" s="170"/>
      <c r="O150" s="174"/>
      <c r="P150" s="130" t="str">
        <f t="shared" si="2"/>
        <v/>
      </c>
      <c r="Q150" s="130"/>
      <c r="R150" s="79"/>
      <c r="S150" s="80"/>
      <c r="T150" s="98"/>
      <c r="U150" s="81"/>
    </row>
    <row r="151" spans="1:21" s="131" customFormat="1" ht="11.4">
      <c r="A151" s="169" t="s">
        <v>35</v>
      </c>
      <c r="B151" s="169" t="s">
        <v>85</v>
      </c>
      <c r="C151" s="172"/>
      <c r="D151" s="172"/>
      <c r="E151" s="172"/>
      <c r="F151" s="167"/>
      <c r="G151" s="168"/>
      <c r="H151" s="169"/>
      <c r="I151" s="170"/>
      <c r="J151" s="171"/>
      <c r="K151" s="173"/>
      <c r="L151" s="168"/>
      <c r="M151" s="169"/>
      <c r="N151" s="170"/>
      <c r="O151" s="174"/>
      <c r="P151" s="130" t="str">
        <f t="shared" si="2"/>
        <v/>
      </c>
      <c r="Q151" s="130"/>
      <c r="R151" s="79"/>
      <c r="S151" s="80"/>
      <c r="T151" s="98"/>
      <c r="U151" s="81"/>
    </row>
    <row r="152" spans="1:21" s="131" customFormat="1" ht="11.4">
      <c r="A152" s="169" t="s">
        <v>35</v>
      </c>
      <c r="B152" s="169" t="s">
        <v>86</v>
      </c>
      <c r="C152" s="172"/>
      <c r="D152" s="172"/>
      <c r="E152" s="172"/>
      <c r="F152" s="167"/>
      <c r="G152" s="168"/>
      <c r="H152" s="169"/>
      <c r="I152" s="170"/>
      <c r="J152" s="171"/>
      <c r="K152" s="173"/>
      <c r="L152" s="168"/>
      <c r="M152" s="169"/>
      <c r="N152" s="170"/>
      <c r="O152" s="174"/>
      <c r="P152" s="130" t="str">
        <f t="shared" si="2"/>
        <v/>
      </c>
      <c r="Q152" s="130"/>
      <c r="R152" s="79"/>
      <c r="S152" s="80"/>
      <c r="T152" s="98"/>
      <c r="U152" s="81"/>
    </row>
    <row r="153" spans="1:21" s="131" customFormat="1" ht="11.4">
      <c r="A153" s="169" t="s">
        <v>35</v>
      </c>
      <c r="B153" s="169" t="s">
        <v>86</v>
      </c>
      <c r="C153" s="172"/>
      <c r="D153" s="172"/>
      <c r="E153" s="172"/>
      <c r="F153" s="167"/>
      <c r="G153" s="168"/>
      <c r="H153" s="169"/>
      <c r="I153" s="170"/>
      <c r="J153" s="171"/>
      <c r="K153" s="173"/>
      <c r="L153" s="168"/>
      <c r="M153" s="169"/>
      <c r="N153" s="170"/>
      <c r="O153" s="174"/>
      <c r="P153" s="130" t="str">
        <f t="shared" si="2"/>
        <v/>
      </c>
      <c r="Q153" s="130"/>
      <c r="R153" s="79"/>
      <c r="S153" s="80"/>
      <c r="T153" s="98"/>
      <c r="U153" s="81"/>
    </row>
    <row r="154" spans="1:21" s="131" customFormat="1" ht="11.4">
      <c r="A154" s="169" t="s">
        <v>35</v>
      </c>
      <c r="B154" s="169" t="s">
        <v>86</v>
      </c>
      <c r="C154" s="172"/>
      <c r="D154" s="172"/>
      <c r="E154" s="172"/>
      <c r="F154" s="167"/>
      <c r="G154" s="168"/>
      <c r="H154" s="169"/>
      <c r="I154" s="170"/>
      <c r="J154" s="171"/>
      <c r="K154" s="173"/>
      <c r="L154" s="168"/>
      <c r="M154" s="169"/>
      <c r="N154" s="170"/>
      <c r="O154" s="174"/>
      <c r="P154" s="130" t="str">
        <f t="shared" si="2"/>
        <v/>
      </c>
      <c r="Q154" s="130"/>
      <c r="R154" s="79"/>
      <c r="S154" s="80"/>
      <c r="T154" s="98"/>
      <c r="U154" s="81"/>
    </row>
    <row r="155" spans="1:21" s="131" customFormat="1" ht="11.4">
      <c r="A155" s="169" t="s">
        <v>35</v>
      </c>
      <c r="B155" s="169" t="s">
        <v>87</v>
      </c>
      <c r="C155" s="172"/>
      <c r="D155" s="172"/>
      <c r="E155" s="172"/>
      <c r="F155" s="167"/>
      <c r="G155" s="168"/>
      <c r="H155" s="169"/>
      <c r="I155" s="170"/>
      <c r="J155" s="171"/>
      <c r="K155" s="173"/>
      <c r="L155" s="168"/>
      <c r="M155" s="169"/>
      <c r="N155" s="170"/>
      <c r="O155" s="174"/>
      <c r="P155" s="130" t="str">
        <f t="shared" si="2"/>
        <v/>
      </c>
      <c r="Q155" s="130"/>
      <c r="R155" s="79"/>
      <c r="S155" s="80"/>
      <c r="T155" s="98"/>
      <c r="U155" s="81"/>
    </row>
    <row r="156" spans="1:21" s="131" customFormat="1" ht="11.4">
      <c r="A156" s="169" t="s">
        <v>35</v>
      </c>
      <c r="B156" s="169" t="s">
        <v>87</v>
      </c>
      <c r="C156" s="172"/>
      <c r="D156" s="172"/>
      <c r="E156" s="172"/>
      <c r="F156" s="167"/>
      <c r="G156" s="168"/>
      <c r="H156" s="169"/>
      <c r="I156" s="170"/>
      <c r="J156" s="171"/>
      <c r="K156" s="173"/>
      <c r="L156" s="168"/>
      <c r="M156" s="169"/>
      <c r="N156" s="170"/>
      <c r="O156" s="174"/>
      <c r="P156" s="130" t="str">
        <f t="shared" si="2"/>
        <v/>
      </c>
      <c r="Q156" s="130"/>
      <c r="R156" s="79"/>
      <c r="S156" s="80"/>
      <c r="T156" s="98"/>
      <c r="U156" s="81"/>
    </row>
    <row r="157" spans="1:21" s="131" customFormat="1" ht="11.4">
      <c r="A157" s="169" t="s">
        <v>35</v>
      </c>
      <c r="B157" s="169" t="s">
        <v>87</v>
      </c>
      <c r="C157" s="172"/>
      <c r="D157" s="172"/>
      <c r="E157" s="172"/>
      <c r="F157" s="167"/>
      <c r="G157" s="168"/>
      <c r="H157" s="169"/>
      <c r="I157" s="170"/>
      <c r="J157" s="171"/>
      <c r="K157" s="173"/>
      <c r="L157" s="168"/>
      <c r="M157" s="169"/>
      <c r="N157" s="170"/>
      <c r="O157" s="174"/>
      <c r="P157" s="130" t="str">
        <f t="shared" si="2"/>
        <v/>
      </c>
      <c r="Q157" s="130"/>
      <c r="R157" s="79"/>
      <c r="S157" s="80"/>
      <c r="T157" s="98"/>
      <c r="U157" s="81"/>
    </row>
    <row r="158" spans="1:21" s="131" customFormat="1" ht="11.4">
      <c r="A158" s="169" t="s">
        <v>35</v>
      </c>
      <c r="B158" s="169" t="s">
        <v>88</v>
      </c>
      <c r="C158" s="172">
        <v>43800</v>
      </c>
      <c r="D158" s="172">
        <v>44165</v>
      </c>
      <c r="E158" s="172">
        <v>43800</v>
      </c>
      <c r="F158" s="167" t="s">
        <v>37</v>
      </c>
      <c r="G158" s="168">
        <v>195000000</v>
      </c>
      <c r="H158" s="169">
        <v>0</v>
      </c>
      <c r="I158" s="170">
        <v>3.5</v>
      </c>
      <c r="J158" s="171"/>
      <c r="K158" s="173" t="s">
        <v>37</v>
      </c>
      <c r="L158" s="168">
        <v>1250000000</v>
      </c>
      <c r="M158" s="169">
        <v>0</v>
      </c>
      <c r="N158" s="170">
        <v>3.5</v>
      </c>
      <c r="O158" s="174"/>
      <c r="P158" s="130" t="str">
        <f t="shared" si="2"/>
        <v/>
      </c>
      <c r="Q158" s="130"/>
      <c r="R158" s="79"/>
      <c r="S158" s="80"/>
      <c r="T158" s="98"/>
      <c r="U158" s="81"/>
    </row>
    <row r="159" spans="1:21" s="131" customFormat="1" ht="11.4">
      <c r="A159" s="169" t="s">
        <v>35</v>
      </c>
      <c r="B159" s="169" t="s">
        <v>88</v>
      </c>
      <c r="C159" s="172">
        <v>44166</v>
      </c>
      <c r="D159" s="172">
        <v>44530</v>
      </c>
      <c r="E159" s="172">
        <v>44166</v>
      </c>
      <c r="F159" s="167" t="s">
        <v>37</v>
      </c>
      <c r="G159" s="168">
        <v>195000000</v>
      </c>
      <c r="H159" s="169">
        <v>0</v>
      </c>
      <c r="I159" s="170">
        <v>3.5</v>
      </c>
      <c r="J159" s="171"/>
      <c r="K159" s="173" t="s">
        <v>37</v>
      </c>
      <c r="L159" s="168">
        <v>1250000000</v>
      </c>
      <c r="M159" s="169">
        <v>0</v>
      </c>
      <c r="N159" s="170">
        <v>3.5</v>
      </c>
      <c r="O159" s="174"/>
      <c r="P159" s="130" t="str">
        <f t="shared" si="2"/>
        <v/>
      </c>
      <c r="Q159" s="130"/>
      <c r="R159" s="79"/>
      <c r="S159" s="80"/>
      <c r="T159" s="98"/>
      <c r="U159" s="81"/>
    </row>
    <row r="160" spans="1:21" s="131" customFormat="1" ht="11.4">
      <c r="A160" s="169" t="s">
        <v>35</v>
      </c>
      <c r="B160" s="169" t="s">
        <v>88</v>
      </c>
      <c r="C160" s="172">
        <v>44531</v>
      </c>
      <c r="D160" s="172">
        <v>44895</v>
      </c>
      <c r="E160" s="172">
        <v>44531</v>
      </c>
      <c r="F160" s="167" t="s">
        <v>37</v>
      </c>
      <c r="G160" s="168">
        <v>195000000</v>
      </c>
      <c r="H160" s="169"/>
      <c r="I160" s="170">
        <v>3.5</v>
      </c>
      <c r="J160" s="171"/>
      <c r="K160" s="173" t="s">
        <v>37</v>
      </c>
      <c r="L160" s="168">
        <v>1250000000</v>
      </c>
      <c r="M160" s="169">
        <v>0</v>
      </c>
      <c r="N160" s="170">
        <v>3.5</v>
      </c>
      <c r="O160" s="174"/>
      <c r="P160" s="130"/>
      <c r="Q160" s="130"/>
      <c r="R160" s="79"/>
      <c r="S160" s="80"/>
      <c r="T160" s="98"/>
      <c r="U160" s="81"/>
    </row>
    <row r="161" spans="1:21" s="131" customFormat="1" ht="11.4">
      <c r="A161" s="169" t="s">
        <v>35</v>
      </c>
      <c r="B161" s="169" t="s">
        <v>89</v>
      </c>
      <c r="C161" s="172"/>
      <c r="D161" s="172"/>
      <c r="E161" s="172"/>
      <c r="F161" s="167"/>
      <c r="G161" s="168"/>
      <c r="H161" s="169"/>
      <c r="I161" s="170"/>
      <c r="J161" s="171"/>
      <c r="K161" s="173"/>
      <c r="L161" s="168"/>
      <c r="M161" s="169"/>
      <c r="N161" s="170"/>
      <c r="O161" s="174"/>
      <c r="P161" s="130" t="str">
        <f t="shared" si="2"/>
        <v/>
      </c>
      <c r="Q161" s="130"/>
      <c r="R161" s="79"/>
      <c r="S161" s="80"/>
      <c r="T161" s="98"/>
      <c r="U161" s="81"/>
    </row>
    <row r="162" spans="1:21" s="131" customFormat="1" ht="11.4">
      <c r="A162" s="169" t="s">
        <v>35</v>
      </c>
      <c r="B162" s="169" t="s">
        <v>89</v>
      </c>
      <c r="C162" s="172"/>
      <c r="D162" s="172"/>
      <c r="E162" s="172"/>
      <c r="F162" s="167"/>
      <c r="G162" s="168"/>
      <c r="H162" s="169"/>
      <c r="I162" s="170"/>
      <c r="J162" s="171"/>
      <c r="K162" s="173"/>
      <c r="L162" s="168"/>
      <c r="M162" s="169"/>
      <c r="N162" s="170"/>
      <c r="O162" s="174"/>
      <c r="P162" s="130" t="str">
        <f t="shared" si="2"/>
        <v/>
      </c>
      <c r="Q162" s="130"/>
      <c r="R162" s="79"/>
      <c r="S162" s="80"/>
      <c r="T162" s="98"/>
      <c r="U162" s="81"/>
    </row>
    <row r="163" spans="1:21" s="131" customFormat="1" ht="11.4">
      <c r="A163" s="169" t="s">
        <v>35</v>
      </c>
      <c r="B163" s="169" t="s">
        <v>89</v>
      </c>
      <c r="C163" s="172"/>
      <c r="D163" s="172"/>
      <c r="E163" s="172"/>
      <c r="F163" s="167"/>
      <c r="G163" s="168"/>
      <c r="H163" s="169"/>
      <c r="I163" s="170"/>
      <c r="J163" s="171"/>
      <c r="K163" s="173"/>
      <c r="L163" s="168"/>
      <c r="M163" s="169"/>
      <c r="N163" s="170"/>
      <c r="O163" s="174"/>
      <c r="P163" s="130" t="str">
        <f t="shared" si="2"/>
        <v/>
      </c>
      <c r="Q163" s="130"/>
      <c r="R163" s="79"/>
      <c r="S163" s="80"/>
      <c r="T163" s="98"/>
      <c r="U163" s="81"/>
    </row>
    <row r="164" spans="1:21" s="131" customFormat="1" ht="11.4">
      <c r="A164" s="169" t="s">
        <v>35</v>
      </c>
      <c r="B164" s="169" t="s">
        <v>90</v>
      </c>
      <c r="C164" s="172"/>
      <c r="D164" s="172"/>
      <c r="E164" s="172"/>
      <c r="F164" s="167"/>
      <c r="G164" s="168"/>
      <c r="H164" s="169"/>
      <c r="I164" s="170"/>
      <c r="J164" s="171"/>
      <c r="K164" s="173"/>
      <c r="L164" s="168"/>
      <c r="M164" s="169"/>
      <c r="N164" s="170"/>
      <c r="O164" s="174"/>
      <c r="P164" s="130" t="str">
        <f t="shared" si="2"/>
        <v/>
      </c>
      <c r="Q164" s="130"/>
      <c r="R164" s="79"/>
      <c r="S164" s="80"/>
      <c r="T164" s="98"/>
      <c r="U164" s="81"/>
    </row>
    <row r="165" spans="1:21" s="131" customFormat="1" ht="11.4">
      <c r="A165" s="169" t="s">
        <v>35</v>
      </c>
      <c r="B165" s="169" t="s">
        <v>90</v>
      </c>
      <c r="C165" s="172"/>
      <c r="D165" s="172"/>
      <c r="E165" s="172"/>
      <c r="F165" s="167"/>
      <c r="G165" s="168"/>
      <c r="H165" s="169"/>
      <c r="I165" s="170"/>
      <c r="J165" s="171"/>
      <c r="K165" s="173"/>
      <c r="L165" s="168"/>
      <c r="M165" s="169"/>
      <c r="N165" s="170"/>
      <c r="O165" s="174"/>
      <c r="P165" s="130" t="str">
        <f t="shared" si="2"/>
        <v/>
      </c>
      <c r="Q165" s="130"/>
      <c r="R165" s="79"/>
      <c r="S165" s="80"/>
      <c r="T165" s="98"/>
      <c r="U165" s="81"/>
    </row>
    <row r="166" spans="1:21" s="131" customFormat="1" ht="11.4">
      <c r="A166" s="169" t="s">
        <v>35</v>
      </c>
      <c r="B166" s="169" t="s">
        <v>90</v>
      </c>
      <c r="C166" s="172"/>
      <c r="D166" s="172"/>
      <c r="E166" s="172"/>
      <c r="F166" s="167"/>
      <c r="G166" s="168"/>
      <c r="H166" s="169"/>
      <c r="I166" s="170"/>
      <c r="J166" s="171"/>
      <c r="K166" s="173"/>
      <c r="L166" s="168"/>
      <c r="M166" s="169"/>
      <c r="N166" s="170"/>
      <c r="O166" s="174"/>
      <c r="P166" s="130" t="str">
        <f t="shared" si="2"/>
        <v/>
      </c>
      <c r="Q166" s="130"/>
      <c r="R166" s="79"/>
      <c r="S166" s="80"/>
      <c r="T166" s="98"/>
      <c r="U166" s="81"/>
    </row>
    <row r="167" spans="1:21" s="131" customFormat="1" ht="11.4">
      <c r="A167" s="169" t="s">
        <v>35</v>
      </c>
      <c r="B167" s="169" t="s">
        <v>219</v>
      </c>
      <c r="C167" s="172"/>
      <c r="D167" s="172"/>
      <c r="E167" s="172"/>
      <c r="F167" s="167"/>
      <c r="G167" s="168"/>
      <c r="H167" s="169"/>
      <c r="I167" s="170"/>
      <c r="J167" s="171"/>
      <c r="K167" s="173"/>
      <c r="L167" s="168"/>
      <c r="M167" s="169"/>
      <c r="N167" s="170"/>
      <c r="O167" s="174"/>
      <c r="P167" s="130" t="str">
        <f t="shared" si="2"/>
        <v/>
      </c>
      <c r="Q167" s="130"/>
      <c r="R167" s="79"/>
      <c r="S167" s="80"/>
      <c r="T167" s="98"/>
      <c r="U167" s="81"/>
    </row>
    <row r="168" spans="1:21" s="131" customFormat="1" ht="11.4">
      <c r="A168" s="169" t="s">
        <v>35</v>
      </c>
      <c r="B168" s="169" t="s">
        <v>219</v>
      </c>
      <c r="C168" s="172"/>
      <c r="D168" s="172"/>
      <c r="E168" s="172"/>
      <c r="F168" s="167"/>
      <c r="G168" s="168"/>
      <c r="H168" s="169"/>
      <c r="I168" s="170"/>
      <c r="J168" s="171"/>
      <c r="K168" s="173"/>
      <c r="L168" s="168"/>
      <c r="M168" s="169"/>
      <c r="N168" s="170"/>
      <c r="O168" s="174"/>
      <c r="P168" s="130" t="str">
        <f t="shared" si="2"/>
        <v/>
      </c>
      <c r="Q168" s="130"/>
      <c r="R168" s="79"/>
      <c r="S168" s="80"/>
      <c r="T168" s="98"/>
      <c r="U168" s="81"/>
    </row>
    <row r="169" spans="1:21" s="131" customFormat="1" ht="11.4">
      <c r="A169" s="169" t="s">
        <v>35</v>
      </c>
      <c r="B169" s="169" t="s">
        <v>219</v>
      </c>
      <c r="C169" s="172"/>
      <c r="D169" s="172"/>
      <c r="E169" s="172"/>
      <c r="F169" s="167"/>
      <c r="G169" s="168"/>
      <c r="H169" s="169"/>
      <c r="I169" s="170"/>
      <c r="J169" s="171"/>
      <c r="K169" s="173"/>
      <c r="L169" s="168"/>
      <c r="M169" s="169"/>
      <c r="N169" s="170"/>
      <c r="O169" s="174"/>
      <c r="P169" s="130" t="str">
        <f t="shared" si="2"/>
        <v/>
      </c>
      <c r="Q169" s="130"/>
      <c r="R169" s="79"/>
      <c r="S169" s="80"/>
      <c r="T169" s="98"/>
      <c r="U169" s="81"/>
    </row>
    <row r="170" spans="1:21" s="131" customFormat="1" ht="11.4">
      <c r="A170" s="169" t="s">
        <v>35</v>
      </c>
      <c r="B170" s="169" t="s">
        <v>91</v>
      </c>
      <c r="C170" s="172"/>
      <c r="D170" s="172"/>
      <c r="E170" s="172"/>
      <c r="F170" s="167"/>
      <c r="G170" s="168"/>
      <c r="H170" s="169"/>
      <c r="I170" s="170"/>
      <c r="J170" s="171"/>
      <c r="K170" s="173"/>
      <c r="L170" s="168"/>
      <c r="M170" s="169"/>
      <c r="N170" s="170"/>
      <c r="O170" s="174"/>
      <c r="P170" s="130" t="str">
        <f t="shared" si="2"/>
        <v/>
      </c>
      <c r="Q170" s="130"/>
      <c r="R170" s="79"/>
      <c r="S170" s="80"/>
      <c r="T170" s="98"/>
      <c r="U170" s="81"/>
    </row>
    <row r="171" spans="1:21" s="131" customFormat="1" ht="11.4">
      <c r="A171" s="169" t="s">
        <v>35</v>
      </c>
      <c r="B171" s="169" t="s">
        <v>91</v>
      </c>
      <c r="C171" s="172"/>
      <c r="D171" s="172"/>
      <c r="E171" s="172"/>
      <c r="F171" s="167"/>
      <c r="G171" s="168"/>
      <c r="H171" s="169"/>
      <c r="I171" s="170"/>
      <c r="J171" s="171"/>
      <c r="K171" s="173"/>
      <c r="L171" s="168"/>
      <c r="M171" s="169"/>
      <c r="N171" s="170"/>
      <c r="O171" s="174"/>
      <c r="P171" s="130" t="str">
        <f t="shared" si="2"/>
        <v/>
      </c>
      <c r="Q171" s="130"/>
      <c r="R171" s="79"/>
      <c r="S171" s="80"/>
      <c r="T171" s="98"/>
      <c r="U171" s="81"/>
    </row>
    <row r="172" spans="1:21" s="131" customFormat="1" ht="11.4">
      <c r="A172" s="169" t="s">
        <v>35</v>
      </c>
      <c r="B172" s="169" t="s">
        <v>91</v>
      </c>
      <c r="C172" s="172"/>
      <c r="D172" s="172"/>
      <c r="E172" s="172"/>
      <c r="F172" s="167"/>
      <c r="G172" s="168"/>
      <c r="H172" s="169"/>
      <c r="I172" s="170"/>
      <c r="J172" s="171"/>
      <c r="K172" s="173"/>
      <c r="L172" s="168"/>
      <c r="M172" s="169"/>
      <c r="N172" s="170"/>
      <c r="O172" s="174"/>
      <c r="P172" s="130" t="str">
        <f t="shared" si="2"/>
        <v/>
      </c>
      <c r="Q172" s="130"/>
      <c r="R172" s="79"/>
      <c r="S172" s="80"/>
      <c r="T172" s="98"/>
      <c r="U172" s="81"/>
    </row>
    <row r="173" spans="1:21" s="131" customFormat="1" ht="11.4">
      <c r="A173" s="169" t="s">
        <v>35</v>
      </c>
      <c r="B173" s="169" t="s">
        <v>92</v>
      </c>
      <c r="C173" s="172"/>
      <c r="D173" s="172"/>
      <c r="E173" s="172"/>
      <c r="F173" s="167"/>
      <c r="G173" s="168"/>
      <c r="H173" s="169"/>
      <c r="I173" s="170"/>
      <c r="J173" s="171"/>
      <c r="K173" s="173"/>
      <c r="L173" s="168"/>
      <c r="M173" s="169"/>
      <c r="N173" s="170"/>
      <c r="O173" s="174"/>
      <c r="P173" s="130" t="str">
        <f t="shared" si="2"/>
        <v/>
      </c>
      <c r="Q173" s="130"/>
      <c r="R173" s="79"/>
      <c r="S173" s="80"/>
      <c r="T173" s="98"/>
      <c r="U173" s="81"/>
    </row>
    <row r="174" spans="1:21" s="131" customFormat="1" ht="11.4">
      <c r="A174" s="169" t="s">
        <v>35</v>
      </c>
      <c r="B174" s="169" t="s">
        <v>92</v>
      </c>
      <c r="C174" s="172"/>
      <c r="D174" s="172"/>
      <c r="E174" s="172"/>
      <c r="F174" s="167"/>
      <c r="G174" s="168"/>
      <c r="H174" s="169"/>
      <c r="I174" s="170"/>
      <c r="J174" s="171"/>
      <c r="K174" s="173"/>
      <c r="L174" s="168"/>
      <c r="M174" s="169"/>
      <c r="N174" s="170"/>
      <c r="O174" s="174"/>
      <c r="P174" s="130" t="str">
        <f t="shared" si="2"/>
        <v/>
      </c>
      <c r="Q174" s="130"/>
      <c r="R174" s="79"/>
      <c r="S174" s="80"/>
      <c r="T174" s="98"/>
      <c r="U174" s="81"/>
    </row>
    <row r="175" spans="1:21" s="131" customFormat="1" ht="11.4">
      <c r="A175" s="169" t="s">
        <v>35</v>
      </c>
      <c r="B175" s="169" t="s">
        <v>92</v>
      </c>
      <c r="C175" s="172"/>
      <c r="D175" s="172"/>
      <c r="E175" s="172"/>
      <c r="F175" s="167"/>
      <c r="G175" s="168"/>
      <c r="H175" s="169"/>
      <c r="I175" s="170"/>
      <c r="J175" s="171"/>
      <c r="K175" s="173"/>
      <c r="L175" s="168"/>
      <c r="M175" s="169"/>
      <c r="N175" s="170"/>
      <c r="O175" s="174"/>
      <c r="P175" s="130" t="str">
        <f t="shared" si="2"/>
        <v/>
      </c>
      <c r="Q175" s="130"/>
      <c r="R175" s="79"/>
      <c r="S175" s="80"/>
      <c r="T175" s="98"/>
      <c r="U175" s="81"/>
    </row>
    <row r="176" spans="1:21" s="131" customFormat="1" ht="11.4">
      <c r="A176" s="169" t="s">
        <v>35</v>
      </c>
      <c r="B176" s="169" t="s">
        <v>93</v>
      </c>
      <c r="C176" s="172"/>
      <c r="D176" s="172"/>
      <c r="E176" s="172"/>
      <c r="F176" s="167"/>
      <c r="G176" s="168"/>
      <c r="H176" s="169"/>
      <c r="I176" s="170"/>
      <c r="J176" s="171"/>
      <c r="K176" s="173"/>
      <c r="L176" s="168"/>
      <c r="M176" s="169"/>
      <c r="N176" s="170"/>
      <c r="O176" s="174"/>
      <c r="P176" s="130" t="str">
        <f t="shared" si="2"/>
        <v/>
      </c>
      <c r="Q176" s="130"/>
      <c r="R176" s="79"/>
      <c r="S176" s="80"/>
      <c r="T176" s="98"/>
      <c r="U176" s="81"/>
    </row>
    <row r="177" spans="1:21" s="131" customFormat="1" ht="11.4">
      <c r="A177" s="169" t="s">
        <v>35</v>
      </c>
      <c r="B177" s="169" t="s">
        <v>93</v>
      </c>
      <c r="C177" s="172"/>
      <c r="D177" s="172"/>
      <c r="E177" s="172"/>
      <c r="F177" s="167"/>
      <c r="G177" s="168"/>
      <c r="H177" s="169"/>
      <c r="I177" s="170"/>
      <c r="J177" s="171"/>
      <c r="K177" s="173"/>
      <c r="L177" s="168"/>
      <c r="M177" s="169"/>
      <c r="N177" s="170"/>
      <c r="O177" s="174"/>
      <c r="P177" s="130" t="str">
        <f t="shared" si="2"/>
        <v/>
      </c>
      <c r="Q177" s="130"/>
      <c r="R177" s="79"/>
      <c r="S177" s="80"/>
      <c r="T177" s="98"/>
      <c r="U177" s="81"/>
    </row>
    <row r="178" spans="1:21" s="131" customFormat="1" ht="11.4">
      <c r="A178" s="169" t="s">
        <v>35</v>
      </c>
      <c r="B178" s="169" t="s">
        <v>93</v>
      </c>
      <c r="C178" s="172">
        <v>44348</v>
      </c>
      <c r="D178" s="172">
        <v>44713</v>
      </c>
      <c r="E178" s="172">
        <v>44348</v>
      </c>
      <c r="F178" s="167" t="s">
        <v>37</v>
      </c>
      <c r="G178" s="168">
        <v>175000000</v>
      </c>
      <c r="H178" s="169">
        <v>0</v>
      </c>
      <c r="I178" s="170">
        <v>1</v>
      </c>
      <c r="J178" s="171"/>
      <c r="K178" s="173" t="s">
        <v>37</v>
      </c>
      <c r="L178" s="168">
        <v>1500000000</v>
      </c>
      <c r="M178" s="169">
        <v>0</v>
      </c>
      <c r="N178" s="170">
        <v>1</v>
      </c>
      <c r="O178" s="174"/>
      <c r="P178" s="130" t="str">
        <f t="shared" si="2"/>
        <v/>
      </c>
      <c r="Q178" s="130"/>
      <c r="R178" s="79"/>
      <c r="S178" s="80"/>
      <c r="T178" s="98"/>
      <c r="U178" s="81"/>
    </row>
    <row r="179" spans="1:21" s="131" customFormat="1" ht="11.4">
      <c r="A179" s="169" t="s">
        <v>35</v>
      </c>
      <c r="B179" s="169" t="s">
        <v>218</v>
      </c>
      <c r="C179" s="172"/>
      <c r="D179" s="172"/>
      <c r="E179" s="172"/>
      <c r="F179" s="167"/>
      <c r="G179" s="168"/>
      <c r="H179" s="169"/>
      <c r="I179" s="170"/>
      <c r="J179" s="171"/>
      <c r="K179" s="173"/>
      <c r="L179" s="168"/>
      <c r="M179" s="169"/>
      <c r="N179" s="170"/>
      <c r="O179" s="174"/>
      <c r="P179" s="130" t="str">
        <f t="shared" si="2"/>
        <v/>
      </c>
      <c r="Q179" s="130"/>
      <c r="R179" s="79"/>
      <c r="S179" s="80"/>
      <c r="T179" s="98"/>
      <c r="U179" s="81"/>
    </row>
    <row r="180" spans="1:21" s="131" customFormat="1" ht="11.4">
      <c r="A180" s="169" t="s">
        <v>35</v>
      </c>
      <c r="B180" s="169" t="s">
        <v>218</v>
      </c>
      <c r="C180" s="172"/>
      <c r="D180" s="172"/>
      <c r="E180" s="172"/>
      <c r="F180" s="167"/>
      <c r="G180" s="168"/>
      <c r="H180" s="169"/>
      <c r="I180" s="170"/>
      <c r="J180" s="171"/>
      <c r="K180" s="173"/>
      <c r="L180" s="168"/>
      <c r="M180" s="169"/>
      <c r="N180" s="170"/>
      <c r="O180" s="174"/>
      <c r="P180" s="130" t="str">
        <f t="shared" si="2"/>
        <v/>
      </c>
      <c r="Q180" s="130"/>
      <c r="R180" s="79"/>
      <c r="S180" s="80"/>
      <c r="T180" s="98"/>
      <c r="U180" s="81"/>
    </row>
    <row r="181" spans="1:21" s="131" customFormat="1" ht="11.4">
      <c r="A181" s="169" t="s">
        <v>35</v>
      </c>
      <c r="B181" s="169" t="s">
        <v>218</v>
      </c>
      <c r="C181" s="172">
        <v>44530</v>
      </c>
      <c r="D181" s="172">
        <v>44894</v>
      </c>
      <c r="E181" s="172">
        <v>44530</v>
      </c>
      <c r="F181" s="167" t="s">
        <v>37</v>
      </c>
      <c r="G181" s="168">
        <v>250000000</v>
      </c>
      <c r="H181" s="169">
        <v>0</v>
      </c>
      <c r="I181" s="170">
        <v>2.5</v>
      </c>
      <c r="J181" s="171"/>
      <c r="K181" s="173" t="s">
        <v>37</v>
      </c>
      <c r="L181" s="168">
        <v>1500000000</v>
      </c>
      <c r="M181" s="169">
        <v>0</v>
      </c>
      <c r="N181" s="170">
        <v>2.5</v>
      </c>
      <c r="O181" s="174"/>
      <c r="P181" s="130" t="str">
        <f t="shared" si="2"/>
        <v/>
      </c>
      <c r="Q181" s="130"/>
      <c r="R181" s="79"/>
      <c r="S181" s="80"/>
      <c r="T181" s="98"/>
      <c r="U181" s="81"/>
    </row>
    <row r="182" spans="1:21" s="131" customFormat="1" ht="11.4">
      <c r="A182" s="169" t="s">
        <v>35</v>
      </c>
      <c r="B182" s="169" t="s">
        <v>94</v>
      </c>
      <c r="C182" s="172"/>
      <c r="D182" s="172"/>
      <c r="E182" s="172"/>
      <c r="F182" s="167"/>
      <c r="G182" s="168"/>
      <c r="H182" s="169"/>
      <c r="I182" s="170"/>
      <c r="J182" s="171"/>
      <c r="K182" s="173"/>
      <c r="L182" s="168"/>
      <c r="M182" s="169"/>
      <c r="N182" s="170"/>
      <c r="O182" s="174"/>
      <c r="P182" s="130" t="str">
        <f t="shared" si="2"/>
        <v/>
      </c>
      <c r="Q182" s="130"/>
      <c r="R182" s="79"/>
      <c r="S182" s="80"/>
      <c r="T182" s="98"/>
      <c r="U182" s="81"/>
    </row>
    <row r="183" spans="1:21" s="131" customFormat="1" ht="11.4">
      <c r="A183" s="169" t="s">
        <v>35</v>
      </c>
      <c r="B183" s="169" t="s">
        <v>94</v>
      </c>
      <c r="C183" s="172"/>
      <c r="D183" s="172"/>
      <c r="E183" s="172"/>
      <c r="F183" s="167"/>
      <c r="G183" s="168"/>
      <c r="H183" s="169"/>
      <c r="I183" s="170"/>
      <c r="J183" s="171"/>
      <c r="K183" s="173"/>
      <c r="L183" s="168"/>
      <c r="M183" s="169"/>
      <c r="N183" s="170"/>
      <c r="O183" s="174"/>
      <c r="P183" s="130" t="str">
        <f t="shared" si="2"/>
        <v/>
      </c>
      <c r="Q183" s="130"/>
      <c r="R183" s="79"/>
      <c r="S183" s="80"/>
      <c r="T183" s="98"/>
      <c r="U183" s="81"/>
    </row>
    <row r="184" spans="1:21" s="131" customFormat="1" ht="11.4">
      <c r="A184" s="169" t="s">
        <v>35</v>
      </c>
      <c r="B184" s="169" t="s">
        <v>94</v>
      </c>
      <c r="C184" s="172"/>
      <c r="D184" s="172"/>
      <c r="E184" s="172"/>
      <c r="F184" s="167"/>
      <c r="G184" s="168"/>
      <c r="H184" s="169"/>
      <c r="I184" s="170"/>
      <c r="J184" s="171"/>
      <c r="K184" s="173"/>
      <c r="L184" s="168"/>
      <c r="M184" s="169"/>
      <c r="N184" s="170"/>
      <c r="O184" s="174"/>
      <c r="P184" s="130" t="str">
        <f t="shared" si="2"/>
        <v/>
      </c>
      <c r="Q184" s="130"/>
      <c r="R184" s="79"/>
      <c r="S184" s="80"/>
      <c r="T184" s="98"/>
      <c r="U184" s="81"/>
    </row>
    <row r="185" spans="1:21" s="131" customFormat="1" ht="11.4">
      <c r="A185" s="169" t="s">
        <v>35</v>
      </c>
      <c r="B185" s="169" t="s">
        <v>95</v>
      </c>
      <c r="C185" s="172"/>
      <c r="D185" s="172"/>
      <c r="E185" s="172"/>
      <c r="F185" s="167"/>
      <c r="G185" s="168"/>
      <c r="H185" s="169"/>
      <c r="I185" s="170"/>
      <c r="J185" s="171"/>
      <c r="K185" s="173"/>
      <c r="L185" s="168"/>
      <c r="M185" s="169"/>
      <c r="N185" s="170"/>
      <c r="O185" s="174"/>
      <c r="P185" s="130" t="str">
        <f t="shared" si="2"/>
        <v/>
      </c>
      <c r="Q185" s="130"/>
      <c r="R185" s="79"/>
      <c r="S185" s="80"/>
      <c r="T185" s="98"/>
      <c r="U185" s="81"/>
    </row>
    <row r="186" spans="1:21" s="131" customFormat="1" ht="11.4">
      <c r="A186" s="169" t="s">
        <v>35</v>
      </c>
      <c r="B186" s="169" t="s">
        <v>95</v>
      </c>
      <c r="C186" s="172"/>
      <c r="D186" s="172"/>
      <c r="E186" s="172"/>
      <c r="F186" s="167"/>
      <c r="G186" s="168"/>
      <c r="H186" s="169"/>
      <c r="I186" s="170"/>
      <c r="J186" s="171"/>
      <c r="K186" s="173"/>
      <c r="L186" s="168"/>
      <c r="M186" s="169"/>
      <c r="N186" s="170"/>
      <c r="O186" s="174"/>
      <c r="P186" s="130" t="str">
        <f t="shared" si="2"/>
        <v/>
      </c>
      <c r="Q186" s="130"/>
      <c r="R186" s="79"/>
      <c r="S186" s="80"/>
      <c r="T186" s="98"/>
      <c r="U186" s="81"/>
    </row>
    <row r="187" spans="1:21" s="131" customFormat="1" ht="11.4">
      <c r="A187" s="169" t="s">
        <v>35</v>
      </c>
      <c r="B187" s="169" t="s">
        <v>95</v>
      </c>
      <c r="C187" s="172"/>
      <c r="D187" s="172"/>
      <c r="E187" s="172"/>
      <c r="F187" s="167"/>
      <c r="G187" s="168"/>
      <c r="H187" s="169"/>
      <c r="I187" s="170"/>
      <c r="J187" s="171"/>
      <c r="K187" s="173"/>
      <c r="L187" s="168"/>
      <c r="M187" s="169"/>
      <c r="N187" s="170"/>
      <c r="O187" s="174"/>
      <c r="P187" s="130" t="str">
        <f t="shared" si="2"/>
        <v/>
      </c>
      <c r="Q187" s="130"/>
      <c r="R187" s="79"/>
      <c r="S187" s="80"/>
      <c r="T187" s="98"/>
      <c r="U187" s="81"/>
    </row>
    <row r="188" spans="1:21" s="131" customFormat="1" ht="11.4">
      <c r="A188" s="169" t="s">
        <v>35</v>
      </c>
      <c r="B188" s="169" t="s">
        <v>97</v>
      </c>
      <c r="C188" s="172"/>
      <c r="D188" s="172"/>
      <c r="E188" s="172"/>
      <c r="F188" s="167"/>
      <c r="G188" s="168"/>
      <c r="H188" s="169"/>
      <c r="I188" s="170"/>
      <c r="J188" s="171"/>
      <c r="K188" s="173"/>
      <c r="L188" s="168"/>
      <c r="M188" s="169"/>
      <c r="N188" s="170"/>
      <c r="O188" s="174"/>
      <c r="P188" s="130" t="str">
        <f t="shared" si="2"/>
        <v/>
      </c>
      <c r="Q188" s="130"/>
      <c r="R188" s="79"/>
      <c r="S188" s="80"/>
      <c r="T188" s="98"/>
      <c r="U188" s="81"/>
    </row>
    <row r="189" spans="1:21" s="131" customFormat="1" ht="11.4">
      <c r="A189" s="169" t="s">
        <v>35</v>
      </c>
      <c r="B189" s="169" t="s">
        <v>97</v>
      </c>
      <c r="C189" s="172"/>
      <c r="D189" s="172"/>
      <c r="E189" s="172"/>
      <c r="F189" s="167"/>
      <c r="G189" s="168"/>
      <c r="H189" s="169"/>
      <c r="I189" s="170"/>
      <c r="J189" s="171"/>
      <c r="K189" s="173"/>
      <c r="L189" s="168"/>
      <c r="M189" s="169"/>
      <c r="N189" s="170"/>
      <c r="O189" s="174"/>
      <c r="P189" s="130" t="str">
        <f t="shared" si="2"/>
        <v/>
      </c>
      <c r="Q189" s="130"/>
      <c r="R189" s="79"/>
      <c r="S189" s="80"/>
      <c r="T189" s="98"/>
      <c r="U189" s="81"/>
    </row>
    <row r="190" spans="1:21" s="131" customFormat="1" ht="11.4">
      <c r="A190" s="169" t="s">
        <v>35</v>
      </c>
      <c r="B190" s="169" t="s">
        <v>97</v>
      </c>
      <c r="C190" s="172"/>
      <c r="D190" s="172"/>
      <c r="E190" s="172"/>
      <c r="F190" s="167"/>
      <c r="G190" s="168"/>
      <c r="H190" s="169"/>
      <c r="I190" s="170"/>
      <c r="J190" s="171"/>
      <c r="K190" s="173"/>
      <c r="L190" s="168"/>
      <c r="M190" s="169"/>
      <c r="N190" s="170"/>
      <c r="O190" s="174"/>
      <c r="P190" s="130" t="str">
        <f t="shared" si="2"/>
        <v/>
      </c>
      <c r="Q190" s="130"/>
      <c r="R190" s="79"/>
      <c r="S190" s="80"/>
      <c r="T190" s="98"/>
      <c r="U190" s="81"/>
    </row>
    <row r="191" spans="1:21" s="131" customFormat="1" ht="11.4">
      <c r="A191" s="169" t="s">
        <v>35</v>
      </c>
      <c r="B191" s="169" t="s">
        <v>98</v>
      </c>
      <c r="C191" s="172">
        <v>43800</v>
      </c>
      <c r="D191" s="172">
        <v>44165</v>
      </c>
      <c r="E191" s="172">
        <v>43800</v>
      </c>
      <c r="F191" s="167" t="s">
        <v>37</v>
      </c>
      <c r="G191" s="168">
        <v>150000000</v>
      </c>
      <c r="H191" s="169">
        <v>0</v>
      </c>
      <c r="I191" s="170">
        <v>3</v>
      </c>
      <c r="J191" s="171"/>
      <c r="K191" s="173" t="s">
        <v>37</v>
      </c>
      <c r="L191" s="168">
        <v>1000000000</v>
      </c>
      <c r="M191" s="169">
        <v>0</v>
      </c>
      <c r="N191" s="170">
        <v>3</v>
      </c>
      <c r="O191" s="174"/>
      <c r="P191" s="130" t="str">
        <f t="shared" si="2"/>
        <v/>
      </c>
      <c r="Q191" s="130"/>
      <c r="R191" s="79"/>
      <c r="S191" s="80"/>
      <c r="T191" s="98"/>
      <c r="U191" s="81"/>
    </row>
    <row r="192" spans="1:21" s="131" customFormat="1" ht="11.4">
      <c r="A192" s="169" t="s">
        <v>35</v>
      </c>
      <c r="B192" s="169" t="s">
        <v>98</v>
      </c>
      <c r="C192" s="172">
        <v>44166</v>
      </c>
      <c r="D192" s="172">
        <v>44530</v>
      </c>
      <c r="E192" s="172">
        <v>44166</v>
      </c>
      <c r="F192" s="167" t="s">
        <v>37</v>
      </c>
      <c r="G192" s="168">
        <v>150000000</v>
      </c>
      <c r="H192" s="169">
        <v>0</v>
      </c>
      <c r="I192" s="170">
        <v>2.8</v>
      </c>
      <c r="J192" s="171"/>
      <c r="K192" s="173" t="s">
        <v>37</v>
      </c>
      <c r="L192" s="168">
        <v>1000000000</v>
      </c>
      <c r="M192" s="169">
        <v>0</v>
      </c>
      <c r="N192" s="170">
        <v>2.8</v>
      </c>
      <c r="O192" s="174"/>
      <c r="P192" s="130" t="str">
        <f t="shared" si="2"/>
        <v/>
      </c>
      <c r="Q192" s="130"/>
      <c r="R192" s="79"/>
      <c r="S192" s="80"/>
      <c r="T192" s="98"/>
      <c r="U192" s="81"/>
    </row>
    <row r="193" spans="1:21" s="131" customFormat="1" ht="11.4">
      <c r="A193" s="169" t="s">
        <v>35</v>
      </c>
      <c r="B193" s="169" t="s">
        <v>98</v>
      </c>
      <c r="C193" s="172">
        <v>44531</v>
      </c>
      <c r="D193" s="172">
        <v>44895</v>
      </c>
      <c r="E193" s="172">
        <v>44531</v>
      </c>
      <c r="F193" s="167" t="s">
        <v>37</v>
      </c>
      <c r="G193" s="168">
        <v>75000000</v>
      </c>
      <c r="H193" s="169">
        <v>0</v>
      </c>
      <c r="I193" s="170">
        <v>3.15</v>
      </c>
      <c r="J193" s="171"/>
      <c r="K193" s="173" t="s">
        <v>37</v>
      </c>
      <c r="L193" s="168">
        <v>1000000000</v>
      </c>
      <c r="M193" s="169">
        <v>0</v>
      </c>
      <c r="N193" s="170">
        <v>3.15</v>
      </c>
      <c r="O193" s="174"/>
      <c r="P193" s="130"/>
      <c r="Q193" s="130"/>
      <c r="R193" s="79"/>
      <c r="S193" s="80"/>
      <c r="T193" s="98"/>
      <c r="U193" s="81"/>
    </row>
    <row r="194" spans="1:21" s="131" customFormat="1" ht="11.4">
      <c r="A194" s="169" t="s">
        <v>35</v>
      </c>
      <c r="B194" s="169" t="s">
        <v>99</v>
      </c>
      <c r="C194" s="172">
        <v>43814</v>
      </c>
      <c r="D194" s="172">
        <v>44179</v>
      </c>
      <c r="E194" s="172">
        <v>43814</v>
      </c>
      <c r="F194" s="167" t="s">
        <v>37</v>
      </c>
      <c r="G194" s="168">
        <v>300000000</v>
      </c>
      <c r="H194" s="169">
        <v>0</v>
      </c>
      <c r="I194" s="170">
        <v>0</v>
      </c>
      <c r="J194" s="171"/>
      <c r="K194" s="173" t="s">
        <v>37</v>
      </c>
      <c r="L194" s="168">
        <v>2000000000</v>
      </c>
      <c r="M194" s="169">
        <v>0</v>
      </c>
      <c r="N194" s="170">
        <v>0</v>
      </c>
      <c r="O194" s="174"/>
      <c r="P194" s="130" t="str">
        <f t="shared" si="2"/>
        <v/>
      </c>
      <c r="Q194" s="130"/>
      <c r="R194" s="79"/>
      <c r="S194" s="80"/>
      <c r="T194" s="98"/>
      <c r="U194" s="81"/>
    </row>
    <row r="195" spans="1:21" s="131" customFormat="1" ht="11.4">
      <c r="A195" s="169" t="s">
        <v>35</v>
      </c>
      <c r="B195" s="169" t="s">
        <v>99</v>
      </c>
      <c r="C195" s="172"/>
      <c r="D195" s="172"/>
      <c r="E195" s="172"/>
      <c r="F195" s="167"/>
      <c r="G195" s="168"/>
      <c r="H195" s="169"/>
      <c r="I195" s="170"/>
      <c r="J195" s="171"/>
      <c r="K195" s="173"/>
      <c r="L195" s="168"/>
      <c r="M195" s="169"/>
      <c r="N195" s="170"/>
      <c r="O195" s="174"/>
      <c r="P195" s="130" t="str">
        <f t="shared" si="2"/>
        <v/>
      </c>
      <c r="Q195" s="130"/>
      <c r="R195" s="79"/>
      <c r="S195" s="80"/>
      <c r="T195" s="98"/>
      <c r="U195" s="81"/>
    </row>
    <row r="196" spans="1:21" s="131" customFormat="1" ht="11.4">
      <c r="A196" s="169" t="s">
        <v>35</v>
      </c>
      <c r="B196" s="169" t="s">
        <v>99</v>
      </c>
      <c r="C196" s="172"/>
      <c r="D196" s="172"/>
      <c r="E196" s="172"/>
      <c r="F196" s="167"/>
      <c r="G196" s="168"/>
      <c r="H196" s="169"/>
      <c r="I196" s="170"/>
      <c r="J196" s="171"/>
      <c r="K196" s="173"/>
      <c r="L196" s="168"/>
      <c r="M196" s="169"/>
      <c r="N196" s="170"/>
      <c r="O196" s="174"/>
      <c r="P196" s="130" t="str">
        <f t="shared" si="2"/>
        <v/>
      </c>
      <c r="Q196" s="130"/>
      <c r="R196" s="79"/>
      <c r="S196" s="80"/>
      <c r="T196" s="98"/>
      <c r="U196" s="81"/>
    </row>
    <row r="197" spans="1:21" s="131" customFormat="1" ht="11.4">
      <c r="A197" s="169" t="s">
        <v>35</v>
      </c>
      <c r="B197" s="169" t="s">
        <v>100</v>
      </c>
      <c r="C197" s="172">
        <v>44562</v>
      </c>
      <c r="D197" s="172">
        <v>44926</v>
      </c>
      <c r="E197" s="172">
        <v>45016</v>
      </c>
      <c r="F197" s="167" t="s">
        <v>37</v>
      </c>
      <c r="G197" s="168">
        <v>300000000</v>
      </c>
      <c r="H197" s="169">
        <v>0</v>
      </c>
      <c r="I197" s="170">
        <v>3.0192307600000001</v>
      </c>
      <c r="J197" s="171"/>
      <c r="K197" s="173" t="s">
        <v>37</v>
      </c>
      <c r="L197" s="168">
        <v>1750000000</v>
      </c>
      <c r="M197" s="169">
        <v>0</v>
      </c>
      <c r="N197" s="170">
        <v>3.0192000000000001</v>
      </c>
      <c r="O197" s="174"/>
      <c r="P197" s="130" t="str">
        <f t="shared" si="2"/>
        <v/>
      </c>
      <c r="Q197" s="130"/>
      <c r="R197" s="79"/>
      <c r="S197" s="80"/>
      <c r="T197" s="98"/>
      <c r="U197" s="81"/>
    </row>
    <row r="198" spans="1:21" s="131" customFormat="1" ht="11.4">
      <c r="A198" s="169" t="s">
        <v>35</v>
      </c>
      <c r="B198" s="169" t="s">
        <v>100</v>
      </c>
      <c r="C198" s="172"/>
      <c r="D198" s="172"/>
      <c r="E198" s="172"/>
      <c r="F198" s="167"/>
      <c r="G198" s="168"/>
      <c r="H198" s="169"/>
      <c r="I198" s="170"/>
      <c r="J198" s="171"/>
      <c r="K198" s="173"/>
      <c r="L198" s="168"/>
      <c r="M198" s="169"/>
      <c r="N198" s="170"/>
      <c r="O198" s="174"/>
      <c r="P198" s="130" t="str">
        <f t="shared" si="2"/>
        <v/>
      </c>
      <c r="Q198" s="130"/>
      <c r="R198" s="79"/>
      <c r="S198" s="80"/>
      <c r="T198" s="98"/>
      <c r="U198" s="81"/>
    </row>
    <row r="199" spans="1:21" s="131" customFormat="1" ht="11.4">
      <c r="A199" s="169" t="s">
        <v>35</v>
      </c>
      <c r="B199" s="169" t="s">
        <v>100</v>
      </c>
      <c r="C199" s="172"/>
      <c r="D199" s="172"/>
      <c r="E199" s="172"/>
      <c r="F199" s="167"/>
      <c r="G199" s="168"/>
      <c r="H199" s="169"/>
      <c r="I199" s="170"/>
      <c r="J199" s="171"/>
      <c r="K199" s="173"/>
      <c r="L199" s="168"/>
      <c r="M199" s="169"/>
      <c r="N199" s="170"/>
      <c r="O199" s="174"/>
      <c r="P199" s="130" t="str">
        <f t="shared" si="2"/>
        <v/>
      </c>
      <c r="Q199" s="130"/>
      <c r="R199" s="79"/>
      <c r="S199" s="80"/>
      <c r="T199" s="98"/>
      <c r="U199" s="81"/>
    </row>
    <row r="200" spans="1:21" s="131" customFormat="1" ht="11.4">
      <c r="A200" s="169" t="s">
        <v>35</v>
      </c>
      <c r="B200" s="169" t="s">
        <v>101</v>
      </c>
      <c r="C200" s="172"/>
      <c r="D200" s="172"/>
      <c r="E200" s="172"/>
      <c r="F200" s="167"/>
      <c r="G200" s="168"/>
      <c r="H200" s="169"/>
      <c r="I200" s="170"/>
      <c r="J200" s="171"/>
      <c r="K200" s="173"/>
      <c r="L200" s="168"/>
      <c r="M200" s="169"/>
      <c r="N200" s="170"/>
      <c r="O200" s="174"/>
      <c r="P200" s="130" t="str">
        <f t="shared" si="2"/>
        <v/>
      </c>
      <c r="Q200" s="130"/>
      <c r="R200" s="79"/>
      <c r="S200" s="80"/>
      <c r="T200" s="98"/>
      <c r="U200" s="81"/>
    </row>
    <row r="201" spans="1:21" s="131" customFormat="1" ht="11.4">
      <c r="A201" s="169" t="s">
        <v>35</v>
      </c>
      <c r="B201" s="169" t="s">
        <v>101</v>
      </c>
      <c r="C201" s="172"/>
      <c r="D201" s="172"/>
      <c r="E201" s="172"/>
      <c r="F201" s="167"/>
      <c r="G201" s="168"/>
      <c r="H201" s="169"/>
      <c r="I201" s="170"/>
      <c r="J201" s="171"/>
      <c r="K201" s="173"/>
      <c r="L201" s="168"/>
      <c r="M201" s="169"/>
      <c r="N201" s="170"/>
      <c r="O201" s="174"/>
      <c r="P201" s="130" t="str">
        <f t="shared" si="2"/>
        <v/>
      </c>
      <c r="Q201" s="130"/>
      <c r="R201" s="79"/>
      <c r="S201" s="80"/>
      <c r="T201" s="98"/>
      <c r="U201" s="81"/>
    </row>
    <row r="202" spans="1:21" s="131" customFormat="1" ht="11.4">
      <c r="A202" s="169" t="s">
        <v>35</v>
      </c>
      <c r="B202" s="169" t="s">
        <v>101</v>
      </c>
      <c r="C202" s="172"/>
      <c r="D202" s="172"/>
      <c r="E202" s="172"/>
      <c r="F202" s="167"/>
      <c r="G202" s="168"/>
      <c r="H202" s="169"/>
      <c r="I202" s="170"/>
      <c r="J202" s="171"/>
      <c r="K202" s="173"/>
      <c r="L202" s="168"/>
      <c r="M202" s="169"/>
      <c r="N202" s="170"/>
      <c r="O202" s="174"/>
      <c r="P202" s="130" t="str">
        <f t="shared" si="2"/>
        <v/>
      </c>
      <c r="Q202" s="130"/>
      <c r="R202" s="79"/>
      <c r="S202" s="80"/>
      <c r="T202" s="98"/>
      <c r="U202" s="81"/>
    </row>
    <row r="203" spans="1:21" s="131" customFormat="1" ht="11.4">
      <c r="A203" s="169" t="s">
        <v>35</v>
      </c>
      <c r="B203" s="169" t="s">
        <v>102</v>
      </c>
      <c r="C203" s="172"/>
      <c r="D203" s="172"/>
      <c r="E203" s="172"/>
      <c r="F203" s="167"/>
      <c r="G203" s="168"/>
      <c r="H203" s="169"/>
      <c r="I203" s="170"/>
      <c r="J203" s="171"/>
      <c r="K203" s="173"/>
      <c r="L203" s="168"/>
      <c r="M203" s="169"/>
      <c r="N203" s="170"/>
      <c r="O203" s="174"/>
      <c r="P203" s="130" t="str">
        <f t="shared" si="2"/>
        <v/>
      </c>
      <c r="Q203" s="130"/>
      <c r="R203" s="79"/>
      <c r="S203" s="80"/>
      <c r="T203" s="98"/>
      <c r="U203" s="81"/>
    </row>
    <row r="204" spans="1:21" s="131" customFormat="1" ht="11.4">
      <c r="A204" s="169" t="s">
        <v>35</v>
      </c>
      <c r="B204" s="169" t="s">
        <v>102</v>
      </c>
      <c r="C204" s="172"/>
      <c r="D204" s="172"/>
      <c r="E204" s="172"/>
      <c r="F204" s="167"/>
      <c r="G204" s="168"/>
      <c r="H204" s="169"/>
      <c r="I204" s="170"/>
      <c r="J204" s="171"/>
      <c r="K204" s="173"/>
      <c r="L204" s="168"/>
      <c r="M204" s="169"/>
      <c r="N204" s="170"/>
      <c r="O204" s="174"/>
      <c r="P204" s="130" t="str">
        <f t="shared" si="2"/>
        <v/>
      </c>
      <c r="Q204" s="130"/>
      <c r="R204" s="79"/>
      <c r="S204" s="80"/>
      <c r="T204" s="98"/>
      <c r="U204" s="81"/>
    </row>
    <row r="205" spans="1:21" s="131" customFormat="1" ht="11.4">
      <c r="A205" s="169" t="s">
        <v>35</v>
      </c>
      <c r="B205" s="169" t="s">
        <v>102</v>
      </c>
      <c r="C205" s="172"/>
      <c r="D205" s="172"/>
      <c r="E205" s="172"/>
      <c r="F205" s="167"/>
      <c r="G205" s="168"/>
      <c r="H205" s="169"/>
      <c r="I205" s="170"/>
      <c r="J205" s="171"/>
      <c r="K205" s="173"/>
      <c r="L205" s="168"/>
      <c r="M205" s="169"/>
      <c r="N205" s="170"/>
      <c r="O205" s="174"/>
      <c r="P205" s="130" t="str">
        <f t="shared" ref="P205:P268" si="3">IFERROR(MATCH($B205,AN_List,FALSE),"")</f>
        <v/>
      </c>
      <c r="Q205" s="130"/>
      <c r="R205" s="79"/>
      <c r="S205" s="80"/>
      <c r="T205" s="98"/>
      <c r="U205" s="81"/>
    </row>
    <row r="206" spans="1:21" s="131" customFormat="1" ht="11.4">
      <c r="A206" s="169" t="s">
        <v>103</v>
      </c>
      <c r="B206" s="169" t="s">
        <v>104</v>
      </c>
      <c r="C206" s="172"/>
      <c r="D206" s="172"/>
      <c r="E206" s="172"/>
      <c r="F206" s="167"/>
      <c r="G206" s="168"/>
      <c r="H206" s="169"/>
      <c r="I206" s="170"/>
      <c r="J206" s="171"/>
      <c r="K206" s="173"/>
      <c r="L206" s="168"/>
      <c r="M206" s="169"/>
      <c r="N206" s="170"/>
      <c r="O206" s="174"/>
      <c r="P206" s="130" t="str">
        <f t="shared" si="3"/>
        <v/>
      </c>
      <c r="Q206" s="130"/>
      <c r="R206" s="79"/>
      <c r="S206" s="80"/>
      <c r="T206" s="98"/>
      <c r="U206" s="81"/>
    </row>
    <row r="207" spans="1:21" s="131" customFormat="1" ht="11.4">
      <c r="A207" s="169" t="s">
        <v>103</v>
      </c>
      <c r="B207" s="169" t="s">
        <v>104</v>
      </c>
      <c r="C207" s="172"/>
      <c r="D207" s="172"/>
      <c r="E207" s="172"/>
      <c r="F207" s="167"/>
      <c r="G207" s="168"/>
      <c r="H207" s="169"/>
      <c r="I207" s="170"/>
      <c r="J207" s="171"/>
      <c r="K207" s="173"/>
      <c r="L207" s="168"/>
      <c r="M207" s="169"/>
      <c r="N207" s="170"/>
      <c r="O207" s="174"/>
      <c r="P207" s="130" t="str">
        <f t="shared" si="3"/>
        <v/>
      </c>
      <c r="Q207" s="130"/>
      <c r="R207" s="79"/>
      <c r="S207" s="80"/>
      <c r="T207" s="98"/>
      <c r="U207" s="81"/>
    </row>
    <row r="208" spans="1:21" s="131" customFormat="1" ht="11.4">
      <c r="A208" s="169" t="s">
        <v>103</v>
      </c>
      <c r="B208" s="169" t="s">
        <v>104</v>
      </c>
      <c r="C208" s="172"/>
      <c r="D208" s="172"/>
      <c r="E208" s="172"/>
      <c r="F208" s="167"/>
      <c r="G208" s="168"/>
      <c r="H208" s="169"/>
      <c r="I208" s="170"/>
      <c r="J208" s="171"/>
      <c r="K208" s="173"/>
      <c r="L208" s="168"/>
      <c r="M208" s="169"/>
      <c r="N208" s="170"/>
      <c r="O208" s="174"/>
      <c r="P208" s="130" t="str">
        <f t="shared" si="3"/>
        <v/>
      </c>
      <c r="Q208" s="130"/>
      <c r="R208" s="79"/>
      <c r="S208" s="80"/>
      <c r="T208" s="98"/>
      <c r="U208" s="81"/>
    </row>
    <row r="209" spans="1:21" s="131" customFormat="1" ht="11.4">
      <c r="A209" s="169" t="s">
        <v>103</v>
      </c>
      <c r="B209" s="169" t="s">
        <v>105</v>
      </c>
      <c r="C209" s="172"/>
      <c r="D209" s="172"/>
      <c r="E209" s="172"/>
      <c r="F209" s="167"/>
      <c r="G209" s="168"/>
      <c r="H209" s="169"/>
      <c r="I209" s="170"/>
      <c r="J209" s="171"/>
      <c r="K209" s="173"/>
      <c r="L209" s="168"/>
      <c r="M209" s="169"/>
      <c r="N209" s="170"/>
      <c r="O209" s="174"/>
      <c r="P209" s="130" t="str">
        <f t="shared" si="3"/>
        <v/>
      </c>
      <c r="Q209" s="130"/>
      <c r="R209" s="79"/>
      <c r="S209" s="80"/>
      <c r="T209" s="98"/>
      <c r="U209" s="81"/>
    </row>
    <row r="210" spans="1:21" s="131" customFormat="1" ht="11.4">
      <c r="A210" s="169" t="s">
        <v>103</v>
      </c>
      <c r="B210" s="169" t="s">
        <v>105</v>
      </c>
      <c r="C210" s="172"/>
      <c r="D210" s="172"/>
      <c r="E210" s="172"/>
      <c r="F210" s="167"/>
      <c r="G210" s="168"/>
      <c r="H210" s="169"/>
      <c r="I210" s="170"/>
      <c r="J210" s="171"/>
      <c r="K210" s="173"/>
      <c r="L210" s="168"/>
      <c r="M210" s="169"/>
      <c r="N210" s="170"/>
      <c r="O210" s="174"/>
      <c r="P210" s="130" t="str">
        <f t="shared" si="3"/>
        <v/>
      </c>
      <c r="Q210" s="130"/>
      <c r="R210" s="79"/>
      <c r="S210" s="80"/>
      <c r="T210" s="98"/>
      <c r="U210" s="81"/>
    </row>
    <row r="211" spans="1:21" s="131" customFormat="1" ht="11.4">
      <c r="A211" s="169" t="s">
        <v>103</v>
      </c>
      <c r="B211" s="169" t="s">
        <v>105</v>
      </c>
      <c r="C211" s="172"/>
      <c r="D211" s="172"/>
      <c r="E211" s="172"/>
      <c r="F211" s="167"/>
      <c r="G211" s="168"/>
      <c r="H211" s="169"/>
      <c r="I211" s="170"/>
      <c r="J211" s="171"/>
      <c r="K211" s="173"/>
      <c r="L211" s="168"/>
      <c r="M211" s="169"/>
      <c r="N211" s="170"/>
      <c r="O211" s="174"/>
      <c r="P211" s="130" t="str">
        <f t="shared" si="3"/>
        <v/>
      </c>
      <c r="Q211" s="130"/>
      <c r="R211" s="79"/>
      <c r="S211" s="80"/>
      <c r="T211" s="98"/>
      <c r="U211" s="81"/>
    </row>
    <row r="212" spans="1:21" s="131" customFormat="1" ht="11.4">
      <c r="A212" s="169" t="s">
        <v>103</v>
      </c>
      <c r="B212" s="169" t="s">
        <v>106</v>
      </c>
      <c r="C212" s="172"/>
      <c r="D212" s="172"/>
      <c r="E212" s="172"/>
      <c r="F212" s="167"/>
      <c r="G212" s="168"/>
      <c r="H212" s="169"/>
      <c r="I212" s="170"/>
      <c r="J212" s="171"/>
      <c r="K212" s="173"/>
      <c r="L212" s="168"/>
      <c r="M212" s="169"/>
      <c r="N212" s="170"/>
      <c r="O212" s="174"/>
      <c r="P212" s="130" t="str">
        <f t="shared" si="3"/>
        <v/>
      </c>
      <c r="Q212" s="130"/>
      <c r="R212" s="79"/>
      <c r="S212" s="80"/>
      <c r="T212" s="98"/>
      <c r="U212" s="81"/>
    </row>
    <row r="213" spans="1:21" s="131" customFormat="1" ht="11.4">
      <c r="A213" s="169" t="s">
        <v>103</v>
      </c>
      <c r="B213" s="169" t="s">
        <v>106</v>
      </c>
      <c r="C213" s="172"/>
      <c r="D213" s="172"/>
      <c r="E213" s="172"/>
      <c r="F213" s="167"/>
      <c r="G213" s="168"/>
      <c r="H213" s="169"/>
      <c r="I213" s="170"/>
      <c r="J213" s="171"/>
      <c r="K213" s="173"/>
      <c r="L213" s="168"/>
      <c r="M213" s="169"/>
      <c r="N213" s="170"/>
      <c r="O213" s="174"/>
      <c r="P213" s="130" t="str">
        <f t="shared" si="3"/>
        <v/>
      </c>
      <c r="Q213" s="130"/>
      <c r="R213" s="79"/>
      <c r="S213" s="80"/>
      <c r="T213" s="98"/>
      <c r="U213" s="81"/>
    </row>
    <row r="214" spans="1:21" s="131" customFormat="1" ht="11.4">
      <c r="A214" s="169" t="s">
        <v>103</v>
      </c>
      <c r="B214" s="169" t="s">
        <v>106</v>
      </c>
      <c r="C214" s="172"/>
      <c r="D214" s="172"/>
      <c r="E214" s="172"/>
      <c r="F214" s="167"/>
      <c r="G214" s="168"/>
      <c r="H214" s="169"/>
      <c r="I214" s="170"/>
      <c r="J214" s="171"/>
      <c r="K214" s="173"/>
      <c r="L214" s="168"/>
      <c r="M214" s="169"/>
      <c r="N214" s="170"/>
      <c r="O214" s="174"/>
      <c r="P214" s="130" t="str">
        <f t="shared" si="3"/>
        <v/>
      </c>
      <c r="Q214" s="130"/>
      <c r="R214" s="79"/>
      <c r="S214" s="80"/>
      <c r="T214" s="98"/>
      <c r="U214" s="81"/>
    </row>
    <row r="215" spans="1:21" s="131" customFormat="1" ht="11.4">
      <c r="A215" s="169" t="s">
        <v>103</v>
      </c>
      <c r="B215" s="169" t="s">
        <v>107</v>
      </c>
      <c r="C215" s="172"/>
      <c r="D215" s="172"/>
      <c r="E215" s="172"/>
      <c r="F215" s="167"/>
      <c r="G215" s="168"/>
      <c r="H215" s="169"/>
      <c r="I215" s="170"/>
      <c r="J215" s="171"/>
      <c r="K215" s="173"/>
      <c r="L215" s="168"/>
      <c r="M215" s="169"/>
      <c r="N215" s="170"/>
      <c r="O215" s="174"/>
      <c r="P215" s="130" t="str">
        <f t="shared" si="3"/>
        <v/>
      </c>
      <c r="Q215" s="130"/>
      <c r="R215" s="79"/>
      <c r="S215" s="80"/>
      <c r="T215" s="98"/>
      <c r="U215" s="81"/>
    </row>
    <row r="216" spans="1:21" s="131" customFormat="1" ht="11.4">
      <c r="A216" s="169" t="s">
        <v>103</v>
      </c>
      <c r="B216" s="169" t="s">
        <v>107</v>
      </c>
      <c r="C216" s="172"/>
      <c r="D216" s="172"/>
      <c r="E216" s="172"/>
      <c r="F216" s="167"/>
      <c r="G216" s="168"/>
      <c r="H216" s="169"/>
      <c r="I216" s="170"/>
      <c r="J216" s="171"/>
      <c r="K216" s="173"/>
      <c r="L216" s="168"/>
      <c r="M216" s="169"/>
      <c r="N216" s="170"/>
      <c r="O216" s="174"/>
      <c r="P216" s="130" t="str">
        <f t="shared" si="3"/>
        <v/>
      </c>
      <c r="Q216" s="130"/>
      <c r="R216" s="79"/>
      <c r="S216" s="80"/>
      <c r="T216" s="98"/>
      <c r="U216" s="81"/>
    </row>
    <row r="217" spans="1:21" s="131" customFormat="1" ht="11.4">
      <c r="A217" s="169" t="s">
        <v>103</v>
      </c>
      <c r="B217" s="169" t="s">
        <v>107</v>
      </c>
      <c r="C217" s="172"/>
      <c r="D217" s="172"/>
      <c r="E217" s="172"/>
      <c r="F217" s="167"/>
      <c r="G217" s="168"/>
      <c r="H217" s="169"/>
      <c r="I217" s="170"/>
      <c r="J217" s="171"/>
      <c r="K217" s="173"/>
      <c r="L217" s="168"/>
      <c r="M217" s="169"/>
      <c r="N217" s="170"/>
      <c r="O217" s="174"/>
      <c r="P217" s="130" t="str">
        <f t="shared" si="3"/>
        <v/>
      </c>
      <c r="Q217" s="130"/>
      <c r="R217" s="79"/>
      <c r="S217" s="80"/>
      <c r="T217" s="98"/>
      <c r="U217" s="81"/>
    </row>
    <row r="218" spans="1:21" s="131" customFormat="1" ht="11.4">
      <c r="A218" s="169" t="s">
        <v>103</v>
      </c>
      <c r="B218" s="169" t="s">
        <v>108</v>
      </c>
      <c r="C218" s="172">
        <v>43819</v>
      </c>
      <c r="D218" s="172">
        <v>44184</v>
      </c>
      <c r="E218" s="172">
        <v>43819</v>
      </c>
      <c r="F218" s="167" t="s">
        <v>37</v>
      </c>
      <c r="G218" s="168">
        <v>160000000</v>
      </c>
      <c r="H218" s="169">
        <v>0</v>
      </c>
      <c r="I218" s="170">
        <v>1.5</v>
      </c>
      <c r="J218" s="171"/>
      <c r="K218" s="173" t="s">
        <v>37</v>
      </c>
      <c r="L218" s="168">
        <v>1750000000</v>
      </c>
      <c r="M218" s="169">
        <v>0</v>
      </c>
      <c r="N218" s="170">
        <v>1.5</v>
      </c>
      <c r="O218" s="174"/>
      <c r="P218" s="130" t="str">
        <f t="shared" si="3"/>
        <v/>
      </c>
      <c r="Q218" s="130"/>
      <c r="R218" s="79"/>
      <c r="S218" s="80"/>
      <c r="T218" s="98"/>
      <c r="U218" s="81"/>
    </row>
    <row r="219" spans="1:21" s="131" customFormat="1" ht="11.4">
      <c r="A219" s="169" t="s">
        <v>103</v>
      </c>
      <c r="B219" s="169" t="s">
        <v>108</v>
      </c>
      <c r="C219" s="172">
        <v>44185</v>
      </c>
      <c r="D219" s="172">
        <v>44549</v>
      </c>
      <c r="E219" s="172">
        <v>44185</v>
      </c>
      <c r="F219" s="167" t="s">
        <v>37</v>
      </c>
      <c r="G219" s="168">
        <v>160000000</v>
      </c>
      <c r="H219" s="169">
        <v>0</v>
      </c>
      <c r="I219" s="170">
        <v>1.5</v>
      </c>
      <c r="J219" s="171"/>
      <c r="K219" s="173" t="s">
        <v>37</v>
      </c>
      <c r="L219" s="168">
        <v>1750000000</v>
      </c>
      <c r="M219" s="169">
        <v>0</v>
      </c>
      <c r="N219" s="170">
        <v>1.5</v>
      </c>
      <c r="O219" s="174"/>
      <c r="P219" s="130" t="str">
        <f t="shared" si="3"/>
        <v/>
      </c>
      <c r="Q219" s="130"/>
      <c r="R219" s="79"/>
      <c r="S219" s="80"/>
      <c r="T219" s="98"/>
      <c r="U219" s="81"/>
    </row>
    <row r="220" spans="1:21" s="131" customFormat="1" ht="11.4">
      <c r="A220" s="169" t="s">
        <v>103</v>
      </c>
      <c r="B220" s="169" t="s">
        <v>108</v>
      </c>
      <c r="C220" s="172">
        <v>44550</v>
      </c>
      <c r="D220" s="172">
        <v>44914</v>
      </c>
      <c r="E220" s="172">
        <v>44550</v>
      </c>
      <c r="F220" s="167" t="s">
        <v>37</v>
      </c>
      <c r="G220" s="168">
        <v>160000000</v>
      </c>
      <c r="H220" s="169">
        <v>0</v>
      </c>
      <c r="I220" s="170">
        <v>1.5</v>
      </c>
      <c r="J220" s="171"/>
      <c r="K220" s="173" t="s">
        <v>37</v>
      </c>
      <c r="L220" s="168">
        <v>1750000000</v>
      </c>
      <c r="M220" s="169">
        <v>0</v>
      </c>
      <c r="N220" s="170">
        <v>1.5</v>
      </c>
      <c r="O220" s="174"/>
      <c r="P220" s="130"/>
      <c r="Q220" s="130"/>
      <c r="R220" s="79"/>
      <c r="S220" s="80"/>
      <c r="T220" s="98"/>
      <c r="U220" s="81"/>
    </row>
    <row r="221" spans="1:21" s="131" customFormat="1" ht="11.4">
      <c r="A221" s="169" t="s">
        <v>103</v>
      </c>
      <c r="B221" s="169" t="s">
        <v>109</v>
      </c>
      <c r="C221" s="172"/>
      <c r="D221" s="172"/>
      <c r="E221" s="172"/>
      <c r="F221" s="167"/>
      <c r="G221" s="168"/>
      <c r="H221" s="169"/>
      <c r="I221" s="170"/>
      <c r="J221" s="171"/>
      <c r="K221" s="173"/>
      <c r="L221" s="168"/>
      <c r="M221" s="169"/>
      <c r="N221" s="170"/>
      <c r="O221" s="174"/>
      <c r="P221" s="130" t="str">
        <f t="shared" si="3"/>
        <v/>
      </c>
      <c r="Q221" s="130"/>
      <c r="R221" s="79"/>
      <c r="S221" s="80"/>
      <c r="T221" s="98"/>
      <c r="U221" s="81"/>
    </row>
    <row r="222" spans="1:21" s="131" customFormat="1" ht="11.4">
      <c r="A222" s="169" t="s">
        <v>103</v>
      </c>
      <c r="B222" s="169" t="s">
        <v>109</v>
      </c>
      <c r="C222" s="172"/>
      <c r="D222" s="172"/>
      <c r="E222" s="172"/>
      <c r="F222" s="167"/>
      <c r="G222" s="168"/>
      <c r="H222" s="169"/>
      <c r="I222" s="170"/>
      <c r="J222" s="171"/>
      <c r="K222" s="173"/>
      <c r="L222" s="168"/>
      <c r="M222" s="169"/>
      <c r="N222" s="170"/>
      <c r="O222" s="174"/>
      <c r="P222" s="130" t="str">
        <f t="shared" si="3"/>
        <v/>
      </c>
      <c r="Q222" s="130"/>
      <c r="R222" s="79"/>
      <c r="S222" s="80"/>
      <c r="T222" s="98"/>
      <c r="U222" s="81"/>
    </row>
    <row r="223" spans="1:21" s="131" customFormat="1" ht="11.4">
      <c r="A223" s="169" t="s">
        <v>103</v>
      </c>
      <c r="B223" s="169" t="s">
        <v>109</v>
      </c>
      <c r="C223" s="172"/>
      <c r="D223" s="172"/>
      <c r="E223" s="172"/>
      <c r="F223" s="167"/>
      <c r="G223" s="168"/>
      <c r="H223" s="169"/>
      <c r="I223" s="170"/>
      <c r="J223" s="171"/>
      <c r="K223" s="173"/>
      <c r="L223" s="168"/>
      <c r="M223" s="169"/>
      <c r="N223" s="170"/>
      <c r="O223" s="174"/>
      <c r="P223" s="130" t="str">
        <f t="shared" si="3"/>
        <v/>
      </c>
      <c r="Q223" s="130"/>
      <c r="R223" s="79"/>
      <c r="S223" s="80"/>
      <c r="T223" s="98"/>
      <c r="U223" s="81"/>
    </row>
    <row r="224" spans="1:21" s="131" customFormat="1" ht="11.4">
      <c r="A224" s="169" t="s">
        <v>103</v>
      </c>
      <c r="B224" s="169" t="s">
        <v>110</v>
      </c>
      <c r="C224" s="172">
        <v>43814</v>
      </c>
      <c r="D224" s="172">
        <v>44179</v>
      </c>
      <c r="E224" s="172">
        <v>43814</v>
      </c>
      <c r="F224" s="167" t="s">
        <v>37</v>
      </c>
      <c r="G224" s="168">
        <v>40000000</v>
      </c>
      <c r="H224" s="169">
        <v>0</v>
      </c>
      <c r="I224" s="170">
        <v>2</v>
      </c>
      <c r="J224" s="171"/>
      <c r="K224" s="173" t="s">
        <v>37</v>
      </c>
      <c r="L224" s="168">
        <v>1250000000</v>
      </c>
      <c r="M224" s="169">
        <v>0</v>
      </c>
      <c r="N224" s="170">
        <v>2</v>
      </c>
      <c r="O224" s="174"/>
      <c r="P224" s="130" t="str">
        <f t="shared" si="3"/>
        <v/>
      </c>
      <c r="Q224" s="130"/>
      <c r="R224" s="79"/>
      <c r="S224" s="80"/>
      <c r="T224" s="98"/>
      <c r="U224" s="81"/>
    </row>
    <row r="225" spans="1:21" s="131" customFormat="1" ht="11.4">
      <c r="A225" s="169" t="s">
        <v>103</v>
      </c>
      <c r="B225" s="169" t="s">
        <v>110</v>
      </c>
      <c r="C225" s="172">
        <v>44180</v>
      </c>
      <c r="D225" s="172">
        <v>44544</v>
      </c>
      <c r="E225" s="172">
        <v>44180</v>
      </c>
      <c r="F225" s="167" t="s">
        <v>37</v>
      </c>
      <c r="G225" s="168">
        <v>60000000</v>
      </c>
      <c r="H225" s="169">
        <v>0</v>
      </c>
      <c r="I225" s="170">
        <v>2</v>
      </c>
      <c r="J225" s="171"/>
      <c r="K225" s="173" t="s">
        <v>37</v>
      </c>
      <c r="L225" s="168">
        <v>1250000000</v>
      </c>
      <c r="M225" s="169">
        <v>0</v>
      </c>
      <c r="N225" s="170">
        <v>2</v>
      </c>
      <c r="O225" s="174"/>
      <c r="P225" s="130" t="str">
        <f t="shared" si="3"/>
        <v/>
      </c>
      <c r="Q225" s="130"/>
      <c r="R225" s="79"/>
      <c r="S225" s="80"/>
      <c r="T225" s="98"/>
      <c r="U225" s="81"/>
    </row>
    <row r="226" spans="1:21" s="131" customFormat="1" ht="11.4">
      <c r="A226" s="169" t="s">
        <v>103</v>
      </c>
      <c r="B226" s="169" t="s">
        <v>110</v>
      </c>
      <c r="C226" s="172">
        <v>44545</v>
      </c>
      <c r="D226" s="172">
        <v>44909</v>
      </c>
      <c r="E226" s="172">
        <v>44545</v>
      </c>
      <c r="F226" s="167" t="s">
        <v>37</v>
      </c>
      <c r="G226" s="168">
        <v>60000000</v>
      </c>
      <c r="H226" s="169">
        <v>0</v>
      </c>
      <c r="I226" s="170">
        <v>2</v>
      </c>
      <c r="J226" s="171"/>
      <c r="K226" s="173" t="s">
        <v>37</v>
      </c>
      <c r="L226" s="168">
        <v>1250000000</v>
      </c>
      <c r="M226" s="169">
        <v>0</v>
      </c>
      <c r="N226" s="170">
        <v>2</v>
      </c>
      <c r="O226" s="174"/>
      <c r="P226" s="130"/>
      <c r="Q226" s="130"/>
      <c r="R226" s="79"/>
      <c r="S226" s="80"/>
      <c r="T226" s="98"/>
      <c r="U226" s="81"/>
    </row>
    <row r="227" spans="1:21" s="131" customFormat="1" ht="11.4">
      <c r="A227" s="169" t="s">
        <v>103</v>
      </c>
      <c r="B227" s="169" t="s">
        <v>111</v>
      </c>
      <c r="C227" s="172">
        <v>43815</v>
      </c>
      <c r="D227" s="172">
        <v>44104</v>
      </c>
      <c r="E227" s="172">
        <v>43815</v>
      </c>
      <c r="F227" s="167" t="s">
        <v>37</v>
      </c>
      <c r="G227" s="168">
        <v>65000000</v>
      </c>
      <c r="H227" s="169">
        <v>0</v>
      </c>
      <c r="I227" s="170">
        <v>2</v>
      </c>
      <c r="J227" s="171"/>
      <c r="K227" s="173" t="s">
        <v>37</v>
      </c>
      <c r="L227" s="168">
        <v>1250000000</v>
      </c>
      <c r="M227" s="169">
        <v>0</v>
      </c>
      <c r="N227" s="170">
        <v>2</v>
      </c>
      <c r="O227" s="174"/>
      <c r="P227" s="130" t="str">
        <f t="shared" si="3"/>
        <v/>
      </c>
      <c r="Q227" s="130"/>
      <c r="R227" s="79"/>
      <c r="S227" s="80"/>
      <c r="T227" s="98"/>
      <c r="U227" s="81"/>
    </row>
    <row r="228" spans="1:21" s="131" customFormat="1" ht="11.4">
      <c r="A228" s="169" t="s">
        <v>103</v>
      </c>
      <c r="B228" s="169" t="s">
        <v>111</v>
      </c>
      <c r="C228" s="172">
        <v>44105</v>
      </c>
      <c r="D228" s="172">
        <v>44545</v>
      </c>
      <c r="E228" s="172">
        <v>44105</v>
      </c>
      <c r="F228" s="167" t="s">
        <v>37</v>
      </c>
      <c r="G228" s="168">
        <v>65000000</v>
      </c>
      <c r="H228" s="169">
        <v>0</v>
      </c>
      <c r="I228" s="170">
        <v>2</v>
      </c>
      <c r="J228" s="171"/>
      <c r="K228" s="173" t="s">
        <v>37</v>
      </c>
      <c r="L228" s="168">
        <v>1250000000</v>
      </c>
      <c r="M228" s="169">
        <v>0</v>
      </c>
      <c r="N228" s="170">
        <v>2</v>
      </c>
      <c r="O228" s="174"/>
      <c r="P228" s="130" t="str">
        <f t="shared" si="3"/>
        <v/>
      </c>
      <c r="Q228" s="130"/>
      <c r="R228" s="79"/>
      <c r="S228" s="80"/>
      <c r="T228" s="98"/>
      <c r="U228" s="81"/>
    </row>
    <row r="229" spans="1:21" s="131" customFormat="1" ht="11.4">
      <c r="A229" s="169" t="s">
        <v>103</v>
      </c>
      <c r="B229" s="169" t="s">
        <v>111</v>
      </c>
      <c r="C229" s="172">
        <v>44545</v>
      </c>
      <c r="D229" s="172">
        <v>44910</v>
      </c>
      <c r="E229" s="172">
        <v>44545</v>
      </c>
      <c r="F229" s="167" t="s">
        <v>37</v>
      </c>
      <c r="G229" s="168">
        <v>65000000</v>
      </c>
      <c r="H229" s="169">
        <v>0</v>
      </c>
      <c r="I229" s="170">
        <v>2</v>
      </c>
      <c r="J229" s="171"/>
      <c r="K229" s="173" t="s">
        <v>37</v>
      </c>
      <c r="L229" s="168">
        <v>1500000000</v>
      </c>
      <c r="M229" s="169">
        <v>0</v>
      </c>
      <c r="N229" s="170">
        <v>2</v>
      </c>
      <c r="O229" s="174"/>
      <c r="P229" s="130"/>
      <c r="Q229" s="130"/>
      <c r="R229" s="79"/>
      <c r="S229" s="80"/>
      <c r="T229" s="98"/>
      <c r="U229" s="81"/>
    </row>
    <row r="230" spans="1:21" s="131" customFormat="1" ht="11.4">
      <c r="A230" s="169" t="s">
        <v>103</v>
      </c>
      <c r="B230" s="169" t="s">
        <v>112</v>
      </c>
      <c r="C230" s="172">
        <v>43814</v>
      </c>
      <c r="D230" s="172">
        <v>44104</v>
      </c>
      <c r="E230" s="172">
        <v>43814</v>
      </c>
      <c r="F230" s="167" t="s">
        <v>37</v>
      </c>
      <c r="G230" s="168">
        <v>45000000</v>
      </c>
      <c r="H230" s="169">
        <v>0</v>
      </c>
      <c r="I230" s="170">
        <v>2</v>
      </c>
      <c r="J230" s="171"/>
      <c r="K230" s="173" t="s">
        <v>37</v>
      </c>
      <c r="L230" s="168">
        <v>1250000000</v>
      </c>
      <c r="M230" s="169">
        <v>0</v>
      </c>
      <c r="N230" s="170">
        <v>2</v>
      </c>
      <c r="O230" s="174"/>
      <c r="P230" s="130" t="str">
        <f t="shared" si="3"/>
        <v/>
      </c>
      <c r="Q230" s="130"/>
      <c r="R230" s="79"/>
      <c r="S230" s="80"/>
      <c r="T230" s="98"/>
      <c r="U230" s="81"/>
    </row>
    <row r="231" spans="1:21" s="131" customFormat="1" ht="11.4">
      <c r="A231" s="169" t="s">
        <v>103</v>
      </c>
      <c r="B231" s="169" t="s">
        <v>112</v>
      </c>
      <c r="C231" s="172">
        <v>44105</v>
      </c>
      <c r="D231" s="172">
        <v>44544</v>
      </c>
      <c r="E231" s="172">
        <v>44105</v>
      </c>
      <c r="F231" s="167" t="s">
        <v>37</v>
      </c>
      <c r="G231" s="168">
        <v>45000000</v>
      </c>
      <c r="H231" s="169">
        <v>0</v>
      </c>
      <c r="I231" s="170">
        <v>2</v>
      </c>
      <c r="J231" s="171"/>
      <c r="K231" s="173" t="s">
        <v>37</v>
      </c>
      <c r="L231" s="168">
        <v>1250000000</v>
      </c>
      <c r="M231" s="169">
        <v>0</v>
      </c>
      <c r="N231" s="170">
        <v>2</v>
      </c>
      <c r="O231" s="174"/>
      <c r="P231" s="130" t="str">
        <f t="shared" si="3"/>
        <v/>
      </c>
      <c r="Q231" s="130"/>
      <c r="R231" s="79"/>
      <c r="S231" s="80"/>
      <c r="T231" s="98"/>
      <c r="U231" s="81"/>
    </row>
    <row r="232" spans="1:21" s="131" customFormat="1" ht="11.4">
      <c r="A232" s="169" t="s">
        <v>103</v>
      </c>
      <c r="B232" s="169" t="s">
        <v>112</v>
      </c>
      <c r="C232" s="172">
        <v>44545</v>
      </c>
      <c r="D232" s="172">
        <v>44909</v>
      </c>
      <c r="E232" s="172">
        <v>44545</v>
      </c>
      <c r="F232" s="167" t="s">
        <v>37</v>
      </c>
      <c r="G232" s="168">
        <v>45000000</v>
      </c>
      <c r="H232" s="169">
        <v>0</v>
      </c>
      <c r="I232" s="170">
        <v>2</v>
      </c>
      <c r="J232" s="171"/>
      <c r="K232" s="173" t="s">
        <v>37</v>
      </c>
      <c r="L232" s="168">
        <v>1500000000</v>
      </c>
      <c r="M232" s="169">
        <v>0</v>
      </c>
      <c r="N232" s="170">
        <v>2</v>
      </c>
      <c r="O232" s="174"/>
      <c r="P232" s="130"/>
      <c r="Q232" s="130"/>
      <c r="R232" s="79"/>
      <c r="S232" s="80"/>
      <c r="T232" s="98"/>
      <c r="U232" s="81"/>
    </row>
    <row r="233" spans="1:21" s="131" customFormat="1" ht="11.4">
      <c r="A233" s="169" t="s">
        <v>103</v>
      </c>
      <c r="B233" s="169" t="s">
        <v>113</v>
      </c>
      <c r="C233" s="172"/>
      <c r="D233" s="172"/>
      <c r="E233" s="172"/>
      <c r="F233" s="167"/>
      <c r="G233" s="168"/>
      <c r="H233" s="169"/>
      <c r="I233" s="170"/>
      <c r="J233" s="171"/>
      <c r="K233" s="173"/>
      <c r="L233" s="168"/>
      <c r="M233" s="169"/>
      <c r="N233" s="170"/>
      <c r="O233" s="174"/>
      <c r="P233" s="130" t="str">
        <f t="shared" si="3"/>
        <v/>
      </c>
      <c r="Q233" s="130"/>
      <c r="R233" s="79"/>
      <c r="S233" s="80"/>
      <c r="T233" s="98"/>
      <c r="U233" s="81"/>
    </row>
    <row r="234" spans="1:21" s="131" customFormat="1" ht="11.4">
      <c r="A234" s="169" t="s">
        <v>103</v>
      </c>
      <c r="B234" s="169" t="s">
        <v>113</v>
      </c>
      <c r="C234" s="172"/>
      <c r="D234" s="172"/>
      <c r="E234" s="172"/>
      <c r="F234" s="167"/>
      <c r="G234" s="168"/>
      <c r="H234" s="169"/>
      <c r="I234" s="170"/>
      <c r="J234" s="171"/>
      <c r="K234" s="173"/>
      <c r="L234" s="168"/>
      <c r="M234" s="169"/>
      <c r="N234" s="170"/>
      <c r="O234" s="174"/>
      <c r="P234" s="130" t="str">
        <f t="shared" si="3"/>
        <v/>
      </c>
      <c r="Q234" s="130"/>
      <c r="R234" s="79"/>
      <c r="S234" s="80"/>
      <c r="T234" s="98"/>
      <c r="U234" s="81"/>
    </row>
    <row r="235" spans="1:21" s="131" customFormat="1" ht="11.4">
      <c r="A235" s="169" t="s">
        <v>103</v>
      </c>
      <c r="B235" s="169" t="s">
        <v>113</v>
      </c>
      <c r="C235" s="172"/>
      <c r="D235" s="172"/>
      <c r="E235" s="172"/>
      <c r="F235" s="167"/>
      <c r="G235" s="168"/>
      <c r="H235" s="169"/>
      <c r="I235" s="170"/>
      <c r="J235" s="171"/>
      <c r="K235" s="173"/>
      <c r="L235" s="168"/>
      <c r="M235" s="169"/>
      <c r="N235" s="170"/>
      <c r="O235" s="174"/>
      <c r="P235" s="130" t="str">
        <f t="shared" si="3"/>
        <v/>
      </c>
      <c r="Q235" s="130"/>
      <c r="R235" s="79"/>
      <c r="S235" s="80"/>
      <c r="T235" s="98"/>
      <c r="U235" s="81"/>
    </row>
    <row r="236" spans="1:21" s="131" customFormat="1" ht="11.4">
      <c r="A236" s="169" t="s">
        <v>103</v>
      </c>
      <c r="B236" s="169" t="s">
        <v>114</v>
      </c>
      <c r="C236" s="172"/>
      <c r="D236" s="172"/>
      <c r="E236" s="172"/>
      <c r="F236" s="167"/>
      <c r="G236" s="168"/>
      <c r="H236" s="169"/>
      <c r="I236" s="170"/>
      <c r="J236" s="171"/>
      <c r="K236" s="173"/>
      <c r="L236" s="168"/>
      <c r="M236" s="169"/>
      <c r="N236" s="170"/>
      <c r="O236" s="174"/>
      <c r="P236" s="130" t="str">
        <f t="shared" si="3"/>
        <v/>
      </c>
      <c r="Q236" s="130"/>
      <c r="R236" s="79"/>
      <c r="S236" s="80"/>
      <c r="T236" s="98"/>
      <c r="U236" s="81"/>
    </row>
    <row r="237" spans="1:21" s="131" customFormat="1" ht="11.4">
      <c r="A237" s="169" t="s">
        <v>103</v>
      </c>
      <c r="B237" s="169" t="s">
        <v>114</v>
      </c>
      <c r="C237" s="172"/>
      <c r="D237" s="172"/>
      <c r="E237" s="172"/>
      <c r="F237" s="167"/>
      <c r="G237" s="168"/>
      <c r="H237" s="169"/>
      <c r="I237" s="170"/>
      <c r="J237" s="171"/>
      <c r="K237" s="173"/>
      <c r="L237" s="168"/>
      <c r="M237" s="169"/>
      <c r="N237" s="170"/>
      <c r="O237" s="174"/>
      <c r="P237" s="130" t="str">
        <f t="shared" si="3"/>
        <v/>
      </c>
      <c r="Q237" s="130"/>
      <c r="R237" s="79"/>
      <c r="S237" s="80"/>
      <c r="T237" s="98"/>
      <c r="U237" s="81"/>
    </row>
    <row r="238" spans="1:21" s="131" customFormat="1" ht="11.4">
      <c r="A238" s="169" t="s">
        <v>103</v>
      </c>
      <c r="B238" s="169" t="s">
        <v>114</v>
      </c>
      <c r="C238" s="172"/>
      <c r="D238" s="172"/>
      <c r="E238" s="172"/>
      <c r="F238" s="167"/>
      <c r="G238" s="168"/>
      <c r="H238" s="169"/>
      <c r="I238" s="170"/>
      <c r="J238" s="171"/>
      <c r="K238" s="173"/>
      <c r="L238" s="168"/>
      <c r="M238" s="169"/>
      <c r="N238" s="170"/>
      <c r="O238" s="174"/>
      <c r="P238" s="130" t="str">
        <f t="shared" si="3"/>
        <v/>
      </c>
      <c r="Q238" s="130"/>
      <c r="R238" s="79"/>
      <c r="S238" s="80"/>
      <c r="T238" s="98"/>
      <c r="U238" s="81"/>
    </row>
    <row r="239" spans="1:21" s="131" customFormat="1" ht="11.4">
      <c r="A239" s="169" t="s">
        <v>103</v>
      </c>
      <c r="B239" s="169" t="s">
        <v>115</v>
      </c>
      <c r="C239" s="172">
        <v>43814</v>
      </c>
      <c r="D239" s="172">
        <v>44104</v>
      </c>
      <c r="E239" s="172">
        <v>43814</v>
      </c>
      <c r="F239" s="167" t="s">
        <v>37</v>
      </c>
      <c r="G239" s="168">
        <v>50000000</v>
      </c>
      <c r="H239" s="169">
        <v>0</v>
      </c>
      <c r="I239" s="170">
        <v>2</v>
      </c>
      <c r="J239" s="171"/>
      <c r="K239" s="173" t="s">
        <v>37</v>
      </c>
      <c r="L239" s="168">
        <v>1250000000</v>
      </c>
      <c r="M239" s="169">
        <v>0</v>
      </c>
      <c r="N239" s="170">
        <v>2</v>
      </c>
      <c r="O239" s="174"/>
      <c r="P239" s="130" t="str">
        <f t="shared" si="3"/>
        <v/>
      </c>
      <c r="Q239" s="130"/>
      <c r="R239" s="79"/>
      <c r="S239" s="80"/>
      <c r="T239" s="98"/>
      <c r="U239" s="81"/>
    </row>
    <row r="240" spans="1:21" s="131" customFormat="1" ht="11.4">
      <c r="A240" s="169" t="s">
        <v>103</v>
      </c>
      <c r="B240" s="169" t="s">
        <v>115</v>
      </c>
      <c r="C240" s="172">
        <v>44105</v>
      </c>
      <c r="D240" s="172">
        <v>44544</v>
      </c>
      <c r="E240" s="172">
        <v>44180</v>
      </c>
      <c r="F240" s="167" t="s">
        <v>37</v>
      </c>
      <c r="G240" s="168">
        <v>100000000</v>
      </c>
      <c r="H240" s="169">
        <v>0</v>
      </c>
      <c r="I240" s="170">
        <v>2</v>
      </c>
      <c r="J240" s="171"/>
      <c r="K240" s="173" t="s">
        <v>37</v>
      </c>
      <c r="L240" s="168">
        <v>1250000000</v>
      </c>
      <c r="M240" s="169">
        <v>0</v>
      </c>
      <c r="N240" s="170">
        <v>2</v>
      </c>
      <c r="O240" s="174"/>
      <c r="P240" s="130" t="str">
        <f t="shared" si="3"/>
        <v/>
      </c>
      <c r="Q240" s="130"/>
      <c r="R240" s="79"/>
      <c r="S240" s="80"/>
      <c r="T240" s="98"/>
      <c r="U240" s="81"/>
    </row>
    <row r="241" spans="1:21" s="131" customFormat="1" ht="11.4">
      <c r="A241" s="169" t="s">
        <v>103</v>
      </c>
      <c r="B241" s="169" t="s">
        <v>115</v>
      </c>
      <c r="C241" s="172"/>
      <c r="D241" s="172"/>
      <c r="E241" s="172"/>
      <c r="F241" s="167"/>
      <c r="G241" s="168" t="s">
        <v>278</v>
      </c>
      <c r="H241" s="169"/>
      <c r="I241" s="170"/>
      <c r="J241" s="171"/>
      <c r="K241" s="173"/>
      <c r="L241" s="168" t="s">
        <v>278</v>
      </c>
      <c r="M241" s="169"/>
      <c r="N241" s="170"/>
      <c r="O241" s="174"/>
      <c r="P241" s="130"/>
      <c r="Q241" s="130"/>
      <c r="R241" s="79"/>
      <c r="S241" s="80"/>
      <c r="T241" s="98"/>
      <c r="U241" s="81"/>
    </row>
    <row r="242" spans="1:21" s="131" customFormat="1" ht="11.4">
      <c r="A242" s="169" t="s">
        <v>103</v>
      </c>
      <c r="B242" s="169" t="s">
        <v>116</v>
      </c>
      <c r="C242" s="172"/>
      <c r="D242" s="172"/>
      <c r="E242" s="172"/>
      <c r="F242" s="167"/>
      <c r="G242" s="168"/>
      <c r="H242" s="169"/>
      <c r="I242" s="169"/>
      <c r="J242" s="171"/>
      <c r="K242" s="173"/>
      <c r="L242" s="168"/>
      <c r="M242" s="169"/>
      <c r="N242" s="170"/>
      <c r="O242" s="174"/>
      <c r="P242" s="130" t="str">
        <f t="shared" si="3"/>
        <v/>
      </c>
      <c r="Q242" s="130"/>
      <c r="R242" s="79"/>
      <c r="S242" s="80"/>
      <c r="T242" s="98"/>
      <c r="U242" s="81"/>
    </row>
    <row r="243" spans="1:21" s="131" customFormat="1" ht="11.4">
      <c r="A243" s="169" t="s">
        <v>103</v>
      </c>
      <c r="B243" s="169" t="s">
        <v>116</v>
      </c>
      <c r="C243" s="172"/>
      <c r="D243" s="172"/>
      <c r="E243" s="172"/>
      <c r="F243" s="167"/>
      <c r="G243" s="168"/>
      <c r="H243" s="169"/>
      <c r="I243" s="169"/>
      <c r="J243" s="171"/>
      <c r="K243" s="173"/>
      <c r="L243" s="168"/>
      <c r="M243" s="169"/>
      <c r="N243" s="170"/>
      <c r="O243" s="174"/>
      <c r="P243" s="130" t="str">
        <f t="shared" si="3"/>
        <v/>
      </c>
      <c r="Q243" s="130"/>
      <c r="R243" s="79"/>
      <c r="S243" s="80"/>
      <c r="T243" s="98"/>
      <c r="U243" s="81"/>
    </row>
    <row r="244" spans="1:21" s="131" customFormat="1" ht="11.4">
      <c r="A244" s="169" t="s">
        <v>103</v>
      </c>
      <c r="B244" s="169" t="s">
        <v>116</v>
      </c>
      <c r="C244" s="172"/>
      <c r="D244" s="172"/>
      <c r="E244" s="172"/>
      <c r="F244" s="167"/>
      <c r="G244" s="168"/>
      <c r="H244" s="169"/>
      <c r="I244" s="169"/>
      <c r="J244" s="171"/>
      <c r="K244" s="173"/>
      <c r="L244" s="168"/>
      <c r="M244" s="169"/>
      <c r="N244" s="170"/>
      <c r="O244" s="174"/>
      <c r="P244" s="130" t="str">
        <f t="shared" si="3"/>
        <v/>
      </c>
      <c r="Q244" s="130"/>
      <c r="R244" s="79"/>
      <c r="S244" s="80"/>
      <c r="T244" s="98"/>
      <c r="U244" s="81"/>
    </row>
    <row r="245" spans="1:21" s="131" customFormat="1" ht="11.4">
      <c r="A245" s="169" t="s">
        <v>103</v>
      </c>
      <c r="B245" s="169" t="s">
        <v>117</v>
      </c>
      <c r="C245" s="172"/>
      <c r="D245" s="172"/>
      <c r="E245" s="172"/>
      <c r="F245" s="167"/>
      <c r="G245" s="168"/>
      <c r="H245" s="169"/>
      <c r="I245" s="169"/>
      <c r="J245" s="171"/>
      <c r="K245" s="173"/>
      <c r="L245" s="168"/>
      <c r="M245" s="169"/>
      <c r="N245" s="170"/>
      <c r="O245" s="174"/>
      <c r="P245" s="130" t="str">
        <f t="shared" si="3"/>
        <v/>
      </c>
      <c r="Q245" s="130"/>
      <c r="R245" s="79"/>
      <c r="S245" s="80"/>
      <c r="T245" s="98"/>
      <c r="U245" s="81"/>
    </row>
    <row r="246" spans="1:21" s="131" customFormat="1" ht="11.4">
      <c r="A246" s="169" t="s">
        <v>103</v>
      </c>
      <c r="B246" s="169" t="s">
        <v>117</v>
      </c>
      <c r="C246" s="172"/>
      <c r="D246" s="172"/>
      <c r="E246" s="172"/>
      <c r="F246" s="167"/>
      <c r="G246" s="168"/>
      <c r="H246" s="169"/>
      <c r="I246" s="169"/>
      <c r="J246" s="171"/>
      <c r="K246" s="173"/>
      <c r="L246" s="168"/>
      <c r="M246" s="169"/>
      <c r="N246" s="170"/>
      <c r="O246" s="174"/>
      <c r="P246" s="130" t="str">
        <f t="shared" si="3"/>
        <v/>
      </c>
      <c r="Q246" s="130"/>
      <c r="R246" s="79"/>
      <c r="S246" s="80"/>
      <c r="T246" s="98"/>
      <c r="U246" s="81"/>
    </row>
    <row r="247" spans="1:21" s="131" customFormat="1" ht="11.4">
      <c r="A247" s="169" t="s">
        <v>103</v>
      </c>
      <c r="B247" s="169" t="s">
        <v>117</v>
      </c>
      <c r="C247" s="172"/>
      <c r="D247" s="172"/>
      <c r="E247" s="172"/>
      <c r="F247" s="167"/>
      <c r="G247" s="168"/>
      <c r="H247" s="169"/>
      <c r="I247" s="169"/>
      <c r="J247" s="171"/>
      <c r="K247" s="173"/>
      <c r="L247" s="168"/>
      <c r="M247" s="169"/>
      <c r="N247" s="170"/>
      <c r="O247" s="174"/>
      <c r="P247" s="130" t="str">
        <f t="shared" si="3"/>
        <v/>
      </c>
      <c r="Q247" s="130"/>
      <c r="R247" s="79"/>
      <c r="S247" s="80"/>
      <c r="T247" s="98"/>
      <c r="U247" s="81"/>
    </row>
    <row r="248" spans="1:21" s="131" customFormat="1" ht="11.4">
      <c r="A248" s="169" t="s">
        <v>119</v>
      </c>
      <c r="B248" s="169" t="s">
        <v>120</v>
      </c>
      <c r="C248" s="172"/>
      <c r="D248" s="172"/>
      <c r="E248" s="172"/>
      <c r="F248" s="167"/>
      <c r="G248" s="168"/>
      <c r="H248" s="169"/>
      <c r="I248" s="169"/>
      <c r="J248" s="171"/>
      <c r="K248" s="173"/>
      <c r="L248" s="168"/>
      <c r="M248" s="169"/>
      <c r="N248" s="170"/>
      <c r="O248" s="174"/>
      <c r="P248" s="130" t="str">
        <f t="shared" si="3"/>
        <v/>
      </c>
      <c r="Q248" s="130"/>
      <c r="R248" s="79"/>
      <c r="S248" s="80"/>
      <c r="T248" s="98"/>
      <c r="U248" s="81"/>
    </row>
    <row r="249" spans="1:21" s="131" customFormat="1" ht="11.4">
      <c r="A249" s="169" t="s">
        <v>119</v>
      </c>
      <c r="B249" s="169" t="s">
        <v>120</v>
      </c>
      <c r="C249" s="172"/>
      <c r="D249" s="172"/>
      <c r="E249" s="172"/>
      <c r="F249" s="167"/>
      <c r="G249" s="168"/>
      <c r="H249" s="169"/>
      <c r="I249" s="169"/>
      <c r="J249" s="171"/>
      <c r="K249" s="173"/>
      <c r="L249" s="168"/>
      <c r="M249" s="169"/>
      <c r="N249" s="170"/>
      <c r="O249" s="174"/>
      <c r="P249" s="130" t="str">
        <f t="shared" si="3"/>
        <v/>
      </c>
      <c r="Q249" s="130"/>
      <c r="R249" s="79"/>
      <c r="S249" s="80"/>
      <c r="T249" s="98"/>
      <c r="U249" s="81"/>
    </row>
    <row r="250" spans="1:21">
      <c r="A250" s="169" t="s">
        <v>119</v>
      </c>
      <c r="B250" s="169" t="s">
        <v>120</v>
      </c>
      <c r="C250" s="172"/>
      <c r="D250" s="172"/>
      <c r="E250" s="172"/>
      <c r="F250" s="167"/>
      <c r="G250" s="168"/>
      <c r="H250" s="169"/>
      <c r="I250" s="169"/>
      <c r="J250" s="171"/>
      <c r="K250" s="173"/>
      <c r="L250" s="168"/>
      <c r="M250" s="169"/>
      <c r="N250" s="170"/>
      <c r="O250" s="174"/>
      <c r="P250" s="130" t="str">
        <f t="shared" si="3"/>
        <v/>
      </c>
      <c r="Q250" s="130"/>
      <c r="R250" s="79"/>
      <c r="S250" s="80"/>
      <c r="T250" s="98"/>
      <c r="U250" s="81"/>
    </row>
    <row r="251" spans="1:21">
      <c r="A251" s="169" t="s">
        <v>119</v>
      </c>
      <c r="B251" s="169" t="s">
        <v>120</v>
      </c>
      <c r="C251" s="172"/>
      <c r="D251" s="172"/>
      <c r="E251" s="172"/>
      <c r="F251" s="167"/>
      <c r="G251" s="168"/>
      <c r="H251" s="169"/>
      <c r="I251" s="169"/>
      <c r="J251" s="171"/>
      <c r="K251" s="173"/>
      <c r="L251" s="168"/>
      <c r="M251" s="169"/>
      <c r="N251" s="170"/>
      <c r="O251" s="174"/>
      <c r="P251" s="130" t="str">
        <f t="shared" si="3"/>
        <v/>
      </c>
      <c r="Q251" s="130"/>
      <c r="R251" s="79"/>
      <c r="S251" s="80"/>
      <c r="T251" s="98"/>
      <c r="U251" s="81"/>
    </row>
    <row r="252" spans="1:21">
      <c r="A252" s="169" t="s">
        <v>119</v>
      </c>
      <c r="B252" s="169" t="s">
        <v>120</v>
      </c>
      <c r="C252" s="172"/>
      <c r="D252" s="172"/>
      <c r="E252" s="172"/>
      <c r="F252" s="167"/>
      <c r="G252" s="168"/>
      <c r="H252" s="169"/>
      <c r="I252" s="169"/>
      <c r="J252" s="171"/>
      <c r="K252" s="173"/>
      <c r="L252" s="168"/>
      <c r="M252" s="169"/>
      <c r="N252" s="170"/>
      <c r="O252" s="174"/>
      <c r="P252" s="130" t="str">
        <f t="shared" si="3"/>
        <v/>
      </c>
      <c r="Q252" s="130"/>
      <c r="R252" s="79"/>
      <c r="S252" s="80"/>
      <c r="T252" s="98"/>
      <c r="U252" s="81"/>
    </row>
    <row r="253" spans="1:21">
      <c r="A253" s="169" t="s">
        <v>119</v>
      </c>
      <c r="B253" s="169" t="s">
        <v>120</v>
      </c>
      <c r="C253" s="172"/>
      <c r="D253" s="172"/>
      <c r="E253" s="172"/>
      <c r="F253" s="167"/>
      <c r="G253" s="168"/>
      <c r="H253" s="169"/>
      <c r="I253" s="169"/>
      <c r="J253" s="171"/>
      <c r="K253" s="173"/>
      <c r="L253" s="168"/>
      <c r="M253" s="169"/>
      <c r="N253" s="170"/>
      <c r="O253" s="174"/>
      <c r="P253" s="130" t="str">
        <f t="shared" si="3"/>
        <v/>
      </c>
      <c r="Q253" s="130"/>
      <c r="R253" s="79"/>
      <c r="S253" s="80"/>
      <c r="T253" s="98"/>
      <c r="U253" s="80"/>
    </row>
    <row r="254" spans="1:21">
      <c r="A254" s="169" t="s">
        <v>119</v>
      </c>
      <c r="B254" s="169" t="s">
        <v>121</v>
      </c>
      <c r="C254" s="172"/>
      <c r="D254" s="172"/>
      <c r="E254" s="172"/>
      <c r="F254" s="167"/>
      <c r="G254" s="168"/>
      <c r="H254" s="169"/>
      <c r="I254" s="169"/>
      <c r="J254" s="171"/>
      <c r="K254" s="173"/>
      <c r="L254" s="168"/>
      <c r="M254" s="169"/>
      <c r="N254" s="170"/>
      <c r="O254" s="213"/>
      <c r="P254" s="1" t="str">
        <f t="shared" si="3"/>
        <v/>
      </c>
      <c r="Q254" s="1"/>
      <c r="R254" s="79"/>
      <c r="S254" s="80"/>
      <c r="T254" s="98"/>
      <c r="U254" s="80"/>
    </row>
    <row r="255" spans="1:21">
      <c r="A255" s="169" t="s">
        <v>119</v>
      </c>
      <c r="B255" s="169" t="s">
        <v>121</v>
      </c>
      <c r="C255" s="172"/>
      <c r="D255" s="172"/>
      <c r="E255" s="172"/>
      <c r="F255" s="167"/>
      <c r="G255" s="168"/>
      <c r="H255" s="169"/>
      <c r="I255" s="169"/>
      <c r="J255" s="171"/>
      <c r="K255" s="173"/>
      <c r="L255" s="168"/>
      <c r="M255" s="169"/>
      <c r="N255" s="170"/>
      <c r="O255" s="213"/>
      <c r="P255" s="1" t="str">
        <f t="shared" si="3"/>
        <v/>
      </c>
      <c r="Q255" s="1"/>
      <c r="R255" s="79"/>
      <c r="S255" s="80"/>
      <c r="T255" s="98"/>
      <c r="U255" s="80"/>
    </row>
    <row r="256" spans="1:21">
      <c r="A256" s="169" t="s">
        <v>119</v>
      </c>
      <c r="B256" s="169" t="s">
        <v>121</v>
      </c>
      <c r="C256" s="172"/>
      <c r="D256" s="172"/>
      <c r="E256" s="172"/>
      <c r="F256" s="167"/>
      <c r="G256" s="168"/>
      <c r="H256" s="169"/>
      <c r="I256" s="169"/>
      <c r="J256" s="171"/>
      <c r="K256" s="173"/>
      <c r="L256" s="168"/>
      <c r="M256" s="169"/>
      <c r="N256" s="170"/>
      <c r="O256" s="174"/>
      <c r="P256" s="1" t="str">
        <f t="shared" si="3"/>
        <v/>
      </c>
      <c r="Q256" s="1"/>
      <c r="R256" s="79"/>
      <c r="S256" s="80"/>
      <c r="T256" s="98"/>
      <c r="U256" s="80"/>
    </row>
    <row r="257" spans="1:21">
      <c r="A257" s="169" t="s">
        <v>119</v>
      </c>
      <c r="B257" s="169" t="s">
        <v>122</v>
      </c>
      <c r="C257" s="172"/>
      <c r="D257" s="172"/>
      <c r="E257" s="172"/>
      <c r="F257" s="167"/>
      <c r="G257" s="168"/>
      <c r="H257" s="169"/>
      <c r="I257" s="169"/>
      <c r="J257" s="171"/>
      <c r="K257" s="173"/>
      <c r="L257" s="168"/>
      <c r="M257" s="169"/>
      <c r="N257" s="170"/>
      <c r="O257" s="213"/>
      <c r="P257" s="1" t="str">
        <f t="shared" si="3"/>
        <v/>
      </c>
      <c r="Q257" s="1"/>
      <c r="R257" s="79"/>
      <c r="S257" s="80"/>
      <c r="T257" s="98"/>
      <c r="U257" s="80"/>
    </row>
    <row r="258" spans="1:21">
      <c r="A258" s="169" t="s">
        <v>119</v>
      </c>
      <c r="B258" s="169" t="s">
        <v>122</v>
      </c>
      <c r="C258" s="172"/>
      <c r="D258" s="172"/>
      <c r="E258" s="172"/>
      <c r="F258" s="167"/>
      <c r="G258" s="168"/>
      <c r="H258" s="169"/>
      <c r="I258" s="169"/>
      <c r="J258" s="171"/>
      <c r="K258" s="173"/>
      <c r="L258" s="168"/>
      <c r="M258" s="169"/>
      <c r="N258" s="170"/>
      <c r="O258" s="213"/>
      <c r="P258" s="1" t="str">
        <f t="shared" si="3"/>
        <v/>
      </c>
      <c r="Q258" s="1"/>
      <c r="R258" s="79"/>
      <c r="S258" s="80"/>
      <c r="T258" s="98"/>
      <c r="U258" s="80"/>
    </row>
    <row r="259" spans="1:21">
      <c r="A259" s="169" t="s">
        <v>119</v>
      </c>
      <c r="B259" s="169" t="s">
        <v>122</v>
      </c>
      <c r="C259" s="172"/>
      <c r="D259" s="172"/>
      <c r="E259" s="172"/>
      <c r="F259" s="167"/>
      <c r="G259" s="168"/>
      <c r="H259" s="169"/>
      <c r="I259" s="169"/>
      <c r="J259" s="171"/>
      <c r="K259" s="173"/>
      <c r="L259" s="168"/>
      <c r="M259" s="169"/>
      <c r="N259" s="170"/>
      <c r="O259" s="174"/>
      <c r="P259" s="1" t="str">
        <f t="shared" si="3"/>
        <v/>
      </c>
      <c r="Q259" s="1"/>
      <c r="R259" s="79"/>
      <c r="S259" s="80"/>
      <c r="T259" s="98"/>
      <c r="U259" s="80"/>
    </row>
    <row r="260" spans="1:21">
      <c r="A260" s="169" t="s">
        <v>119</v>
      </c>
      <c r="B260" s="169" t="s">
        <v>123</v>
      </c>
      <c r="C260" s="172"/>
      <c r="D260" s="172"/>
      <c r="E260" s="172"/>
      <c r="F260" s="167"/>
      <c r="G260" s="168"/>
      <c r="H260" s="169"/>
      <c r="I260" s="169"/>
      <c r="J260" s="171"/>
      <c r="K260" s="173"/>
      <c r="L260" s="168"/>
      <c r="M260" s="169"/>
      <c r="N260" s="170"/>
      <c r="O260" s="213"/>
      <c r="P260" s="1" t="str">
        <f t="shared" si="3"/>
        <v/>
      </c>
      <c r="Q260" s="1"/>
      <c r="R260" s="79"/>
      <c r="S260" s="80"/>
      <c r="T260" s="98"/>
      <c r="U260" s="80"/>
    </row>
    <row r="261" spans="1:21">
      <c r="A261" s="169" t="s">
        <v>119</v>
      </c>
      <c r="B261" s="169" t="s">
        <v>123</v>
      </c>
      <c r="C261" s="172"/>
      <c r="D261" s="172"/>
      <c r="E261" s="172"/>
      <c r="F261" s="167"/>
      <c r="G261" s="168"/>
      <c r="H261" s="169"/>
      <c r="I261" s="169"/>
      <c r="J261" s="171"/>
      <c r="K261" s="173"/>
      <c r="L261" s="168"/>
      <c r="M261" s="169"/>
      <c r="N261" s="170"/>
      <c r="O261" s="213"/>
      <c r="P261" s="1" t="str">
        <f t="shared" si="3"/>
        <v/>
      </c>
      <c r="Q261" s="1"/>
      <c r="R261" s="79"/>
      <c r="S261" s="80"/>
      <c r="T261" s="98"/>
      <c r="U261" s="80"/>
    </row>
    <row r="262" spans="1:21">
      <c r="A262" s="169" t="s">
        <v>119</v>
      </c>
      <c r="B262" s="169" t="s">
        <v>123</v>
      </c>
      <c r="C262" s="172"/>
      <c r="D262" s="172"/>
      <c r="E262" s="172"/>
      <c r="F262" s="167"/>
      <c r="G262" s="168"/>
      <c r="H262" s="169"/>
      <c r="I262" s="169"/>
      <c r="J262" s="171"/>
      <c r="K262" s="173"/>
      <c r="L262" s="168"/>
      <c r="M262" s="169"/>
      <c r="N262" s="170"/>
      <c r="O262" s="174"/>
      <c r="P262" s="1" t="str">
        <f t="shared" si="3"/>
        <v/>
      </c>
      <c r="Q262" s="1"/>
      <c r="R262" s="79"/>
      <c r="S262" s="80"/>
      <c r="T262" s="98"/>
      <c r="U262" s="80"/>
    </row>
    <row r="263" spans="1:21">
      <c r="A263" s="169" t="s">
        <v>119</v>
      </c>
      <c r="B263" s="169" t="s">
        <v>124</v>
      </c>
      <c r="C263" s="172"/>
      <c r="D263" s="172"/>
      <c r="E263" s="172"/>
      <c r="F263" s="167"/>
      <c r="G263" s="168"/>
      <c r="H263" s="169"/>
      <c r="I263" s="169"/>
      <c r="J263" s="171"/>
      <c r="K263" s="173"/>
      <c r="L263" s="168"/>
      <c r="M263" s="169"/>
      <c r="N263" s="170"/>
      <c r="O263" s="213"/>
      <c r="P263" s="1" t="str">
        <f t="shared" si="3"/>
        <v/>
      </c>
      <c r="Q263" s="1"/>
      <c r="R263" s="79"/>
      <c r="S263" s="80"/>
      <c r="T263" s="98"/>
      <c r="U263" s="80"/>
    </row>
    <row r="264" spans="1:21">
      <c r="A264" s="169" t="s">
        <v>119</v>
      </c>
      <c r="B264" s="169" t="s">
        <v>124</v>
      </c>
      <c r="C264" s="172"/>
      <c r="D264" s="172"/>
      <c r="E264" s="172"/>
      <c r="F264" s="167"/>
      <c r="G264" s="168"/>
      <c r="H264" s="169"/>
      <c r="I264" s="169"/>
      <c r="J264" s="171"/>
      <c r="K264" s="173"/>
      <c r="L264" s="168"/>
      <c r="M264" s="169"/>
      <c r="N264" s="170"/>
      <c r="O264" s="213"/>
      <c r="P264" s="1" t="str">
        <f t="shared" si="3"/>
        <v/>
      </c>
      <c r="Q264" s="1"/>
      <c r="R264" s="79"/>
      <c r="S264" s="80"/>
      <c r="T264" s="98"/>
      <c r="U264" s="80"/>
    </row>
    <row r="265" spans="1:21">
      <c r="A265" s="169" t="s">
        <v>119</v>
      </c>
      <c r="B265" s="169" t="s">
        <v>124</v>
      </c>
      <c r="C265" s="172"/>
      <c r="D265" s="172"/>
      <c r="E265" s="172"/>
      <c r="F265" s="167"/>
      <c r="G265" s="168"/>
      <c r="H265" s="169"/>
      <c r="I265" s="169"/>
      <c r="J265" s="171"/>
      <c r="K265" s="173"/>
      <c r="L265" s="168"/>
      <c r="M265" s="169"/>
      <c r="N265" s="170"/>
      <c r="O265" s="213"/>
      <c r="P265" s="1" t="str">
        <f t="shared" si="3"/>
        <v/>
      </c>
      <c r="Q265" s="1"/>
      <c r="R265" s="79"/>
      <c r="S265" s="80"/>
      <c r="T265" s="98"/>
      <c r="U265" s="80"/>
    </row>
    <row r="266" spans="1:21">
      <c r="A266" s="169" t="s">
        <v>119</v>
      </c>
      <c r="B266" s="169" t="s">
        <v>124</v>
      </c>
      <c r="C266" s="172"/>
      <c r="D266" s="172"/>
      <c r="E266" s="172"/>
      <c r="F266" s="167"/>
      <c r="G266" s="168"/>
      <c r="H266" s="169"/>
      <c r="I266" s="169"/>
      <c r="J266" s="171"/>
      <c r="K266" s="173"/>
      <c r="L266" s="168"/>
      <c r="M266" s="169"/>
      <c r="N266" s="170"/>
      <c r="O266" s="213"/>
      <c r="P266" s="1" t="str">
        <f t="shared" si="3"/>
        <v/>
      </c>
      <c r="Q266" s="1"/>
      <c r="R266" s="79"/>
      <c r="S266" s="80"/>
      <c r="T266" s="98"/>
      <c r="U266" s="80"/>
    </row>
    <row r="267" spans="1:21">
      <c r="A267" s="169" t="s">
        <v>119</v>
      </c>
      <c r="B267" s="169" t="s">
        <v>124</v>
      </c>
      <c r="C267" s="172"/>
      <c r="D267" s="172"/>
      <c r="E267" s="172"/>
      <c r="F267" s="167"/>
      <c r="G267" s="168"/>
      <c r="H267" s="169"/>
      <c r="I267" s="169"/>
      <c r="J267" s="171"/>
      <c r="K267" s="173"/>
      <c r="L267" s="168"/>
      <c r="M267" s="169"/>
      <c r="N267" s="170"/>
      <c r="O267" s="213"/>
      <c r="P267" s="1" t="str">
        <f t="shared" si="3"/>
        <v/>
      </c>
      <c r="Q267" s="1"/>
      <c r="R267" s="79"/>
      <c r="S267" s="80"/>
      <c r="T267" s="98"/>
      <c r="U267" s="80"/>
    </row>
    <row r="268" spans="1:21">
      <c r="A268" s="169" t="s">
        <v>119</v>
      </c>
      <c r="B268" s="169" t="s">
        <v>124</v>
      </c>
      <c r="C268" s="172"/>
      <c r="D268" s="172"/>
      <c r="E268" s="172"/>
      <c r="F268" s="167"/>
      <c r="G268" s="168"/>
      <c r="H268" s="169"/>
      <c r="I268" s="169"/>
      <c r="J268" s="171"/>
      <c r="K268" s="173"/>
      <c r="L268" s="168"/>
      <c r="M268" s="169"/>
      <c r="N268" s="170"/>
      <c r="O268" s="174"/>
      <c r="P268" s="1" t="str">
        <f t="shared" si="3"/>
        <v/>
      </c>
      <c r="Q268" s="1"/>
      <c r="R268" s="79"/>
      <c r="S268" s="80"/>
      <c r="T268" s="98"/>
      <c r="U268" s="80"/>
    </row>
    <row r="269" spans="1:21">
      <c r="A269" s="169" t="s">
        <v>119</v>
      </c>
      <c r="B269" s="169" t="s">
        <v>125</v>
      </c>
      <c r="C269" s="172"/>
      <c r="D269" s="172"/>
      <c r="E269" s="172"/>
      <c r="F269" s="167"/>
      <c r="G269" s="168"/>
      <c r="H269" s="169"/>
      <c r="I269" s="169"/>
      <c r="J269" s="171"/>
      <c r="K269" s="173"/>
      <c r="L269" s="168"/>
      <c r="M269" s="169"/>
      <c r="N269" s="170"/>
      <c r="O269" s="213"/>
      <c r="P269" s="1" t="str">
        <f t="shared" ref="P269:P329" si="4">IFERROR(MATCH($B269,AN_List,FALSE),"")</f>
        <v/>
      </c>
      <c r="Q269" s="1"/>
      <c r="R269" s="79"/>
      <c r="S269" s="80"/>
      <c r="T269" s="98"/>
      <c r="U269" s="80"/>
    </row>
    <row r="270" spans="1:21">
      <c r="A270" s="169" t="s">
        <v>119</v>
      </c>
      <c r="B270" s="169" t="s">
        <v>125</v>
      </c>
      <c r="C270" s="172"/>
      <c r="D270" s="172"/>
      <c r="E270" s="172"/>
      <c r="F270" s="167"/>
      <c r="G270" s="168"/>
      <c r="H270" s="169"/>
      <c r="I270" s="169"/>
      <c r="J270" s="171"/>
      <c r="K270" s="173"/>
      <c r="L270" s="168"/>
      <c r="M270" s="169"/>
      <c r="N270" s="170"/>
      <c r="O270" s="213"/>
      <c r="P270" s="1" t="str">
        <f t="shared" si="4"/>
        <v/>
      </c>
      <c r="Q270" s="1"/>
      <c r="R270" s="79"/>
      <c r="S270" s="80"/>
      <c r="T270" s="98"/>
      <c r="U270" s="80"/>
    </row>
    <row r="271" spans="1:21">
      <c r="A271" s="169" t="s">
        <v>119</v>
      </c>
      <c r="B271" s="169" t="s">
        <v>125</v>
      </c>
      <c r="C271" s="172"/>
      <c r="D271" s="172"/>
      <c r="E271" s="172"/>
      <c r="F271" s="167"/>
      <c r="G271" s="168"/>
      <c r="H271" s="169"/>
      <c r="I271" s="169"/>
      <c r="J271" s="171"/>
      <c r="K271" s="173"/>
      <c r="L271" s="168"/>
      <c r="M271" s="169"/>
      <c r="N271" s="170"/>
      <c r="O271" s="174"/>
      <c r="P271" s="1" t="str">
        <f t="shared" si="4"/>
        <v/>
      </c>
      <c r="Q271" s="1"/>
      <c r="R271" s="79"/>
      <c r="S271" s="80"/>
      <c r="T271" s="98"/>
      <c r="U271" s="80"/>
    </row>
    <row r="272" spans="1:21">
      <c r="A272" s="169" t="s">
        <v>119</v>
      </c>
      <c r="B272" s="169" t="s">
        <v>126</v>
      </c>
      <c r="C272" s="172"/>
      <c r="D272" s="172"/>
      <c r="E272" s="172"/>
      <c r="F272" s="167"/>
      <c r="G272" s="168"/>
      <c r="H272" s="169"/>
      <c r="I272" s="169"/>
      <c r="J272" s="171"/>
      <c r="K272" s="173"/>
      <c r="L272" s="168"/>
      <c r="M272" s="169"/>
      <c r="N272" s="170"/>
      <c r="O272" s="213"/>
      <c r="P272" s="1" t="str">
        <f t="shared" si="4"/>
        <v/>
      </c>
      <c r="Q272" s="1"/>
      <c r="R272" s="79"/>
      <c r="S272" s="80"/>
      <c r="T272" s="98"/>
      <c r="U272" s="80"/>
    </row>
    <row r="273" spans="1:21">
      <c r="A273" s="169" t="s">
        <v>119</v>
      </c>
      <c r="B273" s="169" t="s">
        <v>126</v>
      </c>
      <c r="C273" s="172"/>
      <c r="D273" s="172"/>
      <c r="E273" s="172"/>
      <c r="F273" s="167"/>
      <c r="G273" s="168"/>
      <c r="H273" s="169"/>
      <c r="I273" s="169"/>
      <c r="J273" s="171"/>
      <c r="K273" s="173"/>
      <c r="L273" s="168"/>
      <c r="M273" s="169"/>
      <c r="N273" s="170"/>
      <c r="O273" s="213"/>
      <c r="P273" s="1" t="str">
        <f t="shared" si="4"/>
        <v/>
      </c>
      <c r="Q273" s="1"/>
      <c r="R273" s="79"/>
      <c r="S273" s="80"/>
      <c r="T273" s="98"/>
      <c r="U273" s="80"/>
    </row>
    <row r="274" spans="1:21">
      <c r="A274" s="169" t="s">
        <v>119</v>
      </c>
      <c r="B274" s="169" t="s">
        <v>126</v>
      </c>
      <c r="C274" s="172"/>
      <c r="D274" s="172"/>
      <c r="E274" s="172"/>
      <c r="F274" s="167"/>
      <c r="G274" s="168"/>
      <c r="H274" s="169"/>
      <c r="I274" s="169"/>
      <c r="J274" s="171"/>
      <c r="K274" s="173"/>
      <c r="L274" s="168"/>
      <c r="M274" s="169"/>
      <c r="N274" s="170"/>
      <c r="O274" s="174"/>
      <c r="P274" s="1" t="str">
        <f t="shared" si="4"/>
        <v/>
      </c>
      <c r="Q274" s="1"/>
      <c r="R274" s="79"/>
      <c r="S274" s="80"/>
      <c r="T274" s="98"/>
      <c r="U274" s="80"/>
    </row>
    <row r="275" spans="1:21">
      <c r="A275" s="169" t="s">
        <v>119</v>
      </c>
      <c r="B275" s="169" t="s">
        <v>127</v>
      </c>
      <c r="C275" s="172"/>
      <c r="D275" s="172"/>
      <c r="E275" s="172"/>
      <c r="F275" s="167"/>
      <c r="G275" s="168"/>
      <c r="H275" s="169"/>
      <c r="I275" s="169"/>
      <c r="J275" s="171"/>
      <c r="K275" s="173"/>
      <c r="L275" s="168"/>
      <c r="M275" s="169"/>
      <c r="N275" s="170"/>
      <c r="O275" s="213"/>
      <c r="P275" s="1" t="str">
        <f t="shared" si="4"/>
        <v/>
      </c>
      <c r="Q275" s="1"/>
      <c r="R275" s="79"/>
      <c r="S275" s="80"/>
      <c r="T275" s="98"/>
      <c r="U275" s="80"/>
    </row>
    <row r="276" spans="1:21">
      <c r="A276" s="169" t="s">
        <v>119</v>
      </c>
      <c r="B276" s="169" t="s">
        <v>127</v>
      </c>
      <c r="C276" s="172"/>
      <c r="D276" s="172"/>
      <c r="E276" s="172"/>
      <c r="F276" s="167"/>
      <c r="G276" s="168"/>
      <c r="H276" s="169"/>
      <c r="I276" s="169"/>
      <c r="J276" s="171"/>
      <c r="K276" s="173"/>
      <c r="L276" s="168"/>
      <c r="M276" s="169"/>
      <c r="N276" s="170"/>
      <c r="O276" s="213"/>
      <c r="P276" s="1" t="str">
        <f t="shared" si="4"/>
        <v/>
      </c>
      <c r="Q276" s="1"/>
      <c r="R276" s="79"/>
      <c r="S276" s="80"/>
      <c r="T276" s="98"/>
      <c r="U276" s="80"/>
    </row>
    <row r="277" spans="1:21">
      <c r="A277" s="169" t="s">
        <v>119</v>
      </c>
      <c r="B277" s="169" t="s">
        <v>127</v>
      </c>
      <c r="C277" s="172"/>
      <c r="D277" s="172"/>
      <c r="E277" s="172"/>
      <c r="F277" s="167"/>
      <c r="G277" s="168"/>
      <c r="H277" s="169"/>
      <c r="I277" s="169"/>
      <c r="J277" s="171"/>
      <c r="K277" s="173"/>
      <c r="L277" s="168"/>
      <c r="M277" s="169"/>
      <c r="N277" s="170"/>
      <c r="O277" s="213"/>
      <c r="P277" s="1" t="str">
        <f t="shared" si="4"/>
        <v/>
      </c>
      <c r="Q277" s="1"/>
      <c r="R277" s="79"/>
      <c r="S277" s="80"/>
      <c r="T277" s="98"/>
      <c r="U277" s="80"/>
    </row>
    <row r="278" spans="1:21">
      <c r="A278" s="169" t="s">
        <v>119</v>
      </c>
      <c r="B278" s="169" t="s">
        <v>127</v>
      </c>
      <c r="C278" s="172"/>
      <c r="D278" s="172"/>
      <c r="E278" s="172"/>
      <c r="F278" s="167"/>
      <c r="G278" s="168"/>
      <c r="H278" s="169"/>
      <c r="I278" s="169"/>
      <c r="J278" s="171"/>
      <c r="K278" s="173"/>
      <c r="L278" s="168"/>
      <c r="M278" s="169"/>
      <c r="N278" s="170"/>
      <c r="O278" s="213"/>
      <c r="P278" s="1" t="str">
        <f t="shared" si="4"/>
        <v/>
      </c>
      <c r="Q278" s="1"/>
      <c r="R278" s="79"/>
      <c r="S278" s="80"/>
      <c r="T278" s="98"/>
      <c r="U278" s="80"/>
    </row>
    <row r="279" spans="1:21">
      <c r="A279" s="169" t="s">
        <v>119</v>
      </c>
      <c r="B279" s="169" t="s">
        <v>127</v>
      </c>
      <c r="C279" s="172"/>
      <c r="D279" s="172"/>
      <c r="E279" s="172"/>
      <c r="F279" s="167"/>
      <c r="G279" s="168"/>
      <c r="H279" s="169"/>
      <c r="I279" s="169"/>
      <c r="J279" s="171"/>
      <c r="K279" s="173"/>
      <c r="L279" s="168"/>
      <c r="M279" s="169"/>
      <c r="N279" s="170"/>
      <c r="O279" s="213"/>
      <c r="P279" s="1" t="str">
        <f t="shared" si="4"/>
        <v/>
      </c>
      <c r="Q279" s="1"/>
      <c r="R279" s="79"/>
      <c r="S279" s="80"/>
      <c r="T279" s="98"/>
      <c r="U279" s="80"/>
    </row>
    <row r="280" spans="1:21">
      <c r="A280" s="169" t="s">
        <v>119</v>
      </c>
      <c r="B280" s="169" t="s">
        <v>127</v>
      </c>
      <c r="C280" s="172"/>
      <c r="D280" s="172"/>
      <c r="E280" s="172"/>
      <c r="F280" s="167"/>
      <c r="G280" s="168"/>
      <c r="H280" s="169"/>
      <c r="I280" s="169"/>
      <c r="J280" s="171"/>
      <c r="K280" s="173"/>
      <c r="L280" s="168"/>
      <c r="M280" s="169"/>
      <c r="N280" s="170"/>
      <c r="O280" s="174"/>
      <c r="P280" s="1" t="str">
        <f t="shared" si="4"/>
        <v/>
      </c>
      <c r="Q280" s="1"/>
      <c r="R280" s="79"/>
      <c r="S280" s="80"/>
      <c r="T280" s="98"/>
      <c r="U280" s="80"/>
    </row>
    <row r="281" spans="1:21">
      <c r="A281" s="169" t="s">
        <v>119</v>
      </c>
      <c r="B281" s="169" t="s">
        <v>128</v>
      </c>
      <c r="C281" s="172"/>
      <c r="D281" s="172"/>
      <c r="E281" s="172"/>
      <c r="F281" s="167"/>
      <c r="G281" s="168"/>
      <c r="H281" s="169"/>
      <c r="I281" s="169"/>
      <c r="J281" s="171"/>
      <c r="K281" s="173"/>
      <c r="L281" s="168"/>
      <c r="M281" s="169"/>
      <c r="N281" s="170"/>
      <c r="O281" s="213"/>
      <c r="P281" s="1" t="str">
        <f t="shared" si="4"/>
        <v/>
      </c>
      <c r="Q281" s="1"/>
      <c r="R281" s="79"/>
      <c r="S281" s="80"/>
      <c r="T281" s="98"/>
      <c r="U281" s="80"/>
    </row>
    <row r="282" spans="1:21">
      <c r="A282" s="169" t="s">
        <v>119</v>
      </c>
      <c r="B282" s="169" t="s">
        <v>128</v>
      </c>
      <c r="C282" s="172"/>
      <c r="D282" s="172"/>
      <c r="E282" s="172"/>
      <c r="F282" s="167"/>
      <c r="G282" s="168"/>
      <c r="H282" s="169"/>
      <c r="I282" s="169"/>
      <c r="J282" s="171"/>
      <c r="K282" s="173"/>
      <c r="L282" s="168"/>
      <c r="M282" s="169"/>
      <c r="N282" s="170"/>
      <c r="O282" s="213"/>
      <c r="P282" s="1" t="str">
        <f t="shared" si="4"/>
        <v/>
      </c>
      <c r="Q282" s="1"/>
      <c r="R282" s="79"/>
      <c r="S282" s="80"/>
      <c r="T282" s="98"/>
      <c r="U282" s="80"/>
    </row>
    <row r="283" spans="1:21">
      <c r="A283" s="169" t="s">
        <v>119</v>
      </c>
      <c r="B283" s="169" t="s">
        <v>128</v>
      </c>
      <c r="C283" s="172"/>
      <c r="D283" s="172"/>
      <c r="E283" s="172"/>
      <c r="F283" s="167"/>
      <c r="G283" s="168"/>
      <c r="H283" s="169"/>
      <c r="I283" s="169"/>
      <c r="J283" s="171"/>
      <c r="K283" s="173"/>
      <c r="L283" s="168"/>
      <c r="M283" s="169"/>
      <c r="N283" s="170"/>
      <c r="O283" s="174"/>
      <c r="P283" s="1" t="str">
        <f t="shared" si="4"/>
        <v/>
      </c>
      <c r="Q283" s="1"/>
      <c r="R283" s="79"/>
      <c r="S283" s="80"/>
      <c r="T283" s="98"/>
      <c r="U283" s="80"/>
    </row>
    <row r="284" spans="1:21">
      <c r="A284" s="169" t="s">
        <v>119</v>
      </c>
      <c r="B284" s="169" t="s">
        <v>129</v>
      </c>
      <c r="C284" s="172"/>
      <c r="D284" s="172"/>
      <c r="E284" s="172"/>
      <c r="F284" s="167"/>
      <c r="G284" s="168"/>
      <c r="H284" s="169"/>
      <c r="I284" s="169"/>
      <c r="J284" s="171"/>
      <c r="K284" s="173"/>
      <c r="L284" s="168"/>
      <c r="M284" s="169"/>
      <c r="N284" s="170"/>
      <c r="O284" s="213"/>
      <c r="P284" s="1" t="str">
        <f t="shared" si="4"/>
        <v/>
      </c>
      <c r="Q284" s="1"/>
      <c r="R284" s="79"/>
      <c r="S284" s="80"/>
      <c r="T284" s="98"/>
      <c r="U284" s="80"/>
    </row>
    <row r="285" spans="1:21">
      <c r="A285" s="169" t="s">
        <v>119</v>
      </c>
      <c r="B285" s="169" t="s">
        <v>129</v>
      </c>
      <c r="C285" s="172"/>
      <c r="D285" s="172"/>
      <c r="E285" s="172"/>
      <c r="F285" s="167"/>
      <c r="G285" s="168"/>
      <c r="H285" s="169"/>
      <c r="I285" s="169"/>
      <c r="J285" s="171"/>
      <c r="K285" s="173"/>
      <c r="L285" s="168"/>
      <c r="M285" s="169"/>
      <c r="N285" s="170"/>
      <c r="O285" s="213"/>
      <c r="P285" s="1" t="str">
        <f t="shared" si="4"/>
        <v/>
      </c>
      <c r="Q285" s="1"/>
      <c r="R285" s="79"/>
      <c r="S285" s="80"/>
      <c r="T285" s="98"/>
      <c r="U285" s="80"/>
    </row>
    <row r="286" spans="1:21">
      <c r="A286" s="169" t="s">
        <v>119</v>
      </c>
      <c r="B286" s="169" t="s">
        <v>129</v>
      </c>
      <c r="C286" s="172"/>
      <c r="D286" s="172"/>
      <c r="E286" s="172"/>
      <c r="F286" s="167"/>
      <c r="G286" s="168"/>
      <c r="H286" s="169"/>
      <c r="I286" s="169"/>
      <c r="J286" s="171"/>
      <c r="K286" s="173"/>
      <c r="L286" s="168"/>
      <c r="M286" s="169"/>
      <c r="N286" s="170"/>
      <c r="O286" s="174"/>
      <c r="P286" s="1" t="str">
        <f t="shared" si="4"/>
        <v/>
      </c>
      <c r="Q286" s="1"/>
      <c r="R286" s="79"/>
      <c r="S286" s="80"/>
      <c r="T286" s="98"/>
      <c r="U286" s="80"/>
    </row>
    <row r="287" spans="1:21">
      <c r="A287" s="169" t="s">
        <v>119</v>
      </c>
      <c r="B287" s="169" t="s">
        <v>130</v>
      </c>
      <c r="C287" s="172"/>
      <c r="D287" s="172"/>
      <c r="E287" s="172"/>
      <c r="F287" s="167"/>
      <c r="G287" s="168"/>
      <c r="H287" s="169"/>
      <c r="I287" s="169"/>
      <c r="J287" s="171"/>
      <c r="K287" s="173"/>
      <c r="L287" s="168"/>
      <c r="M287" s="169"/>
      <c r="N287" s="170"/>
      <c r="O287" s="213"/>
      <c r="P287" s="1" t="str">
        <f t="shared" si="4"/>
        <v/>
      </c>
      <c r="Q287" s="1"/>
      <c r="R287" s="79"/>
      <c r="S287" s="80"/>
      <c r="T287" s="98"/>
      <c r="U287" s="80"/>
    </row>
    <row r="288" spans="1:21">
      <c r="A288" s="169" t="s">
        <v>119</v>
      </c>
      <c r="B288" s="169" t="s">
        <v>130</v>
      </c>
      <c r="C288" s="172"/>
      <c r="D288" s="172"/>
      <c r="E288" s="172"/>
      <c r="F288" s="167"/>
      <c r="G288" s="168"/>
      <c r="H288" s="169"/>
      <c r="I288" s="169"/>
      <c r="J288" s="171"/>
      <c r="K288" s="173"/>
      <c r="L288" s="168"/>
      <c r="M288" s="169"/>
      <c r="N288" s="170"/>
      <c r="O288" s="213"/>
      <c r="P288" s="1" t="str">
        <f t="shared" si="4"/>
        <v/>
      </c>
      <c r="Q288" s="1"/>
      <c r="R288" s="79"/>
      <c r="S288" s="80"/>
      <c r="T288" s="98"/>
      <c r="U288" s="80"/>
    </row>
    <row r="289" spans="1:21">
      <c r="A289" s="169" t="s">
        <v>119</v>
      </c>
      <c r="B289" s="169" t="s">
        <v>130</v>
      </c>
      <c r="C289" s="172"/>
      <c r="D289" s="172"/>
      <c r="E289" s="172"/>
      <c r="F289" s="167"/>
      <c r="G289" s="168"/>
      <c r="H289" s="169"/>
      <c r="I289" s="169"/>
      <c r="J289" s="171"/>
      <c r="K289" s="173"/>
      <c r="L289" s="168"/>
      <c r="M289" s="169"/>
      <c r="N289" s="170"/>
      <c r="O289" s="174"/>
      <c r="P289" s="1" t="str">
        <f t="shared" si="4"/>
        <v/>
      </c>
      <c r="Q289" s="1"/>
      <c r="R289" s="79"/>
      <c r="S289" s="80"/>
      <c r="T289" s="98"/>
      <c r="U289" s="80"/>
    </row>
    <row r="290" spans="1:21">
      <c r="A290" s="169" t="s">
        <v>119</v>
      </c>
      <c r="B290" s="169" t="s">
        <v>224</v>
      </c>
      <c r="C290" s="172"/>
      <c r="D290" s="172"/>
      <c r="E290" s="172"/>
      <c r="F290" s="167"/>
      <c r="G290" s="168"/>
      <c r="H290" s="169"/>
      <c r="I290" s="169"/>
      <c r="J290" s="171"/>
      <c r="K290" s="173"/>
      <c r="L290" s="168"/>
      <c r="M290" s="169"/>
      <c r="N290" s="170"/>
      <c r="O290" s="213"/>
      <c r="P290" s="1" t="str">
        <f t="shared" si="4"/>
        <v/>
      </c>
      <c r="Q290" s="1"/>
      <c r="R290" s="79"/>
      <c r="S290" s="80"/>
      <c r="T290" s="98"/>
      <c r="U290" s="80"/>
    </row>
    <row r="291" spans="1:21">
      <c r="A291" s="169" t="s">
        <v>119</v>
      </c>
      <c r="B291" s="169" t="s">
        <v>224</v>
      </c>
      <c r="C291" s="172"/>
      <c r="D291" s="172"/>
      <c r="E291" s="172"/>
      <c r="F291" s="167"/>
      <c r="G291" s="168"/>
      <c r="H291" s="169"/>
      <c r="I291" s="169"/>
      <c r="J291" s="171"/>
      <c r="K291" s="173"/>
      <c r="L291" s="168"/>
      <c r="M291" s="169"/>
      <c r="N291" s="170"/>
      <c r="O291" s="213"/>
      <c r="P291" s="1" t="str">
        <f t="shared" si="4"/>
        <v/>
      </c>
      <c r="Q291" s="1"/>
      <c r="R291" s="79"/>
      <c r="S291" s="80"/>
      <c r="T291" s="98"/>
      <c r="U291" s="80"/>
    </row>
    <row r="292" spans="1:21">
      <c r="A292" s="169" t="s">
        <v>119</v>
      </c>
      <c r="B292" s="169" t="s">
        <v>224</v>
      </c>
      <c r="C292" s="172"/>
      <c r="D292" s="172"/>
      <c r="E292" s="172"/>
      <c r="F292" s="167"/>
      <c r="G292" s="168"/>
      <c r="H292" s="169"/>
      <c r="I292" s="169"/>
      <c r="J292" s="171"/>
      <c r="K292" s="173"/>
      <c r="L292" s="168"/>
      <c r="M292" s="169"/>
      <c r="N292" s="170"/>
      <c r="O292" s="174"/>
      <c r="P292" s="1" t="str">
        <f t="shared" si="4"/>
        <v/>
      </c>
      <c r="Q292" s="1"/>
      <c r="R292" s="79"/>
      <c r="S292" s="80"/>
      <c r="T292" s="98"/>
      <c r="U292" s="80"/>
    </row>
    <row r="293" spans="1:21">
      <c r="A293" s="169" t="s">
        <v>119</v>
      </c>
      <c r="B293" s="169" t="s">
        <v>131</v>
      </c>
      <c r="C293" s="172"/>
      <c r="D293" s="172"/>
      <c r="E293" s="172"/>
      <c r="F293" s="167"/>
      <c r="G293" s="168"/>
      <c r="H293" s="169"/>
      <c r="I293" s="169"/>
      <c r="J293" s="171"/>
      <c r="K293" s="173"/>
      <c r="L293" s="168"/>
      <c r="M293" s="169"/>
      <c r="N293" s="170"/>
      <c r="O293" s="213"/>
      <c r="P293" s="1" t="str">
        <f t="shared" si="4"/>
        <v/>
      </c>
      <c r="Q293" s="1"/>
      <c r="R293" s="79"/>
      <c r="S293" s="80"/>
      <c r="T293" s="98"/>
      <c r="U293" s="80"/>
    </row>
    <row r="294" spans="1:21">
      <c r="A294" s="169" t="s">
        <v>119</v>
      </c>
      <c r="B294" s="169" t="s">
        <v>131</v>
      </c>
      <c r="C294" s="172"/>
      <c r="D294" s="172"/>
      <c r="E294" s="172"/>
      <c r="F294" s="167"/>
      <c r="G294" s="168"/>
      <c r="H294" s="169"/>
      <c r="I294" s="169"/>
      <c r="J294" s="171"/>
      <c r="K294" s="173"/>
      <c r="L294" s="168"/>
      <c r="M294" s="169"/>
      <c r="N294" s="170"/>
      <c r="O294" s="213"/>
      <c r="P294" s="1" t="str">
        <f t="shared" si="4"/>
        <v/>
      </c>
      <c r="Q294" s="1"/>
      <c r="R294" s="79"/>
      <c r="S294" s="80"/>
      <c r="T294" s="98"/>
      <c r="U294" s="80"/>
    </row>
    <row r="295" spans="1:21">
      <c r="A295" s="169" t="s">
        <v>119</v>
      </c>
      <c r="B295" s="169" t="s">
        <v>131</v>
      </c>
      <c r="C295" s="172"/>
      <c r="D295" s="172"/>
      <c r="E295" s="172"/>
      <c r="F295" s="167"/>
      <c r="G295" s="168"/>
      <c r="H295" s="169"/>
      <c r="I295" s="169"/>
      <c r="J295" s="171"/>
      <c r="K295" s="173"/>
      <c r="L295" s="168"/>
      <c r="M295" s="169"/>
      <c r="N295" s="170"/>
      <c r="O295" s="174"/>
      <c r="P295" s="1" t="str">
        <f t="shared" si="4"/>
        <v/>
      </c>
      <c r="Q295" s="1"/>
      <c r="R295" s="79"/>
      <c r="S295" s="80"/>
      <c r="T295" s="98"/>
      <c r="U295" s="80"/>
    </row>
    <row r="296" spans="1:21">
      <c r="A296" s="169" t="s">
        <v>119</v>
      </c>
      <c r="B296" s="169" t="s">
        <v>132</v>
      </c>
      <c r="C296" s="172"/>
      <c r="D296" s="172"/>
      <c r="E296" s="172"/>
      <c r="F296" s="167"/>
      <c r="G296" s="168"/>
      <c r="H296" s="169"/>
      <c r="I296" s="169"/>
      <c r="J296" s="171"/>
      <c r="K296" s="173"/>
      <c r="L296" s="168"/>
      <c r="M296" s="169"/>
      <c r="N296" s="170"/>
      <c r="O296" s="213"/>
      <c r="P296" s="1" t="str">
        <f t="shared" si="4"/>
        <v/>
      </c>
      <c r="Q296" s="1"/>
      <c r="R296" s="79"/>
      <c r="S296" s="80"/>
      <c r="T296" s="98"/>
      <c r="U296" s="80"/>
    </row>
    <row r="297" spans="1:21">
      <c r="A297" s="169" t="s">
        <v>119</v>
      </c>
      <c r="B297" s="169" t="s">
        <v>132</v>
      </c>
      <c r="C297" s="172"/>
      <c r="D297" s="172"/>
      <c r="E297" s="172"/>
      <c r="F297" s="167"/>
      <c r="G297" s="168"/>
      <c r="H297" s="169"/>
      <c r="I297" s="169"/>
      <c r="J297" s="171"/>
      <c r="K297" s="173"/>
      <c r="L297" s="168"/>
      <c r="M297" s="169"/>
      <c r="N297" s="170"/>
      <c r="O297" s="213"/>
      <c r="P297" s="1" t="str">
        <f t="shared" si="4"/>
        <v/>
      </c>
      <c r="Q297" s="1"/>
      <c r="R297" s="79"/>
      <c r="S297" s="80"/>
      <c r="T297" s="98"/>
      <c r="U297" s="80"/>
    </row>
    <row r="298" spans="1:21">
      <c r="A298" s="169" t="s">
        <v>119</v>
      </c>
      <c r="B298" s="169" t="s">
        <v>132</v>
      </c>
      <c r="C298" s="172"/>
      <c r="D298" s="172"/>
      <c r="E298" s="172"/>
      <c r="F298" s="167"/>
      <c r="G298" s="168"/>
      <c r="H298" s="169"/>
      <c r="I298" s="169"/>
      <c r="J298" s="171"/>
      <c r="K298" s="173"/>
      <c r="L298" s="168"/>
      <c r="M298" s="169"/>
      <c r="N298" s="170"/>
      <c r="O298" s="174"/>
      <c r="P298" s="1" t="str">
        <f t="shared" si="4"/>
        <v/>
      </c>
      <c r="Q298" s="1"/>
      <c r="R298" s="79"/>
      <c r="S298" s="80"/>
      <c r="T298" s="98"/>
      <c r="U298" s="80"/>
    </row>
    <row r="299" spans="1:21">
      <c r="A299" s="169" t="s">
        <v>119</v>
      </c>
      <c r="B299" s="169" t="s">
        <v>133</v>
      </c>
      <c r="C299" s="172"/>
      <c r="D299" s="172"/>
      <c r="E299" s="172"/>
      <c r="F299" s="167"/>
      <c r="G299" s="168"/>
      <c r="H299" s="169"/>
      <c r="I299" s="169"/>
      <c r="J299" s="171"/>
      <c r="K299" s="173"/>
      <c r="L299" s="168"/>
      <c r="M299" s="169"/>
      <c r="N299" s="170"/>
      <c r="O299" s="213"/>
      <c r="P299" s="1" t="str">
        <f t="shared" si="4"/>
        <v/>
      </c>
      <c r="Q299" s="1"/>
      <c r="R299" s="79"/>
      <c r="S299" s="80"/>
      <c r="T299" s="98"/>
      <c r="U299" s="80"/>
    </row>
    <row r="300" spans="1:21">
      <c r="A300" s="169" t="s">
        <v>119</v>
      </c>
      <c r="B300" s="169" t="s">
        <v>133</v>
      </c>
      <c r="C300" s="172"/>
      <c r="D300" s="172"/>
      <c r="E300" s="172"/>
      <c r="F300" s="167"/>
      <c r="G300" s="168"/>
      <c r="H300" s="169"/>
      <c r="I300" s="169"/>
      <c r="J300" s="171"/>
      <c r="K300" s="173"/>
      <c r="L300" s="168"/>
      <c r="M300" s="169"/>
      <c r="N300" s="170"/>
      <c r="O300" s="213"/>
      <c r="P300" s="1" t="str">
        <f t="shared" si="4"/>
        <v/>
      </c>
      <c r="Q300" s="1"/>
      <c r="R300" s="79"/>
      <c r="S300" s="80"/>
      <c r="T300" s="98"/>
      <c r="U300" s="80"/>
    </row>
    <row r="301" spans="1:21">
      <c r="A301" s="169" t="s">
        <v>119</v>
      </c>
      <c r="B301" s="169" t="s">
        <v>133</v>
      </c>
      <c r="C301" s="172"/>
      <c r="D301" s="172"/>
      <c r="E301" s="172"/>
      <c r="F301" s="167"/>
      <c r="G301" s="168"/>
      <c r="H301" s="169"/>
      <c r="I301" s="169"/>
      <c r="J301" s="171"/>
      <c r="K301" s="173"/>
      <c r="L301" s="168"/>
      <c r="M301" s="169"/>
      <c r="N301" s="170"/>
      <c r="O301" s="213"/>
      <c r="P301" s="1" t="str">
        <f t="shared" si="4"/>
        <v/>
      </c>
      <c r="Q301" s="1"/>
      <c r="R301" s="79"/>
      <c r="S301" s="80"/>
      <c r="T301" s="98"/>
      <c r="U301" s="80"/>
    </row>
    <row r="302" spans="1:21">
      <c r="A302" s="169" t="s">
        <v>119</v>
      </c>
      <c r="B302" s="169" t="s">
        <v>133</v>
      </c>
      <c r="C302" s="172"/>
      <c r="D302" s="172"/>
      <c r="E302" s="172"/>
      <c r="F302" s="167"/>
      <c r="G302" s="168"/>
      <c r="H302" s="169"/>
      <c r="I302" s="169"/>
      <c r="J302" s="171"/>
      <c r="K302" s="173"/>
      <c r="L302" s="168"/>
      <c r="M302" s="169"/>
      <c r="N302" s="170"/>
      <c r="O302" s="213"/>
      <c r="P302" s="1" t="str">
        <f t="shared" si="4"/>
        <v/>
      </c>
      <c r="Q302" s="1"/>
      <c r="R302" s="79"/>
      <c r="S302" s="80"/>
      <c r="T302" s="98"/>
      <c r="U302" s="80"/>
    </row>
    <row r="303" spans="1:21">
      <c r="A303" s="169" t="s">
        <v>119</v>
      </c>
      <c r="B303" s="169" t="s">
        <v>133</v>
      </c>
      <c r="C303" s="172"/>
      <c r="D303" s="172"/>
      <c r="E303" s="172"/>
      <c r="F303" s="167"/>
      <c r="G303" s="168"/>
      <c r="H303" s="169"/>
      <c r="I303" s="169"/>
      <c r="J303" s="171"/>
      <c r="K303" s="173"/>
      <c r="L303" s="168"/>
      <c r="M303" s="169"/>
      <c r="N303" s="170"/>
      <c r="O303" s="213"/>
      <c r="P303" s="1" t="str">
        <f t="shared" si="4"/>
        <v/>
      </c>
      <c r="Q303" s="1"/>
      <c r="R303" s="79"/>
      <c r="S303" s="80"/>
      <c r="T303" s="98"/>
      <c r="U303" s="80"/>
    </row>
    <row r="304" spans="1:21">
      <c r="A304" s="169" t="s">
        <v>119</v>
      </c>
      <c r="B304" s="169" t="s">
        <v>133</v>
      </c>
      <c r="C304" s="172"/>
      <c r="D304" s="172"/>
      <c r="E304" s="172"/>
      <c r="F304" s="167"/>
      <c r="G304" s="168"/>
      <c r="H304" s="169"/>
      <c r="I304" s="169"/>
      <c r="J304" s="171"/>
      <c r="K304" s="173"/>
      <c r="L304" s="168"/>
      <c r="M304" s="169"/>
      <c r="N304" s="170"/>
      <c r="O304" s="174"/>
      <c r="P304" s="1" t="str">
        <f t="shared" si="4"/>
        <v/>
      </c>
      <c r="Q304" s="1"/>
      <c r="R304" s="79"/>
      <c r="S304" s="80"/>
      <c r="T304" s="98"/>
      <c r="U304" s="80"/>
    </row>
    <row r="305" spans="1:21">
      <c r="A305" s="169" t="s">
        <v>119</v>
      </c>
      <c r="B305" s="169" t="s">
        <v>134</v>
      </c>
      <c r="C305" s="172"/>
      <c r="D305" s="172"/>
      <c r="E305" s="172"/>
      <c r="F305" s="167"/>
      <c r="G305" s="168"/>
      <c r="H305" s="169"/>
      <c r="I305" s="169"/>
      <c r="J305" s="171"/>
      <c r="K305" s="173"/>
      <c r="L305" s="168"/>
      <c r="M305" s="169"/>
      <c r="N305" s="170"/>
      <c r="O305" s="213"/>
      <c r="P305" s="1" t="str">
        <f t="shared" si="4"/>
        <v/>
      </c>
      <c r="Q305" s="1"/>
      <c r="R305" s="79"/>
      <c r="S305" s="80"/>
      <c r="T305" s="98"/>
      <c r="U305" s="80"/>
    </row>
    <row r="306" spans="1:21">
      <c r="A306" s="169" t="s">
        <v>119</v>
      </c>
      <c r="B306" s="169" t="s">
        <v>134</v>
      </c>
      <c r="C306" s="172"/>
      <c r="D306" s="172"/>
      <c r="E306" s="172"/>
      <c r="F306" s="167"/>
      <c r="G306" s="168"/>
      <c r="H306" s="169"/>
      <c r="I306" s="169"/>
      <c r="J306" s="171"/>
      <c r="K306" s="173"/>
      <c r="L306" s="168"/>
      <c r="M306" s="169"/>
      <c r="N306" s="170"/>
      <c r="O306" s="213"/>
      <c r="P306" s="1" t="str">
        <f t="shared" si="4"/>
        <v/>
      </c>
      <c r="Q306" s="1"/>
      <c r="R306" s="79"/>
      <c r="S306" s="80"/>
      <c r="T306" s="98"/>
      <c r="U306" s="80"/>
    </row>
    <row r="307" spans="1:21">
      <c r="A307" s="169" t="s">
        <v>119</v>
      </c>
      <c r="B307" s="169" t="s">
        <v>134</v>
      </c>
      <c r="C307" s="172"/>
      <c r="D307" s="172"/>
      <c r="E307" s="172"/>
      <c r="F307" s="167"/>
      <c r="G307" s="168"/>
      <c r="H307" s="169"/>
      <c r="I307" s="169"/>
      <c r="J307" s="171"/>
      <c r="K307" s="173"/>
      <c r="L307" s="168"/>
      <c r="M307" s="169"/>
      <c r="N307" s="170"/>
      <c r="O307" s="213"/>
      <c r="P307" s="1" t="str">
        <f t="shared" si="4"/>
        <v/>
      </c>
      <c r="Q307" s="1"/>
      <c r="R307" s="79"/>
      <c r="S307" s="80"/>
      <c r="T307" s="98"/>
      <c r="U307" s="80"/>
    </row>
    <row r="308" spans="1:21">
      <c r="A308" s="169" t="s">
        <v>119</v>
      </c>
      <c r="B308" s="169" t="s">
        <v>134</v>
      </c>
      <c r="C308" s="172"/>
      <c r="D308" s="172"/>
      <c r="E308" s="172"/>
      <c r="F308" s="167"/>
      <c r="G308" s="168"/>
      <c r="H308" s="169"/>
      <c r="I308" s="169"/>
      <c r="J308" s="171"/>
      <c r="K308" s="173"/>
      <c r="L308" s="168"/>
      <c r="M308" s="169"/>
      <c r="N308" s="170"/>
      <c r="O308" s="213"/>
      <c r="P308" s="1" t="str">
        <f t="shared" si="4"/>
        <v/>
      </c>
      <c r="Q308" s="1"/>
      <c r="R308" s="79"/>
      <c r="S308" s="80"/>
      <c r="T308" s="98"/>
      <c r="U308" s="80"/>
    </row>
    <row r="309" spans="1:21">
      <c r="A309" s="169" t="s">
        <v>119</v>
      </c>
      <c r="B309" s="169" t="s">
        <v>134</v>
      </c>
      <c r="C309" s="172"/>
      <c r="D309" s="172"/>
      <c r="E309" s="172"/>
      <c r="F309" s="167"/>
      <c r="G309" s="168"/>
      <c r="H309" s="169"/>
      <c r="I309" s="169"/>
      <c r="J309" s="171"/>
      <c r="K309" s="173"/>
      <c r="L309" s="168"/>
      <c r="M309" s="169"/>
      <c r="N309" s="170"/>
      <c r="O309" s="213"/>
      <c r="P309" s="1" t="str">
        <f t="shared" si="4"/>
        <v/>
      </c>
      <c r="Q309" s="1"/>
      <c r="R309" s="79"/>
      <c r="S309" s="80"/>
      <c r="T309" s="98"/>
      <c r="U309" s="80"/>
    </row>
    <row r="310" spans="1:21">
      <c r="A310" s="169" t="s">
        <v>119</v>
      </c>
      <c r="B310" s="169" t="s">
        <v>134</v>
      </c>
      <c r="C310" s="172"/>
      <c r="D310" s="172"/>
      <c r="E310" s="172"/>
      <c r="F310" s="167"/>
      <c r="G310" s="168"/>
      <c r="H310" s="169"/>
      <c r="I310" s="169"/>
      <c r="J310" s="171"/>
      <c r="K310" s="173"/>
      <c r="L310" s="168"/>
      <c r="M310" s="169"/>
      <c r="N310" s="170"/>
      <c r="O310" s="174"/>
      <c r="P310" s="1" t="str">
        <f t="shared" si="4"/>
        <v/>
      </c>
      <c r="Q310" s="1"/>
      <c r="R310" s="79"/>
      <c r="S310" s="80"/>
      <c r="T310" s="98"/>
      <c r="U310" s="80"/>
    </row>
    <row r="311" spans="1:21">
      <c r="A311" s="169" t="s">
        <v>119</v>
      </c>
      <c r="B311" s="169" t="s">
        <v>135</v>
      </c>
      <c r="C311" s="172"/>
      <c r="D311" s="172"/>
      <c r="E311" s="172"/>
      <c r="F311" s="167"/>
      <c r="G311" s="168"/>
      <c r="H311" s="169"/>
      <c r="I311" s="169"/>
      <c r="J311" s="171"/>
      <c r="K311" s="173"/>
      <c r="L311" s="168"/>
      <c r="M311" s="169"/>
      <c r="N311" s="169"/>
      <c r="O311" s="213"/>
      <c r="P311" s="1" t="str">
        <f t="shared" si="4"/>
        <v/>
      </c>
      <c r="Q311" s="1"/>
      <c r="R311" s="79"/>
      <c r="S311" s="80"/>
      <c r="T311" s="98"/>
      <c r="U311" s="80"/>
    </row>
    <row r="312" spans="1:21">
      <c r="A312" s="169" t="s">
        <v>119</v>
      </c>
      <c r="B312" s="169" t="s">
        <v>136</v>
      </c>
      <c r="C312" s="172"/>
      <c r="D312" s="172"/>
      <c r="E312" s="172"/>
      <c r="F312" s="167"/>
      <c r="G312" s="168"/>
      <c r="H312" s="169"/>
      <c r="I312" s="169"/>
      <c r="J312" s="171"/>
      <c r="K312" s="173"/>
      <c r="L312" s="168"/>
      <c r="M312" s="169"/>
      <c r="N312" s="169"/>
      <c r="O312" s="213"/>
      <c r="P312" s="1" t="str">
        <f t="shared" si="4"/>
        <v/>
      </c>
      <c r="Q312" s="1"/>
      <c r="R312" s="79"/>
      <c r="S312" s="80"/>
      <c r="T312" s="98"/>
      <c r="U312" s="80"/>
    </row>
    <row r="313" spans="1:21">
      <c r="A313" s="169" t="s">
        <v>119</v>
      </c>
      <c r="B313" s="169" t="s">
        <v>136</v>
      </c>
      <c r="C313" s="172"/>
      <c r="D313" s="172"/>
      <c r="E313" s="172"/>
      <c r="F313" s="167"/>
      <c r="G313" s="168"/>
      <c r="H313" s="169"/>
      <c r="I313" s="169"/>
      <c r="J313" s="171"/>
      <c r="K313" s="173"/>
      <c r="L313" s="168"/>
      <c r="M313" s="169"/>
      <c r="N313" s="169"/>
      <c r="O313" s="213"/>
      <c r="P313" s="1" t="str">
        <f t="shared" si="4"/>
        <v/>
      </c>
      <c r="Q313" s="1"/>
      <c r="R313" s="79"/>
      <c r="S313" s="80"/>
      <c r="T313" s="98"/>
      <c r="U313" s="80"/>
    </row>
    <row r="314" spans="1:21">
      <c r="A314" s="169" t="s">
        <v>119</v>
      </c>
      <c r="B314" s="169" t="s">
        <v>136</v>
      </c>
      <c r="C314" s="172"/>
      <c r="D314" s="172"/>
      <c r="E314" s="172"/>
      <c r="F314" s="167"/>
      <c r="G314" s="168"/>
      <c r="H314" s="169"/>
      <c r="I314" s="169"/>
      <c r="J314" s="171"/>
      <c r="K314" s="173"/>
      <c r="L314" s="168"/>
      <c r="M314" s="169"/>
      <c r="N314" s="169"/>
      <c r="O314" s="174"/>
      <c r="P314" s="1" t="str">
        <f t="shared" si="4"/>
        <v/>
      </c>
      <c r="Q314" s="1"/>
      <c r="R314" s="79"/>
      <c r="S314" s="80"/>
      <c r="T314" s="98"/>
      <c r="U314" s="80"/>
    </row>
    <row r="315" spans="1:21">
      <c r="A315" s="169" t="s">
        <v>119</v>
      </c>
      <c r="B315" s="169" t="s">
        <v>137</v>
      </c>
      <c r="C315" s="172"/>
      <c r="D315" s="172"/>
      <c r="E315" s="172"/>
      <c r="F315" s="167"/>
      <c r="G315" s="168"/>
      <c r="H315" s="169"/>
      <c r="I315" s="169"/>
      <c r="J315" s="171"/>
      <c r="K315" s="173"/>
      <c r="L315" s="168"/>
      <c r="M315" s="169"/>
      <c r="N315" s="169"/>
      <c r="O315" s="213"/>
      <c r="P315" s="1" t="str">
        <f t="shared" si="4"/>
        <v/>
      </c>
      <c r="Q315" s="1"/>
      <c r="R315" s="79"/>
      <c r="S315" s="80"/>
      <c r="T315" s="98"/>
      <c r="U315" s="80"/>
    </row>
    <row r="316" spans="1:21">
      <c r="A316" s="169" t="s">
        <v>119</v>
      </c>
      <c r="B316" s="169" t="s">
        <v>137</v>
      </c>
      <c r="C316" s="172"/>
      <c r="D316" s="172"/>
      <c r="E316" s="172"/>
      <c r="F316" s="167"/>
      <c r="G316" s="168"/>
      <c r="H316" s="169"/>
      <c r="I316" s="169"/>
      <c r="J316" s="171"/>
      <c r="K316" s="173"/>
      <c r="L316" s="168"/>
      <c r="M316" s="169"/>
      <c r="N316" s="169"/>
      <c r="O316" s="213"/>
      <c r="P316" s="1" t="str">
        <f t="shared" si="4"/>
        <v/>
      </c>
      <c r="Q316" s="1"/>
      <c r="R316" s="79"/>
      <c r="S316" s="80"/>
      <c r="T316" s="98"/>
      <c r="U316" s="80"/>
    </row>
    <row r="317" spans="1:21">
      <c r="A317" s="169" t="s">
        <v>119</v>
      </c>
      <c r="B317" s="169" t="s">
        <v>137</v>
      </c>
      <c r="C317" s="172"/>
      <c r="D317" s="172"/>
      <c r="E317" s="172"/>
      <c r="F317" s="167"/>
      <c r="G317" s="168"/>
      <c r="H317" s="169"/>
      <c r="I317" s="169"/>
      <c r="J317" s="171"/>
      <c r="K317" s="173"/>
      <c r="L317" s="168"/>
      <c r="M317" s="169"/>
      <c r="N317" s="169"/>
      <c r="O317" s="174"/>
      <c r="P317" s="1" t="str">
        <f t="shared" si="4"/>
        <v/>
      </c>
      <c r="Q317" s="1"/>
      <c r="R317" s="79"/>
      <c r="S317" s="80"/>
      <c r="T317" s="98"/>
      <c r="U317" s="80"/>
    </row>
    <row r="318" spans="1:21">
      <c r="A318" s="169" t="s">
        <v>119</v>
      </c>
      <c r="B318" s="169" t="s">
        <v>138</v>
      </c>
      <c r="C318" s="172"/>
      <c r="D318" s="172"/>
      <c r="E318" s="172"/>
      <c r="F318" s="167"/>
      <c r="G318" s="168"/>
      <c r="H318" s="169"/>
      <c r="I318" s="169"/>
      <c r="J318" s="171"/>
      <c r="K318" s="173"/>
      <c r="L318" s="168"/>
      <c r="M318" s="169"/>
      <c r="N318" s="169"/>
      <c r="O318" s="213"/>
      <c r="P318" s="1" t="str">
        <f t="shared" si="4"/>
        <v/>
      </c>
      <c r="Q318" s="1"/>
      <c r="R318" s="79"/>
      <c r="S318" s="80"/>
      <c r="T318" s="98"/>
      <c r="U318" s="80"/>
    </row>
    <row r="319" spans="1:21">
      <c r="A319" s="169" t="s">
        <v>119</v>
      </c>
      <c r="B319" s="169" t="s">
        <v>138</v>
      </c>
      <c r="C319" s="172"/>
      <c r="D319" s="172"/>
      <c r="E319" s="172"/>
      <c r="F319" s="167"/>
      <c r="G319" s="168"/>
      <c r="H319" s="169"/>
      <c r="I319" s="169"/>
      <c r="J319" s="171"/>
      <c r="K319" s="173"/>
      <c r="L319" s="168"/>
      <c r="M319" s="169"/>
      <c r="N319" s="169"/>
      <c r="O319" s="213"/>
      <c r="P319" s="1" t="str">
        <f t="shared" si="4"/>
        <v/>
      </c>
      <c r="Q319" s="1"/>
      <c r="R319" s="79"/>
      <c r="S319" s="80"/>
      <c r="T319" s="98"/>
      <c r="U319" s="80"/>
    </row>
    <row r="320" spans="1:21">
      <c r="A320" s="169" t="s">
        <v>119</v>
      </c>
      <c r="B320" s="169" t="s">
        <v>138</v>
      </c>
      <c r="C320" s="172"/>
      <c r="D320" s="172"/>
      <c r="E320" s="172"/>
      <c r="F320" s="167"/>
      <c r="G320" s="168"/>
      <c r="H320" s="169"/>
      <c r="I320" s="169"/>
      <c r="J320" s="171"/>
      <c r="K320" s="173"/>
      <c r="L320" s="168"/>
      <c r="M320" s="169"/>
      <c r="N320" s="169"/>
      <c r="O320" s="174"/>
      <c r="P320" s="1" t="str">
        <f t="shared" si="4"/>
        <v/>
      </c>
      <c r="Q320" s="1"/>
      <c r="R320" s="79"/>
      <c r="S320" s="80"/>
      <c r="T320" s="98"/>
      <c r="U320" s="80"/>
    </row>
    <row r="321" spans="1:21">
      <c r="A321" s="169" t="s">
        <v>119</v>
      </c>
      <c r="B321" s="169" t="s">
        <v>139</v>
      </c>
      <c r="C321" s="172"/>
      <c r="D321" s="172"/>
      <c r="E321" s="172"/>
      <c r="F321" s="167"/>
      <c r="G321" s="168"/>
      <c r="H321" s="169"/>
      <c r="I321" s="169"/>
      <c r="J321" s="171"/>
      <c r="K321" s="173"/>
      <c r="L321" s="168"/>
      <c r="M321" s="169"/>
      <c r="N321" s="169"/>
      <c r="O321" s="213"/>
      <c r="P321" s="1" t="str">
        <f t="shared" si="4"/>
        <v/>
      </c>
      <c r="Q321" s="1"/>
      <c r="R321" s="79"/>
      <c r="S321" s="80"/>
      <c r="T321" s="98"/>
      <c r="U321" s="80"/>
    </row>
    <row r="322" spans="1:21">
      <c r="A322" s="169" t="s">
        <v>119</v>
      </c>
      <c r="B322" s="169" t="s">
        <v>139</v>
      </c>
      <c r="C322" s="172"/>
      <c r="D322" s="172"/>
      <c r="E322" s="172"/>
      <c r="F322" s="167"/>
      <c r="G322" s="168"/>
      <c r="H322" s="169"/>
      <c r="I322" s="169"/>
      <c r="J322" s="171"/>
      <c r="K322" s="173"/>
      <c r="L322" s="168"/>
      <c r="M322" s="169"/>
      <c r="N322" s="169"/>
      <c r="O322" s="213"/>
      <c r="P322" s="1" t="str">
        <f t="shared" si="4"/>
        <v/>
      </c>
      <c r="Q322" s="1"/>
      <c r="R322" s="79"/>
      <c r="S322" s="80"/>
      <c r="T322" s="98"/>
      <c r="U322" s="80"/>
    </row>
    <row r="323" spans="1:21">
      <c r="A323" s="169" t="s">
        <v>119</v>
      </c>
      <c r="B323" s="169" t="s">
        <v>139</v>
      </c>
      <c r="C323" s="172"/>
      <c r="D323" s="172"/>
      <c r="E323" s="172"/>
      <c r="F323" s="167"/>
      <c r="G323" s="168"/>
      <c r="H323" s="169"/>
      <c r="I323" s="169"/>
      <c r="J323" s="171"/>
      <c r="K323" s="173"/>
      <c r="L323" s="168"/>
      <c r="M323" s="169"/>
      <c r="N323" s="169"/>
      <c r="O323" s="174"/>
      <c r="P323" s="1" t="str">
        <f t="shared" si="4"/>
        <v/>
      </c>
      <c r="Q323" s="1"/>
      <c r="R323" s="79"/>
      <c r="S323" s="80"/>
      <c r="T323" s="98"/>
      <c r="U323" s="80"/>
    </row>
    <row r="324" spans="1:21">
      <c r="A324" s="169" t="s">
        <v>119</v>
      </c>
      <c r="B324" s="169" t="s">
        <v>140</v>
      </c>
      <c r="C324" s="172"/>
      <c r="D324" s="172"/>
      <c r="E324" s="172"/>
      <c r="F324" s="167"/>
      <c r="G324" s="168"/>
      <c r="H324" s="169"/>
      <c r="I324" s="169"/>
      <c r="J324" s="171"/>
      <c r="K324" s="173"/>
      <c r="L324" s="168"/>
      <c r="M324" s="169"/>
      <c r="N324" s="169"/>
      <c r="O324" s="213"/>
      <c r="P324" s="1" t="str">
        <f t="shared" si="4"/>
        <v/>
      </c>
      <c r="Q324" s="1"/>
      <c r="R324" s="79"/>
      <c r="S324" s="80"/>
      <c r="T324" s="98"/>
      <c r="U324" s="80"/>
    </row>
    <row r="325" spans="1:21">
      <c r="A325" s="169" t="s">
        <v>119</v>
      </c>
      <c r="B325" s="169" t="s">
        <v>140</v>
      </c>
      <c r="C325" s="172"/>
      <c r="D325" s="172"/>
      <c r="E325" s="172"/>
      <c r="F325" s="167"/>
      <c r="G325" s="168"/>
      <c r="H325" s="169"/>
      <c r="I325" s="169"/>
      <c r="J325" s="171"/>
      <c r="K325" s="173"/>
      <c r="L325" s="168"/>
      <c r="M325" s="169"/>
      <c r="N325" s="169"/>
      <c r="O325" s="213"/>
      <c r="P325" s="1" t="str">
        <f t="shared" si="4"/>
        <v/>
      </c>
      <c r="Q325" s="1"/>
      <c r="R325" s="79"/>
      <c r="S325" s="80"/>
      <c r="T325" s="98"/>
      <c r="U325" s="80"/>
    </row>
    <row r="326" spans="1:21">
      <c r="A326" s="169" t="s">
        <v>119</v>
      </c>
      <c r="B326" s="169" t="s">
        <v>140</v>
      </c>
      <c r="C326" s="172"/>
      <c r="D326" s="172"/>
      <c r="E326" s="172"/>
      <c r="F326" s="167"/>
      <c r="G326" s="168"/>
      <c r="H326" s="169"/>
      <c r="I326" s="169"/>
      <c r="J326" s="171"/>
      <c r="K326" s="173"/>
      <c r="L326" s="168"/>
      <c r="M326" s="169"/>
      <c r="N326" s="169"/>
      <c r="O326" s="213"/>
      <c r="P326" s="1" t="str">
        <f t="shared" si="4"/>
        <v/>
      </c>
      <c r="Q326" s="1"/>
      <c r="R326" s="79"/>
      <c r="S326" s="80"/>
      <c r="T326" s="98"/>
      <c r="U326" s="80"/>
    </row>
    <row r="327" spans="1:21">
      <c r="A327" s="169" t="s">
        <v>119</v>
      </c>
      <c r="B327" s="169" t="s">
        <v>140</v>
      </c>
      <c r="C327" s="172"/>
      <c r="D327" s="172"/>
      <c r="E327" s="172"/>
      <c r="F327" s="167"/>
      <c r="G327" s="168"/>
      <c r="H327" s="169"/>
      <c r="I327" s="169"/>
      <c r="J327" s="171"/>
      <c r="K327" s="173"/>
      <c r="L327" s="168"/>
      <c r="M327" s="169"/>
      <c r="N327" s="169"/>
      <c r="O327" s="213"/>
      <c r="P327" s="1" t="str">
        <f t="shared" si="4"/>
        <v/>
      </c>
      <c r="Q327" s="1"/>
      <c r="R327" s="79"/>
      <c r="S327" s="80"/>
      <c r="T327" s="98"/>
      <c r="U327" s="80"/>
    </row>
    <row r="328" spans="1:21">
      <c r="A328" s="169" t="s">
        <v>119</v>
      </c>
      <c r="B328" s="169" t="s">
        <v>140</v>
      </c>
      <c r="C328" s="172"/>
      <c r="D328" s="172"/>
      <c r="E328" s="172"/>
      <c r="F328" s="167"/>
      <c r="G328" s="168"/>
      <c r="H328" s="169"/>
      <c r="I328" s="169"/>
      <c r="J328" s="171"/>
      <c r="K328" s="173"/>
      <c r="L328" s="179"/>
      <c r="M328" s="169"/>
      <c r="N328" s="169"/>
      <c r="O328" s="213"/>
      <c r="P328" s="1" t="str">
        <f t="shared" si="4"/>
        <v/>
      </c>
      <c r="Q328" s="1"/>
      <c r="R328" s="79"/>
      <c r="S328" s="80"/>
      <c r="T328" s="98"/>
      <c r="U328" s="80"/>
    </row>
    <row r="329" spans="1:21">
      <c r="A329" s="169" t="s">
        <v>119</v>
      </c>
      <c r="B329" s="169" t="s">
        <v>140</v>
      </c>
      <c r="C329" s="172"/>
      <c r="D329" s="172"/>
      <c r="E329" s="172"/>
      <c r="F329" s="241"/>
      <c r="G329" s="168"/>
      <c r="H329" s="169"/>
      <c r="I329" s="169"/>
      <c r="J329" s="171"/>
      <c r="K329" s="173"/>
      <c r="L329" s="242"/>
      <c r="M329" s="169"/>
      <c r="N329" s="169"/>
      <c r="O329" s="243"/>
      <c r="P329" s="1" t="str">
        <f t="shared" si="4"/>
        <v/>
      </c>
      <c r="Q329" s="1"/>
      <c r="R329" s="79"/>
      <c r="S329" s="80"/>
      <c r="T329" s="98"/>
      <c r="U329" s="80"/>
    </row>
    <row r="330" spans="1:21">
      <c r="L330" s="134"/>
      <c r="P330" s="1"/>
      <c r="Q330" s="1"/>
      <c r="R330" s="1"/>
      <c r="S330" s="1"/>
      <c r="T330" s="1"/>
      <c r="U330" s="1"/>
    </row>
    <row r="331" spans="1:21">
      <c r="L331" s="134"/>
      <c r="P331" s="1"/>
      <c r="Q331" s="1"/>
      <c r="R331" s="1"/>
      <c r="S331" s="1"/>
      <c r="T331" s="1"/>
      <c r="U331" s="1"/>
    </row>
    <row r="332" spans="1:21">
      <c r="L332" s="134"/>
      <c r="P332" s="1"/>
      <c r="Q332" s="1"/>
      <c r="R332" s="1"/>
      <c r="S332" s="1"/>
      <c r="T332" s="1"/>
      <c r="U332" s="1"/>
    </row>
    <row r="333" spans="1:21">
      <c r="L333" s="134"/>
      <c r="P333" s="1"/>
      <c r="Q333" s="1"/>
      <c r="R333" s="1"/>
      <c r="S333" s="1"/>
      <c r="T333" s="1"/>
      <c r="U333" s="1"/>
    </row>
    <row r="334" spans="1:21">
      <c r="P334" s="1"/>
      <c r="Q334" s="1"/>
      <c r="R334" s="1"/>
      <c r="S334" s="1"/>
      <c r="T334" s="1"/>
      <c r="U334" s="1"/>
    </row>
    <row r="335" spans="1:21">
      <c r="P335" s="1"/>
      <c r="Q335" s="1"/>
      <c r="R335" s="1"/>
      <c r="S335" s="1"/>
      <c r="T335" s="1"/>
      <c r="U335" s="1"/>
    </row>
    <row r="336" spans="1:21">
      <c r="P336" s="1"/>
      <c r="Q336" s="1"/>
      <c r="R336" s="1"/>
      <c r="S336" s="1"/>
      <c r="T336" s="1"/>
      <c r="U336" s="1"/>
    </row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</sheetData>
  <sheetProtection formatColumns="0" formatRows="0" selectLockedCells="1"/>
  <autoFilter ref="A16:Z253" xr:uid="{00000000-0009-0000-0000-000000000000}"/>
  <mergeCells count="1">
    <mergeCell ref="B6:O6"/>
  </mergeCells>
  <conditionalFormatting sqref="A3:V3">
    <cfRule type="expression" dxfId="23" priority="5">
      <formula>Reinsured="{Client Name} Blank Master"</formula>
    </cfRule>
  </conditionalFormatting>
  <conditionalFormatting sqref="B242:B329 B17:B239">
    <cfRule type="expression" dxfId="22" priority="7">
      <formula>VLOOKUP($B17,AN_List,1,FALSE)=$B17</formula>
    </cfRule>
  </conditionalFormatting>
  <conditionalFormatting sqref="A242:O329 R17:U329 A17:O239">
    <cfRule type="expression" dxfId="21" priority="6">
      <formula>$B17&lt;&gt;OFFSET($B17,1,0)</formula>
    </cfRule>
  </conditionalFormatting>
  <conditionalFormatting sqref="L242:N329 G242:I329 C242:E329 S17:S329 U17:U329 C17:E239 L17:N239 G17:I239">
    <cfRule type="expression" dxfId="20" priority="8">
      <formula>ISTEXT(C17)</formula>
    </cfRule>
  </conditionalFormatting>
  <conditionalFormatting sqref="F242:J329 F17:J239">
    <cfRule type="expression" dxfId="19" priority="9">
      <formula>AND($C17&lt;&gt;"",$F17="",$G17="",$H17="",$I17="")=TRUE</formula>
    </cfRule>
  </conditionalFormatting>
  <conditionalFormatting sqref="B240:B241">
    <cfRule type="expression" dxfId="18" priority="2">
      <formula>VLOOKUP($B240,AN_List,1,FALSE)=$B240</formula>
    </cfRule>
  </conditionalFormatting>
  <conditionalFormatting sqref="A240:O241">
    <cfRule type="expression" dxfId="17" priority="1">
      <formula>$B240&lt;&gt;OFFSET($B240,1,0)</formula>
    </cfRule>
  </conditionalFormatting>
  <conditionalFormatting sqref="C240:E241 G240:I241 L240:N241">
    <cfRule type="expression" dxfId="16" priority="3">
      <formula>ISTEXT(C240)</formula>
    </cfRule>
  </conditionalFormatting>
  <conditionalFormatting sqref="F240:J241">
    <cfRule type="expression" dxfId="15" priority="4">
      <formula>AND($C240&lt;&gt;"",$F240="",$G240="",$H240="",$I240="")=TRUE</formula>
    </cfRule>
  </conditionalFormatting>
  <dataValidations count="5">
    <dataValidation type="date" allowBlank="1" showInputMessage="1" showErrorMessage="1" sqref="A3" xr:uid="{AAD0B985-5D78-4459-BA26-9E1D565615A0}">
      <formula1>42005</formula1>
      <formula2>46022</formula2>
    </dataValidation>
    <dataValidation type="list" allowBlank="1" showInputMessage="1" showErrorMessage="1" sqref="A204:A253 A17:A201" xr:uid="{A4C1FD61-0823-48C6-9BC1-FA13FEB390A0}">
      <formula1>VList_Schedule</formula1>
    </dataValidation>
    <dataValidation type="list" allowBlank="1" showInputMessage="1" showErrorMessage="1" sqref="B203:B253 B17:B201" xr:uid="{B6F183B8-1C21-4410-8360-16AF6E110654}">
      <formula1>VList_Insured</formula1>
    </dataValidation>
    <dataValidation type="list" allowBlank="1" showInputMessage="1" showErrorMessage="1" sqref="F17:F253 K17:K253 T17:T253 R17:R253" xr:uid="{8CA5E0B0-1CD7-454A-8ABC-DDA5D9D26E34}">
      <formula1>VList_Currency</formula1>
    </dataValidation>
    <dataValidation type="list" allowBlank="1" showInputMessage="1" showErrorMessage="1" sqref="J17:J253 O17:O253" xr:uid="{1E2BC6A3-82CB-457F-88CD-301458DF001B}">
      <formula1>VList_Status</formula1>
    </dataValidation>
  </dataValidations>
  <printOptions horizontalCentered="1"/>
  <pageMargins left="0.39370078740157483" right="0.39370078740157483" top="0.49" bottom="0.59055118110236227" header="0.27559055118110237" footer="0.19685039370078741"/>
  <pageSetup paperSize="9" scale="79" fitToHeight="0" orientation="landscape" r:id="rId1"/>
  <headerFooter scaleWithDoc="0">
    <oddFooter>&amp;L&amp;5&amp;Z
&amp;F&amp;A&amp;C&amp;"Calibri,Bold"&amp;A&amp;"Calibri,Regular"
Page &amp;P of &amp;N&amp;R&amp;G</oddFooter>
  </headerFooter>
  <rowBreaks count="2" manualBreakCount="2">
    <brk id="193" max="15" man="1"/>
    <brk id="241" max="15" man="1"/>
  </rowBreaks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O169"/>
  <sheetViews>
    <sheetView showGridLines="0" topLeftCell="B1" zoomScale="90" zoomScaleNormal="90" zoomScalePageLayoutView="70" workbookViewId="0">
      <selection activeCell="P12" sqref="P12"/>
    </sheetView>
  </sheetViews>
  <sheetFormatPr defaultColWidth="10.6640625" defaultRowHeight="13.2"/>
  <cols>
    <col min="1" max="1" width="2.88671875" style="5" customWidth="1"/>
    <col min="2" max="2" width="1.6640625" style="5" customWidth="1"/>
    <col min="3" max="3" width="12.6640625" style="5" customWidth="1"/>
    <col min="4" max="4" width="3.5546875" style="5" customWidth="1"/>
    <col min="5" max="5" width="30.6640625" style="5" bestFit="1" customWidth="1"/>
    <col min="6" max="6" width="90.5546875" style="5" customWidth="1"/>
    <col min="7" max="7" width="1.6640625" style="5" customWidth="1"/>
    <col min="8" max="8" width="0.88671875" style="5" customWidth="1"/>
    <col min="9" max="9" width="2.88671875" style="5" customWidth="1"/>
    <col min="10" max="16" width="10.6640625" style="5"/>
    <col min="17" max="17" width="5.5546875" style="5" bestFit="1" customWidth="1"/>
    <col min="18" max="18" width="8.5546875" style="5" bestFit="1" customWidth="1"/>
    <col min="19" max="16384" width="10.6640625" style="5"/>
  </cols>
  <sheetData>
    <row r="1" spans="1:15">
      <c r="A1" s="245" t="e">
        <f>'Schedule ABC'!A1</f>
        <v>#NAME?</v>
      </c>
      <c r="B1" s="245"/>
      <c r="C1" s="245"/>
      <c r="D1" s="245"/>
      <c r="E1" s="245"/>
      <c r="F1" s="245"/>
      <c r="O1" s="21"/>
    </row>
    <row r="2" spans="1:15" s="4" customFormat="1" ht="20.399999999999999">
      <c r="A2" s="40" t="s">
        <v>151</v>
      </c>
    </row>
    <row r="3" spans="1:15" s="25" customFormat="1">
      <c r="A3" s="246">
        <f>'Schedule ABC'!A3</f>
        <v>44613</v>
      </c>
      <c r="B3" s="246"/>
      <c r="C3" s="246"/>
      <c r="D3" s="246"/>
      <c r="E3" s="246"/>
    </row>
    <row r="4" spans="1:15" ht="13.8" thickBot="1">
      <c r="D4" s="26"/>
      <c r="O4" s="23"/>
    </row>
    <row r="5" spans="1:15" ht="13.8" thickTop="1">
      <c r="B5" s="55"/>
      <c r="G5" s="56"/>
      <c r="O5" s="23"/>
    </row>
    <row r="6" spans="1:15">
      <c r="B6" s="57"/>
      <c r="D6" s="5" t="s">
        <v>142</v>
      </c>
      <c r="G6" s="58"/>
      <c r="O6" s="23"/>
    </row>
    <row r="7" spans="1:15">
      <c r="B7" s="57"/>
      <c r="D7" s="5" t="s">
        <v>239</v>
      </c>
      <c r="G7" s="58"/>
    </row>
    <row r="8" spans="1:15" s="31" customFormat="1" ht="12.75" customHeight="1">
      <c r="B8" s="59"/>
      <c r="G8" s="60"/>
    </row>
    <row r="9" spans="1:15" s="31" customFormat="1" ht="12.75" customHeight="1">
      <c r="B9" s="59"/>
      <c r="C9" s="26" t="str">
        <f t="shared" ref="C9:C27" ca="1" si="0">IFERROR(IF(INDEX(OFFSET(VRange_Insured,0,0,COUNTA(VRange_Insured),1),MATCH($E9,OFFSET(VRange_Insured,0,1,COUNTA(VRange_Insured),1),0))=INDEX(OFFSET(VRange_Insured,0,0,COUNTA(VRange_Insured),1),MATCH(OFFSET($E9,-1,0),OFFSET(VRange_Insured,0,1,COUNTA(VRange_Insured),1),0)),"",CONCATENATE("Schedule ",INDEX(OFFSET(VRange_Insured,0,0,COUNTA(VRange_Insured),1),MATCH($E9,OFFSET(VRange_Insured,0,1,COUNTA(VRange_Insured),1),0)))),IF(AND($E9&lt;&gt;"",OFFSET($E9,-1,0)=""),CONCATENATE("Schedule ",INDEX(OFFSET(VRange_Insured,0,0,COUNTA(VRange_Insured),1),MATCH($E9,OFFSET(VRange_Insured,0,1,COUNTA(VRange_Insured),1),0))),""))</f>
        <v/>
      </c>
      <c r="D9" s="42" t="str">
        <f t="shared" ref="D9:D27" ca="1" si="1">IF($E9="","",IF(OFFSET($E9,-1,0)="",1,OFFSET($D9,-1,0)+1))</f>
        <v/>
      </c>
      <c r="E9" s="32"/>
      <c r="F9" s="32"/>
      <c r="G9" s="60"/>
    </row>
    <row r="10" spans="1:15" s="31" customFormat="1" ht="12.75" customHeight="1">
      <c r="B10" s="59"/>
      <c r="C10" s="26" t="str">
        <f t="shared" ca="1" si="0"/>
        <v/>
      </c>
      <c r="D10" s="42" t="str">
        <f t="shared" ca="1" si="1"/>
        <v/>
      </c>
      <c r="E10" s="32"/>
      <c r="F10" s="32"/>
      <c r="G10" s="60"/>
    </row>
    <row r="11" spans="1:15" s="31" customFormat="1" ht="12.75" customHeight="1">
      <c r="B11" s="59"/>
      <c r="C11" s="26" t="str">
        <f t="shared" ca="1" si="0"/>
        <v/>
      </c>
      <c r="D11" s="42" t="str">
        <f t="shared" ca="1" si="1"/>
        <v/>
      </c>
      <c r="E11" s="32"/>
      <c r="F11" s="32"/>
      <c r="G11" s="60"/>
    </row>
    <row r="12" spans="1:15" s="31" customFormat="1" ht="12.75" customHeight="1">
      <c r="B12" s="59"/>
      <c r="C12" s="26" t="str">
        <f t="shared" ca="1" si="0"/>
        <v/>
      </c>
      <c r="D12" s="42" t="str">
        <f t="shared" ca="1" si="1"/>
        <v/>
      </c>
      <c r="E12" s="32"/>
      <c r="F12" s="32"/>
      <c r="G12" s="60"/>
    </row>
    <row r="13" spans="1:15" s="31" customFormat="1" ht="12.75" customHeight="1">
      <c r="B13" s="59"/>
      <c r="C13" s="26" t="str">
        <f t="shared" ca="1" si="0"/>
        <v/>
      </c>
      <c r="D13" s="42" t="str">
        <f t="shared" ca="1" si="1"/>
        <v/>
      </c>
      <c r="E13" s="32"/>
      <c r="F13" s="32"/>
      <c r="G13" s="60"/>
    </row>
    <row r="14" spans="1:15" s="31" customFormat="1" ht="12.75" customHeight="1">
      <c r="B14" s="59"/>
      <c r="C14" s="26" t="str">
        <f t="shared" ca="1" si="0"/>
        <v/>
      </c>
      <c r="D14" s="42" t="str">
        <f t="shared" ca="1" si="1"/>
        <v/>
      </c>
      <c r="E14" s="32"/>
      <c r="F14" s="32"/>
      <c r="G14" s="60"/>
    </row>
    <row r="15" spans="1:15" s="31" customFormat="1" ht="12.75" customHeight="1">
      <c r="B15" s="59"/>
      <c r="C15" s="26" t="str">
        <f t="shared" ca="1" si="0"/>
        <v/>
      </c>
      <c r="D15" s="42" t="str">
        <f t="shared" ca="1" si="1"/>
        <v/>
      </c>
      <c r="E15" s="32"/>
      <c r="F15" s="32"/>
      <c r="G15" s="60"/>
    </row>
    <row r="16" spans="1:15" s="31" customFormat="1" ht="12.75" customHeight="1">
      <c r="B16" s="59"/>
      <c r="C16" s="26" t="str">
        <f t="shared" ca="1" si="0"/>
        <v/>
      </c>
      <c r="D16" s="42" t="str">
        <f t="shared" ca="1" si="1"/>
        <v/>
      </c>
      <c r="E16" s="32"/>
      <c r="F16" s="32"/>
      <c r="G16" s="60"/>
    </row>
    <row r="17" spans="1:8" s="31" customFormat="1" ht="12.75" customHeight="1">
      <c r="B17" s="59"/>
      <c r="C17" s="26" t="str">
        <f t="shared" ref="C17" ca="1" si="2">IFERROR(IF(INDEX(OFFSET(VRange_Insured,0,0,COUNTA(VRange_Insured),1),MATCH($E17,OFFSET(VRange_Insured,0,1,COUNTA(VRange_Insured),1),0))=INDEX(OFFSET(VRange_Insured,0,0,COUNTA(VRange_Insured),1),MATCH(OFFSET($E17,-1,0),OFFSET(VRange_Insured,0,1,COUNTA(VRange_Insured),1),0)),"",CONCATENATE("Schedule ",INDEX(OFFSET(VRange_Insured,0,0,COUNTA(VRange_Insured),1),MATCH($E17,OFFSET(VRange_Insured,0,1,COUNTA(VRange_Insured),1),0)))),IF(AND($E17&lt;&gt;"",OFFSET($E17,-1,0)=""),CONCATENATE("Schedule ",INDEX(OFFSET(VRange_Insured,0,0,COUNTA(VRange_Insured),1),MATCH($E17,OFFSET(VRange_Insured,0,1,COUNTA(VRange_Insured),1),0))),""))</f>
        <v/>
      </c>
      <c r="D17" s="42" t="str">
        <f t="shared" ref="D17" ca="1" si="3">IF($E17="","",IF(OFFSET($E17,-1,0)="",1,OFFSET($D17,-1,0)+1))</f>
        <v/>
      </c>
      <c r="E17" s="32"/>
      <c r="F17" s="32"/>
      <c r="G17" s="60"/>
    </row>
    <row r="18" spans="1:8" s="31" customFormat="1" ht="12.75" customHeight="1">
      <c r="B18" s="59"/>
      <c r="C18" s="26" t="str">
        <f t="shared" ca="1" si="0"/>
        <v/>
      </c>
      <c r="D18" s="42" t="str">
        <f t="shared" ca="1" si="1"/>
        <v/>
      </c>
      <c r="E18" s="32"/>
      <c r="F18" s="32"/>
      <c r="G18" s="60"/>
    </row>
    <row r="19" spans="1:8" s="31" customFormat="1" ht="12.75" customHeight="1">
      <c r="B19" s="59"/>
      <c r="C19" s="26" t="str">
        <f t="shared" ca="1" si="0"/>
        <v/>
      </c>
      <c r="D19" s="42" t="str">
        <f t="shared" ca="1" si="1"/>
        <v/>
      </c>
      <c r="E19" s="32"/>
      <c r="G19" s="60"/>
    </row>
    <row r="20" spans="1:8" s="31" customFormat="1" ht="12.75" customHeight="1">
      <c r="B20" s="59"/>
      <c r="C20" s="26" t="str">
        <f t="shared" ca="1" si="0"/>
        <v/>
      </c>
      <c r="D20" s="42" t="str">
        <f t="shared" ca="1" si="1"/>
        <v/>
      </c>
      <c r="E20" s="32"/>
      <c r="G20" s="60"/>
    </row>
    <row r="21" spans="1:8" s="31" customFormat="1" ht="12.75" customHeight="1">
      <c r="B21" s="59"/>
      <c r="C21" s="26" t="str">
        <f t="shared" ca="1" si="0"/>
        <v/>
      </c>
      <c r="D21" s="42" t="str">
        <f t="shared" ca="1" si="1"/>
        <v/>
      </c>
      <c r="E21" s="32"/>
      <c r="G21" s="60"/>
    </row>
    <row r="22" spans="1:8" s="31" customFormat="1" ht="12.75" customHeight="1">
      <c r="B22" s="59"/>
      <c r="C22" s="26" t="str">
        <f t="shared" ca="1" si="0"/>
        <v/>
      </c>
      <c r="D22" s="42" t="str">
        <f t="shared" ca="1" si="1"/>
        <v/>
      </c>
      <c r="E22" s="32"/>
      <c r="F22" s="32"/>
      <c r="G22" s="60"/>
    </row>
    <row r="23" spans="1:8" s="31" customFormat="1" ht="12.75" customHeight="1">
      <c r="B23" s="59"/>
      <c r="C23" s="26" t="str">
        <f t="shared" ca="1" si="0"/>
        <v/>
      </c>
      <c r="D23" s="42" t="str">
        <f t="shared" ca="1" si="1"/>
        <v/>
      </c>
      <c r="E23" s="32"/>
      <c r="G23" s="60"/>
    </row>
    <row r="24" spans="1:8" ht="12.75" customHeight="1">
      <c r="A24" s="31"/>
      <c r="B24" s="59"/>
      <c r="C24" s="26" t="str">
        <f t="shared" ca="1" si="0"/>
        <v/>
      </c>
      <c r="D24" s="42" t="str">
        <f t="shared" ca="1" si="1"/>
        <v/>
      </c>
      <c r="E24" s="32"/>
      <c r="F24" s="32"/>
      <c r="G24" s="60"/>
    </row>
    <row r="25" spans="1:8" ht="12.75" customHeight="1">
      <c r="A25" s="31"/>
      <c r="B25" s="59"/>
      <c r="C25" s="26" t="str">
        <f t="shared" ca="1" si="0"/>
        <v/>
      </c>
      <c r="D25" s="42" t="str">
        <f t="shared" ca="1" si="1"/>
        <v/>
      </c>
      <c r="E25" s="32"/>
      <c r="F25" s="32"/>
      <c r="G25" s="60"/>
      <c r="H25" s="31"/>
    </row>
    <row r="26" spans="1:8" ht="12.75" customHeight="1">
      <c r="A26" s="31"/>
      <c r="B26" s="59"/>
      <c r="C26" s="26" t="str">
        <f t="shared" ca="1" si="0"/>
        <v/>
      </c>
      <c r="D26" s="42" t="str">
        <f t="shared" ca="1" si="1"/>
        <v/>
      </c>
      <c r="E26" s="32"/>
      <c r="G26" s="60"/>
    </row>
    <row r="27" spans="1:8" ht="12.75" customHeight="1">
      <c r="A27" s="31"/>
      <c r="B27" s="59"/>
      <c r="C27" s="26" t="str">
        <f t="shared" ca="1" si="0"/>
        <v/>
      </c>
      <c r="D27" s="42" t="str">
        <f t="shared" ca="1" si="1"/>
        <v/>
      </c>
      <c r="E27" s="32"/>
      <c r="F27" s="32"/>
      <c r="G27" s="60"/>
    </row>
    <row r="28" spans="1:8" ht="12.75" customHeight="1" thickBot="1">
      <c r="A28" s="31"/>
      <c r="B28" s="61"/>
      <c r="C28" s="26"/>
      <c r="D28" s="27"/>
      <c r="E28" s="28"/>
      <c r="F28" s="28"/>
      <c r="G28" s="62"/>
    </row>
    <row r="29" spans="1:8" ht="12.75" customHeight="1" thickTop="1">
      <c r="A29" s="31"/>
      <c r="B29" s="31"/>
      <c r="C29" s="26"/>
      <c r="D29" s="27"/>
      <c r="E29" s="28"/>
      <c r="F29" s="28"/>
      <c r="G29" s="31"/>
    </row>
    <row r="30" spans="1:8" ht="12.75" customHeight="1">
      <c r="A30" s="31"/>
      <c r="B30" s="31"/>
      <c r="C30" s="26"/>
      <c r="D30" s="27"/>
      <c r="G30" s="31"/>
    </row>
    <row r="31" spans="1:8">
      <c r="A31" s="31"/>
      <c r="B31" s="31"/>
      <c r="G31" s="31"/>
    </row>
    <row r="41" spans="1:5" s="4" customFormat="1" ht="20.399999999999999">
      <c r="A41" s="4" t="s">
        <v>143</v>
      </c>
    </row>
    <row r="43" spans="1:5">
      <c r="E43" s="43" t="s">
        <v>145</v>
      </c>
    </row>
    <row r="44" spans="1:5">
      <c r="E44" s="63" t="s">
        <v>37</v>
      </c>
    </row>
    <row r="45" spans="1:5">
      <c r="E45" s="63" t="s">
        <v>81</v>
      </c>
    </row>
    <row r="46" spans="1:5">
      <c r="E46" s="63" t="s">
        <v>1</v>
      </c>
    </row>
    <row r="47" spans="1:5">
      <c r="E47" s="63" t="s">
        <v>0</v>
      </c>
    </row>
    <row r="48" spans="1:5">
      <c r="E48" s="63" t="s">
        <v>150</v>
      </c>
    </row>
    <row r="49" spans="4:5">
      <c r="E49" s="63" t="s">
        <v>50</v>
      </c>
    </row>
    <row r="50" spans="4:5">
      <c r="D50" s="64" t="s">
        <v>160</v>
      </c>
      <c r="E50" s="65"/>
    </row>
    <row r="52" spans="4:5">
      <c r="E52" s="43" t="s">
        <v>146</v>
      </c>
    </row>
    <row r="53" spans="4:5">
      <c r="E53" s="63" t="s">
        <v>35</v>
      </c>
    </row>
    <row r="54" spans="4:5">
      <c r="E54" s="63" t="s">
        <v>103</v>
      </c>
    </row>
    <row r="55" spans="4:5">
      <c r="E55" s="63" t="s">
        <v>119</v>
      </c>
    </row>
    <row r="56" spans="4:5">
      <c r="D56" s="64" t="s">
        <v>160</v>
      </c>
      <c r="E56" s="65"/>
    </row>
    <row r="58" spans="4:5">
      <c r="E58" s="43" t="s">
        <v>147</v>
      </c>
    </row>
    <row r="59" spans="4:5">
      <c r="D59" s="33" t="s">
        <v>157</v>
      </c>
      <c r="E59" s="63" t="s">
        <v>148</v>
      </c>
    </row>
    <row r="60" spans="4:5">
      <c r="D60" s="33" t="s">
        <v>158</v>
      </c>
      <c r="E60" s="63" t="s">
        <v>149</v>
      </c>
    </row>
    <row r="61" spans="4:5">
      <c r="D61" s="64" t="s">
        <v>160</v>
      </c>
      <c r="E61" s="65"/>
    </row>
    <row r="64" spans="4:5">
      <c r="E64" s="64" t="s">
        <v>159</v>
      </c>
    </row>
    <row r="65" spans="4:5" s="34" customFormat="1" ht="4.2">
      <c r="E65" s="35"/>
    </row>
    <row r="66" spans="4:5">
      <c r="D66" s="36" t="s">
        <v>24</v>
      </c>
      <c r="E66" s="66" t="s">
        <v>144</v>
      </c>
    </row>
    <row r="67" spans="4:5">
      <c r="D67" s="67" t="s">
        <v>35</v>
      </c>
      <c r="E67" s="67" t="s">
        <v>36</v>
      </c>
    </row>
    <row r="68" spans="4:5">
      <c r="D68" s="67" t="s">
        <v>35</v>
      </c>
      <c r="E68" s="67" t="s">
        <v>38</v>
      </c>
    </row>
    <row r="69" spans="4:5">
      <c r="D69" s="67" t="s">
        <v>35</v>
      </c>
      <c r="E69" s="67" t="s">
        <v>39</v>
      </c>
    </row>
    <row r="70" spans="4:5">
      <c r="D70" s="67" t="s">
        <v>35</v>
      </c>
      <c r="E70" s="67" t="s">
        <v>40</v>
      </c>
    </row>
    <row r="71" spans="4:5">
      <c r="D71" s="67" t="s">
        <v>35</v>
      </c>
      <c r="E71" s="67" t="s">
        <v>41</v>
      </c>
    </row>
    <row r="72" spans="4:5">
      <c r="D72" s="67" t="s">
        <v>35</v>
      </c>
      <c r="E72" s="67" t="s">
        <v>42</v>
      </c>
    </row>
    <row r="73" spans="4:5">
      <c r="D73" s="67" t="s">
        <v>35</v>
      </c>
      <c r="E73" s="67" t="s">
        <v>43</v>
      </c>
    </row>
    <row r="74" spans="4:5">
      <c r="D74" s="67" t="s">
        <v>35</v>
      </c>
      <c r="E74" s="67" t="s">
        <v>44</v>
      </c>
    </row>
    <row r="75" spans="4:5">
      <c r="D75" s="67" t="s">
        <v>35</v>
      </c>
      <c r="E75" s="67" t="s">
        <v>45</v>
      </c>
    </row>
    <row r="76" spans="4:5">
      <c r="D76" s="67" t="s">
        <v>35</v>
      </c>
      <c r="E76" s="67" t="s">
        <v>46</v>
      </c>
    </row>
    <row r="77" spans="4:5">
      <c r="D77" s="67" t="s">
        <v>35</v>
      </c>
      <c r="E77" s="67" t="s">
        <v>47</v>
      </c>
    </row>
    <row r="78" spans="4:5">
      <c r="D78" s="67" t="s">
        <v>35</v>
      </c>
      <c r="E78" s="67" t="s">
        <v>48</v>
      </c>
    </row>
    <row r="79" spans="4:5">
      <c r="D79" s="67" t="s">
        <v>35</v>
      </c>
      <c r="E79" s="67" t="s">
        <v>49</v>
      </c>
    </row>
    <row r="80" spans="4:5">
      <c r="D80" s="67" t="s">
        <v>35</v>
      </c>
      <c r="E80" s="67" t="s">
        <v>51</v>
      </c>
    </row>
    <row r="81" spans="4:5">
      <c r="D81" s="67" t="s">
        <v>35</v>
      </c>
      <c r="E81" s="67" t="s">
        <v>52</v>
      </c>
    </row>
    <row r="82" spans="4:5">
      <c r="D82" s="67" t="s">
        <v>35</v>
      </c>
      <c r="E82" s="67" t="s">
        <v>53</v>
      </c>
    </row>
    <row r="83" spans="4:5">
      <c r="D83" s="67" t="s">
        <v>35</v>
      </c>
      <c r="E83" s="67" t="s">
        <v>54</v>
      </c>
    </row>
    <row r="84" spans="4:5">
      <c r="D84" s="67" t="s">
        <v>35</v>
      </c>
      <c r="E84" s="67" t="s">
        <v>55</v>
      </c>
    </row>
    <row r="85" spans="4:5">
      <c r="D85" s="67" t="s">
        <v>35</v>
      </c>
      <c r="E85" s="67" t="s">
        <v>56</v>
      </c>
    </row>
    <row r="86" spans="4:5">
      <c r="D86" s="67" t="s">
        <v>35</v>
      </c>
      <c r="E86" s="67" t="s">
        <v>57</v>
      </c>
    </row>
    <row r="87" spans="4:5">
      <c r="D87" s="67" t="s">
        <v>35</v>
      </c>
      <c r="E87" s="67" t="s">
        <v>58</v>
      </c>
    </row>
    <row r="88" spans="4:5">
      <c r="D88" s="67" t="s">
        <v>35</v>
      </c>
      <c r="E88" s="67" t="s">
        <v>59</v>
      </c>
    </row>
    <row r="89" spans="4:5">
      <c r="D89" s="67" t="s">
        <v>35</v>
      </c>
      <c r="E89" s="67" t="s">
        <v>60</v>
      </c>
    </row>
    <row r="90" spans="4:5">
      <c r="D90" s="67" t="s">
        <v>35</v>
      </c>
      <c r="E90" s="67" t="s">
        <v>61</v>
      </c>
    </row>
    <row r="91" spans="4:5">
      <c r="D91" s="67" t="s">
        <v>35</v>
      </c>
      <c r="E91" s="67" t="s">
        <v>62</v>
      </c>
    </row>
    <row r="92" spans="4:5">
      <c r="D92" s="67" t="s">
        <v>35</v>
      </c>
      <c r="E92" s="67" t="s">
        <v>63</v>
      </c>
    </row>
    <row r="93" spans="4:5">
      <c r="D93" s="67" t="s">
        <v>35</v>
      </c>
      <c r="E93" s="67" t="s">
        <v>64</v>
      </c>
    </row>
    <row r="94" spans="4:5">
      <c r="D94" s="67" t="s">
        <v>35</v>
      </c>
      <c r="E94" s="67" t="s">
        <v>65</v>
      </c>
    </row>
    <row r="95" spans="4:5">
      <c r="D95" s="67" t="s">
        <v>35</v>
      </c>
      <c r="E95" s="67" t="s">
        <v>66</v>
      </c>
    </row>
    <row r="96" spans="4:5">
      <c r="D96" s="67" t="s">
        <v>35</v>
      </c>
      <c r="E96" s="67" t="s">
        <v>67</v>
      </c>
    </row>
    <row r="97" spans="4:5">
      <c r="D97" s="67" t="s">
        <v>35</v>
      </c>
      <c r="E97" s="67" t="s">
        <v>68</v>
      </c>
    </row>
    <row r="98" spans="4:5">
      <c r="D98" s="67" t="s">
        <v>35</v>
      </c>
      <c r="E98" s="67" t="s">
        <v>69</v>
      </c>
    </row>
    <row r="99" spans="4:5">
      <c r="D99" s="67" t="s">
        <v>35</v>
      </c>
      <c r="E99" s="67" t="s">
        <v>70</v>
      </c>
    </row>
    <row r="100" spans="4:5">
      <c r="D100" s="67" t="s">
        <v>35</v>
      </c>
      <c r="E100" s="67" t="s">
        <v>71</v>
      </c>
    </row>
    <row r="101" spans="4:5">
      <c r="D101" s="67" t="s">
        <v>35</v>
      </c>
      <c r="E101" s="67" t="s">
        <v>72</v>
      </c>
    </row>
    <row r="102" spans="4:5">
      <c r="D102" s="67" t="s">
        <v>35</v>
      </c>
      <c r="E102" s="67" t="s">
        <v>73</v>
      </c>
    </row>
    <row r="103" spans="4:5">
      <c r="D103" s="67" t="s">
        <v>35</v>
      </c>
      <c r="E103" s="67" t="s">
        <v>74</v>
      </c>
    </row>
    <row r="104" spans="4:5">
      <c r="D104" s="67" t="s">
        <v>35</v>
      </c>
      <c r="E104" s="67" t="s">
        <v>75</v>
      </c>
    </row>
    <row r="105" spans="4:5">
      <c r="D105" s="67" t="s">
        <v>35</v>
      </c>
      <c r="E105" s="67" t="s">
        <v>76</v>
      </c>
    </row>
    <row r="106" spans="4:5">
      <c r="D106" s="67" t="s">
        <v>35</v>
      </c>
      <c r="E106" s="67" t="s">
        <v>77</v>
      </c>
    </row>
    <row r="107" spans="4:5">
      <c r="D107" s="67" t="s">
        <v>35</v>
      </c>
      <c r="E107" s="67" t="s">
        <v>78</v>
      </c>
    </row>
    <row r="108" spans="4:5">
      <c r="D108" s="67" t="s">
        <v>35</v>
      </c>
      <c r="E108" s="67" t="s">
        <v>79</v>
      </c>
    </row>
    <row r="109" spans="4:5">
      <c r="D109" s="67" t="s">
        <v>35</v>
      </c>
      <c r="E109" s="67" t="s">
        <v>80</v>
      </c>
    </row>
    <row r="110" spans="4:5">
      <c r="D110" s="67" t="s">
        <v>35</v>
      </c>
      <c r="E110" s="67" t="s">
        <v>82</v>
      </c>
    </row>
    <row r="111" spans="4:5">
      <c r="D111" s="67" t="s">
        <v>35</v>
      </c>
      <c r="E111" s="67" t="s">
        <v>83</v>
      </c>
    </row>
    <row r="112" spans="4:5">
      <c r="D112" s="67" t="s">
        <v>35</v>
      </c>
      <c r="E112" s="67" t="s">
        <v>84</v>
      </c>
    </row>
    <row r="113" spans="4:5">
      <c r="D113" s="67" t="s">
        <v>35</v>
      </c>
      <c r="E113" s="67" t="s">
        <v>85</v>
      </c>
    </row>
    <row r="114" spans="4:5">
      <c r="D114" s="67" t="s">
        <v>35</v>
      </c>
      <c r="E114" s="67" t="s">
        <v>86</v>
      </c>
    </row>
    <row r="115" spans="4:5">
      <c r="D115" s="67" t="s">
        <v>35</v>
      </c>
      <c r="E115" s="67" t="s">
        <v>87</v>
      </c>
    </row>
    <row r="116" spans="4:5">
      <c r="D116" s="67" t="s">
        <v>35</v>
      </c>
      <c r="E116" s="67" t="s">
        <v>88</v>
      </c>
    </row>
    <row r="117" spans="4:5">
      <c r="D117" s="67" t="s">
        <v>35</v>
      </c>
      <c r="E117" s="67" t="s">
        <v>89</v>
      </c>
    </row>
    <row r="118" spans="4:5">
      <c r="D118" s="67" t="s">
        <v>35</v>
      </c>
      <c r="E118" s="67" t="s">
        <v>90</v>
      </c>
    </row>
    <row r="119" spans="4:5">
      <c r="D119" s="67" t="s">
        <v>35</v>
      </c>
      <c r="E119" s="67" t="s">
        <v>219</v>
      </c>
    </row>
    <row r="120" spans="4:5">
      <c r="D120" s="67" t="s">
        <v>35</v>
      </c>
      <c r="E120" s="67" t="s">
        <v>91</v>
      </c>
    </row>
    <row r="121" spans="4:5">
      <c r="D121" s="67" t="s">
        <v>35</v>
      </c>
      <c r="E121" s="67" t="s">
        <v>92</v>
      </c>
    </row>
    <row r="122" spans="4:5">
      <c r="D122" s="67" t="s">
        <v>35</v>
      </c>
      <c r="E122" s="67" t="s">
        <v>93</v>
      </c>
    </row>
    <row r="123" spans="4:5">
      <c r="D123" s="67" t="s">
        <v>35</v>
      </c>
      <c r="E123" s="67" t="s">
        <v>218</v>
      </c>
    </row>
    <row r="124" spans="4:5">
      <c r="D124" s="67" t="s">
        <v>35</v>
      </c>
      <c r="E124" s="67" t="s">
        <v>94</v>
      </c>
    </row>
    <row r="125" spans="4:5">
      <c r="D125" s="67" t="s">
        <v>35</v>
      </c>
      <c r="E125" s="67" t="s">
        <v>95</v>
      </c>
    </row>
    <row r="126" spans="4:5">
      <c r="D126" s="67" t="s">
        <v>35</v>
      </c>
      <c r="E126" s="67" t="s">
        <v>96</v>
      </c>
    </row>
    <row r="127" spans="4:5">
      <c r="D127" s="67" t="s">
        <v>35</v>
      </c>
      <c r="E127" s="67" t="s">
        <v>97</v>
      </c>
    </row>
    <row r="128" spans="4:5">
      <c r="D128" s="67" t="s">
        <v>35</v>
      </c>
      <c r="E128" s="67" t="s">
        <v>98</v>
      </c>
    </row>
    <row r="129" spans="4:5">
      <c r="D129" s="67" t="s">
        <v>35</v>
      </c>
      <c r="E129" s="67" t="s">
        <v>99</v>
      </c>
    </row>
    <row r="130" spans="4:5">
      <c r="D130" s="67" t="s">
        <v>35</v>
      </c>
      <c r="E130" s="67" t="s">
        <v>100</v>
      </c>
    </row>
    <row r="131" spans="4:5">
      <c r="D131" s="67" t="s">
        <v>35</v>
      </c>
      <c r="E131" s="67" t="s">
        <v>101</v>
      </c>
    </row>
    <row r="132" spans="4:5">
      <c r="D132" s="67" t="s">
        <v>35</v>
      </c>
      <c r="E132" s="67" t="s">
        <v>102</v>
      </c>
    </row>
    <row r="133" spans="4:5">
      <c r="D133" s="67" t="s">
        <v>103</v>
      </c>
      <c r="E133" s="67" t="s">
        <v>104</v>
      </c>
    </row>
    <row r="134" spans="4:5">
      <c r="D134" s="67" t="s">
        <v>103</v>
      </c>
      <c r="E134" s="67" t="s">
        <v>105</v>
      </c>
    </row>
    <row r="135" spans="4:5">
      <c r="D135" s="67" t="s">
        <v>103</v>
      </c>
      <c r="E135" s="67" t="s">
        <v>106</v>
      </c>
    </row>
    <row r="136" spans="4:5">
      <c r="D136" s="67" t="s">
        <v>103</v>
      </c>
      <c r="E136" s="67" t="s">
        <v>107</v>
      </c>
    </row>
    <row r="137" spans="4:5">
      <c r="D137" s="67" t="s">
        <v>103</v>
      </c>
      <c r="E137" s="67" t="s">
        <v>108</v>
      </c>
    </row>
    <row r="138" spans="4:5">
      <c r="D138" s="67" t="s">
        <v>103</v>
      </c>
      <c r="E138" s="67" t="s">
        <v>109</v>
      </c>
    </row>
    <row r="139" spans="4:5">
      <c r="D139" s="67" t="s">
        <v>103</v>
      </c>
      <c r="E139" s="67" t="s">
        <v>110</v>
      </c>
    </row>
    <row r="140" spans="4:5">
      <c r="D140" s="67" t="s">
        <v>103</v>
      </c>
      <c r="E140" s="67" t="s">
        <v>111</v>
      </c>
    </row>
    <row r="141" spans="4:5">
      <c r="D141" s="67" t="s">
        <v>103</v>
      </c>
      <c r="E141" s="67" t="s">
        <v>112</v>
      </c>
    </row>
    <row r="142" spans="4:5">
      <c r="D142" s="67" t="s">
        <v>103</v>
      </c>
      <c r="E142" s="67" t="s">
        <v>113</v>
      </c>
    </row>
    <row r="143" spans="4:5">
      <c r="D143" s="67" t="s">
        <v>103</v>
      </c>
      <c r="E143" s="67" t="s">
        <v>114</v>
      </c>
    </row>
    <row r="144" spans="4:5">
      <c r="D144" s="67" t="s">
        <v>103</v>
      </c>
      <c r="E144" s="67" t="s">
        <v>115</v>
      </c>
    </row>
    <row r="145" spans="4:5">
      <c r="D145" s="67" t="s">
        <v>103</v>
      </c>
      <c r="E145" s="67" t="s">
        <v>116</v>
      </c>
    </row>
    <row r="146" spans="4:5">
      <c r="D146" s="67" t="s">
        <v>103</v>
      </c>
      <c r="E146" s="67" t="s">
        <v>117</v>
      </c>
    </row>
    <row r="147" spans="4:5">
      <c r="D147" s="67" t="s">
        <v>103</v>
      </c>
      <c r="E147" s="67" t="s">
        <v>118</v>
      </c>
    </row>
    <row r="148" spans="4:5">
      <c r="D148" s="67" t="s">
        <v>119</v>
      </c>
      <c r="E148" s="67" t="s">
        <v>120</v>
      </c>
    </row>
    <row r="149" spans="4:5">
      <c r="D149" s="67" t="s">
        <v>119</v>
      </c>
      <c r="E149" s="67" t="s">
        <v>121</v>
      </c>
    </row>
    <row r="150" spans="4:5">
      <c r="D150" s="67" t="s">
        <v>119</v>
      </c>
      <c r="E150" s="67" t="s">
        <v>122</v>
      </c>
    </row>
    <row r="151" spans="4:5">
      <c r="D151" s="67" t="s">
        <v>119</v>
      </c>
      <c r="E151" s="67" t="s">
        <v>123</v>
      </c>
    </row>
    <row r="152" spans="4:5">
      <c r="D152" s="67" t="s">
        <v>119</v>
      </c>
      <c r="E152" s="67" t="s">
        <v>124</v>
      </c>
    </row>
    <row r="153" spans="4:5">
      <c r="D153" s="67" t="s">
        <v>119</v>
      </c>
      <c r="E153" s="67" t="s">
        <v>125</v>
      </c>
    </row>
    <row r="154" spans="4:5">
      <c r="D154" s="67" t="s">
        <v>119</v>
      </c>
      <c r="E154" s="67" t="s">
        <v>126</v>
      </c>
    </row>
    <row r="155" spans="4:5">
      <c r="D155" s="67" t="s">
        <v>119</v>
      </c>
      <c r="E155" s="67" t="s">
        <v>127</v>
      </c>
    </row>
    <row r="156" spans="4:5">
      <c r="D156" s="67" t="s">
        <v>119</v>
      </c>
      <c r="E156" s="67" t="s">
        <v>128</v>
      </c>
    </row>
    <row r="157" spans="4:5">
      <c r="D157" s="67" t="s">
        <v>119</v>
      </c>
      <c r="E157" s="67" t="s">
        <v>129</v>
      </c>
    </row>
    <row r="158" spans="4:5">
      <c r="D158" s="67" t="s">
        <v>119</v>
      </c>
      <c r="E158" s="67" t="s">
        <v>130</v>
      </c>
    </row>
    <row r="159" spans="4:5">
      <c r="D159" s="67" t="s">
        <v>119</v>
      </c>
      <c r="E159" s="67" t="s">
        <v>224</v>
      </c>
    </row>
    <row r="160" spans="4:5">
      <c r="D160" s="67" t="s">
        <v>119</v>
      </c>
      <c r="E160" s="67" t="s">
        <v>131</v>
      </c>
    </row>
    <row r="161" spans="4:5">
      <c r="D161" s="67" t="s">
        <v>119</v>
      </c>
      <c r="E161" s="67" t="s">
        <v>132</v>
      </c>
    </row>
    <row r="162" spans="4:5">
      <c r="D162" s="67" t="s">
        <v>119</v>
      </c>
      <c r="E162" s="67" t="s">
        <v>133</v>
      </c>
    </row>
    <row r="163" spans="4:5">
      <c r="D163" s="67" t="s">
        <v>119</v>
      </c>
      <c r="E163" s="67" t="s">
        <v>134</v>
      </c>
    </row>
    <row r="164" spans="4:5">
      <c r="D164" s="67" t="s">
        <v>119</v>
      </c>
      <c r="E164" s="67" t="s">
        <v>135</v>
      </c>
    </row>
    <row r="165" spans="4:5">
      <c r="D165" s="67" t="s">
        <v>119</v>
      </c>
      <c r="E165" s="67" t="s">
        <v>136</v>
      </c>
    </row>
    <row r="166" spans="4:5">
      <c r="D166" s="67" t="s">
        <v>119</v>
      </c>
      <c r="E166" s="67" t="s">
        <v>137</v>
      </c>
    </row>
    <row r="167" spans="4:5">
      <c r="D167" s="67" t="s">
        <v>119</v>
      </c>
      <c r="E167" s="67" t="s">
        <v>138</v>
      </c>
    </row>
    <row r="168" spans="4:5">
      <c r="D168" s="67" t="s">
        <v>119</v>
      </c>
      <c r="E168" s="67" t="s">
        <v>139</v>
      </c>
    </row>
    <row r="169" spans="4:5">
      <c r="D169" s="67" t="s">
        <v>119</v>
      </c>
      <c r="E169" s="67" t="s">
        <v>140</v>
      </c>
    </row>
  </sheetData>
  <mergeCells count="2">
    <mergeCell ref="A1:F1"/>
    <mergeCell ref="A3:E3"/>
  </mergeCells>
  <conditionalFormatting sqref="E9:E27">
    <cfRule type="expression" dxfId="14" priority="2">
      <formula>$E9=""</formula>
    </cfRule>
    <cfRule type="expression" dxfId="13" priority="3">
      <formula>COUNTIF(AN_List,$E9)&gt;1</formula>
    </cfRule>
  </conditionalFormatting>
  <conditionalFormatting sqref="A3">
    <cfRule type="expression" dxfId="12" priority="1">
      <formula>Reinsured="{Client Name} Blank Master"</formula>
    </cfRule>
  </conditionalFormatting>
  <dataValidations count="1">
    <dataValidation type="list" allowBlank="1" showInputMessage="1" showErrorMessage="1" sqref="E9:E27" xr:uid="{00000000-0002-0000-0A00-000000000000}">
      <formula1>VList_Insured</formula1>
    </dataValidation>
  </dataValidations>
  <pageMargins left="0.59055118110236227" right="0.59055118110236227" top="0.59055118110236227" bottom="0.55118110236220474" header="0.27559055118110237" footer="0.19685039370078741"/>
  <pageSetup paperSize="9" scale="91" orientation="landscape" r:id="rId1"/>
  <headerFooter scaleWithDoc="0">
    <oddFooter>&amp;L&amp;5&amp;Z
&amp;F&amp;A&amp;C&amp;"Calibri,Bold"&amp;A&amp;"Calibri,Regular"
Page &amp;P of &amp;N&amp;R&amp;G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B1CC-4260-41F1-ABC9-69E452D05624}">
  <sheetPr>
    <pageSetUpPr fitToPage="1"/>
  </sheetPr>
  <dimension ref="A1:AA227"/>
  <sheetViews>
    <sheetView showGridLines="0" tabSelected="1" zoomScale="70" zoomScaleNormal="70" zoomScaleSheetLayoutView="85" zoomScalePageLayoutView="70" workbookViewId="0">
      <pane ySplit="16" topLeftCell="A17" activePane="bottomLeft" state="frozen"/>
      <selection activeCell="P12" sqref="P12"/>
      <selection pane="bottomLeft" activeCell="D236" sqref="D236"/>
    </sheetView>
  </sheetViews>
  <sheetFormatPr defaultColWidth="10.6640625" defaultRowHeight="13.2" outlineLevelRow="1"/>
  <cols>
    <col min="1" max="1" width="3.33203125" style="140" customWidth="1"/>
    <col min="2" max="2" width="35.6640625" style="140" customWidth="1"/>
    <col min="3" max="4" width="12.6640625" style="140" bestFit="1" customWidth="1"/>
    <col min="5" max="5" width="12.6640625" style="140" customWidth="1"/>
    <col min="6" max="6" width="5.109375" style="140" customWidth="1"/>
    <col min="7" max="7" width="15" style="140" customWidth="1"/>
    <col min="8" max="8" width="13.5546875" style="140" customWidth="1"/>
    <col min="9" max="9" width="9.33203125" style="140" customWidth="1"/>
    <col min="10" max="11" width="5.109375" style="140" customWidth="1"/>
    <col min="12" max="12" width="15" style="140" customWidth="1"/>
    <col min="13" max="13" width="13.5546875" style="140" customWidth="1"/>
    <col min="14" max="14" width="9.33203125" style="140" customWidth="1"/>
    <col min="15" max="15" width="5.109375" style="140" customWidth="1"/>
    <col min="16" max="16" width="2.5546875" style="142" customWidth="1"/>
    <col min="17" max="17" width="0.44140625" style="142" customWidth="1"/>
    <col min="18" max="18" width="5.109375" style="140" customWidth="1"/>
    <col min="19" max="19" width="15" customWidth="1"/>
    <col min="21" max="21" width="3.44140625" customWidth="1"/>
    <col min="23" max="16384" width="10.6640625" style="140"/>
  </cols>
  <sheetData>
    <row r="1" spans="1:27" s="3" customFormat="1">
      <c r="A1" s="24" t="e">
        <f>ReinsuredWorkbook</f>
        <v>#NAME?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103"/>
      <c r="Q1" s="103"/>
      <c r="R1" s="24"/>
      <c r="S1"/>
      <c r="T1"/>
      <c r="U1"/>
      <c r="V1"/>
      <c r="AA1" s="21"/>
    </row>
    <row r="2" spans="1:27" s="135" customFormat="1" ht="20.399999999999999">
      <c r="A2" s="41" t="s">
        <v>277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  <c r="Q2" s="30"/>
      <c r="R2" s="29"/>
      <c r="S2"/>
      <c r="T2"/>
      <c r="U2"/>
      <c r="V2"/>
      <c r="AA2" s="104"/>
    </row>
    <row r="3" spans="1:27" s="138" customFormat="1">
      <c r="A3" s="105">
        <v>44613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7"/>
      <c r="Q3" s="137"/>
      <c r="R3" s="136"/>
      <c r="S3"/>
      <c r="T3"/>
      <c r="U3"/>
      <c r="V3"/>
      <c r="AA3" s="22"/>
    </row>
    <row r="4" spans="1:27" s="138" customFormat="1">
      <c r="P4" s="139"/>
      <c r="Q4" s="139"/>
      <c r="S4"/>
      <c r="T4"/>
      <c r="U4"/>
      <c r="V4"/>
      <c r="AA4" s="22"/>
    </row>
    <row r="5" spans="1:27">
      <c r="A5" s="140" t="s">
        <v>6</v>
      </c>
      <c r="B5" s="1" t="s">
        <v>279</v>
      </c>
      <c r="C5" s="141"/>
      <c r="AA5" s="104"/>
    </row>
    <row r="6" spans="1:27" ht="25.5" customHeight="1">
      <c r="A6" s="108" t="s">
        <v>7</v>
      </c>
      <c r="B6" s="244" t="s">
        <v>276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AA6" s="104"/>
    </row>
    <row r="7" spans="1:27">
      <c r="A7" s="140" t="s">
        <v>8</v>
      </c>
      <c r="B7" s="140" t="s">
        <v>9</v>
      </c>
      <c r="C7" s="141"/>
      <c r="AA7" s="104"/>
    </row>
    <row r="8" spans="1:27">
      <c r="A8" s="140" t="s">
        <v>10</v>
      </c>
      <c r="B8" s="140" t="s">
        <v>11</v>
      </c>
      <c r="C8" s="141"/>
      <c r="AA8" s="104"/>
    </row>
    <row r="9" spans="1:27">
      <c r="A9" s="140" t="s">
        <v>5</v>
      </c>
      <c r="B9" s="140" t="s">
        <v>12</v>
      </c>
      <c r="C9" s="141"/>
      <c r="AA9" s="22"/>
    </row>
    <row r="10" spans="1:27">
      <c r="B10" s="140" t="s">
        <v>13</v>
      </c>
      <c r="AA10" s="22"/>
    </row>
    <row r="11" spans="1:27" s="138" customFormat="1">
      <c r="A11" s="138" t="s">
        <v>14</v>
      </c>
      <c r="B11" s="109" t="s">
        <v>204</v>
      </c>
      <c r="P11" s="137"/>
      <c r="Q11" s="137"/>
      <c r="S11"/>
      <c r="T11"/>
      <c r="U11"/>
      <c r="V11"/>
      <c r="AA11" s="22"/>
    </row>
    <row r="12" spans="1:27">
      <c r="A12" s="143"/>
      <c r="B12" s="109"/>
      <c r="C12" s="141"/>
      <c r="AA12" s="22"/>
    </row>
    <row r="13" spans="1:27" s="144" customFormat="1">
      <c r="A13" s="110"/>
      <c r="C13" s="145"/>
      <c r="F13" s="68" t="s">
        <v>154</v>
      </c>
      <c r="G13" s="146"/>
      <c r="H13" s="146"/>
      <c r="I13" s="146"/>
      <c r="J13" s="69"/>
      <c r="K13" s="68" t="s">
        <v>155</v>
      </c>
      <c r="L13" s="146"/>
      <c r="M13" s="146"/>
      <c r="N13" s="146"/>
      <c r="O13" s="146"/>
      <c r="P13" s="147"/>
      <c r="Q13" s="147"/>
      <c r="S13"/>
      <c r="T13"/>
      <c r="U13"/>
      <c r="V13"/>
    </row>
    <row r="14" spans="1:27" ht="51.6">
      <c r="A14" s="148" t="s">
        <v>15</v>
      </c>
      <c r="B14" s="149" t="s">
        <v>16</v>
      </c>
      <c r="C14" s="150" t="s">
        <v>17</v>
      </c>
      <c r="D14" s="150" t="s">
        <v>18</v>
      </c>
      <c r="E14" s="150" t="s">
        <v>203</v>
      </c>
      <c r="F14" s="70" t="s">
        <v>19</v>
      </c>
      <c r="G14" s="151" t="s">
        <v>20</v>
      </c>
      <c r="H14" s="151" t="s">
        <v>21</v>
      </c>
      <c r="I14" s="151" t="s">
        <v>153</v>
      </c>
      <c r="J14" s="71" t="s">
        <v>152</v>
      </c>
      <c r="K14" s="70" t="s">
        <v>19</v>
      </c>
      <c r="L14" s="151" t="s">
        <v>22</v>
      </c>
      <c r="M14" s="151" t="s">
        <v>23</v>
      </c>
      <c r="N14" s="151" t="s">
        <v>153</v>
      </c>
      <c r="O14" s="152" t="s">
        <v>152</v>
      </c>
      <c r="P14" s="120" t="s">
        <v>217</v>
      </c>
      <c r="Q14" s="120"/>
      <c r="R14" s="77" t="s">
        <v>19</v>
      </c>
      <c r="S14" s="153" t="s">
        <v>237</v>
      </c>
    </row>
    <row r="15" spans="1:27" s="159" customFormat="1" hidden="1" outlineLevel="1">
      <c r="A15" s="154"/>
      <c r="B15" s="155"/>
      <c r="C15" s="156"/>
      <c r="D15" s="156"/>
      <c r="E15" s="156"/>
      <c r="F15" s="157"/>
      <c r="G15" s="157"/>
      <c r="H15" s="157"/>
      <c r="I15" s="157"/>
      <c r="J15" s="158"/>
      <c r="K15" s="157"/>
      <c r="L15" s="157"/>
      <c r="M15" s="157"/>
      <c r="N15" s="157"/>
      <c r="O15" s="158"/>
      <c r="P15" s="127"/>
      <c r="Q15" s="127"/>
      <c r="R15"/>
      <c r="S15"/>
      <c r="T15"/>
      <c r="U15"/>
      <c r="V15"/>
    </row>
    <row r="16" spans="1:27" ht="48" hidden="1" customHeight="1" outlineLevel="1">
      <c r="A16" s="160" t="s">
        <v>24</v>
      </c>
      <c r="B16" s="161" t="s">
        <v>16</v>
      </c>
      <c r="C16" s="162" t="s">
        <v>17</v>
      </c>
      <c r="D16" s="162" t="s">
        <v>18</v>
      </c>
      <c r="E16" s="162" t="s">
        <v>203</v>
      </c>
      <c r="F16" s="84" t="s">
        <v>25</v>
      </c>
      <c r="G16" s="163" t="s">
        <v>26</v>
      </c>
      <c r="H16" s="163" t="s">
        <v>27</v>
      </c>
      <c r="I16" s="164" t="s">
        <v>28</v>
      </c>
      <c r="J16" s="85" t="s">
        <v>29</v>
      </c>
      <c r="K16" s="163" t="s">
        <v>30</v>
      </c>
      <c r="L16" s="163" t="s">
        <v>31</v>
      </c>
      <c r="M16" s="163" t="s">
        <v>32</v>
      </c>
      <c r="N16" s="164" t="s">
        <v>33</v>
      </c>
      <c r="O16" s="94" t="s">
        <v>34</v>
      </c>
      <c r="P16" s="165" t="s">
        <v>217</v>
      </c>
      <c r="Q16" s="129"/>
      <c r="R16" s="51" t="s">
        <v>242</v>
      </c>
      <c r="S16" s="93" t="s">
        <v>243</v>
      </c>
      <c r="Y16" s="166"/>
    </row>
    <row r="17" spans="1:22" s="166" customFormat="1" collapsed="1">
      <c r="A17" s="86" t="s">
        <v>162</v>
      </c>
      <c r="B17" s="87" t="s">
        <v>194</v>
      </c>
      <c r="C17" s="88"/>
      <c r="D17" s="88"/>
      <c r="E17" s="88"/>
      <c r="F17" s="89"/>
      <c r="G17" s="90"/>
      <c r="H17" s="87"/>
      <c r="I17" s="91"/>
      <c r="J17" s="101"/>
      <c r="K17" s="92"/>
      <c r="L17" s="90"/>
      <c r="M17" s="90"/>
      <c r="N17" s="91"/>
      <c r="O17" s="101"/>
      <c r="P17" s="95" t="str">
        <f t="shared" ref="P17:P81" si="0">IFERROR(MATCH($B17,AN_List_ii,FALSE),"")</f>
        <v/>
      </c>
      <c r="Q17" s="130"/>
      <c r="R17" s="82"/>
      <c r="S17" s="83"/>
      <c r="T17"/>
      <c r="U17"/>
      <c r="V17"/>
    </row>
    <row r="18" spans="1:22" s="166" customFormat="1">
      <c r="A18" s="86" t="s">
        <v>162</v>
      </c>
      <c r="B18" s="87" t="s">
        <v>194</v>
      </c>
      <c r="C18" s="88"/>
      <c r="D18" s="88"/>
      <c r="E18" s="88"/>
      <c r="F18" s="89"/>
      <c r="G18" s="90"/>
      <c r="H18" s="87"/>
      <c r="I18" s="91"/>
      <c r="J18" s="101"/>
      <c r="K18" s="92"/>
      <c r="L18" s="90"/>
      <c r="M18" s="90"/>
      <c r="N18" s="91"/>
      <c r="O18" s="101"/>
      <c r="P18" s="95" t="str">
        <f t="shared" si="0"/>
        <v/>
      </c>
      <c r="Q18" s="130"/>
      <c r="R18" s="82"/>
      <c r="S18" s="83"/>
      <c r="T18"/>
      <c r="U18"/>
      <c r="V18"/>
    </row>
    <row r="19" spans="1:22" s="166" customFormat="1">
      <c r="A19" s="86" t="s">
        <v>162</v>
      </c>
      <c r="B19" s="87" t="s">
        <v>194</v>
      </c>
      <c r="C19" s="88"/>
      <c r="D19" s="88"/>
      <c r="E19" s="88"/>
      <c r="F19" s="89"/>
      <c r="G19" s="90"/>
      <c r="H19" s="87"/>
      <c r="I19" s="91"/>
      <c r="J19" s="101"/>
      <c r="K19" s="92"/>
      <c r="L19" s="90"/>
      <c r="M19" s="90"/>
      <c r="N19" s="91"/>
      <c r="O19" s="101"/>
      <c r="P19" s="95" t="str">
        <f t="shared" si="0"/>
        <v/>
      </c>
      <c r="Q19" s="130"/>
      <c r="R19" s="82"/>
      <c r="S19" s="83"/>
      <c r="T19"/>
      <c r="U19"/>
      <c r="V19"/>
    </row>
    <row r="20" spans="1:22" s="166" customFormat="1">
      <c r="A20" s="86" t="s">
        <v>162</v>
      </c>
      <c r="B20" s="87" t="s">
        <v>225</v>
      </c>
      <c r="C20" s="88"/>
      <c r="D20" s="88"/>
      <c r="E20" s="88"/>
      <c r="F20" s="89"/>
      <c r="G20" s="90"/>
      <c r="H20" s="87"/>
      <c r="I20" s="91"/>
      <c r="J20" s="101"/>
      <c r="K20" s="92"/>
      <c r="L20" s="90"/>
      <c r="M20" s="90"/>
      <c r="N20" s="91"/>
      <c r="O20" s="101"/>
      <c r="P20" s="95" t="str">
        <f t="shared" si="0"/>
        <v/>
      </c>
      <c r="Q20" s="130"/>
      <c r="R20" s="82"/>
      <c r="S20" s="83"/>
      <c r="T20"/>
      <c r="U20"/>
      <c r="V20"/>
    </row>
    <row r="21" spans="1:22" s="166" customFormat="1">
      <c r="A21" s="214" t="s">
        <v>162</v>
      </c>
      <c r="B21" s="215" t="s">
        <v>225</v>
      </c>
      <c r="C21" s="216"/>
      <c r="D21" s="216"/>
      <c r="E21" s="216"/>
      <c r="F21" s="217"/>
      <c r="G21" s="218"/>
      <c r="H21" s="215"/>
      <c r="I21" s="219"/>
      <c r="J21" s="220"/>
      <c r="K21" s="221"/>
      <c r="L21" s="218"/>
      <c r="M21" s="218"/>
      <c r="N21" s="219"/>
      <c r="O21" s="220"/>
      <c r="P21" s="95" t="str">
        <f t="shared" si="0"/>
        <v/>
      </c>
      <c r="Q21" s="130"/>
      <c r="R21" s="82"/>
      <c r="S21" s="83"/>
      <c r="T21"/>
      <c r="U21"/>
      <c r="V21"/>
    </row>
    <row r="22" spans="1:22" s="166" customFormat="1">
      <c r="A22" s="214" t="s">
        <v>162</v>
      </c>
      <c r="B22" s="215" t="s">
        <v>225</v>
      </c>
      <c r="C22" s="216"/>
      <c r="D22" s="216"/>
      <c r="E22" s="216"/>
      <c r="F22" s="217"/>
      <c r="G22" s="218"/>
      <c r="H22" s="215"/>
      <c r="I22" s="219"/>
      <c r="J22" s="220"/>
      <c r="K22" s="221"/>
      <c r="L22" s="218"/>
      <c r="M22" s="218"/>
      <c r="N22" s="219"/>
      <c r="O22" s="220"/>
      <c r="P22" s="95"/>
      <c r="Q22" s="130"/>
      <c r="R22" s="82"/>
      <c r="S22" s="83"/>
      <c r="T22"/>
      <c r="U22"/>
      <c r="V22"/>
    </row>
    <row r="23" spans="1:22" s="166" customFormat="1">
      <c r="A23" s="214" t="s">
        <v>162</v>
      </c>
      <c r="B23" s="215" t="s">
        <v>193</v>
      </c>
      <c r="C23" s="216"/>
      <c r="D23" s="216"/>
      <c r="E23" s="216"/>
      <c r="F23" s="217"/>
      <c r="G23" s="218"/>
      <c r="H23" s="215"/>
      <c r="I23" s="219"/>
      <c r="J23" s="220"/>
      <c r="K23" s="221"/>
      <c r="L23" s="218"/>
      <c r="M23" s="218"/>
      <c r="N23" s="219"/>
      <c r="O23" s="220"/>
      <c r="P23" s="95" t="str">
        <f t="shared" si="0"/>
        <v/>
      </c>
      <c r="Q23" s="130"/>
      <c r="R23" s="82"/>
      <c r="S23" s="83"/>
      <c r="T23"/>
      <c r="U23"/>
      <c r="V23"/>
    </row>
    <row r="24" spans="1:22" s="166" customFormat="1">
      <c r="A24" s="214" t="s">
        <v>162</v>
      </c>
      <c r="B24" s="215" t="s">
        <v>193</v>
      </c>
      <c r="C24" s="216"/>
      <c r="D24" s="216"/>
      <c r="E24" s="216"/>
      <c r="F24" s="217"/>
      <c r="G24" s="218"/>
      <c r="H24" s="215"/>
      <c r="I24" s="219"/>
      <c r="J24" s="220"/>
      <c r="K24" s="221"/>
      <c r="L24" s="218"/>
      <c r="M24" s="218"/>
      <c r="N24" s="219"/>
      <c r="O24" s="220"/>
      <c r="P24" s="95" t="str">
        <f t="shared" si="0"/>
        <v/>
      </c>
      <c r="Q24" s="130"/>
      <c r="R24" s="82"/>
      <c r="S24" s="83"/>
      <c r="T24"/>
      <c r="U24"/>
      <c r="V24"/>
    </row>
    <row r="25" spans="1:22" s="166" customFormat="1">
      <c r="A25" s="214" t="s">
        <v>162</v>
      </c>
      <c r="B25" s="215" t="s">
        <v>193</v>
      </c>
      <c r="C25" s="216"/>
      <c r="D25" s="216"/>
      <c r="E25" s="216"/>
      <c r="F25" s="217"/>
      <c r="G25" s="218"/>
      <c r="H25" s="215"/>
      <c r="I25" s="219"/>
      <c r="J25" s="220"/>
      <c r="K25" s="221"/>
      <c r="L25" s="218"/>
      <c r="M25" s="218"/>
      <c r="N25" s="219"/>
      <c r="O25" s="220"/>
      <c r="P25" s="95" t="str">
        <f t="shared" si="0"/>
        <v/>
      </c>
      <c r="Q25" s="130"/>
      <c r="R25" s="82"/>
      <c r="S25" s="83"/>
      <c r="T25"/>
      <c r="U25"/>
      <c r="V25"/>
    </row>
    <row r="26" spans="1:22" s="166" customFormat="1">
      <c r="A26" s="214" t="s">
        <v>162</v>
      </c>
      <c r="B26" s="215" t="s">
        <v>246</v>
      </c>
      <c r="C26" s="216"/>
      <c r="D26" s="216"/>
      <c r="E26" s="216"/>
      <c r="F26" s="217"/>
      <c r="G26" s="218"/>
      <c r="H26" s="215"/>
      <c r="I26" s="219"/>
      <c r="J26" s="220"/>
      <c r="K26" s="221"/>
      <c r="L26" s="218"/>
      <c r="M26" s="218"/>
      <c r="N26" s="219"/>
      <c r="O26" s="220"/>
      <c r="P26" s="95" t="str">
        <f t="shared" si="0"/>
        <v/>
      </c>
      <c r="Q26" s="130"/>
      <c r="R26" s="82"/>
      <c r="S26" s="83"/>
      <c r="T26"/>
      <c r="U26"/>
      <c r="V26"/>
    </row>
    <row r="27" spans="1:22" s="166" customFormat="1">
      <c r="A27" s="214" t="s">
        <v>162</v>
      </c>
      <c r="B27" s="215" t="s">
        <v>246</v>
      </c>
      <c r="C27" s="216"/>
      <c r="D27" s="216"/>
      <c r="E27" s="216"/>
      <c r="F27" s="217"/>
      <c r="G27" s="218"/>
      <c r="H27" s="215"/>
      <c r="I27" s="219"/>
      <c r="J27" s="220"/>
      <c r="K27" s="221"/>
      <c r="L27" s="218"/>
      <c r="M27" s="218"/>
      <c r="N27" s="219"/>
      <c r="O27" s="220"/>
      <c r="P27" s="95" t="str">
        <f t="shared" si="0"/>
        <v/>
      </c>
      <c r="Q27" s="130"/>
      <c r="R27" s="82"/>
      <c r="S27" s="83"/>
      <c r="T27"/>
      <c r="U27"/>
      <c r="V27"/>
    </row>
    <row r="28" spans="1:22" s="166" customFormat="1">
      <c r="A28" s="214" t="s">
        <v>162</v>
      </c>
      <c r="B28" s="215" t="s">
        <v>246</v>
      </c>
      <c r="C28" s="216"/>
      <c r="D28" s="216"/>
      <c r="E28" s="216"/>
      <c r="F28" s="217"/>
      <c r="G28" s="218"/>
      <c r="H28" s="215"/>
      <c r="I28" s="219"/>
      <c r="J28" s="220"/>
      <c r="K28" s="221"/>
      <c r="L28" s="218"/>
      <c r="M28" s="218"/>
      <c r="N28" s="219"/>
      <c r="O28" s="220"/>
      <c r="P28" s="95"/>
      <c r="Q28" s="130"/>
      <c r="R28" s="82"/>
      <c r="S28" s="83"/>
      <c r="T28"/>
      <c r="U28"/>
      <c r="V28"/>
    </row>
    <row r="29" spans="1:22" s="166" customFormat="1">
      <c r="A29" s="214" t="s">
        <v>162</v>
      </c>
      <c r="B29" s="215" t="s">
        <v>192</v>
      </c>
      <c r="C29" s="216"/>
      <c r="D29" s="216"/>
      <c r="E29" s="216"/>
      <c r="F29" s="217"/>
      <c r="G29" s="218"/>
      <c r="H29" s="215"/>
      <c r="I29" s="219"/>
      <c r="J29" s="220"/>
      <c r="K29" s="221"/>
      <c r="L29" s="218"/>
      <c r="M29" s="218"/>
      <c r="N29" s="219"/>
      <c r="O29" s="220"/>
      <c r="P29" s="95" t="str">
        <f t="shared" si="0"/>
        <v/>
      </c>
      <c r="Q29" s="130"/>
      <c r="R29" s="82"/>
      <c r="S29" s="83"/>
      <c r="T29"/>
      <c r="U29"/>
      <c r="V29"/>
    </row>
    <row r="30" spans="1:22" s="166" customFormat="1" ht="15" customHeight="1">
      <c r="A30" s="214" t="s">
        <v>162</v>
      </c>
      <c r="B30" s="215" t="s">
        <v>192</v>
      </c>
      <c r="C30" s="216"/>
      <c r="D30" s="216"/>
      <c r="E30" s="216"/>
      <c r="F30" s="217"/>
      <c r="G30" s="218"/>
      <c r="H30" s="215"/>
      <c r="I30" s="219"/>
      <c r="J30" s="220"/>
      <c r="K30" s="221"/>
      <c r="L30" s="218"/>
      <c r="M30" s="218"/>
      <c r="N30" s="219"/>
      <c r="O30" s="220"/>
      <c r="P30" s="95" t="str">
        <f t="shared" si="0"/>
        <v/>
      </c>
      <c r="Q30" s="130"/>
      <c r="R30" s="82"/>
      <c r="S30" s="83"/>
      <c r="T30"/>
      <c r="U30"/>
      <c r="V30"/>
    </row>
    <row r="31" spans="1:22" s="166" customFormat="1">
      <c r="A31" s="214" t="s">
        <v>162</v>
      </c>
      <c r="B31" s="215" t="s">
        <v>192</v>
      </c>
      <c r="C31" s="216"/>
      <c r="D31" s="216"/>
      <c r="E31" s="216"/>
      <c r="F31" s="217"/>
      <c r="G31" s="218"/>
      <c r="H31" s="215"/>
      <c r="I31" s="219"/>
      <c r="J31" s="220"/>
      <c r="K31" s="221"/>
      <c r="L31" s="218"/>
      <c r="M31" s="218"/>
      <c r="N31" s="219"/>
      <c r="O31" s="220"/>
      <c r="P31" s="95" t="str">
        <f t="shared" si="0"/>
        <v/>
      </c>
      <c r="Q31" s="130"/>
      <c r="R31" s="82"/>
      <c r="S31" s="83"/>
      <c r="T31"/>
      <c r="U31"/>
      <c r="V31"/>
    </row>
    <row r="32" spans="1:22" s="166" customFormat="1">
      <c r="A32" s="214" t="s">
        <v>162</v>
      </c>
      <c r="B32" s="215" t="s">
        <v>191</v>
      </c>
      <c r="C32" s="216">
        <v>43603</v>
      </c>
      <c r="D32" s="216">
        <v>43968</v>
      </c>
      <c r="E32" s="216">
        <v>43603</v>
      </c>
      <c r="F32" s="217" t="s">
        <v>37</v>
      </c>
      <c r="G32" s="218">
        <v>95500000</v>
      </c>
      <c r="H32" s="215">
        <v>0</v>
      </c>
      <c r="I32" s="219">
        <v>4</v>
      </c>
      <c r="J32" s="220"/>
      <c r="K32" s="221" t="s">
        <v>37</v>
      </c>
      <c r="L32" s="218">
        <v>750000000</v>
      </c>
      <c r="M32" s="218">
        <v>0</v>
      </c>
      <c r="N32" s="219">
        <v>4</v>
      </c>
      <c r="O32" s="220"/>
      <c r="P32" s="95" t="str">
        <f t="shared" si="0"/>
        <v/>
      </c>
      <c r="Q32" s="130"/>
      <c r="R32" s="82"/>
      <c r="S32" s="83"/>
      <c r="T32"/>
      <c r="U32"/>
      <c r="V32"/>
    </row>
    <row r="33" spans="1:22" s="166" customFormat="1">
      <c r="A33" s="214" t="s">
        <v>162</v>
      </c>
      <c r="B33" s="215" t="s">
        <v>191</v>
      </c>
      <c r="C33" s="216">
        <v>43969</v>
      </c>
      <c r="D33" s="216">
        <v>44333</v>
      </c>
      <c r="E33" s="216">
        <v>43969</v>
      </c>
      <c r="F33" s="217" t="s">
        <v>37</v>
      </c>
      <c r="G33" s="218">
        <v>75000000</v>
      </c>
      <c r="H33" s="215">
        <v>0</v>
      </c>
      <c r="I33" s="219">
        <v>5</v>
      </c>
      <c r="J33" s="220"/>
      <c r="K33" s="221" t="s">
        <v>37</v>
      </c>
      <c r="L33" s="218">
        <v>750000000</v>
      </c>
      <c r="M33" s="218">
        <v>0</v>
      </c>
      <c r="N33" s="219">
        <v>5</v>
      </c>
      <c r="O33" s="220"/>
      <c r="P33" s="95" t="str">
        <f t="shared" si="0"/>
        <v/>
      </c>
      <c r="Q33" s="130"/>
      <c r="R33" s="82"/>
      <c r="S33" s="83"/>
      <c r="T33"/>
      <c r="U33"/>
      <c r="V33"/>
    </row>
    <row r="34" spans="1:22" s="166" customFormat="1">
      <c r="A34" s="214" t="s">
        <v>162</v>
      </c>
      <c r="B34" s="215" t="s">
        <v>191</v>
      </c>
      <c r="C34" s="216">
        <v>44334</v>
      </c>
      <c r="D34" s="216">
        <v>44698</v>
      </c>
      <c r="E34" s="216">
        <v>44334</v>
      </c>
      <c r="F34" s="217" t="s">
        <v>37</v>
      </c>
      <c r="G34" s="218">
        <v>75000000</v>
      </c>
      <c r="H34" s="215">
        <v>0</v>
      </c>
      <c r="I34" s="219">
        <v>5</v>
      </c>
      <c r="J34" s="220"/>
      <c r="K34" s="221" t="s">
        <v>37</v>
      </c>
      <c r="L34" s="218">
        <v>750000000</v>
      </c>
      <c r="M34" s="218">
        <v>0</v>
      </c>
      <c r="N34" s="219">
        <v>5</v>
      </c>
      <c r="O34" s="220"/>
      <c r="P34" s="95"/>
      <c r="Q34" s="130"/>
      <c r="R34" s="82"/>
      <c r="S34" s="83"/>
      <c r="T34"/>
      <c r="U34"/>
      <c r="V34"/>
    </row>
    <row r="35" spans="1:22" s="166" customFormat="1">
      <c r="A35" s="214" t="s">
        <v>162</v>
      </c>
      <c r="B35" s="215" t="s">
        <v>247</v>
      </c>
      <c r="C35" s="216"/>
      <c r="D35" s="216"/>
      <c r="E35" s="216"/>
      <c r="F35" s="217"/>
      <c r="G35" s="218"/>
      <c r="H35" s="215"/>
      <c r="I35" s="219"/>
      <c r="J35" s="220"/>
      <c r="K35" s="221"/>
      <c r="L35" s="218"/>
      <c r="M35" s="218"/>
      <c r="N35" s="219"/>
      <c r="O35" s="220"/>
      <c r="P35" s="95" t="str">
        <f t="shared" si="0"/>
        <v/>
      </c>
      <c r="Q35" s="130"/>
      <c r="R35" s="82"/>
      <c r="S35" s="83"/>
      <c r="T35"/>
      <c r="U35"/>
      <c r="V35"/>
    </row>
    <row r="36" spans="1:22" s="166" customFormat="1">
      <c r="A36" s="214" t="s">
        <v>162</v>
      </c>
      <c r="B36" s="215" t="s">
        <v>247</v>
      </c>
      <c r="C36" s="216"/>
      <c r="D36" s="216"/>
      <c r="E36" s="216"/>
      <c r="F36" s="217"/>
      <c r="G36" s="218"/>
      <c r="H36" s="215"/>
      <c r="I36" s="219"/>
      <c r="J36" s="220"/>
      <c r="K36" s="221"/>
      <c r="L36" s="218"/>
      <c r="M36" s="218"/>
      <c r="N36" s="219"/>
      <c r="O36" s="220"/>
      <c r="P36" s="95" t="str">
        <f t="shared" si="0"/>
        <v/>
      </c>
      <c r="Q36" s="130"/>
      <c r="R36" s="82"/>
      <c r="S36" s="83"/>
      <c r="T36"/>
      <c r="U36"/>
      <c r="V36"/>
    </row>
    <row r="37" spans="1:22" s="166" customFormat="1">
      <c r="A37" s="214" t="s">
        <v>162</v>
      </c>
      <c r="B37" s="215" t="s">
        <v>247</v>
      </c>
      <c r="C37" s="216"/>
      <c r="D37" s="216"/>
      <c r="E37" s="216"/>
      <c r="F37" s="217"/>
      <c r="G37" s="218"/>
      <c r="H37" s="215"/>
      <c r="I37" s="219"/>
      <c r="J37" s="220"/>
      <c r="K37" s="221"/>
      <c r="L37" s="218"/>
      <c r="M37" s="218"/>
      <c r="N37" s="219"/>
      <c r="O37" s="220"/>
      <c r="P37" s="95" t="str">
        <f t="shared" si="0"/>
        <v/>
      </c>
      <c r="Q37" s="130"/>
      <c r="R37" s="82"/>
      <c r="S37" s="83"/>
      <c r="T37"/>
      <c r="U37"/>
      <c r="V37"/>
    </row>
    <row r="38" spans="1:22" s="166" customFormat="1">
      <c r="A38" s="214" t="s">
        <v>162</v>
      </c>
      <c r="B38" s="215" t="s">
        <v>189</v>
      </c>
      <c r="C38" s="216"/>
      <c r="D38" s="216"/>
      <c r="E38" s="216"/>
      <c r="F38" s="217"/>
      <c r="G38" s="218"/>
      <c r="H38" s="215"/>
      <c r="I38" s="219"/>
      <c r="J38" s="220"/>
      <c r="K38" s="221"/>
      <c r="L38" s="218"/>
      <c r="M38" s="218"/>
      <c r="N38" s="219"/>
      <c r="O38" s="220"/>
      <c r="P38" s="95" t="str">
        <f t="shared" si="0"/>
        <v/>
      </c>
      <c r="Q38" s="130"/>
      <c r="R38" s="82"/>
      <c r="S38" s="83"/>
      <c r="T38"/>
      <c r="U38"/>
      <c r="V38"/>
    </row>
    <row r="39" spans="1:22" s="166" customFormat="1">
      <c r="A39" s="214" t="s">
        <v>162</v>
      </c>
      <c r="B39" s="215" t="s">
        <v>189</v>
      </c>
      <c r="C39" s="216">
        <v>44136</v>
      </c>
      <c r="D39" s="216">
        <v>44501</v>
      </c>
      <c r="E39" s="216">
        <v>44136</v>
      </c>
      <c r="F39" s="217" t="s">
        <v>37</v>
      </c>
      <c r="G39" s="218">
        <v>106250000</v>
      </c>
      <c r="H39" s="215">
        <v>0</v>
      </c>
      <c r="I39" s="219">
        <v>5</v>
      </c>
      <c r="J39" s="220"/>
      <c r="K39" s="221" t="s">
        <v>37</v>
      </c>
      <c r="L39" s="218">
        <v>1000000000</v>
      </c>
      <c r="M39" s="218">
        <v>0</v>
      </c>
      <c r="N39" s="219">
        <v>5</v>
      </c>
      <c r="O39" s="220"/>
      <c r="P39" s="95" t="str">
        <f t="shared" si="0"/>
        <v/>
      </c>
      <c r="Q39" s="130"/>
      <c r="R39" s="82"/>
      <c r="S39" s="83"/>
      <c r="T39"/>
      <c r="U39"/>
      <c r="V39"/>
    </row>
    <row r="40" spans="1:22" s="166" customFormat="1">
      <c r="A40" s="214" t="s">
        <v>162</v>
      </c>
      <c r="B40" s="215" t="s">
        <v>189</v>
      </c>
      <c r="C40" s="216">
        <v>44501</v>
      </c>
      <c r="D40" s="216">
        <v>44866</v>
      </c>
      <c r="E40" s="216">
        <v>44501</v>
      </c>
      <c r="F40" s="217" t="s">
        <v>37</v>
      </c>
      <c r="G40" s="218">
        <v>106250000</v>
      </c>
      <c r="H40" s="215">
        <v>0</v>
      </c>
      <c r="I40" s="219">
        <v>5</v>
      </c>
      <c r="J40" s="220"/>
      <c r="K40" s="221" t="s">
        <v>37</v>
      </c>
      <c r="L40" s="218">
        <v>1000000000</v>
      </c>
      <c r="M40" s="218">
        <v>0</v>
      </c>
      <c r="N40" s="219">
        <v>5</v>
      </c>
      <c r="O40" s="220"/>
      <c r="P40" s="95" t="str">
        <f t="shared" si="0"/>
        <v/>
      </c>
      <c r="Q40" s="130"/>
      <c r="R40" s="82"/>
      <c r="S40" s="83"/>
      <c r="T40"/>
      <c r="U40"/>
      <c r="V40"/>
    </row>
    <row r="41" spans="1:22" s="166" customFormat="1">
      <c r="A41" s="214" t="s">
        <v>162</v>
      </c>
      <c r="B41" s="215" t="s">
        <v>188</v>
      </c>
      <c r="C41" s="216"/>
      <c r="D41" s="216"/>
      <c r="E41" s="216"/>
      <c r="F41" s="217"/>
      <c r="G41" s="218"/>
      <c r="H41" s="215"/>
      <c r="I41" s="219"/>
      <c r="J41" s="220"/>
      <c r="K41" s="221"/>
      <c r="L41" s="218"/>
      <c r="M41" s="218"/>
      <c r="N41" s="219"/>
      <c r="O41" s="220"/>
      <c r="P41" s="95" t="str">
        <f t="shared" si="0"/>
        <v/>
      </c>
      <c r="Q41" s="130"/>
      <c r="R41" s="82"/>
      <c r="S41" s="83"/>
      <c r="T41"/>
      <c r="U41"/>
      <c r="V41"/>
    </row>
    <row r="42" spans="1:22" s="166" customFormat="1">
      <c r="A42" s="214" t="s">
        <v>162</v>
      </c>
      <c r="B42" s="215" t="s">
        <v>188</v>
      </c>
      <c r="C42" s="216"/>
      <c r="D42" s="216"/>
      <c r="E42" s="216"/>
      <c r="F42" s="217"/>
      <c r="G42" s="218"/>
      <c r="H42" s="215"/>
      <c r="I42" s="219"/>
      <c r="J42" s="220"/>
      <c r="K42" s="221"/>
      <c r="L42" s="218"/>
      <c r="M42" s="218"/>
      <c r="N42" s="219"/>
      <c r="O42" s="220"/>
      <c r="P42" s="95" t="str">
        <f t="shared" si="0"/>
        <v/>
      </c>
      <c r="Q42" s="130"/>
      <c r="R42" s="82"/>
      <c r="S42" s="83"/>
      <c r="T42"/>
      <c r="U42"/>
      <c r="V42"/>
    </row>
    <row r="43" spans="1:22" s="166" customFormat="1">
      <c r="A43" s="214" t="s">
        <v>162</v>
      </c>
      <c r="B43" s="215" t="s">
        <v>188</v>
      </c>
      <c r="C43" s="216"/>
      <c r="D43" s="216"/>
      <c r="E43" s="216"/>
      <c r="F43" s="217"/>
      <c r="G43" s="218"/>
      <c r="H43" s="215"/>
      <c r="I43" s="219"/>
      <c r="J43" s="220"/>
      <c r="K43" s="221"/>
      <c r="L43" s="218"/>
      <c r="M43" s="218"/>
      <c r="N43" s="219"/>
      <c r="O43" s="220"/>
      <c r="P43" s="95"/>
      <c r="Q43" s="130"/>
      <c r="R43" s="82"/>
      <c r="S43" s="83"/>
      <c r="T43"/>
      <c r="U43"/>
      <c r="V43"/>
    </row>
    <row r="44" spans="1:22" s="166" customFormat="1">
      <c r="A44" s="214" t="s">
        <v>162</v>
      </c>
      <c r="B44" s="215" t="s">
        <v>187</v>
      </c>
      <c r="C44" s="216"/>
      <c r="D44" s="216"/>
      <c r="E44" s="216"/>
      <c r="F44" s="217"/>
      <c r="G44" s="218"/>
      <c r="H44" s="215"/>
      <c r="I44" s="219"/>
      <c r="J44" s="220"/>
      <c r="K44" s="221"/>
      <c r="L44" s="218"/>
      <c r="M44" s="218"/>
      <c r="N44" s="219"/>
      <c r="O44" s="220"/>
      <c r="P44" s="95" t="str">
        <f t="shared" si="0"/>
        <v/>
      </c>
      <c r="Q44" s="130"/>
      <c r="R44" s="82"/>
      <c r="S44" s="83"/>
      <c r="T44"/>
      <c r="U44"/>
      <c r="V44"/>
    </row>
    <row r="45" spans="1:22" s="166" customFormat="1">
      <c r="A45" s="214" t="s">
        <v>162</v>
      </c>
      <c r="B45" s="215" t="s">
        <v>187</v>
      </c>
      <c r="C45" s="216"/>
      <c r="D45" s="216"/>
      <c r="E45" s="216"/>
      <c r="F45" s="217"/>
      <c r="G45" s="218"/>
      <c r="H45" s="215"/>
      <c r="I45" s="219"/>
      <c r="J45" s="220"/>
      <c r="K45" s="221"/>
      <c r="L45" s="218"/>
      <c r="M45" s="218"/>
      <c r="N45" s="219"/>
      <c r="O45" s="220"/>
      <c r="P45" s="95" t="str">
        <f t="shared" si="0"/>
        <v/>
      </c>
      <c r="Q45" s="130"/>
      <c r="R45" s="82"/>
      <c r="S45" s="83"/>
      <c r="T45"/>
      <c r="U45"/>
      <c r="V45"/>
    </row>
    <row r="46" spans="1:22" s="166" customFormat="1">
      <c r="A46" s="214" t="s">
        <v>162</v>
      </c>
      <c r="B46" s="215" t="s">
        <v>187</v>
      </c>
      <c r="C46" s="216"/>
      <c r="D46" s="216"/>
      <c r="E46" s="216"/>
      <c r="F46" s="217"/>
      <c r="G46" s="218"/>
      <c r="H46" s="215"/>
      <c r="I46" s="219"/>
      <c r="J46" s="220"/>
      <c r="K46" s="221"/>
      <c r="L46" s="218"/>
      <c r="M46" s="218"/>
      <c r="N46" s="219"/>
      <c r="O46" s="220"/>
      <c r="P46" s="95" t="str">
        <f t="shared" si="0"/>
        <v/>
      </c>
      <c r="Q46" s="130"/>
      <c r="R46" s="82"/>
      <c r="S46" s="83"/>
      <c r="T46"/>
      <c r="U46"/>
      <c r="V46"/>
    </row>
    <row r="47" spans="1:22" s="166" customFormat="1">
      <c r="A47" s="214" t="s">
        <v>162</v>
      </c>
      <c r="B47" s="215" t="s">
        <v>186</v>
      </c>
      <c r="C47" s="216">
        <v>43754</v>
      </c>
      <c r="D47" s="216">
        <v>44119</v>
      </c>
      <c r="E47" s="216">
        <v>43754</v>
      </c>
      <c r="F47" s="217" t="s">
        <v>37</v>
      </c>
      <c r="G47" s="218">
        <v>225000000</v>
      </c>
      <c r="H47" s="215">
        <v>0</v>
      </c>
      <c r="I47" s="219">
        <v>3</v>
      </c>
      <c r="J47" s="220"/>
      <c r="K47" s="221" t="s">
        <v>37</v>
      </c>
      <c r="L47" s="218">
        <v>1250000000</v>
      </c>
      <c r="M47" s="218">
        <v>0</v>
      </c>
      <c r="N47" s="219">
        <v>3</v>
      </c>
      <c r="O47" s="220"/>
      <c r="P47" s="95" t="str">
        <f t="shared" si="0"/>
        <v/>
      </c>
      <c r="Q47" s="130"/>
      <c r="R47" s="82"/>
      <c r="S47" s="83"/>
      <c r="T47"/>
      <c r="U47"/>
      <c r="V47"/>
    </row>
    <row r="48" spans="1:22" s="166" customFormat="1">
      <c r="A48" s="214" t="s">
        <v>162</v>
      </c>
      <c r="B48" s="215" t="s">
        <v>186</v>
      </c>
      <c r="C48" s="216">
        <v>44120</v>
      </c>
      <c r="D48" s="216">
        <v>44484</v>
      </c>
      <c r="E48" s="216">
        <v>44120</v>
      </c>
      <c r="F48" s="217" t="s">
        <v>37</v>
      </c>
      <c r="G48" s="218">
        <v>225000000</v>
      </c>
      <c r="H48" s="215">
        <v>0</v>
      </c>
      <c r="I48" s="219">
        <v>3</v>
      </c>
      <c r="J48" s="220"/>
      <c r="K48" s="221" t="s">
        <v>37</v>
      </c>
      <c r="L48" s="218">
        <v>1000000000</v>
      </c>
      <c r="M48" s="218">
        <v>0</v>
      </c>
      <c r="N48" s="219">
        <v>3</v>
      </c>
      <c r="O48" s="220"/>
      <c r="P48" s="95" t="str">
        <f t="shared" si="0"/>
        <v/>
      </c>
      <c r="Q48" s="130"/>
      <c r="R48" s="82"/>
      <c r="S48" s="83"/>
      <c r="T48"/>
      <c r="U48"/>
      <c r="V48"/>
    </row>
    <row r="49" spans="1:22" s="166" customFormat="1">
      <c r="A49" s="214" t="s">
        <v>162</v>
      </c>
      <c r="B49" s="215" t="s">
        <v>186</v>
      </c>
      <c r="C49" s="216">
        <v>44485</v>
      </c>
      <c r="D49" s="216">
        <v>44849</v>
      </c>
      <c r="E49" s="216">
        <v>44485</v>
      </c>
      <c r="F49" s="217" t="s">
        <v>37</v>
      </c>
      <c r="G49" s="218">
        <v>225000000</v>
      </c>
      <c r="H49" s="215">
        <v>0</v>
      </c>
      <c r="I49" s="219">
        <v>3.5</v>
      </c>
      <c r="J49" s="220"/>
      <c r="K49" s="221" t="s">
        <v>37</v>
      </c>
      <c r="L49" s="218">
        <v>1000000000</v>
      </c>
      <c r="M49" s="218">
        <v>0</v>
      </c>
      <c r="N49" s="219">
        <v>3.5</v>
      </c>
      <c r="O49" s="220"/>
      <c r="P49" s="95"/>
      <c r="Q49" s="130"/>
      <c r="R49" s="82"/>
      <c r="S49" s="83"/>
      <c r="T49"/>
      <c r="U49"/>
      <c r="V49"/>
    </row>
    <row r="50" spans="1:22" s="166" customFormat="1">
      <c r="A50" s="214" t="s">
        <v>162</v>
      </c>
      <c r="B50" s="215" t="s">
        <v>185</v>
      </c>
      <c r="C50" s="216">
        <v>43678</v>
      </c>
      <c r="D50" s="216">
        <v>44088</v>
      </c>
      <c r="E50" s="216">
        <v>43678</v>
      </c>
      <c r="F50" s="217" t="s">
        <v>37</v>
      </c>
      <c r="G50" s="218">
        <v>100000000</v>
      </c>
      <c r="H50" s="215">
        <v>0</v>
      </c>
      <c r="I50" s="219">
        <v>7</v>
      </c>
      <c r="J50" s="220"/>
      <c r="K50" s="221" t="s">
        <v>37</v>
      </c>
      <c r="L50" s="218">
        <v>1000000000</v>
      </c>
      <c r="M50" s="218">
        <v>0</v>
      </c>
      <c r="N50" s="219">
        <v>7</v>
      </c>
      <c r="O50" s="220"/>
      <c r="P50" s="95" t="str">
        <f t="shared" si="0"/>
        <v/>
      </c>
      <c r="Q50" s="130"/>
      <c r="R50" s="82"/>
      <c r="S50" s="83"/>
      <c r="T50"/>
      <c r="U50"/>
      <c r="V50"/>
    </row>
    <row r="51" spans="1:22" s="166" customFormat="1">
      <c r="A51" s="214" t="s">
        <v>162</v>
      </c>
      <c r="B51" s="215" t="s">
        <v>185</v>
      </c>
      <c r="C51" s="216">
        <v>44089</v>
      </c>
      <c r="D51" s="216">
        <v>44453</v>
      </c>
      <c r="E51" s="216">
        <v>44089</v>
      </c>
      <c r="F51" s="217" t="s">
        <v>37</v>
      </c>
      <c r="G51" s="218">
        <v>100000000</v>
      </c>
      <c r="H51" s="215">
        <v>0</v>
      </c>
      <c r="I51" s="219">
        <v>7.5</v>
      </c>
      <c r="J51" s="220"/>
      <c r="K51" s="221" t="s">
        <v>37</v>
      </c>
      <c r="L51" s="218">
        <v>1000000000</v>
      </c>
      <c r="M51" s="218">
        <v>0</v>
      </c>
      <c r="N51" s="219">
        <v>7.5</v>
      </c>
      <c r="O51" s="220"/>
      <c r="P51" s="95" t="str">
        <f t="shared" si="0"/>
        <v/>
      </c>
      <c r="Q51" s="130"/>
      <c r="R51" s="82"/>
      <c r="S51" s="83"/>
      <c r="T51"/>
      <c r="U51"/>
      <c r="V51"/>
    </row>
    <row r="52" spans="1:22" s="166" customFormat="1">
      <c r="A52" s="214" t="s">
        <v>162</v>
      </c>
      <c r="B52" s="215" t="s">
        <v>185</v>
      </c>
      <c r="C52" s="216">
        <v>44454</v>
      </c>
      <c r="D52" s="216">
        <v>44818</v>
      </c>
      <c r="E52" s="216">
        <v>44454</v>
      </c>
      <c r="F52" s="217" t="s">
        <v>37</v>
      </c>
      <c r="G52" s="218">
        <v>100000000</v>
      </c>
      <c r="H52" s="215">
        <v>0</v>
      </c>
      <c r="I52" s="219">
        <v>7.5</v>
      </c>
      <c r="J52" s="220"/>
      <c r="K52" s="221" t="s">
        <v>37</v>
      </c>
      <c r="L52" s="218">
        <v>1000000000</v>
      </c>
      <c r="M52" s="218">
        <v>0</v>
      </c>
      <c r="N52" s="219">
        <v>7.5</v>
      </c>
      <c r="O52" s="220"/>
      <c r="P52" s="95"/>
      <c r="Q52" s="130"/>
      <c r="R52" s="82"/>
      <c r="S52" s="83"/>
      <c r="T52"/>
      <c r="U52"/>
      <c r="V52"/>
    </row>
    <row r="53" spans="1:22" s="166" customFormat="1">
      <c r="A53" s="214" t="s">
        <v>162</v>
      </c>
      <c r="B53" s="215" t="s">
        <v>184</v>
      </c>
      <c r="C53" s="216">
        <v>43764</v>
      </c>
      <c r="D53" s="216">
        <v>44129</v>
      </c>
      <c r="E53" s="216">
        <v>43764</v>
      </c>
      <c r="F53" s="217" t="s">
        <v>37</v>
      </c>
      <c r="G53" s="218">
        <v>175000000</v>
      </c>
      <c r="H53" s="215">
        <v>0</v>
      </c>
      <c r="I53" s="219">
        <v>2.77</v>
      </c>
      <c r="J53" s="220"/>
      <c r="K53" s="221" t="s">
        <v>37</v>
      </c>
      <c r="L53" s="218">
        <v>1500000000</v>
      </c>
      <c r="M53" s="218">
        <v>0</v>
      </c>
      <c r="N53" s="219">
        <v>2.77</v>
      </c>
      <c r="O53" s="220"/>
      <c r="P53" s="95" t="str">
        <f t="shared" si="0"/>
        <v/>
      </c>
      <c r="Q53" s="130"/>
      <c r="R53" s="82"/>
      <c r="S53" s="83"/>
      <c r="T53"/>
      <c r="U53"/>
      <c r="V53"/>
    </row>
    <row r="54" spans="1:22" s="166" customFormat="1">
      <c r="A54" s="214" t="s">
        <v>162</v>
      </c>
      <c r="B54" s="215" t="s">
        <v>184</v>
      </c>
      <c r="C54" s="216">
        <v>44130</v>
      </c>
      <c r="D54" s="216">
        <v>44544</v>
      </c>
      <c r="E54" s="216">
        <v>44120</v>
      </c>
      <c r="F54" s="217" t="s">
        <v>37</v>
      </c>
      <c r="G54" s="218">
        <v>175000000</v>
      </c>
      <c r="H54" s="215">
        <v>0</v>
      </c>
      <c r="I54" s="219">
        <v>3.92</v>
      </c>
      <c r="J54" s="220"/>
      <c r="K54" s="221" t="s">
        <v>37</v>
      </c>
      <c r="L54" s="218">
        <v>1500000000</v>
      </c>
      <c r="M54" s="218">
        <v>0</v>
      </c>
      <c r="N54" s="219">
        <v>3.92</v>
      </c>
      <c r="O54" s="220"/>
      <c r="P54" s="95" t="str">
        <f t="shared" si="0"/>
        <v/>
      </c>
      <c r="Q54" s="130"/>
      <c r="R54" s="82"/>
      <c r="S54" s="83"/>
      <c r="T54"/>
      <c r="U54"/>
      <c r="V54"/>
    </row>
    <row r="55" spans="1:22" s="166" customFormat="1">
      <c r="A55" s="214" t="s">
        <v>162</v>
      </c>
      <c r="B55" s="215" t="s">
        <v>184</v>
      </c>
      <c r="C55" s="216"/>
      <c r="D55" s="216"/>
      <c r="E55" s="216"/>
      <c r="F55" s="217"/>
      <c r="G55" s="218" t="s">
        <v>280</v>
      </c>
      <c r="H55" s="215"/>
      <c r="I55" s="219"/>
      <c r="J55" s="220"/>
      <c r="K55" s="221"/>
      <c r="L55" s="218" t="s">
        <v>280</v>
      </c>
      <c r="M55" s="218"/>
      <c r="N55" s="219"/>
      <c r="O55" s="220"/>
      <c r="P55" s="95" t="str">
        <f t="shared" si="0"/>
        <v/>
      </c>
      <c r="Q55" s="130"/>
      <c r="R55" s="82"/>
      <c r="S55" s="83"/>
      <c r="T55"/>
      <c r="U55"/>
      <c r="V55"/>
    </row>
    <row r="56" spans="1:22" s="166" customFormat="1">
      <c r="A56" s="214" t="s">
        <v>162</v>
      </c>
      <c r="B56" s="215" t="s">
        <v>183</v>
      </c>
      <c r="C56" s="216"/>
      <c r="D56" s="216"/>
      <c r="E56" s="216"/>
      <c r="F56" s="217"/>
      <c r="G56" s="218"/>
      <c r="H56" s="215"/>
      <c r="I56" s="219"/>
      <c r="J56" s="220"/>
      <c r="K56" s="221"/>
      <c r="L56" s="218"/>
      <c r="M56" s="218"/>
      <c r="N56" s="219"/>
      <c r="O56" s="220"/>
      <c r="P56" s="95" t="str">
        <f t="shared" si="0"/>
        <v/>
      </c>
      <c r="Q56" s="130"/>
      <c r="R56" s="82"/>
      <c r="S56" s="83"/>
      <c r="T56"/>
      <c r="U56"/>
      <c r="V56"/>
    </row>
    <row r="57" spans="1:22" s="166" customFormat="1">
      <c r="A57" s="214" t="s">
        <v>162</v>
      </c>
      <c r="B57" s="215" t="s">
        <v>183</v>
      </c>
      <c r="C57" s="216"/>
      <c r="D57" s="216"/>
      <c r="E57" s="216"/>
      <c r="F57" s="217"/>
      <c r="G57" s="218"/>
      <c r="H57" s="215"/>
      <c r="I57" s="219"/>
      <c r="J57" s="220"/>
      <c r="K57" s="221"/>
      <c r="L57" s="218"/>
      <c r="M57" s="218"/>
      <c r="N57" s="219"/>
      <c r="O57" s="220"/>
      <c r="P57" s="95" t="str">
        <f t="shared" si="0"/>
        <v/>
      </c>
      <c r="Q57" s="130"/>
      <c r="R57" s="82"/>
      <c r="S57" s="83"/>
      <c r="T57"/>
      <c r="U57"/>
      <c r="V57"/>
    </row>
    <row r="58" spans="1:22" s="166" customFormat="1">
      <c r="A58" s="214" t="s">
        <v>162</v>
      </c>
      <c r="B58" s="215" t="s">
        <v>183</v>
      </c>
      <c r="C58" s="216"/>
      <c r="D58" s="216"/>
      <c r="E58" s="216"/>
      <c r="F58" s="217"/>
      <c r="G58" s="218"/>
      <c r="H58" s="215"/>
      <c r="I58" s="219"/>
      <c r="J58" s="220"/>
      <c r="K58" s="221"/>
      <c r="L58" s="218"/>
      <c r="M58" s="218"/>
      <c r="N58" s="219"/>
      <c r="O58" s="220"/>
      <c r="P58" s="95" t="str">
        <f t="shared" si="0"/>
        <v/>
      </c>
      <c r="Q58" s="130"/>
      <c r="R58" s="82"/>
      <c r="S58" s="83"/>
      <c r="T58"/>
      <c r="U58"/>
      <c r="V58"/>
    </row>
    <row r="59" spans="1:22" s="166" customFormat="1">
      <c r="A59" s="214" t="s">
        <v>162</v>
      </c>
      <c r="B59" s="215" t="s">
        <v>182</v>
      </c>
      <c r="C59" s="216">
        <v>43515</v>
      </c>
      <c r="D59" s="216">
        <v>43879</v>
      </c>
      <c r="E59" s="216">
        <v>43515</v>
      </c>
      <c r="F59" s="217" t="s">
        <v>0</v>
      </c>
      <c r="G59" s="218">
        <v>0</v>
      </c>
      <c r="H59" s="215"/>
      <c r="I59" s="219">
        <v>0</v>
      </c>
      <c r="J59" s="220"/>
      <c r="K59" s="221" t="s">
        <v>0</v>
      </c>
      <c r="L59" s="218">
        <v>508474576</v>
      </c>
      <c r="M59" s="218">
        <v>0</v>
      </c>
      <c r="N59" s="219">
        <v>3</v>
      </c>
      <c r="O59" s="220"/>
      <c r="P59" s="95" t="str">
        <f t="shared" si="0"/>
        <v/>
      </c>
      <c r="Q59" s="130"/>
      <c r="R59" s="82"/>
      <c r="S59" s="83"/>
      <c r="T59"/>
      <c r="U59"/>
      <c r="V59"/>
    </row>
    <row r="60" spans="1:22" s="166" customFormat="1">
      <c r="A60" s="222" t="s">
        <v>162</v>
      </c>
      <c r="B60" s="223" t="s">
        <v>182</v>
      </c>
      <c r="C60" s="224"/>
      <c r="D60" s="224"/>
      <c r="E60" s="224"/>
      <c r="F60" s="225"/>
      <c r="G60" s="226" t="s">
        <v>280</v>
      </c>
      <c r="H60" s="223"/>
      <c r="I60" s="227"/>
      <c r="J60" s="228"/>
      <c r="K60" s="229"/>
      <c r="L60" s="226" t="s">
        <v>278</v>
      </c>
      <c r="M60" s="226"/>
      <c r="N60" s="227"/>
      <c r="O60" s="220"/>
      <c r="P60" s="95" t="str">
        <f t="shared" si="0"/>
        <v/>
      </c>
      <c r="Q60" s="130"/>
      <c r="R60" s="82"/>
      <c r="S60" s="83"/>
      <c r="T60"/>
      <c r="U60"/>
      <c r="V60"/>
    </row>
    <row r="61" spans="1:22" s="166" customFormat="1">
      <c r="A61" s="222" t="s">
        <v>162</v>
      </c>
      <c r="B61" s="223" t="s">
        <v>182</v>
      </c>
      <c r="C61" s="224"/>
      <c r="D61" s="224"/>
      <c r="E61" s="224"/>
      <c r="F61" s="225"/>
      <c r="G61" s="226"/>
      <c r="H61" s="223"/>
      <c r="I61" s="227"/>
      <c r="J61" s="228"/>
      <c r="K61" s="229"/>
      <c r="L61" s="226"/>
      <c r="M61" s="226"/>
      <c r="N61" s="227"/>
      <c r="O61" s="230"/>
      <c r="P61" s="95" t="str">
        <f t="shared" si="0"/>
        <v/>
      </c>
      <c r="Q61" s="130"/>
      <c r="R61" s="82"/>
      <c r="S61" s="83"/>
      <c r="T61"/>
      <c r="U61"/>
      <c r="V61"/>
    </row>
    <row r="62" spans="1:22" s="166" customFormat="1">
      <c r="A62" s="214" t="s">
        <v>162</v>
      </c>
      <c r="B62" s="215" t="s">
        <v>181</v>
      </c>
      <c r="C62" s="216"/>
      <c r="D62" s="216"/>
      <c r="E62" s="216"/>
      <c r="F62" s="217"/>
      <c r="G62" s="218"/>
      <c r="H62" s="215"/>
      <c r="I62" s="219"/>
      <c r="J62" s="220"/>
      <c r="K62" s="221"/>
      <c r="L62" s="218"/>
      <c r="M62" s="218"/>
      <c r="N62" s="219"/>
      <c r="O62" s="220"/>
      <c r="P62" s="95" t="str">
        <f t="shared" si="0"/>
        <v/>
      </c>
      <c r="Q62" s="130"/>
      <c r="R62" s="82"/>
      <c r="S62" s="83"/>
      <c r="T62"/>
      <c r="U62"/>
      <c r="V62"/>
    </row>
    <row r="63" spans="1:22" s="166" customFormat="1">
      <c r="A63" s="214" t="s">
        <v>162</v>
      </c>
      <c r="B63" s="215" t="s">
        <v>181</v>
      </c>
      <c r="C63" s="216"/>
      <c r="D63" s="216"/>
      <c r="E63" s="216"/>
      <c r="F63" s="217"/>
      <c r="G63" s="218"/>
      <c r="H63" s="215"/>
      <c r="I63" s="219"/>
      <c r="J63" s="220"/>
      <c r="K63" s="221"/>
      <c r="L63" s="218"/>
      <c r="M63" s="218"/>
      <c r="N63" s="219"/>
      <c r="O63" s="220"/>
      <c r="P63" s="95" t="str">
        <f t="shared" si="0"/>
        <v/>
      </c>
      <c r="Q63" s="130"/>
      <c r="R63" s="82"/>
      <c r="S63" s="83"/>
      <c r="T63"/>
      <c r="U63"/>
      <c r="V63"/>
    </row>
    <row r="64" spans="1:22" s="166" customFormat="1">
      <c r="A64" s="214" t="s">
        <v>162</v>
      </c>
      <c r="B64" s="215" t="s">
        <v>181</v>
      </c>
      <c r="C64" s="216"/>
      <c r="D64" s="216"/>
      <c r="E64" s="216"/>
      <c r="F64" s="217"/>
      <c r="G64" s="218"/>
      <c r="H64" s="215"/>
      <c r="I64" s="219"/>
      <c r="J64" s="220"/>
      <c r="K64" s="221"/>
      <c r="L64" s="218"/>
      <c r="M64" s="218"/>
      <c r="N64" s="219"/>
      <c r="O64" s="220"/>
      <c r="P64" s="95" t="str">
        <f t="shared" si="0"/>
        <v/>
      </c>
      <c r="Q64" s="130"/>
      <c r="R64" s="82"/>
      <c r="S64" s="83"/>
      <c r="T64"/>
      <c r="U64"/>
      <c r="V64"/>
    </row>
    <row r="65" spans="1:22" s="166" customFormat="1">
      <c r="A65" s="214" t="s">
        <v>162</v>
      </c>
      <c r="B65" s="215" t="s">
        <v>180</v>
      </c>
      <c r="C65" s="216"/>
      <c r="D65" s="216"/>
      <c r="E65" s="216"/>
      <c r="F65" s="217"/>
      <c r="G65" s="218"/>
      <c r="H65" s="215"/>
      <c r="I65" s="219"/>
      <c r="J65" s="220"/>
      <c r="K65" s="221"/>
      <c r="L65" s="218"/>
      <c r="M65" s="218"/>
      <c r="N65" s="219"/>
      <c r="O65" s="220"/>
      <c r="P65" s="95" t="str">
        <f t="shared" si="0"/>
        <v/>
      </c>
      <c r="Q65" s="130"/>
      <c r="R65" s="82"/>
      <c r="S65" s="83"/>
      <c r="T65"/>
      <c r="U65"/>
      <c r="V65"/>
    </row>
    <row r="66" spans="1:22" s="166" customFormat="1">
      <c r="A66" s="214" t="s">
        <v>162</v>
      </c>
      <c r="B66" s="215" t="s">
        <v>180</v>
      </c>
      <c r="C66" s="216"/>
      <c r="D66" s="216"/>
      <c r="E66" s="216"/>
      <c r="F66" s="217"/>
      <c r="G66" s="218"/>
      <c r="H66" s="215"/>
      <c r="I66" s="219"/>
      <c r="J66" s="220"/>
      <c r="K66" s="221"/>
      <c r="L66" s="218"/>
      <c r="M66" s="218"/>
      <c r="N66" s="219"/>
      <c r="O66" s="220"/>
      <c r="P66" s="95" t="str">
        <f t="shared" si="0"/>
        <v/>
      </c>
      <c r="Q66" s="130"/>
      <c r="R66" s="82"/>
      <c r="S66" s="83"/>
      <c r="T66"/>
      <c r="U66"/>
      <c r="V66"/>
    </row>
    <row r="67" spans="1:22" s="166" customFormat="1">
      <c r="A67" s="214" t="s">
        <v>162</v>
      </c>
      <c r="B67" s="215" t="s">
        <v>180</v>
      </c>
      <c r="C67" s="216"/>
      <c r="D67" s="216"/>
      <c r="E67" s="216"/>
      <c r="F67" s="217"/>
      <c r="G67" s="218"/>
      <c r="H67" s="215"/>
      <c r="I67" s="219"/>
      <c r="J67" s="220"/>
      <c r="K67" s="221"/>
      <c r="L67" s="218"/>
      <c r="M67" s="218"/>
      <c r="N67" s="219"/>
      <c r="O67" s="220"/>
      <c r="P67" s="95" t="str">
        <f t="shared" si="0"/>
        <v/>
      </c>
      <c r="Q67" s="130"/>
      <c r="R67" s="82"/>
      <c r="S67" s="83"/>
      <c r="T67"/>
      <c r="U67"/>
      <c r="V67"/>
    </row>
    <row r="68" spans="1:22" s="166" customFormat="1">
      <c r="A68" s="214" t="s">
        <v>162</v>
      </c>
      <c r="B68" s="215" t="s">
        <v>248</v>
      </c>
      <c r="C68" s="216">
        <v>43814</v>
      </c>
      <c r="D68" s="216">
        <v>44179</v>
      </c>
      <c r="E68" s="216">
        <v>43814</v>
      </c>
      <c r="F68" s="217" t="s">
        <v>37</v>
      </c>
      <c r="G68" s="218">
        <v>44000000</v>
      </c>
      <c r="H68" s="215">
        <v>0</v>
      </c>
      <c r="I68" s="219">
        <v>4</v>
      </c>
      <c r="J68" s="220"/>
      <c r="K68" s="221" t="s">
        <v>37</v>
      </c>
      <c r="L68" s="218">
        <v>500000000</v>
      </c>
      <c r="M68" s="218">
        <v>0</v>
      </c>
      <c r="N68" s="219">
        <v>4</v>
      </c>
      <c r="O68" s="220"/>
      <c r="P68" s="95" t="str">
        <f t="shared" si="0"/>
        <v/>
      </c>
      <c r="Q68" s="130"/>
      <c r="R68" s="82"/>
      <c r="S68" s="83"/>
      <c r="T68"/>
      <c r="U68"/>
      <c r="V68"/>
    </row>
    <row r="69" spans="1:22" s="166" customFormat="1">
      <c r="A69" s="214" t="s">
        <v>162</v>
      </c>
      <c r="B69" s="215" t="s">
        <v>248</v>
      </c>
      <c r="C69" s="216">
        <v>44180</v>
      </c>
      <c r="D69" s="216">
        <v>44544</v>
      </c>
      <c r="E69" s="216">
        <v>40527</v>
      </c>
      <c r="F69" s="217" t="s">
        <v>37</v>
      </c>
      <c r="G69" s="218">
        <v>40000000</v>
      </c>
      <c r="H69" s="215">
        <v>0</v>
      </c>
      <c r="I69" s="219">
        <v>4</v>
      </c>
      <c r="J69" s="220"/>
      <c r="K69" s="221" t="s">
        <v>37</v>
      </c>
      <c r="L69" s="218">
        <v>500000000</v>
      </c>
      <c r="M69" s="218">
        <v>0</v>
      </c>
      <c r="N69" s="219">
        <v>4</v>
      </c>
      <c r="O69" s="220"/>
      <c r="P69" s="95" t="str">
        <f t="shared" si="0"/>
        <v/>
      </c>
      <c r="Q69" s="130"/>
      <c r="R69" s="82"/>
      <c r="S69" s="83"/>
      <c r="T69"/>
      <c r="U69"/>
      <c r="V69"/>
    </row>
    <row r="70" spans="1:22" s="166" customFormat="1">
      <c r="A70" s="214" t="s">
        <v>162</v>
      </c>
      <c r="B70" s="215" t="s">
        <v>248</v>
      </c>
      <c r="C70" s="216"/>
      <c r="D70" s="216"/>
      <c r="E70" s="216"/>
      <c r="F70" s="217"/>
      <c r="G70" s="218" t="s">
        <v>280</v>
      </c>
      <c r="H70" s="215"/>
      <c r="I70" s="219"/>
      <c r="J70" s="220"/>
      <c r="K70" s="221"/>
      <c r="L70" s="218" t="s">
        <v>280</v>
      </c>
      <c r="M70" s="218"/>
      <c r="N70" s="219"/>
      <c r="O70" s="220"/>
      <c r="P70" s="95" t="str">
        <f t="shared" si="0"/>
        <v/>
      </c>
      <c r="Q70" s="130"/>
      <c r="R70" s="82"/>
      <c r="S70" s="83"/>
      <c r="T70"/>
      <c r="U70"/>
      <c r="V70"/>
    </row>
    <row r="71" spans="1:22" s="166" customFormat="1">
      <c r="A71" s="214" t="s">
        <v>162</v>
      </c>
      <c r="B71" s="215" t="s">
        <v>249</v>
      </c>
      <c r="C71" s="216"/>
      <c r="D71" s="216"/>
      <c r="E71" s="216"/>
      <c r="F71" s="217"/>
      <c r="G71" s="218"/>
      <c r="H71" s="215"/>
      <c r="I71" s="219"/>
      <c r="J71" s="220"/>
      <c r="K71" s="221"/>
      <c r="L71" s="218"/>
      <c r="M71" s="218"/>
      <c r="N71" s="219"/>
      <c r="O71" s="220"/>
      <c r="P71" s="95" t="str">
        <f t="shared" si="0"/>
        <v/>
      </c>
      <c r="Q71" s="130"/>
      <c r="R71" s="82"/>
      <c r="S71" s="83"/>
      <c r="T71"/>
      <c r="U71"/>
      <c r="V71"/>
    </row>
    <row r="72" spans="1:22" s="166" customFormat="1">
      <c r="A72" s="214" t="s">
        <v>162</v>
      </c>
      <c r="B72" s="215" t="s">
        <v>249</v>
      </c>
      <c r="C72" s="216"/>
      <c r="D72" s="216"/>
      <c r="E72" s="216"/>
      <c r="F72" s="217"/>
      <c r="G72" s="218"/>
      <c r="H72" s="215"/>
      <c r="I72" s="219"/>
      <c r="J72" s="220"/>
      <c r="K72" s="221"/>
      <c r="L72" s="218"/>
      <c r="M72" s="218"/>
      <c r="N72" s="219"/>
      <c r="O72" s="220"/>
      <c r="P72" s="95" t="str">
        <f t="shared" si="0"/>
        <v/>
      </c>
      <c r="Q72" s="130"/>
      <c r="R72" s="82"/>
      <c r="S72" s="83"/>
      <c r="T72"/>
      <c r="U72"/>
      <c r="V72"/>
    </row>
    <row r="73" spans="1:22" s="166" customFormat="1">
      <c r="A73" s="214" t="s">
        <v>162</v>
      </c>
      <c r="B73" s="215" t="s">
        <v>249</v>
      </c>
      <c r="C73" s="216"/>
      <c r="D73" s="216"/>
      <c r="E73" s="216"/>
      <c r="F73" s="217"/>
      <c r="G73" s="218"/>
      <c r="H73" s="215"/>
      <c r="I73" s="219"/>
      <c r="J73" s="220"/>
      <c r="K73" s="221"/>
      <c r="L73" s="218"/>
      <c r="M73" s="218"/>
      <c r="N73" s="219"/>
      <c r="O73" s="220"/>
      <c r="P73" s="95" t="str">
        <f t="shared" si="0"/>
        <v/>
      </c>
      <c r="Q73" s="130"/>
      <c r="R73" s="82"/>
      <c r="S73" s="83"/>
      <c r="T73"/>
      <c r="U73"/>
      <c r="V73"/>
    </row>
    <row r="74" spans="1:22" s="166" customFormat="1">
      <c r="A74" s="214" t="s">
        <v>162</v>
      </c>
      <c r="B74" s="215" t="s">
        <v>178</v>
      </c>
      <c r="C74" s="216"/>
      <c r="D74" s="216"/>
      <c r="E74" s="216"/>
      <c r="F74" s="217"/>
      <c r="G74" s="218"/>
      <c r="H74" s="215"/>
      <c r="I74" s="219"/>
      <c r="J74" s="220"/>
      <c r="K74" s="221"/>
      <c r="L74" s="218"/>
      <c r="M74" s="218"/>
      <c r="N74" s="219"/>
      <c r="O74" s="220"/>
      <c r="P74" s="95" t="str">
        <f t="shared" si="0"/>
        <v/>
      </c>
      <c r="Q74" s="130"/>
      <c r="R74" s="82"/>
      <c r="S74" s="83"/>
      <c r="T74"/>
      <c r="U74"/>
      <c r="V74"/>
    </row>
    <row r="75" spans="1:22" s="166" customFormat="1">
      <c r="A75" s="214" t="s">
        <v>162</v>
      </c>
      <c r="B75" s="215" t="s">
        <v>178</v>
      </c>
      <c r="C75" s="216"/>
      <c r="D75" s="216"/>
      <c r="E75" s="216"/>
      <c r="F75" s="217"/>
      <c r="G75" s="218"/>
      <c r="H75" s="215"/>
      <c r="I75" s="219"/>
      <c r="J75" s="220"/>
      <c r="K75" s="221"/>
      <c r="L75" s="218"/>
      <c r="M75" s="218"/>
      <c r="N75" s="219"/>
      <c r="O75" s="220"/>
      <c r="P75" s="95" t="str">
        <f t="shared" si="0"/>
        <v/>
      </c>
      <c r="Q75" s="130"/>
      <c r="R75" s="82"/>
      <c r="S75" s="83"/>
      <c r="T75"/>
      <c r="U75"/>
      <c r="V75"/>
    </row>
    <row r="76" spans="1:22" s="166" customFormat="1">
      <c r="A76" s="214" t="s">
        <v>162</v>
      </c>
      <c r="B76" s="215" t="s">
        <v>178</v>
      </c>
      <c r="C76" s="216"/>
      <c r="D76" s="216"/>
      <c r="E76" s="216"/>
      <c r="F76" s="217"/>
      <c r="G76" s="218"/>
      <c r="H76" s="215"/>
      <c r="I76" s="219"/>
      <c r="J76" s="220"/>
      <c r="K76" s="221"/>
      <c r="L76" s="218"/>
      <c r="M76" s="218"/>
      <c r="N76" s="219"/>
      <c r="O76" s="220"/>
      <c r="P76" s="95" t="str">
        <f t="shared" si="0"/>
        <v/>
      </c>
      <c r="Q76" s="130"/>
      <c r="R76" s="82"/>
      <c r="S76" s="83"/>
      <c r="T76"/>
      <c r="U76"/>
      <c r="V76"/>
    </row>
    <row r="77" spans="1:22" s="166" customFormat="1">
      <c r="A77" s="214" t="s">
        <v>162</v>
      </c>
      <c r="B77" s="215" t="s">
        <v>226</v>
      </c>
      <c r="C77" s="216">
        <v>43717</v>
      </c>
      <c r="D77" s="216">
        <v>44477</v>
      </c>
      <c r="E77" s="216">
        <v>43717</v>
      </c>
      <c r="F77" s="217" t="s">
        <v>37</v>
      </c>
      <c r="G77" s="218">
        <v>105000000</v>
      </c>
      <c r="H77" s="215">
        <v>0</v>
      </c>
      <c r="I77" s="219">
        <v>3</v>
      </c>
      <c r="J77" s="220"/>
      <c r="K77" s="221" t="s">
        <v>37</v>
      </c>
      <c r="L77" s="218">
        <v>750000000</v>
      </c>
      <c r="M77" s="218">
        <v>0</v>
      </c>
      <c r="N77" s="219">
        <v>3</v>
      </c>
      <c r="O77" s="220"/>
      <c r="P77" s="95" t="str">
        <f t="shared" si="0"/>
        <v/>
      </c>
      <c r="Q77" s="130"/>
      <c r="R77" s="82"/>
      <c r="S77" s="83"/>
      <c r="T77"/>
      <c r="U77"/>
      <c r="V77"/>
    </row>
    <row r="78" spans="1:22" s="166" customFormat="1">
      <c r="A78" s="214" t="s">
        <v>162</v>
      </c>
      <c r="B78" s="215" t="s">
        <v>226</v>
      </c>
      <c r="C78" s="216">
        <v>44113</v>
      </c>
      <c r="D78" s="216">
        <v>44204</v>
      </c>
      <c r="E78" s="216">
        <v>44083</v>
      </c>
      <c r="F78" s="217" t="s">
        <v>37</v>
      </c>
      <c r="G78" s="218">
        <v>100000000</v>
      </c>
      <c r="H78" s="215">
        <v>0</v>
      </c>
      <c r="I78" s="219">
        <v>5</v>
      </c>
      <c r="J78" s="220"/>
      <c r="K78" s="221" t="s">
        <v>37</v>
      </c>
      <c r="L78" s="218">
        <v>750000000</v>
      </c>
      <c r="M78" s="218">
        <v>0</v>
      </c>
      <c r="N78" s="219">
        <v>5</v>
      </c>
      <c r="O78" s="220"/>
      <c r="P78" s="95" t="str">
        <f t="shared" si="0"/>
        <v/>
      </c>
      <c r="Q78" s="130"/>
      <c r="R78" s="82"/>
      <c r="S78" s="83"/>
      <c r="T78"/>
      <c r="U78"/>
      <c r="V78"/>
    </row>
    <row r="79" spans="1:22" s="166" customFormat="1">
      <c r="A79" s="214" t="s">
        <v>162</v>
      </c>
      <c r="B79" s="215" t="s">
        <v>226</v>
      </c>
      <c r="C79" s="216"/>
      <c r="D79" s="216"/>
      <c r="E79" s="216"/>
      <c r="F79" s="217"/>
      <c r="G79" s="218" t="s">
        <v>280</v>
      </c>
      <c r="H79" s="218"/>
      <c r="I79" s="218"/>
      <c r="J79" s="220"/>
      <c r="K79" s="221"/>
      <c r="L79" s="218" t="s">
        <v>280</v>
      </c>
      <c r="M79" s="218"/>
      <c r="N79" s="218"/>
      <c r="O79" s="220"/>
      <c r="P79" s="95" t="str">
        <f t="shared" si="0"/>
        <v/>
      </c>
      <c r="Q79" s="130"/>
      <c r="R79" s="82"/>
      <c r="S79" s="83"/>
      <c r="T79"/>
      <c r="U79"/>
      <c r="V79"/>
    </row>
    <row r="80" spans="1:22" s="166" customFormat="1">
      <c r="A80" s="214" t="s">
        <v>162</v>
      </c>
      <c r="B80" s="215" t="s">
        <v>177</v>
      </c>
      <c r="C80" s="216"/>
      <c r="D80" s="216"/>
      <c r="E80" s="216"/>
      <c r="F80" s="217"/>
      <c r="G80" s="218"/>
      <c r="H80" s="215"/>
      <c r="I80" s="219"/>
      <c r="J80" s="220"/>
      <c r="K80" s="221"/>
      <c r="L80" s="218"/>
      <c r="M80" s="218"/>
      <c r="N80" s="219"/>
      <c r="O80" s="220"/>
      <c r="P80" s="95" t="str">
        <f t="shared" si="0"/>
        <v/>
      </c>
      <c r="Q80" s="130"/>
      <c r="R80" s="82"/>
      <c r="S80" s="83"/>
      <c r="T80"/>
      <c r="U80"/>
      <c r="V80"/>
    </row>
    <row r="81" spans="1:22" s="166" customFormat="1">
      <c r="A81" s="214" t="s">
        <v>162</v>
      </c>
      <c r="B81" s="215" t="s">
        <v>177</v>
      </c>
      <c r="C81" s="216">
        <v>43946</v>
      </c>
      <c r="D81" s="216">
        <v>44310</v>
      </c>
      <c r="E81" s="216">
        <v>43946</v>
      </c>
      <c r="F81" s="217" t="s">
        <v>37</v>
      </c>
      <c r="G81" s="218">
        <v>74500000</v>
      </c>
      <c r="H81" s="215">
        <v>0</v>
      </c>
      <c r="I81" s="219">
        <v>3</v>
      </c>
      <c r="J81" s="220"/>
      <c r="K81" s="221" t="s">
        <v>37</v>
      </c>
      <c r="L81" s="218">
        <v>1000000000</v>
      </c>
      <c r="M81" s="218">
        <v>0</v>
      </c>
      <c r="N81" s="219">
        <v>3</v>
      </c>
      <c r="O81" s="220"/>
      <c r="P81" s="95" t="str">
        <f t="shared" si="0"/>
        <v/>
      </c>
      <c r="Q81" s="130"/>
      <c r="R81" s="82"/>
      <c r="S81" s="83"/>
      <c r="T81"/>
      <c r="U81"/>
      <c r="V81"/>
    </row>
    <row r="82" spans="1:22" s="166" customFormat="1">
      <c r="A82" s="214" t="s">
        <v>162</v>
      </c>
      <c r="B82" s="215" t="s">
        <v>177</v>
      </c>
      <c r="C82" s="216">
        <v>44311</v>
      </c>
      <c r="D82" s="216">
        <v>44675</v>
      </c>
      <c r="E82" s="216">
        <v>44311</v>
      </c>
      <c r="F82" s="217" t="s">
        <v>37</v>
      </c>
      <c r="G82" s="218">
        <v>74500000</v>
      </c>
      <c r="H82" s="215">
        <v>0</v>
      </c>
      <c r="I82" s="219">
        <v>3</v>
      </c>
      <c r="J82" s="220"/>
      <c r="K82" s="221" t="s">
        <v>37</v>
      </c>
      <c r="L82" s="218">
        <v>1000000000</v>
      </c>
      <c r="M82" s="218">
        <v>0</v>
      </c>
      <c r="N82" s="219">
        <v>3</v>
      </c>
      <c r="O82" s="220"/>
      <c r="P82" s="95" t="str">
        <f t="shared" ref="P82:P145" si="1">IFERROR(MATCH($B82,AN_List_ii,FALSE),"")</f>
        <v/>
      </c>
      <c r="Q82" s="130"/>
      <c r="R82" s="82"/>
      <c r="S82" s="83"/>
      <c r="T82"/>
      <c r="U82"/>
      <c r="V82"/>
    </row>
    <row r="83" spans="1:22" s="166" customFormat="1">
      <c r="A83" s="214" t="s">
        <v>162</v>
      </c>
      <c r="B83" s="215" t="s">
        <v>176</v>
      </c>
      <c r="C83" s="216">
        <v>43800</v>
      </c>
      <c r="D83" s="216">
        <v>44165</v>
      </c>
      <c r="E83" s="216">
        <v>43800</v>
      </c>
      <c r="F83" s="217" t="s">
        <v>37</v>
      </c>
      <c r="G83" s="218">
        <v>250000000</v>
      </c>
      <c r="H83" s="215">
        <v>0</v>
      </c>
      <c r="I83" s="219">
        <v>4.47</v>
      </c>
      <c r="J83" s="220"/>
      <c r="K83" s="221" t="s">
        <v>37</v>
      </c>
      <c r="L83" s="218">
        <v>1250000000</v>
      </c>
      <c r="M83" s="218">
        <v>0</v>
      </c>
      <c r="N83" s="219">
        <v>4.47</v>
      </c>
      <c r="O83" s="220"/>
      <c r="P83" s="95" t="str">
        <f t="shared" si="1"/>
        <v/>
      </c>
      <c r="Q83" s="130"/>
      <c r="R83" s="82"/>
      <c r="S83" s="83"/>
      <c r="T83"/>
      <c r="U83"/>
      <c r="V83"/>
    </row>
    <row r="84" spans="1:22" s="166" customFormat="1">
      <c r="A84" s="214" t="s">
        <v>162</v>
      </c>
      <c r="B84" s="215" t="s">
        <v>176</v>
      </c>
      <c r="C84" s="216">
        <v>44166</v>
      </c>
      <c r="D84" s="216">
        <v>44530</v>
      </c>
      <c r="E84" s="216">
        <v>44166</v>
      </c>
      <c r="F84" s="217" t="s">
        <v>37</v>
      </c>
      <c r="G84" s="218">
        <v>250000000</v>
      </c>
      <c r="H84" s="215">
        <v>0</v>
      </c>
      <c r="I84" s="219">
        <v>4.5</v>
      </c>
      <c r="J84" s="220"/>
      <c r="K84" s="221" t="s">
        <v>37</v>
      </c>
      <c r="L84" s="218">
        <v>1250000000</v>
      </c>
      <c r="M84" s="218">
        <v>0</v>
      </c>
      <c r="N84" s="219">
        <v>4.5</v>
      </c>
      <c r="O84" s="220"/>
      <c r="P84" s="95" t="str">
        <f t="shared" si="1"/>
        <v/>
      </c>
      <c r="Q84" s="130"/>
      <c r="R84" s="82"/>
      <c r="S84" s="83"/>
      <c r="T84"/>
      <c r="U84"/>
      <c r="V84"/>
    </row>
    <row r="85" spans="1:22" s="166" customFormat="1">
      <c r="A85" s="214" t="s">
        <v>162</v>
      </c>
      <c r="B85" s="215" t="s">
        <v>176</v>
      </c>
      <c r="C85" s="216">
        <v>44531</v>
      </c>
      <c r="D85" s="216">
        <v>44895</v>
      </c>
      <c r="E85" s="216">
        <v>44531</v>
      </c>
      <c r="F85" s="217" t="s">
        <v>37</v>
      </c>
      <c r="G85" s="218">
        <v>250000000</v>
      </c>
      <c r="H85" s="215">
        <v>0</v>
      </c>
      <c r="I85" s="219">
        <v>5</v>
      </c>
      <c r="J85" s="220"/>
      <c r="K85" s="221" t="s">
        <v>37</v>
      </c>
      <c r="L85" s="218">
        <v>1250000000</v>
      </c>
      <c r="M85" s="218">
        <v>0</v>
      </c>
      <c r="N85" s="219">
        <v>5</v>
      </c>
      <c r="O85" s="220"/>
      <c r="P85" s="95" t="str">
        <f t="shared" si="1"/>
        <v/>
      </c>
      <c r="Q85" s="130"/>
      <c r="R85" s="82"/>
      <c r="S85" s="83"/>
      <c r="T85"/>
      <c r="U85"/>
      <c r="V85"/>
    </row>
    <row r="86" spans="1:22" s="166" customFormat="1">
      <c r="A86" s="214" t="s">
        <v>162</v>
      </c>
      <c r="B86" s="215" t="s">
        <v>175</v>
      </c>
      <c r="C86" s="216"/>
      <c r="D86" s="216"/>
      <c r="E86" s="216"/>
      <c r="F86" s="217"/>
      <c r="G86" s="218"/>
      <c r="H86" s="215"/>
      <c r="I86" s="219"/>
      <c r="J86" s="220"/>
      <c r="K86" s="221"/>
      <c r="L86" s="218"/>
      <c r="M86" s="218"/>
      <c r="N86" s="219"/>
      <c r="O86" s="220"/>
      <c r="P86" s="95" t="str">
        <f t="shared" si="1"/>
        <v/>
      </c>
      <c r="Q86" s="130"/>
      <c r="R86" s="82"/>
      <c r="S86" s="83"/>
      <c r="T86"/>
      <c r="U86"/>
      <c r="V86"/>
    </row>
    <row r="87" spans="1:22" s="166" customFormat="1">
      <c r="A87" s="214" t="s">
        <v>162</v>
      </c>
      <c r="B87" s="215" t="s">
        <v>175</v>
      </c>
      <c r="C87" s="216"/>
      <c r="D87" s="216"/>
      <c r="E87" s="216"/>
      <c r="F87" s="217"/>
      <c r="G87" s="218"/>
      <c r="H87" s="215"/>
      <c r="I87" s="219"/>
      <c r="J87" s="220"/>
      <c r="K87" s="221"/>
      <c r="L87" s="218"/>
      <c r="M87" s="218"/>
      <c r="N87" s="219"/>
      <c r="O87" s="220"/>
      <c r="P87" s="95" t="str">
        <f t="shared" si="1"/>
        <v/>
      </c>
      <c r="Q87" s="130"/>
      <c r="R87" s="82"/>
      <c r="S87" s="83"/>
      <c r="T87"/>
      <c r="U87"/>
      <c r="V87"/>
    </row>
    <row r="88" spans="1:22" s="166" customFormat="1">
      <c r="A88" s="214" t="s">
        <v>162</v>
      </c>
      <c r="B88" s="215" t="s">
        <v>175</v>
      </c>
      <c r="C88" s="216"/>
      <c r="D88" s="216"/>
      <c r="E88" s="216"/>
      <c r="F88" s="217"/>
      <c r="G88" s="218"/>
      <c r="H88" s="215"/>
      <c r="I88" s="219"/>
      <c r="J88" s="220"/>
      <c r="K88" s="221"/>
      <c r="L88" s="218"/>
      <c r="M88" s="218"/>
      <c r="N88" s="219"/>
      <c r="O88" s="220"/>
      <c r="P88" s="95" t="str">
        <f t="shared" si="1"/>
        <v/>
      </c>
      <c r="Q88" s="130"/>
      <c r="R88" s="82"/>
      <c r="S88" s="83"/>
      <c r="T88"/>
      <c r="U88"/>
      <c r="V88"/>
    </row>
    <row r="89" spans="1:22" s="166" customFormat="1">
      <c r="A89" s="214" t="s">
        <v>162</v>
      </c>
      <c r="B89" s="215" t="s">
        <v>174</v>
      </c>
      <c r="C89" s="216"/>
      <c r="D89" s="216"/>
      <c r="E89" s="216"/>
      <c r="F89" s="217"/>
      <c r="G89" s="218"/>
      <c r="H89" s="215"/>
      <c r="I89" s="219"/>
      <c r="J89" s="220"/>
      <c r="K89" s="221"/>
      <c r="L89" s="218"/>
      <c r="M89" s="218"/>
      <c r="N89" s="219"/>
      <c r="O89" s="220"/>
      <c r="P89" s="95" t="str">
        <f t="shared" si="1"/>
        <v/>
      </c>
      <c r="Q89" s="130"/>
      <c r="R89" s="82"/>
      <c r="S89" s="83"/>
      <c r="T89"/>
      <c r="U89"/>
      <c r="V89"/>
    </row>
    <row r="90" spans="1:22" s="166" customFormat="1">
      <c r="A90" s="214" t="s">
        <v>162</v>
      </c>
      <c r="B90" s="215" t="s">
        <v>174</v>
      </c>
      <c r="C90" s="216"/>
      <c r="D90" s="216"/>
      <c r="E90" s="216"/>
      <c r="F90" s="217"/>
      <c r="G90" s="218"/>
      <c r="H90" s="215"/>
      <c r="I90" s="219"/>
      <c r="J90" s="220"/>
      <c r="K90" s="221"/>
      <c r="L90" s="218"/>
      <c r="M90" s="218"/>
      <c r="N90" s="219"/>
      <c r="O90" s="220"/>
      <c r="P90" s="95" t="str">
        <f t="shared" si="1"/>
        <v/>
      </c>
      <c r="Q90" s="130"/>
      <c r="R90" s="82"/>
      <c r="S90" s="83"/>
      <c r="T90"/>
      <c r="U90"/>
      <c r="V90"/>
    </row>
    <row r="91" spans="1:22" s="166" customFormat="1">
      <c r="A91" s="214" t="s">
        <v>162</v>
      </c>
      <c r="B91" s="215" t="s">
        <v>174</v>
      </c>
      <c r="C91" s="216"/>
      <c r="D91" s="216"/>
      <c r="E91" s="216"/>
      <c r="F91" s="217"/>
      <c r="G91" s="218"/>
      <c r="H91" s="215"/>
      <c r="I91" s="219"/>
      <c r="J91" s="220"/>
      <c r="K91" s="221"/>
      <c r="L91" s="218"/>
      <c r="M91" s="218"/>
      <c r="N91" s="219"/>
      <c r="O91" s="220"/>
      <c r="P91" s="95" t="str">
        <f t="shared" si="1"/>
        <v/>
      </c>
      <c r="Q91" s="130"/>
      <c r="R91" s="82"/>
      <c r="S91" s="83"/>
      <c r="T91"/>
      <c r="U91"/>
      <c r="V91"/>
    </row>
    <row r="92" spans="1:22" s="166" customFormat="1">
      <c r="A92" s="214" t="s">
        <v>162</v>
      </c>
      <c r="B92" s="215" t="s">
        <v>173</v>
      </c>
      <c r="C92" s="216"/>
      <c r="D92" s="216"/>
      <c r="E92" s="216"/>
      <c r="F92" s="217"/>
      <c r="G92" s="218"/>
      <c r="H92" s="215"/>
      <c r="I92" s="219"/>
      <c r="J92" s="220"/>
      <c r="K92" s="221"/>
      <c r="L92" s="218"/>
      <c r="M92" s="218"/>
      <c r="N92" s="219"/>
      <c r="O92" s="220"/>
      <c r="P92" s="95" t="str">
        <f t="shared" si="1"/>
        <v/>
      </c>
      <c r="Q92" s="130"/>
      <c r="R92" s="82"/>
      <c r="S92" s="83"/>
      <c r="T92"/>
      <c r="U92"/>
      <c r="V92"/>
    </row>
    <row r="93" spans="1:22" s="166" customFormat="1">
      <c r="A93" s="214" t="s">
        <v>162</v>
      </c>
      <c r="B93" s="215" t="s">
        <v>173</v>
      </c>
      <c r="C93" s="216"/>
      <c r="D93" s="216"/>
      <c r="E93" s="216"/>
      <c r="F93" s="217"/>
      <c r="G93" s="218"/>
      <c r="H93" s="215"/>
      <c r="I93" s="219"/>
      <c r="J93" s="220"/>
      <c r="K93" s="221"/>
      <c r="L93" s="218"/>
      <c r="M93" s="218"/>
      <c r="N93" s="219"/>
      <c r="O93" s="220"/>
      <c r="P93" s="95" t="str">
        <f t="shared" si="1"/>
        <v/>
      </c>
      <c r="Q93" s="130"/>
      <c r="R93" s="82"/>
      <c r="S93" s="83"/>
      <c r="T93"/>
      <c r="U93"/>
      <c r="V93"/>
    </row>
    <row r="94" spans="1:22" s="166" customFormat="1">
      <c r="A94" s="214" t="s">
        <v>162</v>
      </c>
      <c r="B94" s="215" t="s">
        <v>173</v>
      </c>
      <c r="C94" s="216"/>
      <c r="D94" s="216"/>
      <c r="E94" s="216"/>
      <c r="F94" s="217"/>
      <c r="G94" s="218"/>
      <c r="H94" s="215"/>
      <c r="I94" s="219"/>
      <c r="J94" s="220"/>
      <c r="K94" s="221"/>
      <c r="L94" s="218"/>
      <c r="M94" s="218"/>
      <c r="N94" s="219"/>
      <c r="O94" s="220"/>
      <c r="P94" s="95" t="str">
        <f t="shared" si="1"/>
        <v/>
      </c>
      <c r="Q94" s="130"/>
      <c r="R94" s="82"/>
      <c r="S94" s="83"/>
      <c r="T94"/>
      <c r="U94"/>
      <c r="V94"/>
    </row>
    <row r="95" spans="1:22" s="166" customFormat="1">
      <c r="A95" s="214" t="s">
        <v>162</v>
      </c>
      <c r="B95" s="215" t="s">
        <v>172</v>
      </c>
      <c r="C95" s="216"/>
      <c r="D95" s="216"/>
      <c r="E95" s="216"/>
      <c r="F95" s="217"/>
      <c r="G95" s="218"/>
      <c r="H95" s="215"/>
      <c r="I95" s="219"/>
      <c r="J95" s="220"/>
      <c r="K95" s="221"/>
      <c r="L95" s="218"/>
      <c r="M95" s="218"/>
      <c r="N95" s="219"/>
      <c r="O95" s="220"/>
      <c r="P95" s="95" t="str">
        <f t="shared" si="1"/>
        <v/>
      </c>
      <c r="Q95" s="130"/>
      <c r="R95" s="82"/>
      <c r="S95" s="83"/>
      <c r="T95"/>
      <c r="U95"/>
      <c r="V95"/>
    </row>
    <row r="96" spans="1:22" s="166" customFormat="1">
      <c r="A96" s="214" t="s">
        <v>162</v>
      </c>
      <c r="B96" s="215" t="s">
        <v>172</v>
      </c>
      <c r="C96" s="216">
        <v>44136</v>
      </c>
      <c r="D96" s="216">
        <v>44501</v>
      </c>
      <c r="E96" s="216">
        <v>44136</v>
      </c>
      <c r="F96" s="217" t="s">
        <v>37</v>
      </c>
      <c r="G96" s="218">
        <v>100000000</v>
      </c>
      <c r="H96" s="215">
        <v>0</v>
      </c>
      <c r="I96" s="219">
        <v>5</v>
      </c>
      <c r="J96" s="220"/>
      <c r="K96" s="221" t="s">
        <v>37</v>
      </c>
      <c r="L96" s="218">
        <v>1000000000</v>
      </c>
      <c r="M96" s="218">
        <v>0</v>
      </c>
      <c r="N96" s="219">
        <v>5</v>
      </c>
      <c r="O96" s="220"/>
      <c r="P96" s="95" t="str">
        <f t="shared" si="1"/>
        <v/>
      </c>
      <c r="Q96" s="130"/>
      <c r="R96" s="82"/>
      <c r="S96" s="83"/>
      <c r="T96"/>
      <c r="U96"/>
      <c r="V96"/>
    </row>
    <row r="97" spans="1:22" s="166" customFormat="1">
      <c r="A97" s="214" t="s">
        <v>162</v>
      </c>
      <c r="B97" s="215" t="s">
        <v>172</v>
      </c>
      <c r="C97" s="216"/>
      <c r="D97" s="216"/>
      <c r="E97" s="216"/>
      <c r="F97" s="217"/>
      <c r="G97" s="218" t="s">
        <v>278</v>
      </c>
      <c r="H97" s="215"/>
      <c r="I97" s="219"/>
      <c r="J97" s="220"/>
      <c r="K97" s="221"/>
      <c r="L97" s="218" t="s">
        <v>278</v>
      </c>
      <c r="M97" s="218"/>
      <c r="N97" s="219"/>
      <c r="O97" s="220"/>
      <c r="P97" s="95" t="str">
        <f t="shared" si="1"/>
        <v/>
      </c>
      <c r="Q97" s="130"/>
      <c r="R97" s="82"/>
      <c r="S97" s="83"/>
      <c r="T97"/>
      <c r="U97"/>
      <c r="V97"/>
    </row>
    <row r="98" spans="1:22" s="166" customFormat="1">
      <c r="A98" s="214" t="s">
        <v>162</v>
      </c>
      <c r="B98" s="215" t="s">
        <v>171</v>
      </c>
      <c r="C98" s="216"/>
      <c r="D98" s="216"/>
      <c r="E98" s="216"/>
      <c r="F98" s="217"/>
      <c r="G98" s="218"/>
      <c r="H98" s="215"/>
      <c r="I98" s="219"/>
      <c r="J98" s="220"/>
      <c r="K98" s="221"/>
      <c r="L98" s="218"/>
      <c r="M98" s="218"/>
      <c r="N98" s="219"/>
      <c r="O98" s="220"/>
      <c r="P98" s="95" t="str">
        <f t="shared" si="1"/>
        <v/>
      </c>
      <c r="Q98" s="130"/>
      <c r="R98" s="82"/>
      <c r="S98" s="83"/>
      <c r="T98"/>
      <c r="U98"/>
      <c r="V98"/>
    </row>
    <row r="99" spans="1:22" s="166" customFormat="1">
      <c r="A99" s="214" t="s">
        <v>162</v>
      </c>
      <c r="B99" s="215" t="s">
        <v>171</v>
      </c>
      <c r="C99" s="216"/>
      <c r="D99" s="216"/>
      <c r="E99" s="216"/>
      <c r="F99" s="217"/>
      <c r="G99" s="218"/>
      <c r="H99" s="215"/>
      <c r="I99" s="219"/>
      <c r="J99" s="220"/>
      <c r="K99" s="221"/>
      <c r="L99" s="218"/>
      <c r="M99" s="218"/>
      <c r="N99" s="219"/>
      <c r="O99" s="220"/>
      <c r="P99" s="95" t="str">
        <f t="shared" si="1"/>
        <v/>
      </c>
      <c r="Q99" s="130"/>
      <c r="R99" s="82"/>
      <c r="S99" s="83"/>
      <c r="T99"/>
      <c r="U99"/>
      <c r="V99"/>
    </row>
    <row r="100" spans="1:22" s="166" customFormat="1">
      <c r="A100" s="214" t="s">
        <v>162</v>
      </c>
      <c r="B100" s="215" t="s">
        <v>171</v>
      </c>
      <c r="C100" s="216"/>
      <c r="D100" s="216"/>
      <c r="E100" s="216"/>
      <c r="F100" s="217"/>
      <c r="G100" s="218"/>
      <c r="H100" s="215"/>
      <c r="I100" s="219"/>
      <c r="J100" s="220"/>
      <c r="K100" s="221"/>
      <c r="L100" s="218"/>
      <c r="M100" s="218"/>
      <c r="N100" s="219"/>
      <c r="O100" s="220"/>
      <c r="P100" s="95" t="str">
        <f t="shared" si="1"/>
        <v/>
      </c>
      <c r="Q100" s="130"/>
      <c r="R100" s="82"/>
      <c r="S100" s="83"/>
      <c r="T100"/>
      <c r="U100"/>
      <c r="V100"/>
    </row>
    <row r="101" spans="1:22" s="166" customFormat="1">
      <c r="A101" s="214" t="s">
        <v>162</v>
      </c>
      <c r="B101" s="215" t="s">
        <v>170</v>
      </c>
      <c r="C101" s="216"/>
      <c r="D101" s="216"/>
      <c r="E101" s="216"/>
      <c r="F101" s="217"/>
      <c r="G101" s="218"/>
      <c r="H101" s="215"/>
      <c r="I101" s="219"/>
      <c r="J101" s="220"/>
      <c r="K101" s="221"/>
      <c r="L101" s="218"/>
      <c r="M101" s="218"/>
      <c r="N101" s="219"/>
      <c r="O101" s="220"/>
      <c r="P101" s="95" t="str">
        <f t="shared" si="1"/>
        <v/>
      </c>
      <c r="Q101" s="130"/>
      <c r="R101" s="82"/>
      <c r="S101" s="83"/>
      <c r="T101"/>
      <c r="U101"/>
      <c r="V101"/>
    </row>
    <row r="102" spans="1:22" s="166" customFormat="1">
      <c r="A102" s="214" t="s">
        <v>162</v>
      </c>
      <c r="B102" s="215" t="s">
        <v>170</v>
      </c>
      <c r="C102" s="216"/>
      <c r="D102" s="216"/>
      <c r="E102" s="216"/>
      <c r="F102" s="217"/>
      <c r="G102" s="218"/>
      <c r="H102" s="215"/>
      <c r="I102" s="219"/>
      <c r="J102" s="220"/>
      <c r="K102" s="221"/>
      <c r="L102" s="218"/>
      <c r="M102" s="218"/>
      <c r="N102" s="219"/>
      <c r="O102" s="220"/>
      <c r="P102" s="95" t="str">
        <f t="shared" si="1"/>
        <v/>
      </c>
      <c r="Q102" s="130"/>
      <c r="R102" s="82"/>
      <c r="S102" s="83"/>
      <c r="T102"/>
      <c r="U102"/>
      <c r="V102"/>
    </row>
    <row r="103" spans="1:22" s="166" customFormat="1">
      <c r="A103" s="214" t="s">
        <v>162</v>
      </c>
      <c r="B103" s="215" t="s">
        <v>170</v>
      </c>
      <c r="C103" s="216"/>
      <c r="D103" s="216"/>
      <c r="E103" s="216"/>
      <c r="F103" s="217"/>
      <c r="G103" s="218"/>
      <c r="H103" s="215"/>
      <c r="I103" s="219"/>
      <c r="J103" s="220"/>
      <c r="K103" s="221"/>
      <c r="L103" s="218"/>
      <c r="M103" s="218"/>
      <c r="N103" s="219"/>
      <c r="O103" s="220"/>
      <c r="P103" s="95" t="str">
        <f t="shared" si="1"/>
        <v/>
      </c>
      <c r="Q103" s="130"/>
      <c r="R103" s="82"/>
      <c r="S103" s="83"/>
      <c r="T103"/>
      <c r="U103"/>
      <c r="V103"/>
    </row>
    <row r="104" spans="1:22" s="166" customFormat="1">
      <c r="A104" s="214" t="s">
        <v>162</v>
      </c>
      <c r="B104" s="215" t="s">
        <v>227</v>
      </c>
      <c r="C104" s="216"/>
      <c r="D104" s="216"/>
      <c r="E104" s="216"/>
      <c r="F104" s="217"/>
      <c r="G104" s="218"/>
      <c r="H104" s="215"/>
      <c r="I104" s="219"/>
      <c r="J104" s="220"/>
      <c r="K104" s="221"/>
      <c r="L104" s="218"/>
      <c r="M104" s="218"/>
      <c r="N104" s="219"/>
      <c r="O104" s="220"/>
      <c r="P104" s="95" t="str">
        <f t="shared" si="1"/>
        <v/>
      </c>
      <c r="Q104" s="130"/>
      <c r="R104" s="82"/>
      <c r="S104" s="83"/>
      <c r="T104"/>
      <c r="U104"/>
      <c r="V104"/>
    </row>
    <row r="105" spans="1:22" s="166" customFormat="1">
      <c r="A105" s="214" t="s">
        <v>162</v>
      </c>
      <c r="B105" s="215" t="s">
        <v>227</v>
      </c>
      <c r="C105" s="216"/>
      <c r="D105" s="216"/>
      <c r="E105" s="216"/>
      <c r="F105" s="217"/>
      <c r="G105" s="218"/>
      <c r="H105" s="215"/>
      <c r="I105" s="219"/>
      <c r="J105" s="220"/>
      <c r="K105" s="221"/>
      <c r="L105" s="218"/>
      <c r="M105" s="218"/>
      <c r="N105" s="219"/>
      <c r="O105" s="220"/>
      <c r="P105" s="95" t="str">
        <f t="shared" si="1"/>
        <v/>
      </c>
      <c r="Q105" s="130"/>
      <c r="R105" s="82"/>
      <c r="S105" s="83"/>
      <c r="T105"/>
      <c r="U105"/>
      <c r="V105"/>
    </row>
    <row r="106" spans="1:22" s="166" customFormat="1">
      <c r="A106" s="214" t="s">
        <v>162</v>
      </c>
      <c r="B106" s="215" t="s">
        <v>227</v>
      </c>
      <c r="C106" s="216">
        <v>44348</v>
      </c>
      <c r="D106" s="216">
        <v>44712</v>
      </c>
      <c r="E106" s="216">
        <v>44348</v>
      </c>
      <c r="F106" s="217" t="s">
        <v>37</v>
      </c>
      <c r="G106" s="218">
        <v>200000000</v>
      </c>
      <c r="H106" s="215">
        <v>0</v>
      </c>
      <c r="I106" s="219">
        <v>3.25</v>
      </c>
      <c r="J106" s="220"/>
      <c r="K106" s="221" t="s">
        <v>37</v>
      </c>
      <c r="L106" s="218">
        <v>1500000000</v>
      </c>
      <c r="M106" s="218">
        <v>0</v>
      </c>
      <c r="N106" s="219">
        <v>3.25</v>
      </c>
      <c r="O106" s="220"/>
      <c r="P106" s="95" t="str">
        <f t="shared" si="1"/>
        <v/>
      </c>
      <c r="Q106" s="130"/>
      <c r="R106" s="82"/>
      <c r="S106" s="83"/>
      <c r="T106"/>
      <c r="U106"/>
      <c r="V106"/>
    </row>
    <row r="107" spans="1:22" s="166" customFormat="1">
      <c r="A107" s="214" t="s">
        <v>162</v>
      </c>
      <c r="B107" s="215" t="s">
        <v>233</v>
      </c>
      <c r="C107" s="216">
        <v>43647</v>
      </c>
      <c r="D107" s="216">
        <v>44104</v>
      </c>
      <c r="E107" s="216">
        <v>43709</v>
      </c>
      <c r="F107" s="217" t="s">
        <v>37</v>
      </c>
      <c r="G107" s="218">
        <v>95000000</v>
      </c>
      <c r="H107" s="215">
        <v>0</v>
      </c>
      <c r="I107" s="219">
        <v>6</v>
      </c>
      <c r="J107" s="220"/>
      <c r="K107" s="221" t="s">
        <v>37</v>
      </c>
      <c r="L107" s="218">
        <v>750000000</v>
      </c>
      <c r="M107" s="218">
        <v>0</v>
      </c>
      <c r="N107" s="219">
        <v>6</v>
      </c>
      <c r="O107" s="220"/>
      <c r="P107" s="95" t="str">
        <f t="shared" si="1"/>
        <v/>
      </c>
      <c r="Q107" s="130"/>
      <c r="R107" s="82"/>
      <c r="S107" s="83"/>
      <c r="T107"/>
      <c r="U107"/>
      <c r="V107"/>
    </row>
    <row r="108" spans="1:22" s="166" customFormat="1">
      <c r="A108" s="214" t="s">
        <v>162</v>
      </c>
      <c r="B108" s="215" t="s">
        <v>233</v>
      </c>
      <c r="C108" s="216">
        <v>44105</v>
      </c>
      <c r="D108" s="216">
        <v>44500</v>
      </c>
      <c r="E108" s="216">
        <v>44105</v>
      </c>
      <c r="F108" s="217" t="s">
        <v>37</v>
      </c>
      <c r="G108" s="218">
        <v>95000000</v>
      </c>
      <c r="H108" s="215">
        <v>0</v>
      </c>
      <c r="I108" s="219">
        <v>7.5</v>
      </c>
      <c r="J108" s="220"/>
      <c r="K108" s="221" t="s">
        <v>37</v>
      </c>
      <c r="L108" s="218">
        <v>750000000</v>
      </c>
      <c r="M108" s="218">
        <v>0</v>
      </c>
      <c r="N108" s="219">
        <v>7.5</v>
      </c>
      <c r="O108" s="220"/>
      <c r="P108" s="95" t="str">
        <f t="shared" si="1"/>
        <v/>
      </c>
      <c r="Q108" s="130"/>
      <c r="R108" s="82"/>
      <c r="S108" s="83"/>
      <c r="T108"/>
      <c r="U108"/>
      <c r="V108"/>
    </row>
    <row r="109" spans="1:22" s="166" customFormat="1">
      <c r="A109" s="214" t="s">
        <v>162</v>
      </c>
      <c r="B109" s="215" t="s">
        <v>233</v>
      </c>
      <c r="C109" s="216">
        <v>44501</v>
      </c>
      <c r="D109" s="216">
        <v>44865</v>
      </c>
      <c r="E109" s="216">
        <v>44501</v>
      </c>
      <c r="F109" s="217" t="s">
        <v>37</v>
      </c>
      <c r="G109" s="218">
        <v>95000000</v>
      </c>
      <c r="H109" s="215">
        <v>0</v>
      </c>
      <c r="I109" s="219">
        <v>7.5</v>
      </c>
      <c r="J109" s="220"/>
      <c r="K109" s="221" t="s">
        <v>37</v>
      </c>
      <c r="L109" s="218">
        <v>750000000</v>
      </c>
      <c r="M109" s="218">
        <v>0</v>
      </c>
      <c r="N109" s="219">
        <v>7.5</v>
      </c>
      <c r="O109" s="220"/>
      <c r="P109" s="95" t="str">
        <f t="shared" si="1"/>
        <v/>
      </c>
      <c r="Q109" s="130"/>
      <c r="R109" s="82"/>
      <c r="S109" s="83"/>
      <c r="T109"/>
      <c r="U109"/>
      <c r="V109"/>
    </row>
    <row r="110" spans="1:22" s="166" customFormat="1">
      <c r="A110" s="214" t="s">
        <v>162</v>
      </c>
      <c r="B110" s="215" t="s">
        <v>195</v>
      </c>
      <c r="C110" s="216"/>
      <c r="D110" s="216"/>
      <c r="E110" s="216"/>
      <c r="F110" s="217"/>
      <c r="G110" s="218"/>
      <c r="H110" s="215"/>
      <c r="I110" s="219"/>
      <c r="J110" s="220"/>
      <c r="K110" s="221"/>
      <c r="L110" s="218"/>
      <c r="M110" s="218"/>
      <c r="N110" s="219"/>
      <c r="O110" s="220"/>
      <c r="P110" s="95" t="str">
        <f t="shared" si="1"/>
        <v/>
      </c>
      <c r="Q110" s="130"/>
      <c r="R110" s="82"/>
      <c r="S110" s="83"/>
      <c r="T110"/>
      <c r="U110"/>
      <c r="V110"/>
    </row>
    <row r="111" spans="1:22" s="166" customFormat="1">
      <c r="A111" s="214" t="s">
        <v>162</v>
      </c>
      <c r="B111" s="215" t="s">
        <v>195</v>
      </c>
      <c r="C111" s="216"/>
      <c r="D111" s="216"/>
      <c r="E111" s="216"/>
      <c r="F111" s="217"/>
      <c r="G111" s="218"/>
      <c r="H111" s="215"/>
      <c r="I111" s="219"/>
      <c r="J111" s="220"/>
      <c r="K111" s="221"/>
      <c r="L111" s="218"/>
      <c r="M111" s="218"/>
      <c r="N111" s="219"/>
      <c r="O111" s="220"/>
      <c r="P111" s="95" t="str">
        <f t="shared" si="1"/>
        <v/>
      </c>
      <c r="Q111" s="130"/>
      <c r="R111" s="82"/>
      <c r="S111" s="83"/>
      <c r="T111"/>
      <c r="U111"/>
      <c r="V111"/>
    </row>
    <row r="112" spans="1:22" s="166" customFormat="1">
      <c r="A112" s="214" t="s">
        <v>162</v>
      </c>
      <c r="B112" s="215" t="s">
        <v>195</v>
      </c>
      <c r="C112" s="216"/>
      <c r="D112" s="216"/>
      <c r="E112" s="216"/>
      <c r="F112" s="217"/>
      <c r="G112" s="218"/>
      <c r="H112" s="215"/>
      <c r="I112" s="219"/>
      <c r="J112" s="220"/>
      <c r="K112" s="221"/>
      <c r="L112" s="218"/>
      <c r="M112" s="218"/>
      <c r="N112" s="219"/>
      <c r="O112" s="220"/>
      <c r="P112" s="95" t="str">
        <f t="shared" si="1"/>
        <v/>
      </c>
      <c r="Q112" s="130"/>
      <c r="R112" s="82"/>
      <c r="S112" s="83"/>
      <c r="T112"/>
      <c r="U112"/>
      <c r="V112"/>
    </row>
    <row r="113" spans="1:22" s="166" customFormat="1">
      <c r="A113" s="214" t="s">
        <v>162</v>
      </c>
      <c r="B113" s="215" t="s">
        <v>250</v>
      </c>
      <c r="C113" s="216"/>
      <c r="D113" s="216"/>
      <c r="E113" s="216"/>
      <c r="F113" s="217"/>
      <c r="G113" s="218"/>
      <c r="H113" s="215"/>
      <c r="I113" s="219"/>
      <c r="J113" s="220"/>
      <c r="K113" s="221"/>
      <c r="L113" s="218"/>
      <c r="M113" s="218"/>
      <c r="N113" s="219"/>
      <c r="O113" s="220"/>
      <c r="P113" s="95" t="str">
        <f t="shared" si="1"/>
        <v/>
      </c>
      <c r="Q113" s="130"/>
      <c r="R113" s="82"/>
      <c r="S113" s="83"/>
      <c r="T113"/>
      <c r="U113"/>
      <c r="V113"/>
    </row>
    <row r="114" spans="1:22" s="166" customFormat="1">
      <c r="A114" s="214" t="s">
        <v>162</v>
      </c>
      <c r="B114" s="215" t="s">
        <v>250</v>
      </c>
      <c r="C114" s="216"/>
      <c r="D114" s="216"/>
      <c r="E114" s="216"/>
      <c r="F114" s="217"/>
      <c r="G114" s="218"/>
      <c r="H114" s="215"/>
      <c r="I114" s="219"/>
      <c r="J114" s="220"/>
      <c r="K114" s="221"/>
      <c r="L114" s="218"/>
      <c r="M114" s="218"/>
      <c r="N114" s="219"/>
      <c r="O114" s="220"/>
      <c r="P114" s="95" t="str">
        <f t="shared" si="1"/>
        <v/>
      </c>
      <c r="Q114" s="130"/>
      <c r="R114" s="82"/>
      <c r="S114" s="83"/>
      <c r="T114"/>
      <c r="U114"/>
      <c r="V114"/>
    </row>
    <row r="115" spans="1:22" s="166" customFormat="1">
      <c r="A115" s="214" t="s">
        <v>162</v>
      </c>
      <c r="B115" s="215" t="s">
        <v>250</v>
      </c>
      <c r="C115" s="216"/>
      <c r="D115" s="216"/>
      <c r="E115" s="216"/>
      <c r="F115" s="217"/>
      <c r="G115" s="218"/>
      <c r="H115" s="215"/>
      <c r="I115" s="219"/>
      <c r="J115" s="220"/>
      <c r="K115" s="221"/>
      <c r="L115" s="218"/>
      <c r="M115" s="218"/>
      <c r="N115" s="219"/>
      <c r="O115" s="220"/>
      <c r="P115" s="95" t="str">
        <f t="shared" si="1"/>
        <v/>
      </c>
      <c r="Q115" s="130"/>
      <c r="R115" s="82"/>
      <c r="S115" s="83"/>
      <c r="T115"/>
      <c r="U115"/>
      <c r="V115"/>
    </row>
    <row r="116" spans="1:22" s="166" customFormat="1">
      <c r="A116" s="214" t="s">
        <v>162</v>
      </c>
      <c r="B116" s="215" t="s">
        <v>169</v>
      </c>
      <c r="C116" s="216">
        <v>43657</v>
      </c>
      <c r="D116" s="216">
        <v>44022</v>
      </c>
      <c r="E116" s="216">
        <v>43657</v>
      </c>
      <c r="F116" s="217" t="s">
        <v>37</v>
      </c>
      <c r="G116" s="218">
        <v>200000000</v>
      </c>
      <c r="H116" s="215">
        <v>0</v>
      </c>
      <c r="I116" s="219">
        <v>4</v>
      </c>
      <c r="J116" s="220"/>
      <c r="K116" s="221" t="s">
        <v>37</v>
      </c>
      <c r="L116" s="218">
        <v>1750000000</v>
      </c>
      <c r="M116" s="218">
        <v>0</v>
      </c>
      <c r="N116" s="219">
        <v>4</v>
      </c>
      <c r="O116" s="220"/>
      <c r="P116" s="95" t="str">
        <f t="shared" si="1"/>
        <v/>
      </c>
      <c r="Q116" s="130"/>
      <c r="R116" s="82"/>
      <c r="S116" s="83"/>
      <c r="T116"/>
      <c r="U116"/>
      <c r="V116"/>
    </row>
    <row r="117" spans="1:22" s="166" customFormat="1">
      <c r="A117" s="214" t="s">
        <v>162</v>
      </c>
      <c r="B117" s="215" t="s">
        <v>169</v>
      </c>
      <c r="C117" s="216">
        <v>44023</v>
      </c>
      <c r="D117" s="216">
        <v>44418</v>
      </c>
      <c r="E117" s="216">
        <v>44023</v>
      </c>
      <c r="F117" s="217" t="s">
        <v>37</v>
      </c>
      <c r="G117" s="218">
        <v>200000000</v>
      </c>
      <c r="H117" s="215">
        <v>0</v>
      </c>
      <c r="I117" s="219">
        <v>4</v>
      </c>
      <c r="J117" s="220"/>
      <c r="K117" s="221" t="s">
        <v>37</v>
      </c>
      <c r="L117" s="218">
        <v>1750000000</v>
      </c>
      <c r="M117" s="218">
        <v>0</v>
      </c>
      <c r="N117" s="219">
        <v>4</v>
      </c>
      <c r="O117" s="220"/>
      <c r="P117" s="95" t="str">
        <f t="shared" si="1"/>
        <v/>
      </c>
      <c r="Q117" s="130"/>
      <c r="R117" s="82"/>
      <c r="S117" s="83"/>
      <c r="T117"/>
      <c r="U117"/>
      <c r="V117"/>
    </row>
    <row r="118" spans="1:22" s="166" customFormat="1">
      <c r="A118" s="214" t="s">
        <v>162</v>
      </c>
      <c r="B118" s="215" t="s">
        <v>169</v>
      </c>
      <c r="C118" s="216">
        <v>44419</v>
      </c>
      <c r="D118" s="216">
        <v>44783</v>
      </c>
      <c r="E118" s="216">
        <v>44419</v>
      </c>
      <c r="F118" s="217" t="s">
        <v>37</v>
      </c>
      <c r="G118" s="218">
        <v>200000000</v>
      </c>
      <c r="H118" s="215">
        <v>0</v>
      </c>
      <c r="I118" s="219">
        <v>4</v>
      </c>
      <c r="J118" s="220"/>
      <c r="K118" s="221" t="s">
        <v>37</v>
      </c>
      <c r="L118" s="218">
        <v>1750000000</v>
      </c>
      <c r="M118" s="218">
        <v>0</v>
      </c>
      <c r="N118" s="219">
        <v>4</v>
      </c>
      <c r="O118" s="220"/>
      <c r="P118" s="95" t="str">
        <f t="shared" si="1"/>
        <v/>
      </c>
      <c r="Q118" s="130"/>
      <c r="R118" s="82"/>
      <c r="S118" s="83"/>
      <c r="T118"/>
      <c r="U118"/>
      <c r="V118"/>
    </row>
    <row r="119" spans="1:22" s="166" customFormat="1">
      <c r="A119" s="214" t="s">
        <v>162</v>
      </c>
      <c r="B119" s="215" t="s">
        <v>166</v>
      </c>
      <c r="C119" s="216"/>
      <c r="D119" s="216"/>
      <c r="E119" s="216"/>
      <c r="F119" s="217"/>
      <c r="G119" s="218"/>
      <c r="H119" s="215"/>
      <c r="I119" s="219"/>
      <c r="J119" s="220"/>
      <c r="K119" s="221"/>
      <c r="L119" s="218"/>
      <c r="M119" s="218"/>
      <c r="N119" s="219"/>
      <c r="O119" s="220"/>
      <c r="P119" s="95" t="str">
        <f t="shared" si="1"/>
        <v/>
      </c>
      <c r="Q119" s="130"/>
      <c r="R119" s="82"/>
      <c r="S119" s="83"/>
      <c r="T119"/>
      <c r="U119"/>
      <c r="V119"/>
    </row>
    <row r="120" spans="1:22" s="166" customFormat="1">
      <c r="A120" s="214" t="s">
        <v>162</v>
      </c>
      <c r="B120" s="215" t="s">
        <v>166</v>
      </c>
      <c r="C120" s="216"/>
      <c r="D120" s="216"/>
      <c r="E120" s="216"/>
      <c r="F120" s="217"/>
      <c r="G120" s="218"/>
      <c r="H120" s="215"/>
      <c r="I120" s="219"/>
      <c r="J120" s="220"/>
      <c r="K120" s="221"/>
      <c r="L120" s="218"/>
      <c r="M120" s="218"/>
      <c r="N120" s="219"/>
      <c r="O120" s="220"/>
      <c r="P120" s="95" t="str">
        <f t="shared" si="1"/>
        <v/>
      </c>
      <c r="Q120" s="130"/>
      <c r="R120" s="82"/>
      <c r="S120" s="83"/>
      <c r="T120"/>
      <c r="U120"/>
      <c r="V120"/>
    </row>
    <row r="121" spans="1:22" s="166" customFormat="1">
      <c r="A121" s="214" t="s">
        <v>162</v>
      </c>
      <c r="B121" s="215" t="s">
        <v>166</v>
      </c>
      <c r="C121" s="216"/>
      <c r="D121" s="216"/>
      <c r="E121" s="216"/>
      <c r="F121" s="217"/>
      <c r="G121" s="218"/>
      <c r="H121" s="215"/>
      <c r="I121" s="219"/>
      <c r="J121" s="220"/>
      <c r="K121" s="221"/>
      <c r="L121" s="218"/>
      <c r="M121" s="218"/>
      <c r="N121" s="219"/>
      <c r="O121" s="220"/>
      <c r="P121" s="95" t="str">
        <f t="shared" si="1"/>
        <v/>
      </c>
      <c r="Q121" s="130"/>
      <c r="R121" s="82"/>
      <c r="S121" s="83"/>
      <c r="T121"/>
      <c r="U121"/>
      <c r="V121"/>
    </row>
    <row r="122" spans="1:22" s="166" customFormat="1">
      <c r="A122" s="214" t="s">
        <v>162</v>
      </c>
      <c r="B122" s="215" t="s">
        <v>165</v>
      </c>
      <c r="C122" s="216"/>
      <c r="D122" s="216"/>
      <c r="E122" s="216"/>
      <c r="F122" s="217"/>
      <c r="G122" s="218"/>
      <c r="H122" s="215"/>
      <c r="I122" s="219"/>
      <c r="J122" s="220"/>
      <c r="K122" s="221"/>
      <c r="L122" s="218"/>
      <c r="M122" s="218"/>
      <c r="N122" s="219"/>
      <c r="O122" s="220"/>
      <c r="P122" s="95" t="str">
        <f t="shared" si="1"/>
        <v/>
      </c>
      <c r="Q122" s="130"/>
      <c r="R122" s="82"/>
      <c r="S122" s="83"/>
      <c r="T122"/>
      <c r="U122"/>
      <c r="V122"/>
    </row>
    <row r="123" spans="1:22" s="166" customFormat="1">
      <c r="A123" s="214" t="s">
        <v>162</v>
      </c>
      <c r="B123" s="215" t="s">
        <v>165</v>
      </c>
      <c r="C123" s="216"/>
      <c r="D123" s="216"/>
      <c r="E123" s="216"/>
      <c r="F123" s="217"/>
      <c r="G123" s="218"/>
      <c r="H123" s="215"/>
      <c r="I123" s="219"/>
      <c r="J123" s="220"/>
      <c r="K123" s="221"/>
      <c r="L123" s="218"/>
      <c r="M123" s="218"/>
      <c r="N123" s="219"/>
      <c r="O123" s="220"/>
      <c r="P123" s="95" t="str">
        <f t="shared" si="1"/>
        <v/>
      </c>
      <c r="Q123" s="130"/>
      <c r="R123" s="82"/>
      <c r="S123" s="83"/>
      <c r="T123"/>
      <c r="U123"/>
      <c r="V123"/>
    </row>
    <row r="124" spans="1:22" s="166" customFormat="1">
      <c r="A124" s="214" t="s">
        <v>162</v>
      </c>
      <c r="B124" s="215" t="s">
        <v>165</v>
      </c>
      <c r="C124" s="216"/>
      <c r="D124" s="216"/>
      <c r="E124" s="216"/>
      <c r="F124" s="217"/>
      <c r="G124" s="218"/>
      <c r="H124" s="215"/>
      <c r="I124" s="219"/>
      <c r="J124" s="220"/>
      <c r="K124" s="221"/>
      <c r="L124" s="218"/>
      <c r="M124" s="218"/>
      <c r="N124" s="219"/>
      <c r="O124" s="220"/>
      <c r="P124" s="95" t="str">
        <f t="shared" si="1"/>
        <v/>
      </c>
      <c r="Q124" s="130"/>
      <c r="R124" s="82"/>
      <c r="S124" s="83"/>
      <c r="T124"/>
      <c r="U124"/>
      <c r="V124"/>
    </row>
    <row r="125" spans="1:22" s="166" customFormat="1">
      <c r="A125" s="214" t="s">
        <v>162</v>
      </c>
      <c r="B125" s="215" t="s">
        <v>228</v>
      </c>
      <c r="C125" s="216">
        <v>43653</v>
      </c>
      <c r="D125" s="216">
        <v>44018</v>
      </c>
      <c r="E125" s="216">
        <v>43653</v>
      </c>
      <c r="F125" s="217" t="s">
        <v>37</v>
      </c>
      <c r="G125" s="218">
        <v>160000000</v>
      </c>
      <c r="H125" s="215">
        <v>0</v>
      </c>
      <c r="I125" s="219">
        <v>6.25</v>
      </c>
      <c r="J125" s="220"/>
      <c r="K125" s="221" t="s">
        <v>37</v>
      </c>
      <c r="L125" s="218">
        <v>600000000</v>
      </c>
      <c r="M125" s="218">
        <v>0</v>
      </c>
      <c r="N125" s="219">
        <v>6.25</v>
      </c>
      <c r="O125" s="220"/>
      <c r="P125" s="95" t="str">
        <f t="shared" si="1"/>
        <v/>
      </c>
      <c r="Q125" s="130"/>
      <c r="R125" s="82"/>
      <c r="S125" s="83"/>
      <c r="T125"/>
      <c r="U125"/>
      <c r="V125"/>
    </row>
    <row r="126" spans="1:22" s="166" customFormat="1">
      <c r="A126" s="214" t="s">
        <v>162</v>
      </c>
      <c r="B126" s="215" t="s">
        <v>228</v>
      </c>
      <c r="C126" s="216">
        <v>44019</v>
      </c>
      <c r="D126" s="216">
        <v>44383</v>
      </c>
      <c r="E126" s="216">
        <v>44019</v>
      </c>
      <c r="F126" s="217" t="s">
        <v>37</v>
      </c>
      <c r="G126" s="218">
        <v>160000000</v>
      </c>
      <c r="H126" s="215">
        <v>0</v>
      </c>
      <c r="I126" s="219">
        <v>6.25</v>
      </c>
      <c r="J126" s="220"/>
      <c r="K126" s="221" t="s">
        <v>37</v>
      </c>
      <c r="L126" s="218">
        <v>900000000</v>
      </c>
      <c r="M126" s="218">
        <v>0</v>
      </c>
      <c r="N126" s="219">
        <v>6.25</v>
      </c>
      <c r="O126" s="220"/>
      <c r="P126" s="95" t="str">
        <f t="shared" si="1"/>
        <v/>
      </c>
      <c r="Q126" s="130"/>
      <c r="R126" s="82"/>
      <c r="S126" s="83"/>
      <c r="T126"/>
      <c r="U126"/>
      <c r="V126"/>
    </row>
    <row r="127" spans="1:22" s="166" customFormat="1">
      <c r="A127" s="214" t="s">
        <v>162</v>
      </c>
      <c r="B127" s="215" t="s">
        <v>228</v>
      </c>
      <c r="C127" s="216">
        <v>44384</v>
      </c>
      <c r="D127" s="216">
        <v>44749</v>
      </c>
      <c r="E127" s="216">
        <v>44384</v>
      </c>
      <c r="F127" s="217" t="s">
        <v>37</v>
      </c>
      <c r="G127" s="218">
        <v>200000000</v>
      </c>
      <c r="H127" s="215">
        <v>0</v>
      </c>
      <c r="I127" s="219">
        <v>6.25</v>
      </c>
      <c r="J127" s="220"/>
      <c r="K127" s="221" t="s">
        <v>37</v>
      </c>
      <c r="L127" s="218">
        <v>900000000</v>
      </c>
      <c r="M127" s="218">
        <v>0</v>
      </c>
      <c r="N127" s="219">
        <v>6.25</v>
      </c>
      <c r="O127" s="220"/>
      <c r="P127" s="95"/>
      <c r="Q127" s="130"/>
      <c r="R127" s="82"/>
      <c r="S127" s="83"/>
      <c r="T127"/>
      <c r="U127"/>
      <c r="V127"/>
    </row>
    <row r="128" spans="1:22" s="166" customFormat="1">
      <c r="A128" s="214" t="s">
        <v>162</v>
      </c>
      <c r="B128" s="215" t="s">
        <v>164</v>
      </c>
      <c r="C128" s="216">
        <v>44545</v>
      </c>
      <c r="D128" s="216">
        <v>44909</v>
      </c>
      <c r="E128" s="216">
        <v>44545</v>
      </c>
      <c r="F128" s="217" t="s">
        <v>37</v>
      </c>
      <c r="G128" s="218">
        <v>80000000</v>
      </c>
      <c r="H128" s="215">
        <v>0</v>
      </c>
      <c r="I128" s="219">
        <v>3.9</v>
      </c>
      <c r="J128" s="220"/>
      <c r="K128" s="221" t="s">
        <v>37</v>
      </c>
      <c r="L128" s="218">
        <v>850000000</v>
      </c>
      <c r="M128" s="218">
        <v>0</v>
      </c>
      <c r="N128" s="219">
        <v>3.9</v>
      </c>
      <c r="O128" s="220"/>
      <c r="P128" s="95" t="str">
        <f t="shared" si="1"/>
        <v/>
      </c>
      <c r="Q128" s="130"/>
      <c r="R128" s="82"/>
      <c r="S128" s="83"/>
      <c r="T128"/>
      <c r="U128"/>
      <c r="V128"/>
    </row>
    <row r="129" spans="1:22" s="166" customFormat="1">
      <c r="A129" s="214" t="s">
        <v>162</v>
      </c>
      <c r="B129" s="215" t="s">
        <v>164</v>
      </c>
      <c r="C129" s="216"/>
      <c r="D129" s="216"/>
      <c r="E129" s="216"/>
      <c r="F129" s="217"/>
      <c r="G129" s="218"/>
      <c r="H129" s="215"/>
      <c r="I129" s="219"/>
      <c r="J129" s="220"/>
      <c r="K129" s="221"/>
      <c r="L129" s="218"/>
      <c r="M129" s="218"/>
      <c r="N129" s="219"/>
      <c r="O129" s="220"/>
      <c r="P129" s="95" t="str">
        <f t="shared" si="1"/>
        <v/>
      </c>
      <c r="Q129" s="130"/>
      <c r="R129" s="82"/>
      <c r="S129" s="83"/>
      <c r="T129"/>
      <c r="U129"/>
      <c r="V129"/>
    </row>
    <row r="130" spans="1:22" s="166" customFormat="1">
      <c r="A130" s="214" t="s">
        <v>162</v>
      </c>
      <c r="B130" s="215" t="s">
        <v>164</v>
      </c>
      <c r="C130" s="216"/>
      <c r="D130" s="216"/>
      <c r="E130" s="216"/>
      <c r="F130" s="217"/>
      <c r="G130" s="218"/>
      <c r="H130" s="215"/>
      <c r="I130" s="219"/>
      <c r="J130" s="220"/>
      <c r="K130" s="221"/>
      <c r="L130" s="218"/>
      <c r="M130" s="218"/>
      <c r="N130" s="219"/>
      <c r="O130" s="220"/>
      <c r="P130" s="95" t="str">
        <f t="shared" si="1"/>
        <v/>
      </c>
      <c r="Q130" s="130"/>
      <c r="R130" s="82"/>
      <c r="S130" s="83"/>
      <c r="T130"/>
      <c r="U130"/>
      <c r="V130"/>
    </row>
    <row r="131" spans="1:22" s="166" customFormat="1">
      <c r="A131" s="214" t="s">
        <v>162</v>
      </c>
      <c r="B131" s="215" t="s">
        <v>251</v>
      </c>
      <c r="C131" s="216"/>
      <c r="D131" s="216"/>
      <c r="E131" s="216"/>
      <c r="F131" s="217"/>
      <c r="G131" s="218"/>
      <c r="H131" s="215"/>
      <c r="I131" s="219"/>
      <c r="J131" s="220"/>
      <c r="K131" s="221"/>
      <c r="L131" s="218"/>
      <c r="M131" s="218"/>
      <c r="N131" s="219"/>
      <c r="O131" s="220"/>
      <c r="P131" s="95" t="str">
        <f t="shared" si="1"/>
        <v/>
      </c>
      <c r="Q131" s="130"/>
      <c r="R131" s="82"/>
      <c r="S131" s="83"/>
      <c r="T131"/>
      <c r="U131"/>
      <c r="V131"/>
    </row>
    <row r="132" spans="1:22" s="166" customFormat="1">
      <c r="A132" s="214" t="s">
        <v>162</v>
      </c>
      <c r="B132" s="215" t="s">
        <v>251</v>
      </c>
      <c r="C132" s="216"/>
      <c r="D132" s="216"/>
      <c r="E132" s="216"/>
      <c r="F132" s="217"/>
      <c r="G132" s="218"/>
      <c r="H132" s="215"/>
      <c r="I132" s="219"/>
      <c r="J132" s="220"/>
      <c r="K132" s="221"/>
      <c r="L132" s="218"/>
      <c r="M132" s="218"/>
      <c r="N132" s="219"/>
      <c r="O132" s="220"/>
      <c r="P132" s="95" t="str">
        <f t="shared" si="1"/>
        <v/>
      </c>
      <c r="Q132" s="130"/>
      <c r="R132" s="82"/>
      <c r="S132" s="83"/>
      <c r="T132"/>
      <c r="U132"/>
      <c r="V132"/>
    </row>
    <row r="133" spans="1:22" s="166" customFormat="1">
      <c r="A133" s="214" t="s">
        <v>162</v>
      </c>
      <c r="B133" s="215" t="s">
        <v>251</v>
      </c>
      <c r="C133" s="216"/>
      <c r="D133" s="216"/>
      <c r="E133" s="216"/>
      <c r="F133" s="217"/>
      <c r="G133" s="218"/>
      <c r="H133" s="215"/>
      <c r="I133" s="219"/>
      <c r="J133" s="220"/>
      <c r="K133" s="221"/>
      <c r="L133" s="218"/>
      <c r="M133" s="218"/>
      <c r="N133" s="219"/>
      <c r="O133" s="220"/>
      <c r="P133" s="95" t="str">
        <f t="shared" si="1"/>
        <v/>
      </c>
      <c r="Q133" s="130"/>
      <c r="R133" s="82"/>
      <c r="S133" s="83"/>
      <c r="T133"/>
      <c r="U133"/>
      <c r="V133"/>
    </row>
    <row r="134" spans="1:22" s="166" customFormat="1">
      <c r="A134" s="214" t="s">
        <v>162</v>
      </c>
      <c r="B134" s="215" t="s">
        <v>252</v>
      </c>
      <c r="C134" s="216">
        <v>43647</v>
      </c>
      <c r="D134" s="216">
        <v>44012</v>
      </c>
      <c r="E134" s="216">
        <v>43647</v>
      </c>
      <c r="F134" s="217" t="s">
        <v>37</v>
      </c>
      <c r="G134" s="218">
        <v>50000000</v>
      </c>
      <c r="H134" s="215">
        <v>0</v>
      </c>
      <c r="I134" s="219">
        <v>2</v>
      </c>
      <c r="J134" s="220"/>
      <c r="K134" s="221" t="s">
        <v>37</v>
      </c>
      <c r="L134" s="218">
        <v>750000000</v>
      </c>
      <c r="M134" s="218">
        <v>0</v>
      </c>
      <c r="N134" s="219">
        <v>2</v>
      </c>
      <c r="O134" s="220"/>
      <c r="P134" s="95" t="str">
        <f t="shared" si="1"/>
        <v/>
      </c>
      <c r="Q134" s="130"/>
      <c r="R134" s="82"/>
      <c r="S134" s="83"/>
      <c r="T134"/>
      <c r="U134"/>
      <c r="V134"/>
    </row>
    <row r="135" spans="1:22" s="166" customFormat="1">
      <c r="A135" s="214" t="s">
        <v>162</v>
      </c>
      <c r="B135" s="215" t="s">
        <v>252</v>
      </c>
      <c r="C135" s="216">
        <v>44013</v>
      </c>
      <c r="D135" s="216">
        <v>44377</v>
      </c>
      <c r="E135" s="216">
        <v>44013</v>
      </c>
      <c r="F135" s="217" t="s">
        <v>37</v>
      </c>
      <c r="G135" s="218">
        <v>50000000</v>
      </c>
      <c r="H135" s="215">
        <v>0</v>
      </c>
      <c r="I135" s="219">
        <v>2</v>
      </c>
      <c r="J135" s="220"/>
      <c r="K135" s="221" t="s">
        <v>37</v>
      </c>
      <c r="L135" s="218">
        <v>750000000</v>
      </c>
      <c r="M135" s="218">
        <v>0</v>
      </c>
      <c r="N135" s="219">
        <v>2</v>
      </c>
      <c r="O135" s="220"/>
      <c r="P135" s="95" t="str">
        <f t="shared" si="1"/>
        <v/>
      </c>
      <c r="Q135" s="130"/>
      <c r="R135" s="82"/>
      <c r="S135" s="83"/>
      <c r="T135"/>
      <c r="U135"/>
      <c r="V135"/>
    </row>
    <row r="136" spans="1:22" s="166" customFormat="1">
      <c r="A136" s="214" t="s">
        <v>162</v>
      </c>
      <c r="B136" s="215" t="s">
        <v>252</v>
      </c>
      <c r="C136" s="216">
        <v>44378</v>
      </c>
      <c r="D136" s="216">
        <v>44742</v>
      </c>
      <c r="E136" s="216">
        <v>44378</v>
      </c>
      <c r="F136" s="217" t="s">
        <v>37</v>
      </c>
      <c r="G136" s="218">
        <v>50000000</v>
      </c>
      <c r="H136" s="215">
        <v>0</v>
      </c>
      <c r="I136" s="219">
        <v>4</v>
      </c>
      <c r="J136" s="220"/>
      <c r="K136" s="221" t="s">
        <v>37</v>
      </c>
      <c r="L136" s="218">
        <v>750000000</v>
      </c>
      <c r="M136" s="218">
        <v>0</v>
      </c>
      <c r="N136" s="219">
        <v>4</v>
      </c>
      <c r="O136" s="220"/>
      <c r="P136" s="95" t="str">
        <f t="shared" si="1"/>
        <v/>
      </c>
      <c r="Q136" s="130"/>
      <c r="R136" s="82"/>
      <c r="S136" s="83"/>
      <c r="T136"/>
      <c r="U136"/>
      <c r="V136"/>
    </row>
    <row r="137" spans="1:22" s="166" customFormat="1">
      <c r="A137" s="214" t="s">
        <v>162</v>
      </c>
      <c r="B137" s="215" t="s">
        <v>163</v>
      </c>
      <c r="C137" s="216"/>
      <c r="D137" s="216"/>
      <c r="E137" s="216"/>
      <c r="F137" s="217"/>
      <c r="G137" s="218"/>
      <c r="H137" s="215"/>
      <c r="I137" s="219"/>
      <c r="J137" s="220"/>
      <c r="K137" s="221"/>
      <c r="L137" s="218"/>
      <c r="M137" s="218"/>
      <c r="N137" s="219"/>
      <c r="O137" s="220"/>
      <c r="P137" s="95" t="str">
        <f t="shared" si="1"/>
        <v/>
      </c>
      <c r="Q137" s="130"/>
      <c r="R137" s="82"/>
      <c r="S137" s="83"/>
      <c r="T137"/>
      <c r="U137"/>
      <c r="V137"/>
    </row>
    <row r="138" spans="1:22" s="166" customFormat="1">
      <c r="A138" s="214" t="s">
        <v>162</v>
      </c>
      <c r="B138" s="215" t="s">
        <v>163</v>
      </c>
      <c r="C138" s="216"/>
      <c r="D138" s="216"/>
      <c r="E138" s="216"/>
      <c r="F138" s="217"/>
      <c r="G138" s="218"/>
      <c r="H138" s="215"/>
      <c r="I138" s="219"/>
      <c r="J138" s="220"/>
      <c r="K138" s="221"/>
      <c r="L138" s="218"/>
      <c r="M138" s="218"/>
      <c r="N138" s="219"/>
      <c r="O138" s="220"/>
      <c r="P138" s="95" t="str">
        <f t="shared" si="1"/>
        <v/>
      </c>
      <c r="Q138" s="130"/>
      <c r="R138" s="82"/>
      <c r="S138" s="83"/>
      <c r="T138"/>
      <c r="U138"/>
      <c r="V138"/>
    </row>
    <row r="139" spans="1:22" s="166" customFormat="1">
      <c r="A139" s="214" t="s">
        <v>162</v>
      </c>
      <c r="B139" s="215" t="s">
        <v>163</v>
      </c>
      <c r="C139" s="216"/>
      <c r="D139" s="216"/>
      <c r="E139" s="216"/>
      <c r="F139" s="217"/>
      <c r="G139" s="218"/>
      <c r="H139" s="215"/>
      <c r="I139" s="219"/>
      <c r="J139" s="220"/>
      <c r="K139" s="221"/>
      <c r="L139" s="218"/>
      <c r="M139" s="218"/>
      <c r="N139" s="219"/>
      <c r="O139" s="220"/>
      <c r="P139" s="95" t="str">
        <f t="shared" si="1"/>
        <v/>
      </c>
      <c r="Q139" s="130"/>
      <c r="R139" s="82"/>
      <c r="S139" s="83"/>
      <c r="T139"/>
      <c r="U139"/>
      <c r="V139"/>
    </row>
    <row r="140" spans="1:22" s="166" customFormat="1">
      <c r="A140" s="214" t="s">
        <v>162</v>
      </c>
      <c r="B140" s="215" t="s">
        <v>253</v>
      </c>
      <c r="C140" s="216"/>
      <c r="D140" s="216"/>
      <c r="E140" s="216"/>
      <c r="F140" s="217"/>
      <c r="G140" s="218"/>
      <c r="H140" s="215"/>
      <c r="I140" s="219"/>
      <c r="J140" s="220"/>
      <c r="K140" s="221"/>
      <c r="L140" s="218"/>
      <c r="M140" s="218"/>
      <c r="N140" s="219"/>
      <c r="O140" s="220"/>
      <c r="P140" s="95" t="str">
        <f t="shared" si="1"/>
        <v/>
      </c>
      <c r="Q140" s="130"/>
      <c r="R140" s="82"/>
      <c r="S140" s="83"/>
      <c r="T140"/>
      <c r="U140"/>
      <c r="V140"/>
    </row>
    <row r="141" spans="1:22" s="166" customFormat="1">
      <c r="A141" s="214" t="s">
        <v>162</v>
      </c>
      <c r="B141" s="215" t="s">
        <v>253</v>
      </c>
      <c r="C141" s="216"/>
      <c r="D141" s="216"/>
      <c r="E141" s="216"/>
      <c r="F141" s="217"/>
      <c r="G141" s="218"/>
      <c r="H141" s="215"/>
      <c r="I141" s="219"/>
      <c r="J141" s="220"/>
      <c r="K141" s="221"/>
      <c r="L141" s="218"/>
      <c r="M141" s="218"/>
      <c r="N141" s="219"/>
      <c r="O141" s="220"/>
      <c r="P141" s="95" t="str">
        <f t="shared" si="1"/>
        <v/>
      </c>
      <c r="Q141" s="130"/>
      <c r="R141" s="82"/>
      <c r="S141" s="83"/>
      <c r="T141"/>
      <c r="U141"/>
      <c r="V141"/>
    </row>
    <row r="142" spans="1:22" s="166" customFormat="1">
      <c r="A142" s="214" t="s">
        <v>162</v>
      </c>
      <c r="B142" s="215" t="s">
        <v>253</v>
      </c>
      <c r="C142" s="216"/>
      <c r="D142" s="216"/>
      <c r="E142" s="216"/>
      <c r="F142" s="217"/>
      <c r="G142" s="218"/>
      <c r="H142" s="215"/>
      <c r="I142" s="219"/>
      <c r="J142" s="220"/>
      <c r="K142" s="221"/>
      <c r="L142" s="218"/>
      <c r="M142" s="218"/>
      <c r="N142" s="219"/>
      <c r="O142" s="220"/>
      <c r="P142" s="95" t="str">
        <f t="shared" si="1"/>
        <v/>
      </c>
      <c r="Q142" s="130"/>
      <c r="R142" s="82"/>
      <c r="S142" s="83"/>
      <c r="T142"/>
      <c r="U142"/>
      <c r="V142"/>
    </row>
    <row r="143" spans="1:22" s="166" customFormat="1">
      <c r="A143" s="214" t="s">
        <v>162</v>
      </c>
      <c r="B143" s="215" t="s">
        <v>161</v>
      </c>
      <c r="C143" s="216">
        <v>43785</v>
      </c>
      <c r="D143" s="216">
        <v>44150</v>
      </c>
      <c r="E143" s="216">
        <v>43785</v>
      </c>
      <c r="F143" s="217" t="s">
        <v>37</v>
      </c>
      <c r="G143" s="218">
        <v>150000000</v>
      </c>
      <c r="H143" s="215">
        <v>0</v>
      </c>
      <c r="I143" s="219">
        <v>6</v>
      </c>
      <c r="J143" s="220"/>
      <c r="K143" s="221" t="s">
        <v>37</v>
      </c>
      <c r="L143" s="218">
        <v>1000000000</v>
      </c>
      <c r="M143" s="218">
        <v>0</v>
      </c>
      <c r="N143" s="219">
        <v>6</v>
      </c>
      <c r="O143" s="220"/>
      <c r="P143" s="95" t="str">
        <f t="shared" si="1"/>
        <v/>
      </c>
      <c r="Q143" s="130"/>
      <c r="R143" s="82"/>
      <c r="S143" s="83"/>
      <c r="T143"/>
      <c r="U143"/>
      <c r="V143"/>
    </row>
    <row r="144" spans="1:22" s="166" customFormat="1">
      <c r="A144" s="214" t="s">
        <v>162</v>
      </c>
      <c r="B144" s="215" t="s">
        <v>161</v>
      </c>
      <c r="C144" s="216">
        <v>44151</v>
      </c>
      <c r="D144" s="216">
        <v>44545</v>
      </c>
      <c r="E144" s="216">
        <v>44151</v>
      </c>
      <c r="F144" s="217" t="s">
        <v>37</v>
      </c>
      <c r="G144" s="218">
        <v>150000000</v>
      </c>
      <c r="H144" s="215">
        <v>0</v>
      </c>
      <c r="I144" s="219">
        <v>6</v>
      </c>
      <c r="J144" s="220"/>
      <c r="K144" s="221" t="s">
        <v>37</v>
      </c>
      <c r="L144" s="218">
        <v>1000000000</v>
      </c>
      <c r="M144" s="218">
        <v>0</v>
      </c>
      <c r="N144" s="219">
        <v>6</v>
      </c>
      <c r="O144" s="220"/>
      <c r="P144" s="95" t="str">
        <f t="shared" si="1"/>
        <v/>
      </c>
      <c r="Q144" s="130"/>
      <c r="R144" s="82"/>
      <c r="S144" s="83"/>
      <c r="T144"/>
      <c r="U144"/>
      <c r="V144"/>
    </row>
    <row r="145" spans="1:22" s="166" customFormat="1">
      <c r="A145" s="214" t="s">
        <v>162</v>
      </c>
      <c r="B145" s="215" t="s">
        <v>161</v>
      </c>
      <c r="C145" s="216">
        <v>44546</v>
      </c>
      <c r="D145" s="216">
        <v>44911</v>
      </c>
      <c r="E145" s="216">
        <v>44546</v>
      </c>
      <c r="F145" s="217" t="s">
        <v>37</v>
      </c>
      <c r="G145" s="218">
        <v>100000000</v>
      </c>
      <c r="H145" s="215">
        <v>0</v>
      </c>
      <c r="I145" s="219">
        <v>6</v>
      </c>
      <c r="J145" s="220"/>
      <c r="K145" s="221" t="s">
        <v>37</v>
      </c>
      <c r="L145" s="218">
        <v>1000000000</v>
      </c>
      <c r="M145" s="218">
        <v>0</v>
      </c>
      <c r="N145" s="219">
        <v>6</v>
      </c>
      <c r="O145" s="220"/>
      <c r="P145" s="95" t="str">
        <f t="shared" si="1"/>
        <v/>
      </c>
      <c r="Q145" s="130"/>
      <c r="R145" s="82"/>
      <c r="S145" s="83"/>
      <c r="T145"/>
      <c r="U145"/>
      <c r="V145"/>
    </row>
    <row r="146" spans="1:22" s="166" customFormat="1">
      <c r="A146" s="214" t="s">
        <v>168</v>
      </c>
      <c r="B146" s="215" t="s">
        <v>190</v>
      </c>
      <c r="C146" s="216"/>
      <c r="D146" s="216"/>
      <c r="E146" s="216"/>
      <c r="F146" s="217"/>
      <c r="G146" s="218"/>
      <c r="H146" s="215"/>
      <c r="I146" s="219"/>
      <c r="J146" s="220"/>
      <c r="K146" s="221"/>
      <c r="L146" s="218"/>
      <c r="M146" s="218"/>
      <c r="N146" s="219"/>
      <c r="O146" s="220"/>
      <c r="P146" s="95" t="str">
        <f t="shared" ref="P146:P209" si="2">IFERROR(MATCH($B146,AN_List_ii,FALSE),"")</f>
        <v/>
      </c>
      <c r="Q146" s="130"/>
      <c r="R146" s="82"/>
      <c r="S146" s="83"/>
      <c r="T146"/>
      <c r="U146"/>
      <c r="V146"/>
    </row>
    <row r="147" spans="1:22" s="166" customFormat="1">
      <c r="A147" s="214" t="s">
        <v>168</v>
      </c>
      <c r="B147" s="215" t="s">
        <v>190</v>
      </c>
      <c r="C147" s="216"/>
      <c r="D147" s="216"/>
      <c r="E147" s="216"/>
      <c r="F147" s="217"/>
      <c r="G147" s="218"/>
      <c r="H147" s="215"/>
      <c r="I147" s="219"/>
      <c r="J147" s="220"/>
      <c r="K147" s="221"/>
      <c r="L147" s="218"/>
      <c r="M147" s="218"/>
      <c r="N147" s="219"/>
      <c r="O147" s="220"/>
      <c r="P147" s="95" t="str">
        <f t="shared" si="2"/>
        <v/>
      </c>
      <c r="Q147" s="130"/>
      <c r="R147" s="82"/>
      <c r="S147" s="83"/>
      <c r="T147"/>
      <c r="U147"/>
      <c r="V147"/>
    </row>
    <row r="148" spans="1:22" s="166" customFormat="1">
      <c r="A148" s="214" t="s">
        <v>168</v>
      </c>
      <c r="B148" s="215" t="s">
        <v>190</v>
      </c>
      <c r="C148" s="216"/>
      <c r="D148" s="216"/>
      <c r="E148" s="216"/>
      <c r="F148" s="217"/>
      <c r="G148" s="218"/>
      <c r="H148" s="215"/>
      <c r="I148" s="219"/>
      <c r="J148" s="220"/>
      <c r="K148" s="221"/>
      <c r="L148" s="218"/>
      <c r="M148" s="218"/>
      <c r="N148" s="219"/>
      <c r="O148" s="220"/>
      <c r="P148" s="95" t="str">
        <f t="shared" si="2"/>
        <v/>
      </c>
      <c r="Q148" s="130"/>
      <c r="R148" s="82"/>
      <c r="S148" s="83"/>
      <c r="T148"/>
      <c r="U148"/>
      <c r="V148"/>
    </row>
    <row r="149" spans="1:22" s="166" customFormat="1">
      <c r="A149" s="214" t="s">
        <v>168</v>
      </c>
      <c r="B149" s="215" t="s">
        <v>229</v>
      </c>
      <c r="C149" s="216">
        <v>43814</v>
      </c>
      <c r="D149" s="216">
        <v>44104</v>
      </c>
      <c r="E149" s="216">
        <v>43814</v>
      </c>
      <c r="F149" s="217" t="s">
        <v>37</v>
      </c>
      <c r="G149" s="218">
        <v>45000000</v>
      </c>
      <c r="H149" s="215">
        <v>0</v>
      </c>
      <c r="I149" s="219">
        <v>2</v>
      </c>
      <c r="J149" s="220"/>
      <c r="K149" s="221" t="s">
        <v>37</v>
      </c>
      <c r="L149" s="218">
        <v>1250000000</v>
      </c>
      <c r="M149" s="218">
        <v>0</v>
      </c>
      <c r="N149" s="219">
        <v>2</v>
      </c>
      <c r="O149" s="220"/>
      <c r="P149" s="95" t="str">
        <f t="shared" si="2"/>
        <v/>
      </c>
      <c r="Q149" s="130"/>
      <c r="R149" s="82"/>
      <c r="S149" s="83"/>
      <c r="T149"/>
      <c r="U149"/>
      <c r="V149"/>
    </row>
    <row r="150" spans="1:22" s="166" customFormat="1">
      <c r="A150" s="214" t="s">
        <v>168</v>
      </c>
      <c r="B150" s="215" t="s">
        <v>229</v>
      </c>
      <c r="C150" s="216">
        <v>44105</v>
      </c>
      <c r="D150" s="216">
        <v>44544</v>
      </c>
      <c r="E150" s="216">
        <v>44180</v>
      </c>
      <c r="F150" s="217" t="s">
        <v>37</v>
      </c>
      <c r="G150" s="218">
        <v>45000000</v>
      </c>
      <c r="H150" s="215">
        <v>0</v>
      </c>
      <c r="I150" s="219">
        <v>2</v>
      </c>
      <c r="J150" s="220"/>
      <c r="K150" s="221" t="s">
        <v>37</v>
      </c>
      <c r="L150" s="218">
        <v>1250000000</v>
      </c>
      <c r="M150" s="218">
        <v>0</v>
      </c>
      <c r="N150" s="219">
        <v>2</v>
      </c>
      <c r="O150" s="220"/>
      <c r="P150" s="95" t="str">
        <f t="shared" si="2"/>
        <v/>
      </c>
      <c r="Q150" s="130"/>
      <c r="R150" s="82"/>
      <c r="S150" s="83"/>
      <c r="T150"/>
      <c r="U150"/>
      <c r="V150"/>
    </row>
    <row r="151" spans="1:22" s="166" customFormat="1">
      <c r="A151" s="214" t="s">
        <v>168</v>
      </c>
      <c r="B151" s="215" t="s">
        <v>229</v>
      </c>
      <c r="C151" s="216">
        <v>44545</v>
      </c>
      <c r="D151" s="216">
        <v>44910</v>
      </c>
      <c r="E151" s="216">
        <v>44545</v>
      </c>
      <c r="F151" s="217" t="s">
        <v>37</v>
      </c>
      <c r="G151" s="218">
        <v>45000000</v>
      </c>
      <c r="H151" s="215">
        <v>0</v>
      </c>
      <c r="I151" s="219">
        <v>2</v>
      </c>
      <c r="J151" s="220"/>
      <c r="K151" s="221" t="s">
        <v>37</v>
      </c>
      <c r="L151" s="218">
        <v>1500000000</v>
      </c>
      <c r="M151" s="218">
        <v>0</v>
      </c>
      <c r="N151" s="219">
        <v>2</v>
      </c>
      <c r="O151" s="220"/>
      <c r="P151" s="95" t="str">
        <f t="shared" si="2"/>
        <v/>
      </c>
      <c r="Q151" s="130"/>
      <c r="R151" s="82"/>
      <c r="S151" s="83"/>
      <c r="T151"/>
      <c r="U151"/>
      <c r="V151"/>
    </row>
    <row r="152" spans="1:22" s="166" customFormat="1">
      <c r="A152" s="214" t="s">
        <v>168</v>
      </c>
      <c r="B152" s="215" t="s">
        <v>179</v>
      </c>
      <c r="C152" s="216"/>
      <c r="D152" s="216"/>
      <c r="E152" s="216"/>
      <c r="F152" s="217"/>
      <c r="G152" s="218"/>
      <c r="H152" s="215"/>
      <c r="I152" s="219"/>
      <c r="J152" s="220"/>
      <c r="K152" s="221"/>
      <c r="L152" s="218"/>
      <c r="M152" s="218"/>
      <c r="N152" s="219"/>
      <c r="O152" s="220"/>
      <c r="P152" s="95" t="str">
        <f t="shared" si="2"/>
        <v/>
      </c>
      <c r="Q152" s="130"/>
      <c r="R152" s="82"/>
      <c r="S152" s="83"/>
      <c r="T152"/>
      <c r="U152"/>
      <c r="V152"/>
    </row>
    <row r="153" spans="1:22" s="166" customFormat="1">
      <c r="A153" s="214" t="s">
        <v>168</v>
      </c>
      <c r="B153" s="215" t="s">
        <v>179</v>
      </c>
      <c r="C153" s="216"/>
      <c r="D153" s="216"/>
      <c r="E153" s="216"/>
      <c r="F153" s="217"/>
      <c r="G153" s="218"/>
      <c r="H153" s="215"/>
      <c r="I153" s="219"/>
      <c r="J153" s="220"/>
      <c r="K153" s="221"/>
      <c r="L153" s="218"/>
      <c r="M153" s="218"/>
      <c r="N153" s="219"/>
      <c r="O153" s="220"/>
      <c r="P153" s="95" t="str">
        <f t="shared" si="2"/>
        <v/>
      </c>
      <c r="Q153" s="130"/>
      <c r="R153" s="82"/>
      <c r="S153" s="83"/>
      <c r="T153"/>
      <c r="U153"/>
      <c r="V153"/>
    </row>
    <row r="154" spans="1:22" s="166" customFormat="1">
      <c r="A154" s="214" t="s">
        <v>168</v>
      </c>
      <c r="B154" s="215" t="s">
        <v>179</v>
      </c>
      <c r="C154" s="216"/>
      <c r="D154" s="216"/>
      <c r="E154" s="216"/>
      <c r="F154" s="217"/>
      <c r="G154" s="218"/>
      <c r="H154" s="215"/>
      <c r="I154" s="219"/>
      <c r="J154" s="220"/>
      <c r="K154" s="221"/>
      <c r="L154" s="218"/>
      <c r="M154" s="218"/>
      <c r="N154" s="219"/>
      <c r="O154" s="220"/>
      <c r="P154" s="95" t="str">
        <f t="shared" si="2"/>
        <v/>
      </c>
      <c r="Q154" s="130"/>
      <c r="R154" s="82"/>
      <c r="S154" s="83"/>
      <c r="T154"/>
      <c r="U154"/>
      <c r="V154"/>
    </row>
    <row r="155" spans="1:22" s="166" customFormat="1">
      <c r="A155" s="214" t="s">
        <v>168</v>
      </c>
      <c r="B155" s="215" t="s">
        <v>209</v>
      </c>
      <c r="C155" s="216"/>
      <c r="D155" s="216"/>
      <c r="E155" s="216"/>
      <c r="F155" s="217"/>
      <c r="G155" s="218"/>
      <c r="H155" s="215"/>
      <c r="I155" s="219"/>
      <c r="J155" s="220"/>
      <c r="K155" s="221"/>
      <c r="L155" s="218"/>
      <c r="M155" s="218"/>
      <c r="N155" s="219"/>
      <c r="O155" s="220"/>
      <c r="P155" s="95" t="str">
        <f t="shared" si="2"/>
        <v/>
      </c>
      <c r="Q155" s="130"/>
      <c r="R155" s="82"/>
      <c r="S155" s="83"/>
      <c r="T155"/>
      <c r="U155"/>
      <c r="V155"/>
    </row>
    <row r="156" spans="1:22" s="166" customFormat="1">
      <c r="A156" s="214" t="s">
        <v>168</v>
      </c>
      <c r="B156" s="215" t="s">
        <v>209</v>
      </c>
      <c r="C156" s="216"/>
      <c r="D156" s="216"/>
      <c r="E156" s="216"/>
      <c r="F156" s="217"/>
      <c r="G156" s="218"/>
      <c r="H156" s="215"/>
      <c r="I156" s="219"/>
      <c r="J156" s="220"/>
      <c r="K156" s="221"/>
      <c r="L156" s="218"/>
      <c r="M156" s="218"/>
      <c r="N156" s="219"/>
      <c r="O156" s="220"/>
      <c r="P156" s="95" t="str">
        <f t="shared" si="2"/>
        <v/>
      </c>
      <c r="Q156" s="130"/>
      <c r="R156" s="82"/>
      <c r="S156" s="83"/>
      <c r="T156"/>
      <c r="U156"/>
      <c r="V156"/>
    </row>
    <row r="157" spans="1:22" s="166" customFormat="1">
      <c r="A157" s="214" t="s">
        <v>168</v>
      </c>
      <c r="B157" s="215" t="s">
        <v>209</v>
      </c>
      <c r="C157" s="216"/>
      <c r="D157" s="216"/>
      <c r="E157" s="216"/>
      <c r="F157" s="217"/>
      <c r="G157" s="218"/>
      <c r="H157" s="215"/>
      <c r="I157" s="219"/>
      <c r="J157" s="220"/>
      <c r="K157" s="221"/>
      <c r="L157" s="218"/>
      <c r="M157" s="218"/>
      <c r="N157" s="219"/>
      <c r="O157" s="220"/>
      <c r="P157" s="95" t="str">
        <f t="shared" si="2"/>
        <v/>
      </c>
      <c r="Q157" s="130"/>
      <c r="R157" s="82"/>
      <c r="S157" s="83"/>
      <c r="T157"/>
      <c r="U157"/>
      <c r="V157"/>
    </row>
    <row r="158" spans="1:22" s="166" customFormat="1">
      <c r="A158" s="214" t="s">
        <v>168</v>
      </c>
      <c r="B158" s="215" t="s">
        <v>254</v>
      </c>
      <c r="C158" s="216"/>
      <c r="D158" s="216"/>
      <c r="E158" s="216"/>
      <c r="F158" s="217"/>
      <c r="G158" s="218"/>
      <c r="H158" s="215"/>
      <c r="I158" s="219"/>
      <c r="J158" s="220"/>
      <c r="K158" s="221"/>
      <c r="L158" s="218"/>
      <c r="M158" s="218"/>
      <c r="N158" s="219"/>
      <c r="O158" s="220"/>
      <c r="P158" s="95" t="str">
        <f t="shared" si="2"/>
        <v/>
      </c>
      <c r="Q158" s="130"/>
      <c r="R158" s="82"/>
      <c r="S158" s="83"/>
      <c r="T158"/>
      <c r="U158"/>
      <c r="V158"/>
    </row>
    <row r="159" spans="1:22" s="166" customFormat="1">
      <c r="A159" s="214" t="s">
        <v>168</v>
      </c>
      <c r="B159" s="215" t="s">
        <v>254</v>
      </c>
      <c r="C159" s="216"/>
      <c r="D159" s="216"/>
      <c r="E159" s="216"/>
      <c r="F159" s="217"/>
      <c r="G159" s="218"/>
      <c r="H159" s="215"/>
      <c r="I159" s="219"/>
      <c r="J159" s="220"/>
      <c r="K159" s="221"/>
      <c r="L159" s="218"/>
      <c r="M159" s="218"/>
      <c r="N159" s="219"/>
      <c r="O159" s="220"/>
      <c r="P159" s="95" t="str">
        <f t="shared" si="2"/>
        <v/>
      </c>
      <c r="Q159" s="130"/>
      <c r="R159" s="82"/>
      <c r="S159" s="83"/>
      <c r="T159"/>
      <c r="U159"/>
      <c r="V159"/>
    </row>
    <row r="160" spans="1:22" s="166" customFormat="1">
      <c r="A160" s="214" t="s">
        <v>168</v>
      </c>
      <c r="B160" s="215" t="s">
        <v>254</v>
      </c>
      <c r="C160" s="216"/>
      <c r="D160" s="216"/>
      <c r="E160" s="216"/>
      <c r="F160" s="217"/>
      <c r="G160" s="218"/>
      <c r="H160" s="215"/>
      <c r="I160" s="219"/>
      <c r="J160" s="220"/>
      <c r="K160" s="221"/>
      <c r="L160" s="218"/>
      <c r="M160" s="218"/>
      <c r="N160" s="219"/>
      <c r="O160" s="220"/>
      <c r="P160" s="95" t="str">
        <f t="shared" si="2"/>
        <v/>
      </c>
      <c r="Q160" s="130"/>
      <c r="R160" s="82"/>
      <c r="S160" s="83"/>
      <c r="T160"/>
      <c r="U160"/>
      <c r="V160"/>
    </row>
    <row r="161" spans="1:22" s="166" customFormat="1">
      <c r="A161" s="214" t="s">
        <v>168</v>
      </c>
      <c r="B161" s="215" t="s">
        <v>210</v>
      </c>
      <c r="C161" s="216"/>
      <c r="D161" s="216"/>
      <c r="E161" s="216"/>
      <c r="F161" s="217"/>
      <c r="G161" s="218"/>
      <c r="H161" s="215"/>
      <c r="I161" s="219"/>
      <c r="J161" s="220"/>
      <c r="K161" s="221"/>
      <c r="L161" s="218"/>
      <c r="M161" s="218"/>
      <c r="N161" s="219"/>
      <c r="O161" s="220"/>
      <c r="P161" s="95" t="str">
        <f t="shared" si="2"/>
        <v/>
      </c>
      <c r="Q161" s="130"/>
      <c r="R161" s="82"/>
      <c r="S161" s="83"/>
      <c r="T161"/>
      <c r="U161"/>
      <c r="V161"/>
    </row>
    <row r="162" spans="1:22" s="166" customFormat="1">
      <c r="A162" s="214" t="s">
        <v>168</v>
      </c>
      <c r="B162" s="215" t="s">
        <v>210</v>
      </c>
      <c r="C162" s="216"/>
      <c r="D162" s="216"/>
      <c r="E162" s="216"/>
      <c r="F162" s="217"/>
      <c r="G162" s="218"/>
      <c r="H162" s="215"/>
      <c r="I162" s="219"/>
      <c r="J162" s="220"/>
      <c r="K162" s="221"/>
      <c r="L162" s="218"/>
      <c r="M162" s="218"/>
      <c r="N162" s="219"/>
      <c r="O162" s="220"/>
      <c r="P162" s="95" t="str">
        <f t="shared" si="2"/>
        <v/>
      </c>
      <c r="Q162" s="130"/>
      <c r="R162" s="82"/>
      <c r="S162" s="83"/>
      <c r="T162"/>
      <c r="U162"/>
      <c r="V162"/>
    </row>
    <row r="163" spans="1:22" s="166" customFormat="1">
      <c r="A163" s="214" t="s">
        <v>168</v>
      </c>
      <c r="B163" s="215" t="s">
        <v>210</v>
      </c>
      <c r="C163" s="216"/>
      <c r="D163" s="216"/>
      <c r="E163" s="216"/>
      <c r="F163" s="217"/>
      <c r="G163" s="218"/>
      <c r="H163" s="215"/>
      <c r="I163" s="219"/>
      <c r="J163" s="220"/>
      <c r="K163" s="221"/>
      <c r="L163" s="218"/>
      <c r="M163" s="218"/>
      <c r="N163" s="219"/>
      <c r="O163" s="220"/>
      <c r="P163" s="95" t="str">
        <f t="shared" si="2"/>
        <v/>
      </c>
      <c r="Q163" s="130"/>
      <c r="R163" s="82"/>
      <c r="S163" s="83"/>
      <c r="T163"/>
      <c r="U163"/>
      <c r="V163"/>
    </row>
    <row r="164" spans="1:22" s="166" customFormat="1">
      <c r="A164" s="214" t="s">
        <v>168</v>
      </c>
      <c r="B164" s="215" t="s">
        <v>167</v>
      </c>
      <c r="C164" s="216">
        <v>43816</v>
      </c>
      <c r="D164" s="216">
        <v>44181</v>
      </c>
      <c r="E164" s="216">
        <v>43816</v>
      </c>
      <c r="F164" s="217" t="s">
        <v>37</v>
      </c>
      <c r="G164" s="218">
        <v>75000000</v>
      </c>
      <c r="H164" s="215">
        <v>0</v>
      </c>
      <c r="I164" s="219">
        <v>3</v>
      </c>
      <c r="J164" s="220"/>
      <c r="K164" s="221" t="s">
        <v>37</v>
      </c>
      <c r="L164" s="218">
        <v>1000000000</v>
      </c>
      <c r="M164" s="218">
        <v>0</v>
      </c>
      <c r="N164" s="219">
        <v>3</v>
      </c>
      <c r="O164" s="220"/>
      <c r="P164" s="95" t="str">
        <f t="shared" si="2"/>
        <v/>
      </c>
      <c r="Q164" s="130"/>
      <c r="R164" s="82"/>
      <c r="S164" s="83"/>
      <c r="T164"/>
      <c r="U164"/>
      <c r="V164"/>
    </row>
    <row r="165" spans="1:22" s="166" customFormat="1">
      <c r="A165" s="214" t="s">
        <v>168</v>
      </c>
      <c r="B165" s="215" t="s">
        <v>167</v>
      </c>
      <c r="C165" s="216">
        <v>44182</v>
      </c>
      <c r="D165" s="216">
        <v>44546</v>
      </c>
      <c r="E165" s="216">
        <v>44182</v>
      </c>
      <c r="F165" s="217" t="s">
        <v>37</v>
      </c>
      <c r="G165" s="218">
        <v>75000000</v>
      </c>
      <c r="H165" s="215">
        <v>0</v>
      </c>
      <c r="I165" s="219">
        <v>3</v>
      </c>
      <c r="J165" s="220"/>
      <c r="K165" s="221" t="s">
        <v>37</v>
      </c>
      <c r="L165" s="218">
        <v>1000000000</v>
      </c>
      <c r="M165" s="218">
        <v>0</v>
      </c>
      <c r="N165" s="219">
        <v>3</v>
      </c>
      <c r="O165" s="220"/>
      <c r="P165" s="95" t="str">
        <f t="shared" si="2"/>
        <v/>
      </c>
      <c r="Q165" s="130"/>
      <c r="R165" s="82"/>
      <c r="S165" s="83"/>
      <c r="T165"/>
      <c r="U165"/>
      <c r="V165"/>
    </row>
    <row r="166" spans="1:22" s="166" customFormat="1">
      <c r="A166" s="214" t="s">
        <v>168</v>
      </c>
      <c r="B166" s="215" t="s">
        <v>167</v>
      </c>
      <c r="C166" s="216"/>
      <c r="D166" s="216"/>
      <c r="E166" s="216"/>
      <c r="F166" s="217"/>
      <c r="G166" s="218" t="s">
        <v>278</v>
      </c>
      <c r="H166" s="215"/>
      <c r="I166" s="219"/>
      <c r="J166" s="220"/>
      <c r="K166" s="221"/>
      <c r="L166" s="218" t="s">
        <v>278</v>
      </c>
      <c r="M166" s="218"/>
      <c r="N166" s="219"/>
      <c r="O166" s="220"/>
      <c r="P166" s="95" t="str">
        <f t="shared" si="2"/>
        <v/>
      </c>
      <c r="Q166" s="130"/>
      <c r="R166" s="82"/>
      <c r="S166" s="83"/>
      <c r="T166"/>
      <c r="U166"/>
      <c r="V166"/>
    </row>
    <row r="167" spans="1:22" s="166" customFormat="1">
      <c r="A167" s="214" t="s">
        <v>255</v>
      </c>
      <c r="B167" s="215" t="s">
        <v>273</v>
      </c>
      <c r="C167" s="216"/>
      <c r="D167" s="216"/>
      <c r="E167" s="216"/>
      <c r="F167" s="217"/>
      <c r="G167" s="218"/>
      <c r="H167" s="215"/>
      <c r="I167" s="219"/>
      <c r="J167" s="220"/>
      <c r="K167" s="221"/>
      <c r="L167" s="218"/>
      <c r="M167" s="218"/>
      <c r="N167" s="219"/>
      <c r="O167" s="220"/>
      <c r="P167" s="95" t="str">
        <f t="shared" si="2"/>
        <v/>
      </c>
      <c r="Q167" s="130"/>
      <c r="R167" s="82"/>
      <c r="S167" s="83"/>
      <c r="T167"/>
      <c r="U167"/>
      <c r="V167"/>
    </row>
    <row r="168" spans="1:22" s="166" customFormat="1">
      <c r="A168" s="214" t="s">
        <v>255</v>
      </c>
      <c r="B168" s="215" t="s">
        <v>273</v>
      </c>
      <c r="C168" s="216"/>
      <c r="D168" s="216"/>
      <c r="E168" s="216"/>
      <c r="F168" s="217"/>
      <c r="G168" s="218"/>
      <c r="H168" s="215"/>
      <c r="I168" s="219"/>
      <c r="J168" s="220"/>
      <c r="K168" s="221"/>
      <c r="L168" s="218"/>
      <c r="M168" s="218"/>
      <c r="N168" s="219"/>
      <c r="O168" s="220"/>
      <c r="P168" s="95" t="str">
        <f t="shared" si="2"/>
        <v/>
      </c>
      <c r="Q168" s="130"/>
      <c r="R168" s="82"/>
      <c r="S168" s="83"/>
      <c r="T168"/>
      <c r="U168"/>
      <c r="V168"/>
    </row>
    <row r="169" spans="1:22" s="166" customFormat="1">
      <c r="A169" s="214" t="s">
        <v>255</v>
      </c>
      <c r="B169" s="215" t="s">
        <v>273</v>
      </c>
      <c r="C169" s="216"/>
      <c r="D169" s="216"/>
      <c r="E169" s="216"/>
      <c r="F169" s="217"/>
      <c r="G169" s="218"/>
      <c r="H169" s="215"/>
      <c r="I169" s="219"/>
      <c r="J169" s="220"/>
      <c r="K169" s="221"/>
      <c r="L169" s="218"/>
      <c r="M169" s="218"/>
      <c r="N169" s="219"/>
      <c r="O169" s="220"/>
      <c r="P169" s="95" t="str">
        <f t="shared" si="2"/>
        <v/>
      </c>
      <c r="Q169" s="130"/>
      <c r="R169" s="82"/>
      <c r="S169" s="83"/>
      <c r="T169"/>
      <c r="U169"/>
      <c r="V169"/>
    </row>
    <row r="170" spans="1:22" s="166" customFormat="1">
      <c r="A170" s="214" t="s">
        <v>255</v>
      </c>
      <c r="B170" s="215" t="s">
        <v>274</v>
      </c>
      <c r="C170" s="216"/>
      <c r="D170" s="216"/>
      <c r="E170" s="216"/>
      <c r="F170" s="217"/>
      <c r="G170" s="218"/>
      <c r="H170" s="215"/>
      <c r="I170" s="219"/>
      <c r="J170" s="220"/>
      <c r="K170" s="221"/>
      <c r="L170" s="218"/>
      <c r="M170" s="218"/>
      <c r="N170" s="219"/>
      <c r="O170" s="220"/>
      <c r="P170" s="95" t="str">
        <f t="shared" si="2"/>
        <v/>
      </c>
      <c r="Q170" s="130"/>
      <c r="R170" s="82"/>
      <c r="S170" s="83"/>
      <c r="T170"/>
      <c r="U170"/>
      <c r="V170"/>
    </row>
    <row r="171" spans="1:22" s="166" customFormat="1">
      <c r="A171" s="214" t="s">
        <v>255</v>
      </c>
      <c r="B171" s="215" t="s">
        <v>274</v>
      </c>
      <c r="C171" s="216"/>
      <c r="D171" s="216"/>
      <c r="E171" s="216"/>
      <c r="F171" s="217"/>
      <c r="G171" s="218"/>
      <c r="H171" s="215"/>
      <c r="I171" s="219"/>
      <c r="J171" s="220"/>
      <c r="K171" s="221"/>
      <c r="L171" s="218"/>
      <c r="M171" s="218"/>
      <c r="N171" s="219"/>
      <c r="O171" s="220"/>
      <c r="P171" s="95" t="str">
        <f t="shared" si="2"/>
        <v/>
      </c>
      <c r="Q171" s="130"/>
      <c r="R171" s="82"/>
      <c r="S171" s="83"/>
      <c r="T171"/>
      <c r="U171"/>
      <c r="V171"/>
    </row>
    <row r="172" spans="1:22" s="166" customFormat="1">
      <c r="A172" s="214" t="s">
        <v>255</v>
      </c>
      <c r="B172" s="215" t="s">
        <v>274</v>
      </c>
      <c r="C172" s="216"/>
      <c r="D172" s="216"/>
      <c r="E172" s="216"/>
      <c r="F172" s="217"/>
      <c r="G172" s="218"/>
      <c r="H172" s="215"/>
      <c r="I172" s="219"/>
      <c r="J172" s="220"/>
      <c r="K172" s="221"/>
      <c r="L172" s="218"/>
      <c r="M172" s="218"/>
      <c r="N172" s="219"/>
      <c r="O172" s="220"/>
      <c r="P172" s="95" t="str">
        <f t="shared" si="2"/>
        <v/>
      </c>
      <c r="Q172" s="130"/>
      <c r="R172" s="82"/>
      <c r="S172" s="83"/>
      <c r="T172"/>
      <c r="U172"/>
      <c r="V172"/>
    </row>
    <row r="173" spans="1:22" s="166" customFormat="1">
      <c r="A173" s="214" t="s">
        <v>255</v>
      </c>
      <c r="B173" s="215" t="s">
        <v>275</v>
      </c>
      <c r="C173" s="216"/>
      <c r="D173" s="216"/>
      <c r="E173" s="216"/>
      <c r="F173" s="217"/>
      <c r="G173" s="218"/>
      <c r="H173" s="215"/>
      <c r="I173" s="219"/>
      <c r="J173" s="220"/>
      <c r="K173" s="221"/>
      <c r="L173" s="218"/>
      <c r="M173" s="218"/>
      <c r="N173" s="219"/>
      <c r="O173" s="220"/>
      <c r="P173" s="95" t="str">
        <f t="shared" si="2"/>
        <v/>
      </c>
      <c r="Q173" s="130"/>
      <c r="R173" s="82"/>
      <c r="S173" s="83"/>
      <c r="T173"/>
      <c r="U173"/>
      <c r="V173"/>
    </row>
    <row r="174" spans="1:22" s="166" customFormat="1">
      <c r="A174" s="214" t="s">
        <v>255</v>
      </c>
      <c r="B174" s="215" t="s">
        <v>275</v>
      </c>
      <c r="C174" s="216"/>
      <c r="D174" s="216"/>
      <c r="E174" s="216"/>
      <c r="F174" s="217"/>
      <c r="G174" s="218"/>
      <c r="H174" s="215"/>
      <c r="I174" s="219"/>
      <c r="J174" s="220"/>
      <c r="K174" s="221"/>
      <c r="L174" s="218"/>
      <c r="M174" s="218"/>
      <c r="N174" s="219"/>
      <c r="O174" s="220"/>
      <c r="P174" s="95" t="str">
        <f t="shared" si="2"/>
        <v/>
      </c>
      <c r="Q174" s="130"/>
      <c r="R174" s="82"/>
      <c r="S174" s="83"/>
      <c r="T174"/>
      <c r="U174"/>
      <c r="V174"/>
    </row>
    <row r="175" spans="1:22" s="166" customFormat="1">
      <c r="A175" s="214" t="s">
        <v>255</v>
      </c>
      <c r="B175" s="215" t="s">
        <v>275</v>
      </c>
      <c r="C175" s="216"/>
      <c r="D175" s="216"/>
      <c r="E175" s="216"/>
      <c r="F175" s="217"/>
      <c r="G175" s="218"/>
      <c r="H175" s="215"/>
      <c r="I175" s="219"/>
      <c r="J175" s="220"/>
      <c r="K175" s="221"/>
      <c r="L175" s="218"/>
      <c r="M175" s="218"/>
      <c r="N175" s="219"/>
      <c r="O175" s="220"/>
      <c r="P175" s="95" t="str">
        <f t="shared" si="2"/>
        <v/>
      </c>
      <c r="Q175" s="130"/>
      <c r="R175" s="82"/>
      <c r="S175" s="83"/>
      <c r="T175"/>
      <c r="U175"/>
      <c r="V175"/>
    </row>
    <row r="176" spans="1:22" s="166" customFormat="1">
      <c r="A176" s="214" t="s">
        <v>255</v>
      </c>
      <c r="B176" s="215" t="s">
        <v>256</v>
      </c>
      <c r="C176" s="216"/>
      <c r="D176" s="216"/>
      <c r="E176" s="216"/>
      <c r="F176" s="217"/>
      <c r="G176" s="218"/>
      <c r="H176" s="215"/>
      <c r="I176" s="219"/>
      <c r="J176" s="220"/>
      <c r="K176" s="221"/>
      <c r="L176" s="218"/>
      <c r="M176" s="218"/>
      <c r="N176" s="219"/>
      <c r="O176" s="220"/>
      <c r="P176" s="95" t="str">
        <f t="shared" si="2"/>
        <v/>
      </c>
      <c r="Q176" s="130"/>
      <c r="R176" s="82"/>
      <c r="S176" s="83"/>
      <c r="T176"/>
      <c r="U176"/>
      <c r="V176"/>
    </row>
    <row r="177" spans="1:22" s="166" customFormat="1">
      <c r="A177" s="214" t="s">
        <v>255</v>
      </c>
      <c r="B177" s="215" t="s">
        <v>256</v>
      </c>
      <c r="C177" s="216"/>
      <c r="D177" s="216"/>
      <c r="E177" s="216"/>
      <c r="F177" s="217"/>
      <c r="G177" s="218"/>
      <c r="H177" s="215"/>
      <c r="I177" s="219"/>
      <c r="J177" s="220"/>
      <c r="K177" s="221"/>
      <c r="L177" s="218"/>
      <c r="M177" s="218"/>
      <c r="N177" s="219"/>
      <c r="O177" s="220"/>
      <c r="P177" s="95" t="str">
        <f t="shared" si="2"/>
        <v/>
      </c>
      <c r="Q177" s="130"/>
      <c r="R177" s="82"/>
      <c r="S177" s="83"/>
      <c r="T177"/>
      <c r="U177"/>
      <c r="V177"/>
    </row>
    <row r="178" spans="1:22" s="166" customFormat="1">
      <c r="A178" s="214" t="s">
        <v>255</v>
      </c>
      <c r="B178" s="215" t="s">
        <v>256</v>
      </c>
      <c r="C178" s="216"/>
      <c r="D178" s="216"/>
      <c r="E178" s="216"/>
      <c r="F178" s="217"/>
      <c r="G178" s="218"/>
      <c r="H178" s="215"/>
      <c r="I178" s="219"/>
      <c r="J178" s="220"/>
      <c r="K178" s="221"/>
      <c r="L178" s="218"/>
      <c r="M178" s="218"/>
      <c r="N178" s="219"/>
      <c r="O178" s="220"/>
      <c r="P178" s="95" t="str">
        <f t="shared" si="2"/>
        <v/>
      </c>
      <c r="Q178" s="130"/>
      <c r="R178" s="82"/>
      <c r="S178" s="83"/>
      <c r="T178"/>
      <c r="U178"/>
      <c r="V178"/>
    </row>
    <row r="179" spans="1:22" s="166" customFormat="1">
      <c r="A179" s="214" t="s">
        <v>255</v>
      </c>
      <c r="B179" s="215" t="s">
        <v>257</v>
      </c>
      <c r="C179" s="216"/>
      <c r="D179" s="216"/>
      <c r="E179" s="216"/>
      <c r="F179" s="217"/>
      <c r="G179" s="218"/>
      <c r="H179" s="215"/>
      <c r="I179" s="219"/>
      <c r="J179" s="220"/>
      <c r="K179" s="221"/>
      <c r="L179" s="218"/>
      <c r="M179" s="218"/>
      <c r="N179" s="219"/>
      <c r="O179" s="220"/>
      <c r="P179" s="95" t="str">
        <f t="shared" si="2"/>
        <v/>
      </c>
      <c r="Q179" s="130"/>
      <c r="R179" s="82"/>
      <c r="S179" s="83"/>
      <c r="T179"/>
      <c r="U179"/>
      <c r="V179"/>
    </row>
    <row r="180" spans="1:22" s="166" customFormat="1">
      <c r="A180" s="214" t="s">
        <v>255</v>
      </c>
      <c r="B180" s="215" t="s">
        <v>257</v>
      </c>
      <c r="C180" s="216"/>
      <c r="D180" s="216"/>
      <c r="E180" s="216"/>
      <c r="F180" s="217"/>
      <c r="G180" s="218"/>
      <c r="H180" s="215"/>
      <c r="I180" s="219"/>
      <c r="J180" s="220"/>
      <c r="K180" s="221"/>
      <c r="L180" s="218"/>
      <c r="M180" s="218"/>
      <c r="N180" s="219"/>
      <c r="O180" s="220"/>
      <c r="P180" s="95" t="str">
        <f t="shared" si="2"/>
        <v/>
      </c>
      <c r="Q180" s="130"/>
      <c r="R180" s="82"/>
      <c r="S180" s="83"/>
      <c r="T180"/>
      <c r="U180"/>
      <c r="V180"/>
    </row>
    <row r="181" spans="1:22" s="166" customFormat="1">
      <c r="A181" s="214" t="s">
        <v>255</v>
      </c>
      <c r="B181" s="215" t="s">
        <v>257</v>
      </c>
      <c r="C181" s="216"/>
      <c r="D181" s="216"/>
      <c r="E181" s="216"/>
      <c r="F181" s="217"/>
      <c r="G181" s="218"/>
      <c r="H181" s="215"/>
      <c r="I181" s="219"/>
      <c r="J181" s="220"/>
      <c r="K181" s="221"/>
      <c r="L181" s="218"/>
      <c r="M181" s="218"/>
      <c r="N181" s="219"/>
      <c r="O181" s="220"/>
      <c r="P181" s="95" t="str">
        <f t="shared" si="2"/>
        <v/>
      </c>
      <c r="Q181" s="130"/>
      <c r="R181" s="82"/>
      <c r="S181" s="83"/>
      <c r="T181"/>
      <c r="U181"/>
      <c r="V181"/>
    </row>
    <row r="182" spans="1:22" s="166" customFormat="1">
      <c r="A182" s="214" t="s">
        <v>255</v>
      </c>
      <c r="B182" s="215" t="s">
        <v>258</v>
      </c>
      <c r="C182" s="216">
        <v>44378</v>
      </c>
      <c r="D182" s="216">
        <v>44742</v>
      </c>
      <c r="E182" s="216">
        <v>44378</v>
      </c>
      <c r="F182" s="217"/>
      <c r="G182" s="218"/>
      <c r="H182" s="215"/>
      <c r="I182" s="219"/>
      <c r="J182" s="220"/>
      <c r="K182" s="221" t="s">
        <v>0</v>
      </c>
      <c r="L182" s="218">
        <v>1135000000</v>
      </c>
      <c r="M182" s="218">
        <v>0</v>
      </c>
      <c r="N182" s="219">
        <v>2.5</v>
      </c>
      <c r="O182" s="220"/>
      <c r="P182" s="95" t="str">
        <f t="shared" si="2"/>
        <v/>
      </c>
      <c r="Q182" s="130"/>
      <c r="R182" s="82"/>
      <c r="S182" s="83"/>
      <c r="T182"/>
      <c r="U182"/>
      <c r="V182"/>
    </row>
    <row r="183" spans="1:22" s="166" customFormat="1">
      <c r="A183" s="214" t="s">
        <v>255</v>
      </c>
      <c r="B183" s="215" t="s">
        <v>258</v>
      </c>
      <c r="C183" s="216"/>
      <c r="D183" s="216"/>
      <c r="E183" s="216"/>
      <c r="F183" s="217"/>
      <c r="G183" s="218"/>
      <c r="H183" s="215"/>
      <c r="I183" s="219"/>
      <c r="J183" s="220"/>
      <c r="K183" s="221"/>
      <c r="L183" s="218"/>
      <c r="M183" s="218"/>
      <c r="N183" s="219"/>
      <c r="O183" s="220"/>
      <c r="P183" s="95" t="str">
        <f t="shared" si="2"/>
        <v/>
      </c>
      <c r="Q183" s="130"/>
      <c r="R183" s="82"/>
      <c r="S183" s="83"/>
      <c r="T183"/>
      <c r="U183"/>
      <c r="V183"/>
    </row>
    <row r="184" spans="1:22" s="166" customFormat="1">
      <c r="A184" s="214" t="s">
        <v>255</v>
      </c>
      <c r="B184" s="215" t="s">
        <v>258</v>
      </c>
      <c r="C184" s="216"/>
      <c r="D184" s="216"/>
      <c r="E184" s="216"/>
      <c r="F184" s="217"/>
      <c r="G184" s="218"/>
      <c r="H184" s="215"/>
      <c r="I184" s="219"/>
      <c r="J184" s="220"/>
      <c r="K184" s="221"/>
      <c r="L184" s="218"/>
      <c r="M184" s="218"/>
      <c r="N184" s="219"/>
      <c r="O184" s="220"/>
      <c r="P184" s="95" t="str">
        <f t="shared" si="2"/>
        <v/>
      </c>
      <c r="Q184" s="130"/>
      <c r="R184" s="82"/>
      <c r="S184" s="83"/>
      <c r="T184"/>
      <c r="U184"/>
      <c r="V184"/>
    </row>
    <row r="185" spans="1:22" s="166" customFormat="1">
      <c r="A185" s="214" t="s">
        <v>255</v>
      </c>
      <c r="B185" s="215" t="s">
        <v>259</v>
      </c>
      <c r="C185" s="216"/>
      <c r="D185" s="216"/>
      <c r="E185" s="216"/>
      <c r="F185" s="217"/>
      <c r="G185" s="218"/>
      <c r="H185" s="215"/>
      <c r="I185" s="219"/>
      <c r="J185" s="220"/>
      <c r="K185" s="221"/>
      <c r="L185" s="218"/>
      <c r="M185" s="218"/>
      <c r="N185" s="219"/>
      <c r="O185" s="220"/>
      <c r="P185" s="95" t="str">
        <f t="shared" si="2"/>
        <v/>
      </c>
      <c r="Q185" s="130"/>
      <c r="R185" s="82"/>
      <c r="S185" s="83"/>
      <c r="T185"/>
      <c r="U185"/>
      <c r="V185"/>
    </row>
    <row r="186" spans="1:22" s="166" customFormat="1">
      <c r="A186" s="214" t="s">
        <v>255</v>
      </c>
      <c r="B186" s="215" t="s">
        <v>259</v>
      </c>
      <c r="C186" s="216"/>
      <c r="D186" s="216"/>
      <c r="E186" s="216"/>
      <c r="F186" s="217"/>
      <c r="G186" s="218"/>
      <c r="H186" s="215"/>
      <c r="I186" s="219"/>
      <c r="J186" s="220"/>
      <c r="K186" s="221"/>
      <c r="L186" s="218"/>
      <c r="M186" s="218"/>
      <c r="N186" s="219"/>
      <c r="O186" s="220"/>
      <c r="P186" s="95" t="str">
        <f t="shared" si="2"/>
        <v/>
      </c>
      <c r="Q186" s="130"/>
      <c r="R186" s="82"/>
      <c r="S186" s="83"/>
      <c r="T186"/>
      <c r="U186"/>
      <c r="V186"/>
    </row>
    <row r="187" spans="1:22" s="166" customFormat="1">
      <c r="A187" s="214" t="s">
        <v>255</v>
      </c>
      <c r="B187" s="215" t="s">
        <v>259</v>
      </c>
      <c r="C187" s="216"/>
      <c r="D187" s="216"/>
      <c r="E187" s="216"/>
      <c r="F187" s="217"/>
      <c r="G187" s="218"/>
      <c r="H187" s="215"/>
      <c r="I187" s="219"/>
      <c r="J187" s="220"/>
      <c r="K187" s="221"/>
      <c r="L187" s="218"/>
      <c r="M187" s="218"/>
      <c r="N187" s="219"/>
      <c r="O187" s="220"/>
      <c r="P187" s="95" t="str">
        <f t="shared" si="2"/>
        <v/>
      </c>
      <c r="Q187" s="130"/>
      <c r="R187" s="82"/>
      <c r="S187" s="83"/>
      <c r="T187"/>
      <c r="U187"/>
      <c r="V187"/>
    </row>
    <row r="188" spans="1:22" s="166" customFormat="1">
      <c r="A188" s="214" t="s">
        <v>255</v>
      </c>
      <c r="B188" s="215" t="s">
        <v>260</v>
      </c>
      <c r="C188" s="216"/>
      <c r="D188" s="216"/>
      <c r="E188" s="216"/>
      <c r="F188" s="217"/>
      <c r="G188" s="218"/>
      <c r="H188" s="215"/>
      <c r="I188" s="219"/>
      <c r="J188" s="220"/>
      <c r="K188" s="221"/>
      <c r="L188" s="218"/>
      <c r="M188" s="218"/>
      <c r="N188" s="219"/>
      <c r="O188" s="220"/>
      <c r="P188" s="95" t="str">
        <f t="shared" si="2"/>
        <v/>
      </c>
      <c r="Q188" s="130"/>
      <c r="R188" s="82"/>
      <c r="S188" s="83"/>
      <c r="T188"/>
      <c r="U188"/>
      <c r="V188"/>
    </row>
    <row r="189" spans="1:22" s="166" customFormat="1">
      <c r="A189" s="214" t="s">
        <v>255</v>
      </c>
      <c r="B189" s="215" t="s">
        <v>260</v>
      </c>
      <c r="C189" s="216"/>
      <c r="D189" s="216"/>
      <c r="E189" s="216"/>
      <c r="F189" s="217"/>
      <c r="G189" s="218"/>
      <c r="H189" s="215"/>
      <c r="I189" s="219"/>
      <c r="J189" s="220"/>
      <c r="K189" s="221"/>
      <c r="L189" s="218"/>
      <c r="M189" s="218"/>
      <c r="N189" s="219"/>
      <c r="O189" s="220"/>
      <c r="P189" s="95" t="str">
        <f t="shared" si="2"/>
        <v/>
      </c>
      <c r="Q189" s="130"/>
      <c r="R189" s="82"/>
      <c r="S189" s="83"/>
      <c r="T189"/>
      <c r="U189"/>
      <c r="V189"/>
    </row>
    <row r="190" spans="1:22" s="166" customFormat="1">
      <c r="A190" s="214" t="s">
        <v>255</v>
      </c>
      <c r="B190" s="215" t="s">
        <v>260</v>
      </c>
      <c r="C190" s="216"/>
      <c r="D190" s="216"/>
      <c r="E190" s="216"/>
      <c r="F190" s="217"/>
      <c r="G190" s="218"/>
      <c r="H190" s="215"/>
      <c r="I190" s="219"/>
      <c r="J190" s="220"/>
      <c r="K190" s="221"/>
      <c r="L190" s="218"/>
      <c r="M190" s="218"/>
      <c r="N190" s="219"/>
      <c r="O190" s="220"/>
      <c r="P190" s="95" t="str">
        <f t="shared" si="2"/>
        <v/>
      </c>
      <c r="Q190" s="130"/>
      <c r="R190" s="82"/>
      <c r="S190" s="83"/>
      <c r="T190"/>
      <c r="U190"/>
      <c r="V190"/>
    </row>
    <row r="191" spans="1:22" s="166" customFormat="1">
      <c r="A191" s="214" t="s">
        <v>255</v>
      </c>
      <c r="B191" s="215" t="s">
        <v>261</v>
      </c>
      <c r="C191" s="216"/>
      <c r="D191" s="216"/>
      <c r="E191" s="216"/>
      <c r="F191" s="217"/>
      <c r="G191" s="218"/>
      <c r="H191" s="215"/>
      <c r="I191" s="219"/>
      <c r="J191" s="220"/>
      <c r="K191" s="221"/>
      <c r="L191" s="218"/>
      <c r="M191" s="218"/>
      <c r="N191" s="219"/>
      <c r="O191" s="220"/>
      <c r="P191" s="95" t="str">
        <f t="shared" si="2"/>
        <v/>
      </c>
      <c r="Q191" s="130"/>
      <c r="R191" s="82"/>
      <c r="S191" s="83"/>
      <c r="T191"/>
      <c r="U191"/>
      <c r="V191"/>
    </row>
    <row r="192" spans="1:22" s="166" customFormat="1">
      <c r="A192" s="214" t="s">
        <v>255</v>
      </c>
      <c r="B192" s="215" t="s">
        <v>261</v>
      </c>
      <c r="C192" s="216"/>
      <c r="D192" s="216"/>
      <c r="E192" s="216"/>
      <c r="F192" s="217"/>
      <c r="G192" s="218"/>
      <c r="H192" s="215"/>
      <c r="I192" s="219"/>
      <c r="J192" s="220"/>
      <c r="K192" s="221"/>
      <c r="L192" s="218"/>
      <c r="M192" s="218"/>
      <c r="N192" s="219"/>
      <c r="O192" s="220"/>
      <c r="P192" s="95" t="str">
        <f t="shared" si="2"/>
        <v/>
      </c>
      <c r="Q192" s="130"/>
      <c r="R192" s="82"/>
      <c r="S192" s="83"/>
      <c r="T192"/>
      <c r="U192"/>
      <c r="V192"/>
    </row>
    <row r="193" spans="1:22" s="166" customFormat="1">
      <c r="A193" s="214" t="s">
        <v>255</v>
      </c>
      <c r="B193" s="215" t="s">
        <v>261</v>
      </c>
      <c r="C193" s="216"/>
      <c r="D193" s="216"/>
      <c r="E193" s="216"/>
      <c r="F193" s="217"/>
      <c r="G193" s="218"/>
      <c r="H193" s="215"/>
      <c r="I193" s="219"/>
      <c r="J193" s="220"/>
      <c r="K193" s="221"/>
      <c r="L193" s="218"/>
      <c r="M193" s="218"/>
      <c r="N193" s="219"/>
      <c r="O193" s="220"/>
      <c r="P193" s="95" t="str">
        <f t="shared" si="2"/>
        <v/>
      </c>
      <c r="Q193" s="130"/>
      <c r="R193" s="82"/>
      <c r="S193" s="83"/>
      <c r="T193"/>
      <c r="U193"/>
      <c r="V193"/>
    </row>
    <row r="194" spans="1:22" s="166" customFormat="1">
      <c r="A194" s="214" t="s">
        <v>255</v>
      </c>
      <c r="B194" s="215" t="s">
        <v>262</v>
      </c>
      <c r="C194" s="216"/>
      <c r="D194" s="216"/>
      <c r="E194" s="216"/>
      <c r="F194" s="217"/>
      <c r="G194" s="218"/>
      <c r="H194" s="215"/>
      <c r="I194" s="219"/>
      <c r="J194" s="220"/>
      <c r="K194" s="221"/>
      <c r="L194" s="218"/>
      <c r="M194" s="218"/>
      <c r="N194" s="219"/>
      <c r="O194" s="220"/>
      <c r="P194" s="95" t="str">
        <f t="shared" si="2"/>
        <v/>
      </c>
      <c r="Q194" s="130"/>
      <c r="R194" s="82"/>
      <c r="S194" s="83"/>
      <c r="T194"/>
      <c r="U194"/>
      <c r="V194"/>
    </row>
    <row r="195" spans="1:22" s="166" customFormat="1">
      <c r="A195" s="214" t="s">
        <v>255</v>
      </c>
      <c r="B195" s="215" t="s">
        <v>262</v>
      </c>
      <c r="C195" s="216"/>
      <c r="D195" s="216"/>
      <c r="E195" s="216"/>
      <c r="F195" s="217"/>
      <c r="G195" s="218"/>
      <c r="H195" s="215"/>
      <c r="I195" s="219"/>
      <c r="J195" s="220"/>
      <c r="K195" s="221"/>
      <c r="L195" s="218"/>
      <c r="M195" s="218"/>
      <c r="N195" s="219"/>
      <c r="O195" s="220"/>
      <c r="P195" s="95" t="str">
        <f t="shared" si="2"/>
        <v/>
      </c>
      <c r="Q195" s="130"/>
      <c r="R195" s="82"/>
      <c r="S195" s="83"/>
      <c r="T195"/>
      <c r="U195"/>
      <c r="V195"/>
    </row>
    <row r="196" spans="1:22" s="166" customFormat="1">
      <c r="A196" s="214" t="s">
        <v>255</v>
      </c>
      <c r="B196" s="215" t="s">
        <v>262</v>
      </c>
      <c r="C196" s="216"/>
      <c r="D196" s="216"/>
      <c r="E196" s="216"/>
      <c r="F196" s="217"/>
      <c r="G196" s="218"/>
      <c r="H196" s="215"/>
      <c r="I196" s="219"/>
      <c r="J196" s="220"/>
      <c r="K196" s="221"/>
      <c r="L196" s="218"/>
      <c r="M196" s="218"/>
      <c r="N196" s="219"/>
      <c r="O196" s="220"/>
      <c r="P196" s="95" t="str">
        <f t="shared" si="2"/>
        <v/>
      </c>
      <c r="Q196" s="130"/>
      <c r="R196" s="82"/>
      <c r="S196" s="83"/>
      <c r="T196"/>
      <c r="U196"/>
      <c r="V196"/>
    </row>
    <row r="197" spans="1:22" s="166" customFormat="1">
      <c r="A197" s="214" t="s">
        <v>255</v>
      </c>
      <c r="B197" s="215" t="s">
        <v>263</v>
      </c>
      <c r="C197" s="216"/>
      <c r="D197" s="216"/>
      <c r="E197" s="216"/>
      <c r="F197" s="217"/>
      <c r="G197" s="218"/>
      <c r="H197" s="215"/>
      <c r="I197" s="219"/>
      <c r="J197" s="220"/>
      <c r="K197" s="221"/>
      <c r="L197" s="218"/>
      <c r="M197" s="218"/>
      <c r="N197" s="219"/>
      <c r="O197" s="220"/>
      <c r="P197" s="95" t="str">
        <f t="shared" si="2"/>
        <v/>
      </c>
      <c r="Q197" s="130"/>
      <c r="R197" s="82"/>
      <c r="S197" s="83"/>
      <c r="T197"/>
      <c r="U197"/>
      <c r="V197"/>
    </row>
    <row r="198" spans="1:22" s="166" customFormat="1">
      <c r="A198" s="214" t="s">
        <v>255</v>
      </c>
      <c r="B198" s="215" t="s">
        <v>263</v>
      </c>
      <c r="C198" s="216"/>
      <c r="D198" s="216"/>
      <c r="E198" s="216"/>
      <c r="F198" s="217"/>
      <c r="G198" s="218"/>
      <c r="H198" s="215"/>
      <c r="I198" s="219"/>
      <c r="J198" s="220"/>
      <c r="K198" s="221"/>
      <c r="L198" s="218"/>
      <c r="M198" s="218"/>
      <c r="N198" s="219"/>
      <c r="O198" s="220"/>
      <c r="P198" s="95" t="str">
        <f t="shared" si="2"/>
        <v/>
      </c>
      <c r="Q198" s="130"/>
      <c r="R198" s="82"/>
      <c r="S198" s="83"/>
      <c r="T198"/>
      <c r="U198"/>
      <c r="V198"/>
    </row>
    <row r="199" spans="1:22" s="166" customFormat="1">
      <c r="A199" s="214" t="s">
        <v>255</v>
      </c>
      <c r="B199" s="215" t="s">
        <v>263</v>
      </c>
      <c r="C199" s="216"/>
      <c r="D199" s="216"/>
      <c r="E199" s="216"/>
      <c r="F199" s="217"/>
      <c r="G199" s="218"/>
      <c r="H199" s="215"/>
      <c r="I199" s="219"/>
      <c r="J199" s="220"/>
      <c r="K199" s="221"/>
      <c r="L199" s="218"/>
      <c r="M199" s="218"/>
      <c r="N199" s="219"/>
      <c r="O199" s="220"/>
      <c r="P199" s="95" t="str">
        <f t="shared" si="2"/>
        <v/>
      </c>
      <c r="Q199" s="130"/>
      <c r="R199" s="82"/>
      <c r="S199" s="83"/>
      <c r="T199"/>
      <c r="U199"/>
      <c r="V199"/>
    </row>
    <row r="200" spans="1:22" s="166" customFormat="1">
      <c r="A200" s="214" t="s">
        <v>255</v>
      </c>
      <c r="B200" s="215" t="s">
        <v>264</v>
      </c>
      <c r="C200" s="216"/>
      <c r="D200" s="216"/>
      <c r="E200" s="216"/>
      <c r="F200" s="217"/>
      <c r="G200" s="218"/>
      <c r="H200" s="215"/>
      <c r="I200" s="219"/>
      <c r="J200" s="220"/>
      <c r="K200" s="221"/>
      <c r="L200" s="218"/>
      <c r="M200" s="218"/>
      <c r="N200" s="219"/>
      <c r="O200" s="220"/>
      <c r="P200" s="95" t="str">
        <f t="shared" si="2"/>
        <v/>
      </c>
      <c r="Q200" s="130"/>
      <c r="R200" s="82"/>
      <c r="S200" s="83"/>
      <c r="T200"/>
      <c r="U200"/>
      <c r="V200"/>
    </row>
    <row r="201" spans="1:22" s="166" customFormat="1">
      <c r="A201" s="214" t="s">
        <v>255</v>
      </c>
      <c r="B201" s="215" t="s">
        <v>264</v>
      </c>
      <c r="C201" s="216"/>
      <c r="D201" s="216"/>
      <c r="E201" s="216"/>
      <c r="F201" s="217"/>
      <c r="G201" s="218"/>
      <c r="H201" s="215"/>
      <c r="I201" s="219"/>
      <c r="J201" s="220"/>
      <c r="K201" s="221"/>
      <c r="L201" s="218"/>
      <c r="M201" s="218"/>
      <c r="N201" s="219"/>
      <c r="O201" s="220"/>
      <c r="P201" s="95" t="str">
        <f t="shared" si="2"/>
        <v/>
      </c>
      <c r="Q201" s="130"/>
      <c r="R201" s="82"/>
      <c r="S201" s="83"/>
      <c r="T201"/>
      <c r="U201"/>
      <c r="V201"/>
    </row>
    <row r="202" spans="1:22" s="166" customFormat="1">
      <c r="A202" s="214" t="s">
        <v>255</v>
      </c>
      <c r="B202" s="215" t="s">
        <v>264</v>
      </c>
      <c r="C202" s="216"/>
      <c r="D202" s="216"/>
      <c r="E202" s="216"/>
      <c r="F202" s="217"/>
      <c r="G202" s="218"/>
      <c r="H202" s="215"/>
      <c r="I202" s="219"/>
      <c r="J202" s="220"/>
      <c r="K202" s="221"/>
      <c r="L202" s="218"/>
      <c r="M202" s="218"/>
      <c r="N202" s="219"/>
      <c r="O202" s="220"/>
      <c r="P202" s="95" t="str">
        <f t="shared" si="2"/>
        <v/>
      </c>
      <c r="Q202" s="130"/>
      <c r="R202" s="82"/>
      <c r="S202" s="83"/>
      <c r="T202"/>
      <c r="U202"/>
      <c r="V202"/>
    </row>
    <row r="203" spans="1:22" s="166" customFormat="1">
      <c r="A203" s="214" t="s">
        <v>255</v>
      </c>
      <c r="B203" s="215" t="s">
        <v>265</v>
      </c>
      <c r="C203" s="216"/>
      <c r="D203" s="216"/>
      <c r="E203" s="216"/>
      <c r="F203" s="217"/>
      <c r="G203" s="218"/>
      <c r="H203" s="215"/>
      <c r="I203" s="219"/>
      <c r="J203" s="220"/>
      <c r="K203" s="221"/>
      <c r="L203" s="218"/>
      <c r="M203" s="218"/>
      <c r="N203" s="219"/>
      <c r="O203" s="220"/>
      <c r="P203" s="95" t="str">
        <f t="shared" si="2"/>
        <v/>
      </c>
      <c r="Q203" s="130"/>
      <c r="R203" s="82"/>
      <c r="S203" s="83"/>
      <c r="T203"/>
      <c r="U203"/>
      <c r="V203"/>
    </row>
    <row r="204" spans="1:22" s="166" customFormat="1">
      <c r="A204" s="214" t="s">
        <v>255</v>
      </c>
      <c r="B204" s="215" t="s">
        <v>265</v>
      </c>
      <c r="C204" s="216"/>
      <c r="D204" s="216"/>
      <c r="E204" s="216"/>
      <c r="F204" s="217"/>
      <c r="G204" s="218"/>
      <c r="H204" s="215"/>
      <c r="I204" s="219"/>
      <c r="J204" s="220"/>
      <c r="K204" s="221"/>
      <c r="L204" s="218"/>
      <c r="M204" s="218"/>
      <c r="N204" s="219"/>
      <c r="O204" s="220"/>
      <c r="P204" s="95" t="str">
        <f t="shared" si="2"/>
        <v/>
      </c>
      <c r="Q204" s="130"/>
      <c r="R204" s="82"/>
      <c r="S204" s="83"/>
      <c r="T204"/>
      <c r="U204"/>
      <c r="V204"/>
    </row>
    <row r="205" spans="1:22" s="166" customFormat="1">
      <c r="A205" s="214" t="s">
        <v>255</v>
      </c>
      <c r="B205" s="215" t="s">
        <v>265</v>
      </c>
      <c r="C205" s="216"/>
      <c r="D205" s="216"/>
      <c r="E205" s="216"/>
      <c r="F205" s="217"/>
      <c r="G205" s="218"/>
      <c r="H205" s="215"/>
      <c r="I205" s="219"/>
      <c r="J205" s="220"/>
      <c r="K205" s="221"/>
      <c r="L205" s="218"/>
      <c r="M205" s="218"/>
      <c r="N205" s="219"/>
      <c r="O205" s="220"/>
      <c r="P205" s="95" t="str">
        <f t="shared" si="2"/>
        <v/>
      </c>
      <c r="Q205" s="130"/>
      <c r="R205" s="82"/>
      <c r="S205" s="83"/>
      <c r="T205"/>
      <c r="U205"/>
      <c r="V205"/>
    </row>
    <row r="206" spans="1:22" s="166" customFormat="1">
      <c r="A206" s="214" t="s">
        <v>255</v>
      </c>
      <c r="B206" s="215" t="s">
        <v>266</v>
      </c>
      <c r="C206" s="216"/>
      <c r="D206" s="216"/>
      <c r="E206" s="216"/>
      <c r="F206" s="217"/>
      <c r="G206" s="218"/>
      <c r="H206" s="215"/>
      <c r="I206" s="219"/>
      <c r="J206" s="220"/>
      <c r="K206" s="221"/>
      <c r="L206" s="218"/>
      <c r="M206" s="218"/>
      <c r="N206" s="219"/>
      <c r="O206" s="220"/>
      <c r="P206" s="95" t="str">
        <f t="shared" si="2"/>
        <v/>
      </c>
      <c r="Q206" s="130"/>
      <c r="R206" s="82"/>
      <c r="S206" s="83"/>
      <c r="T206"/>
      <c r="U206"/>
      <c r="V206"/>
    </row>
    <row r="207" spans="1:22" s="166" customFormat="1">
      <c r="A207" s="214" t="s">
        <v>255</v>
      </c>
      <c r="B207" s="215" t="s">
        <v>266</v>
      </c>
      <c r="C207" s="216"/>
      <c r="D207" s="216"/>
      <c r="E207" s="216"/>
      <c r="F207" s="217"/>
      <c r="G207" s="218"/>
      <c r="H207" s="215"/>
      <c r="I207" s="219"/>
      <c r="J207" s="220"/>
      <c r="K207" s="221"/>
      <c r="L207" s="218"/>
      <c r="M207" s="218"/>
      <c r="N207" s="219"/>
      <c r="O207" s="220"/>
      <c r="P207" s="95" t="str">
        <f t="shared" si="2"/>
        <v/>
      </c>
      <c r="Q207" s="130"/>
      <c r="R207" s="82"/>
      <c r="S207" s="83"/>
      <c r="T207"/>
      <c r="U207"/>
      <c r="V207"/>
    </row>
    <row r="208" spans="1:22" s="166" customFormat="1">
      <c r="A208" s="214" t="s">
        <v>255</v>
      </c>
      <c r="B208" s="215" t="s">
        <v>266</v>
      </c>
      <c r="C208" s="216"/>
      <c r="D208" s="216"/>
      <c r="E208" s="216"/>
      <c r="F208" s="217"/>
      <c r="G208" s="218"/>
      <c r="H208" s="215"/>
      <c r="I208" s="219"/>
      <c r="J208" s="220"/>
      <c r="K208" s="221"/>
      <c r="L208" s="218"/>
      <c r="M208" s="218"/>
      <c r="N208" s="219"/>
      <c r="O208" s="220"/>
      <c r="P208" s="95" t="str">
        <f t="shared" si="2"/>
        <v/>
      </c>
      <c r="Q208" s="130"/>
      <c r="R208" s="82"/>
      <c r="S208" s="83"/>
      <c r="T208"/>
      <c r="U208"/>
      <c r="V208"/>
    </row>
    <row r="209" spans="1:22" s="166" customFormat="1">
      <c r="A209" s="214" t="s">
        <v>255</v>
      </c>
      <c r="B209" s="215" t="s">
        <v>267</v>
      </c>
      <c r="C209" s="216"/>
      <c r="D209" s="216"/>
      <c r="E209" s="216"/>
      <c r="F209" s="217"/>
      <c r="G209" s="218"/>
      <c r="H209" s="215"/>
      <c r="I209" s="219"/>
      <c r="J209" s="220"/>
      <c r="K209" s="221"/>
      <c r="L209" s="218"/>
      <c r="M209" s="218"/>
      <c r="N209" s="219"/>
      <c r="O209" s="220"/>
      <c r="P209" s="95" t="str">
        <f t="shared" si="2"/>
        <v/>
      </c>
      <c r="Q209" s="130"/>
      <c r="R209" s="82"/>
      <c r="S209" s="83"/>
      <c r="T209"/>
      <c r="U209"/>
      <c r="V209"/>
    </row>
    <row r="210" spans="1:22" s="166" customFormat="1">
      <c r="A210" s="214" t="s">
        <v>255</v>
      </c>
      <c r="B210" s="215" t="s">
        <v>267</v>
      </c>
      <c r="C210" s="216"/>
      <c r="D210" s="216"/>
      <c r="E210" s="216"/>
      <c r="F210" s="217"/>
      <c r="G210" s="218"/>
      <c r="H210" s="215"/>
      <c r="I210" s="219"/>
      <c r="J210" s="220"/>
      <c r="K210" s="221"/>
      <c r="L210" s="218"/>
      <c r="M210" s="218"/>
      <c r="N210" s="219"/>
      <c r="O210" s="220"/>
      <c r="P210" s="95" t="str">
        <f t="shared" ref="P210:P226" si="3">IFERROR(MATCH($B210,AN_List_ii,FALSE),"")</f>
        <v/>
      </c>
      <c r="Q210" s="130"/>
      <c r="R210" s="82"/>
      <c r="S210" s="83"/>
      <c r="T210"/>
      <c r="U210"/>
      <c r="V210"/>
    </row>
    <row r="211" spans="1:22" s="166" customFormat="1">
      <c r="A211" s="214" t="s">
        <v>255</v>
      </c>
      <c r="B211" s="215" t="s">
        <v>267</v>
      </c>
      <c r="C211" s="216"/>
      <c r="D211" s="216"/>
      <c r="E211" s="216"/>
      <c r="F211" s="217"/>
      <c r="G211" s="218"/>
      <c r="H211" s="215"/>
      <c r="I211" s="219"/>
      <c r="J211" s="220"/>
      <c r="K211" s="221"/>
      <c r="L211" s="218"/>
      <c r="M211" s="218"/>
      <c r="N211" s="219"/>
      <c r="O211" s="220"/>
      <c r="P211" s="95" t="str">
        <f t="shared" si="3"/>
        <v/>
      </c>
      <c r="Q211" s="130"/>
      <c r="R211" s="82"/>
      <c r="S211" s="83"/>
      <c r="T211"/>
      <c r="U211"/>
      <c r="V211"/>
    </row>
    <row r="212" spans="1:22" s="166" customFormat="1">
      <c r="A212" s="214" t="s">
        <v>255</v>
      </c>
      <c r="B212" s="215" t="s">
        <v>268</v>
      </c>
      <c r="C212" s="216"/>
      <c r="D212" s="216"/>
      <c r="E212" s="216"/>
      <c r="F212" s="217"/>
      <c r="G212" s="218"/>
      <c r="H212" s="215"/>
      <c r="I212" s="219"/>
      <c r="J212" s="220"/>
      <c r="K212" s="221"/>
      <c r="L212" s="218"/>
      <c r="M212" s="218"/>
      <c r="N212" s="219"/>
      <c r="O212" s="220"/>
      <c r="P212" s="95" t="str">
        <f t="shared" si="3"/>
        <v/>
      </c>
      <c r="Q212" s="130"/>
      <c r="R212" s="82"/>
      <c r="S212" s="83"/>
      <c r="T212"/>
      <c r="U212"/>
      <c r="V212"/>
    </row>
    <row r="213" spans="1:22" s="166" customFormat="1">
      <c r="A213" s="214" t="s">
        <v>255</v>
      </c>
      <c r="B213" s="215" t="s">
        <v>268</v>
      </c>
      <c r="C213" s="216"/>
      <c r="D213" s="216"/>
      <c r="E213" s="216"/>
      <c r="F213" s="217"/>
      <c r="G213" s="218"/>
      <c r="H213" s="215"/>
      <c r="I213" s="219"/>
      <c r="J213" s="220"/>
      <c r="K213" s="221"/>
      <c r="L213" s="218"/>
      <c r="M213" s="218"/>
      <c r="N213" s="219"/>
      <c r="O213" s="220"/>
      <c r="P213" s="95" t="str">
        <f t="shared" si="3"/>
        <v/>
      </c>
      <c r="Q213" s="130"/>
      <c r="R213" s="82"/>
      <c r="S213" s="83"/>
      <c r="T213"/>
      <c r="U213"/>
      <c r="V213"/>
    </row>
    <row r="214" spans="1:22" s="166" customFormat="1">
      <c r="A214" s="214" t="s">
        <v>255</v>
      </c>
      <c r="B214" s="215" t="s">
        <v>268</v>
      </c>
      <c r="C214" s="216"/>
      <c r="D214" s="216"/>
      <c r="E214" s="216"/>
      <c r="F214" s="217"/>
      <c r="G214" s="218"/>
      <c r="H214" s="215"/>
      <c r="I214" s="219"/>
      <c r="J214" s="220"/>
      <c r="K214" s="221"/>
      <c r="L214" s="218"/>
      <c r="M214" s="218"/>
      <c r="N214" s="219"/>
      <c r="O214" s="220"/>
      <c r="P214" s="95" t="str">
        <f t="shared" si="3"/>
        <v/>
      </c>
      <c r="Q214" s="130"/>
      <c r="R214" s="82"/>
      <c r="S214" s="83"/>
      <c r="T214"/>
      <c r="U214"/>
      <c r="V214"/>
    </row>
    <row r="215" spans="1:22" s="166" customFormat="1">
      <c r="A215" s="214" t="s">
        <v>255</v>
      </c>
      <c r="B215" s="215" t="s">
        <v>269</v>
      </c>
      <c r="C215" s="216"/>
      <c r="D215" s="216"/>
      <c r="E215" s="216"/>
      <c r="F215" s="217"/>
      <c r="G215" s="218"/>
      <c r="H215" s="215"/>
      <c r="I215" s="219"/>
      <c r="J215" s="220"/>
      <c r="K215" s="221"/>
      <c r="L215" s="218"/>
      <c r="M215" s="218"/>
      <c r="N215" s="219"/>
      <c r="O215" s="220"/>
      <c r="P215" s="95" t="str">
        <f t="shared" si="3"/>
        <v/>
      </c>
      <c r="Q215" s="130"/>
      <c r="R215" s="82"/>
      <c r="S215" s="83"/>
      <c r="T215"/>
      <c r="U215"/>
      <c r="V215"/>
    </row>
    <row r="216" spans="1:22" s="166" customFormat="1">
      <c r="A216" s="214" t="s">
        <v>255</v>
      </c>
      <c r="B216" s="215" t="s">
        <v>269</v>
      </c>
      <c r="C216" s="216"/>
      <c r="D216" s="216"/>
      <c r="E216" s="216"/>
      <c r="F216" s="217"/>
      <c r="G216" s="218"/>
      <c r="H216" s="215"/>
      <c r="I216" s="219"/>
      <c r="J216" s="220"/>
      <c r="K216" s="221"/>
      <c r="L216" s="218"/>
      <c r="M216" s="218"/>
      <c r="N216" s="219"/>
      <c r="O216" s="220"/>
      <c r="P216" s="95" t="str">
        <f t="shared" si="3"/>
        <v/>
      </c>
      <c r="Q216" s="130"/>
      <c r="R216" s="82"/>
      <c r="S216" s="83"/>
      <c r="T216"/>
      <c r="U216"/>
      <c r="V216"/>
    </row>
    <row r="217" spans="1:22" s="166" customFormat="1">
      <c r="A217" s="214" t="s">
        <v>255</v>
      </c>
      <c r="B217" s="215" t="s">
        <v>269</v>
      </c>
      <c r="C217" s="216"/>
      <c r="D217" s="216"/>
      <c r="E217" s="216"/>
      <c r="F217" s="217"/>
      <c r="G217" s="218"/>
      <c r="H217" s="215"/>
      <c r="I217" s="219"/>
      <c r="J217" s="220"/>
      <c r="K217" s="221"/>
      <c r="L217" s="218"/>
      <c r="M217" s="218"/>
      <c r="N217" s="219"/>
      <c r="O217" s="220"/>
      <c r="P217" s="95" t="str">
        <f t="shared" si="3"/>
        <v/>
      </c>
      <c r="Q217" s="130"/>
      <c r="R217" s="82"/>
      <c r="S217" s="83"/>
      <c r="T217"/>
      <c r="U217"/>
      <c r="V217"/>
    </row>
    <row r="218" spans="1:22" s="166" customFormat="1">
      <c r="A218" s="214" t="s">
        <v>255</v>
      </c>
      <c r="B218" s="215" t="s">
        <v>270</v>
      </c>
      <c r="C218" s="216"/>
      <c r="D218" s="216"/>
      <c r="E218" s="216"/>
      <c r="F218" s="217"/>
      <c r="G218" s="218"/>
      <c r="H218" s="215"/>
      <c r="I218" s="219"/>
      <c r="J218" s="220"/>
      <c r="K218" s="221"/>
      <c r="L218" s="218"/>
      <c r="M218" s="218"/>
      <c r="N218" s="219"/>
      <c r="O218" s="220"/>
      <c r="P218" s="95" t="str">
        <f t="shared" si="3"/>
        <v/>
      </c>
      <c r="Q218" s="130"/>
      <c r="R218" s="82"/>
      <c r="S218" s="83"/>
      <c r="T218"/>
      <c r="U218"/>
      <c r="V218"/>
    </row>
    <row r="219" spans="1:22" s="166" customFormat="1">
      <c r="A219" s="214" t="s">
        <v>255</v>
      </c>
      <c r="B219" s="215" t="s">
        <v>270</v>
      </c>
      <c r="C219" s="216"/>
      <c r="D219" s="216"/>
      <c r="E219" s="216"/>
      <c r="F219" s="217"/>
      <c r="G219" s="218"/>
      <c r="H219" s="215"/>
      <c r="I219" s="219"/>
      <c r="J219" s="220"/>
      <c r="K219" s="221"/>
      <c r="L219" s="218"/>
      <c r="M219" s="218"/>
      <c r="N219" s="219"/>
      <c r="O219" s="220"/>
      <c r="P219" s="95" t="str">
        <f t="shared" si="3"/>
        <v/>
      </c>
      <c r="Q219" s="130"/>
      <c r="R219" s="82"/>
      <c r="S219" s="83"/>
      <c r="T219"/>
      <c r="U219"/>
      <c r="V219"/>
    </row>
    <row r="220" spans="1:22" s="166" customFormat="1">
      <c r="A220" s="214" t="s">
        <v>255</v>
      </c>
      <c r="B220" s="215" t="s">
        <v>270</v>
      </c>
      <c r="C220" s="216"/>
      <c r="D220" s="216"/>
      <c r="E220" s="216"/>
      <c r="F220" s="217"/>
      <c r="G220" s="218"/>
      <c r="H220" s="215"/>
      <c r="I220" s="219"/>
      <c r="J220" s="220"/>
      <c r="K220" s="221"/>
      <c r="L220" s="218"/>
      <c r="M220" s="218"/>
      <c r="N220" s="219"/>
      <c r="O220" s="220"/>
      <c r="P220" s="95" t="str">
        <f t="shared" si="3"/>
        <v/>
      </c>
      <c r="Q220" s="130"/>
      <c r="R220" s="82"/>
      <c r="S220" s="83"/>
      <c r="T220"/>
      <c r="U220"/>
      <c r="V220"/>
    </row>
    <row r="221" spans="1:22" s="166" customFormat="1">
      <c r="A221" s="214" t="s">
        <v>255</v>
      </c>
      <c r="B221" s="215" t="s">
        <v>271</v>
      </c>
      <c r="C221" s="216"/>
      <c r="D221" s="216"/>
      <c r="E221" s="216"/>
      <c r="F221" s="217"/>
      <c r="G221" s="218"/>
      <c r="H221" s="215"/>
      <c r="I221" s="219"/>
      <c r="J221" s="220"/>
      <c r="K221" s="221"/>
      <c r="L221" s="218"/>
      <c r="M221" s="218"/>
      <c r="N221" s="219"/>
      <c r="O221" s="220"/>
      <c r="P221" s="95" t="str">
        <f t="shared" si="3"/>
        <v/>
      </c>
      <c r="Q221" s="130"/>
      <c r="R221" s="82"/>
      <c r="S221" s="83"/>
      <c r="T221"/>
      <c r="U221"/>
      <c r="V221"/>
    </row>
    <row r="222" spans="1:22" s="166" customFormat="1">
      <c r="A222" s="214" t="s">
        <v>255</v>
      </c>
      <c r="B222" s="215" t="s">
        <v>271</v>
      </c>
      <c r="C222" s="216"/>
      <c r="D222" s="216"/>
      <c r="E222" s="216"/>
      <c r="F222" s="217"/>
      <c r="G222" s="218"/>
      <c r="H222" s="215"/>
      <c r="I222" s="219"/>
      <c r="J222" s="220"/>
      <c r="K222" s="221"/>
      <c r="L222" s="218"/>
      <c r="M222" s="218"/>
      <c r="N222" s="219"/>
      <c r="O222" s="220"/>
      <c r="P222" s="95" t="str">
        <f t="shared" si="3"/>
        <v/>
      </c>
      <c r="Q222" s="130"/>
      <c r="R222" s="82"/>
      <c r="S222" s="83"/>
      <c r="T222"/>
      <c r="U222"/>
      <c r="V222"/>
    </row>
    <row r="223" spans="1:22" s="166" customFormat="1">
      <c r="A223" s="214" t="s">
        <v>255</v>
      </c>
      <c r="B223" s="215" t="s">
        <v>271</v>
      </c>
      <c r="C223" s="216"/>
      <c r="D223" s="216"/>
      <c r="E223" s="216"/>
      <c r="F223" s="217"/>
      <c r="G223" s="218"/>
      <c r="H223" s="215"/>
      <c r="I223" s="219"/>
      <c r="J223" s="220"/>
      <c r="K223" s="221"/>
      <c r="L223" s="218"/>
      <c r="M223" s="218"/>
      <c r="N223" s="219"/>
      <c r="O223" s="220"/>
      <c r="P223" s="95" t="str">
        <f t="shared" si="3"/>
        <v/>
      </c>
      <c r="Q223" s="130"/>
      <c r="R223" s="82"/>
      <c r="S223" s="83"/>
      <c r="T223"/>
      <c r="U223"/>
      <c r="V223"/>
    </row>
    <row r="224" spans="1:22" s="166" customFormat="1">
      <c r="A224" s="214" t="s">
        <v>255</v>
      </c>
      <c r="B224" s="215" t="s">
        <v>272</v>
      </c>
      <c r="C224" s="216"/>
      <c r="D224" s="216"/>
      <c r="E224" s="216"/>
      <c r="F224" s="217"/>
      <c r="G224" s="218"/>
      <c r="H224" s="215"/>
      <c r="I224" s="219"/>
      <c r="J224" s="220"/>
      <c r="K224" s="221"/>
      <c r="L224" s="218"/>
      <c r="M224" s="218"/>
      <c r="N224" s="219"/>
      <c r="O224" s="220"/>
      <c r="P224" s="95" t="str">
        <f t="shared" si="3"/>
        <v/>
      </c>
      <c r="Q224" s="130"/>
      <c r="R224" s="82"/>
      <c r="S224" s="83"/>
      <c r="T224"/>
      <c r="U224"/>
      <c r="V224"/>
    </row>
    <row r="225" spans="1:22" s="166" customFormat="1">
      <c r="A225" s="214" t="s">
        <v>255</v>
      </c>
      <c r="B225" s="215" t="s">
        <v>272</v>
      </c>
      <c r="C225" s="216"/>
      <c r="D225" s="216"/>
      <c r="E225" s="216"/>
      <c r="F225" s="217"/>
      <c r="G225" s="218"/>
      <c r="H225" s="215"/>
      <c r="I225" s="219"/>
      <c r="J225" s="220"/>
      <c r="K225" s="221"/>
      <c r="L225" s="218"/>
      <c r="M225" s="218"/>
      <c r="N225" s="219"/>
      <c r="O225" s="220"/>
      <c r="P225" s="95" t="str">
        <f t="shared" si="3"/>
        <v/>
      </c>
      <c r="Q225" s="130"/>
      <c r="R225" s="82"/>
      <c r="S225" s="83"/>
      <c r="T225"/>
      <c r="U225"/>
      <c r="V225"/>
    </row>
    <row r="226" spans="1:22" s="166" customFormat="1" ht="13.8" thickBot="1">
      <c r="A226" s="231" t="s">
        <v>255</v>
      </c>
      <c r="B226" s="232" t="s">
        <v>272</v>
      </c>
      <c r="C226" s="233"/>
      <c r="D226" s="233"/>
      <c r="E226" s="233"/>
      <c r="F226" s="234"/>
      <c r="G226" s="235"/>
      <c r="H226" s="232"/>
      <c r="I226" s="236"/>
      <c r="J226" s="237"/>
      <c r="K226" s="238"/>
      <c r="L226" s="235"/>
      <c r="M226" s="235"/>
      <c r="N226" s="219"/>
      <c r="O226" s="220"/>
      <c r="P226" s="95" t="str">
        <f t="shared" si="3"/>
        <v/>
      </c>
      <c r="Q226" s="130"/>
      <c r="R226" s="82"/>
      <c r="S226" s="83"/>
      <c r="T226"/>
      <c r="U226"/>
      <c r="V226"/>
    </row>
    <row r="227" spans="1:22" ht="13.8" thickTop="1"/>
  </sheetData>
  <sheetProtection formatColumns="0" formatRows="0" selectLockedCells="1"/>
  <mergeCells count="1">
    <mergeCell ref="B6:O6"/>
  </mergeCells>
  <conditionalFormatting sqref="R17:S226 A17:O226">
    <cfRule type="expression" dxfId="11" priority="11">
      <formula>$B17&lt;&gt;OFFSET($B17,1,0)</formula>
    </cfRule>
  </conditionalFormatting>
  <conditionalFormatting sqref="A3:W3">
    <cfRule type="expression" dxfId="10" priority="10">
      <formula>Reinsured="{Client Name} Blank Master"</formula>
    </cfRule>
  </conditionalFormatting>
  <conditionalFormatting sqref="S17:S226 C17:E226 G17:I226 L17:N226">
    <cfRule type="expression" dxfId="9" priority="12">
      <formula>ISTEXT($G$17)</formula>
    </cfRule>
  </conditionalFormatting>
  <conditionalFormatting sqref="B17:B226">
    <cfRule type="expression" dxfId="8" priority="8">
      <formula>VLOOKUP($B17,AN_List_ii,1,FALSE)=$B17</formula>
    </cfRule>
  </conditionalFormatting>
  <conditionalFormatting sqref="F17:J226">
    <cfRule type="expression" dxfId="7" priority="9">
      <formula>AND($C17&lt;&gt;"",$F17="",$G17="",$H17="",$I17="")=TRUE</formula>
    </cfRule>
  </conditionalFormatting>
  <conditionalFormatting sqref="L21:L22">
    <cfRule type="expression" dxfId="6" priority="7">
      <formula>AND($C21&lt;&gt;"",$F21="",$G21="",$H21="",$I21="")=TRUE</formula>
    </cfRule>
  </conditionalFormatting>
  <conditionalFormatting sqref="L142">
    <cfRule type="expression" dxfId="5" priority="6">
      <formula>AND($C142&lt;&gt;"",$F142="",$G142="",$H142="",$I142="")=TRUE</formula>
    </cfRule>
  </conditionalFormatting>
  <conditionalFormatting sqref="L160">
    <cfRule type="expression" dxfId="4" priority="5">
      <formula>AND($C160&lt;&gt;"",$F160="",$G160="",$H160="",$I160="")=TRUE</formula>
    </cfRule>
  </conditionalFormatting>
  <conditionalFormatting sqref="L141">
    <cfRule type="expression" dxfId="3" priority="4">
      <formula>AND($C141&lt;&gt;"",$F141="",$G141="",$H141="",$I141="")=TRUE</formula>
    </cfRule>
  </conditionalFormatting>
  <conditionalFormatting sqref="L79">
    <cfRule type="expression" dxfId="2" priority="3">
      <formula>AND($C79&lt;&gt;"",$F79="",$G79="",$H79="",$I79="")=TRUE</formula>
    </cfRule>
  </conditionalFormatting>
  <conditionalFormatting sqref="M79">
    <cfRule type="expression" dxfId="1" priority="2">
      <formula>AND($C79&lt;&gt;"",$F79="",$G79="",$H79="",$I79="")=TRUE</formula>
    </cfRule>
  </conditionalFormatting>
  <conditionalFormatting sqref="N79">
    <cfRule type="expression" dxfId="0" priority="1">
      <formula>AND($C79&lt;&gt;"",$F79="",$G79="",$H79="",$I79="")=TRUE</formula>
    </cfRule>
  </conditionalFormatting>
  <dataValidations count="5">
    <dataValidation type="date" allowBlank="1" showInputMessage="1" showErrorMessage="1" sqref="A3" xr:uid="{A4CC28B5-37BA-4F42-AD1F-A81727A35F4E}">
      <formula1>42005</formula1>
      <formula2>46022</formula2>
    </dataValidation>
    <dataValidation type="list" allowBlank="1" showInputMessage="1" showErrorMessage="1" sqref="O17:O167 J17:J166" xr:uid="{11C1705D-4DB7-42E5-9D70-1872F75EAFFE}">
      <formula1>VList_Status_ii</formula1>
    </dataValidation>
    <dataValidation type="list" allowBlank="1" showInputMessage="1" showErrorMessage="1" sqref="R17:R167 K17:K166 F17:F166" xr:uid="{C34153A9-386D-491A-B9FB-98FC778E19E1}">
      <formula1>VList_Currency_ii</formula1>
    </dataValidation>
    <dataValidation type="list" allowBlank="1" showInputMessage="1" showErrorMessage="1" sqref="B17:B166" xr:uid="{F813E177-1E12-40DC-8BEE-B4ECBFB14031}">
      <formula1>VList_Insured_ii</formula1>
    </dataValidation>
    <dataValidation type="list" allowBlank="1" showInputMessage="1" showErrorMessage="1" sqref="A17:A166" xr:uid="{9A18FDDC-A348-4131-BA74-3CB45AC3DB91}">
      <formula1>VList_Schedule_ii</formula1>
    </dataValidation>
  </dataValidations>
  <printOptions horizontalCentered="1"/>
  <pageMargins left="0.39370078740157483" right="0.39370078740157483" top="0.59055118110236227" bottom="0.55118110236220474" header="0.27559055118110237" footer="0.19685039370078741"/>
  <pageSetup paperSize="9" scale="79" fitToHeight="0" orientation="landscape" r:id="rId1"/>
  <headerFooter scaleWithDoc="0">
    <oddFooter>&amp;L&amp;5&amp;Z
&amp;F&amp;A&amp;C&amp;"Calibri,Bold"&amp;A&amp;"Calibri,Regular"
Page &amp;P of &amp;N&amp;R&amp;G</oddFooter>
  </headerFooter>
  <rowBreaks count="3" manualBreakCount="3">
    <brk id="91" max="15" man="1"/>
    <brk id="136" max="15" man="1"/>
    <brk id="181" max="15" man="1"/>
  </rowBreaks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B14"/>
  <sheetViews>
    <sheetView workbookViewId="0"/>
  </sheetViews>
  <sheetFormatPr defaultRowHeight="13.2"/>
  <cols>
    <col min="2" max="2" width="15.44140625" customWidth="1"/>
  </cols>
  <sheetData>
    <row r="1" spans="1:2" ht="21">
      <c r="A1" s="8" t="s">
        <v>197</v>
      </c>
    </row>
    <row r="2" spans="1:2" ht="13.8">
      <c r="A2" s="9" t="s">
        <v>201</v>
      </c>
    </row>
    <row r="4" spans="1:2">
      <c r="B4" s="6" t="s">
        <v>196</v>
      </c>
    </row>
    <row r="5" spans="1:2">
      <c r="B5" s="7" t="s">
        <v>2</v>
      </c>
    </row>
    <row r="6" spans="1:2">
      <c r="B6" s="7" t="s">
        <v>3</v>
      </c>
    </row>
    <row r="7" spans="1:2">
      <c r="B7" s="7" t="s">
        <v>4</v>
      </c>
    </row>
    <row r="11" spans="1:2">
      <c r="B11" s="6" t="s">
        <v>202</v>
      </c>
    </row>
    <row r="12" spans="1:2">
      <c r="B12" s="7" t="s">
        <v>199</v>
      </c>
    </row>
    <row r="13" spans="1:2">
      <c r="B13" s="7" t="s">
        <v>200</v>
      </c>
    </row>
    <row r="14" spans="1:2">
      <c r="B14" s="7"/>
    </row>
  </sheetData>
  <pageMargins left="0.59055118110236227" right="0.59055118110236227" top="0.59055118110236227" bottom="0.59055118110236227" header="0.27559055118110237" footer="0.27559055118110237"/>
  <pageSetup paperSize="9" orientation="landscape" r:id="rId1"/>
  <headerFooter scaleWithDoc="0">
    <oddFooter>&amp;C&amp;A
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#Version# (Hide)</vt:lpstr>
      <vt:lpstr>Schedule ABC</vt:lpstr>
      <vt:lpstr>Schedule ABC  | Audit Notes</vt:lpstr>
      <vt:lpstr>Supplementary Insureds</vt:lpstr>
      <vt:lpstr>Lookups and Validations (Hide)</vt:lpstr>
      <vt:lpstr>'#Version# (Hide)'!Print_Area</vt:lpstr>
      <vt:lpstr>'Schedule ABC'!Print_Area</vt:lpstr>
      <vt:lpstr>'Schedule ABC  | Audit Notes'!Print_Area</vt:lpstr>
      <vt:lpstr>'Supplementary Insureds'!Print_Area</vt:lpstr>
      <vt:lpstr>'#Version# (Hide)'!Print_Titles</vt:lpstr>
      <vt:lpstr>'Schedule ABC'!Print_Titles</vt:lpstr>
      <vt:lpstr>'Schedule ABC  | Audit Notes'!Print_Titles</vt:lpstr>
      <vt:lpstr>'Supplementary Insureds'!Print_Titles</vt:lpstr>
    </vt:vector>
  </TitlesOfParts>
  <Company>Willis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Fusco, Giulia C.</dc:creator>
  <cp:lastModifiedBy>David Frawley</cp:lastModifiedBy>
  <cp:lastPrinted>2022-03-11T15:27:46Z</cp:lastPrinted>
  <dcterms:created xsi:type="dcterms:W3CDTF">2015-04-30T11:38:52Z</dcterms:created>
  <dcterms:modified xsi:type="dcterms:W3CDTF">2022-10-31T19:07:17Z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{A44787D4-0540-4523-9961-78E4036D8C6D}">
    <vt:lpwstr>{120B1E6E-4D56-4C86-9F8F-A16DAD22EBF6}</vt:lpwstr>
  </property>
  <property fmtid="{D5CDD505-2E9C-101B-9397-08002B2CF9AE}" pid="4" name="MSIP_Label_d347b247-e90e-43a3-9d7b-004f14ae6873_Enabled">
    <vt:lpwstr>true</vt:lpwstr>
  </property>
  <property fmtid="{D5CDD505-2E9C-101B-9397-08002B2CF9AE}" pid="5" name="MSIP_Label_d347b247-e90e-43a3-9d7b-004f14ae6873_SetDate">
    <vt:lpwstr>2021-10-13T15:57:35Z</vt:lpwstr>
  </property>
  <property fmtid="{D5CDD505-2E9C-101B-9397-08002B2CF9AE}" pid="6" name="MSIP_Label_d347b247-e90e-43a3-9d7b-004f14ae6873_Method">
    <vt:lpwstr>Standard</vt:lpwstr>
  </property>
  <property fmtid="{D5CDD505-2E9C-101B-9397-08002B2CF9AE}" pid="7" name="MSIP_Label_d347b247-e90e-43a3-9d7b-004f14ae6873_Name">
    <vt:lpwstr>d347b247-e90e-43a3-9d7b-004f14ae6873</vt:lpwstr>
  </property>
  <property fmtid="{D5CDD505-2E9C-101B-9397-08002B2CF9AE}" pid="8" name="MSIP_Label_d347b247-e90e-43a3-9d7b-004f14ae6873_SiteId">
    <vt:lpwstr>76e3921f-489b-4b7e-9547-9ea297add9b5</vt:lpwstr>
  </property>
  <property fmtid="{D5CDD505-2E9C-101B-9397-08002B2CF9AE}" pid="9" name="MSIP_Label_d347b247-e90e-43a3-9d7b-004f14ae6873_ActionId">
    <vt:lpwstr>4f00a48c-ad43-4703-9a4e-46d9fad128bf</vt:lpwstr>
  </property>
  <property fmtid="{D5CDD505-2E9C-101B-9397-08002B2CF9AE}" pid="10" name="MSIP_Label_d347b247-e90e-43a3-9d7b-004f14ae6873_ContentBits">
    <vt:lpwstr>0</vt:lpwstr>
  </property>
</Properties>
</file>